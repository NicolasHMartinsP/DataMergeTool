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entações" sheetId="1" r:id="rId5"/>
    <sheet state="visible" name="Compras" sheetId="2" r:id="rId6"/>
    <sheet state="visible" name="Notas" sheetId="3" r:id="rId7"/>
    <sheet state="visible" name="Notas de Compras" sheetId="4" r:id="rId8"/>
    <sheet state="visible" name="Itens de Compras" sheetId="5" r:id="rId9"/>
    <sheet state="visible" name="Compra" sheetId="6" r:id="rId10"/>
    <sheet state="visible" name="DEZEMBRO 2025" sheetId="7" r:id="rId11"/>
    <sheet state="visible" name="JANEIRO 2026" sheetId="8" r:id="rId12"/>
    <sheet state="visible" name="FEVEREIRO 2026" sheetId="9" r:id="rId13"/>
    <sheet state="visible" name="MARÇO 2026" sheetId="10" r:id="rId14"/>
    <sheet state="visible" name="ABRIL 2026" sheetId="11" r:id="rId15"/>
    <sheet state="visible" name="MAIO 2026" sheetId="12" r:id="rId16"/>
    <sheet state="visible" name="JUNHO 2026" sheetId="13" r:id="rId17"/>
  </sheets>
  <definedNames/>
  <calcPr/>
</workbook>
</file>

<file path=xl/sharedStrings.xml><?xml version="1.0" encoding="utf-8"?>
<sst xmlns="http://schemas.openxmlformats.org/spreadsheetml/2006/main" count="30380" uniqueCount="8758">
  <si>
    <t>ID</t>
  </si>
  <si>
    <t>Identificação</t>
  </si>
  <si>
    <t>Loja</t>
  </si>
  <si>
    <t>Data Compra</t>
  </si>
  <si>
    <t>Fornecedor</t>
  </si>
  <si>
    <t>Nota</t>
  </si>
  <si>
    <t>Descrição</t>
  </si>
  <si>
    <t>Produto 1</t>
  </si>
  <si>
    <t>Quantidade 1</t>
  </si>
  <si>
    <t>Valor 1</t>
  </si>
  <si>
    <t>Data</t>
  </si>
  <si>
    <t>Valor Soma  1</t>
  </si>
  <si>
    <t>Produto 2</t>
  </si>
  <si>
    <t>Quantidade 2</t>
  </si>
  <si>
    <t>Valor 2</t>
  </si>
  <si>
    <t>Valor Soma 2</t>
  </si>
  <si>
    <t>Produto 3</t>
  </si>
  <si>
    <t>Quantidade 3</t>
  </si>
  <si>
    <t>Entrada/Saída</t>
  </si>
  <si>
    <t>Valor 3</t>
  </si>
  <si>
    <t>Valor Soma 3</t>
  </si>
  <si>
    <t xml:space="preserve">Valor </t>
  </si>
  <si>
    <t>Produto 4</t>
  </si>
  <si>
    <t>Quantidade 4</t>
  </si>
  <si>
    <t>Branco</t>
  </si>
  <si>
    <t>Valor 4</t>
  </si>
  <si>
    <t>Nome</t>
  </si>
  <si>
    <t>Valor Soma 4</t>
  </si>
  <si>
    <t>Foto</t>
  </si>
  <si>
    <t>Produto 5</t>
  </si>
  <si>
    <t>Quantidade 5</t>
  </si>
  <si>
    <t>Valor 5</t>
  </si>
  <si>
    <t>Pago CX</t>
  </si>
  <si>
    <t>Valor Soma 5</t>
  </si>
  <si>
    <t>Preço</t>
  </si>
  <si>
    <t>Produto 6</t>
  </si>
  <si>
    <t>Usuário</t>
  </si>
  <si>
    <t>Quantidade 6</t>
  </si>
  <si>
    <t>Funcionário</t>
  </si>
  <si>
    <t>Valor 6</t>
  </si>
  <si>
    <t>Valor Soma 6</t>
  </si>
  <si>
    <t>Produto 7</t>
  </si>
  <si>
    <t>Foto1</t>
  </si>
  <si>
    <t>Branco 2</t>
  </si>
  <si>
    <t>Quantidade 7</t>
  </si>
  <si>
    <t>Foto2</t>
  </si>
  <si>
    <t>Valor 7</t>
  </si>
  <si>
    <t>Inconsistência</t>
  </si>
  <si>
    <t>Valor Soma 7</t>
  </si>
  <si>
    <t>Foto3</t>
  </si>
  <si>
    <t>Produto 8</t>
  </si>
  <si>
    <t>Valor</t>
  </si>
  <si>
    <t>Tipo</t>
  </si>
  <si>
    <t>Quantidade 8</t>
  </si>
  <si>
    <t>Valor 8</t>
  </si>
  <si>
    <t>Concluido</t>
  </si>
  <si>
    <t>Valor Soma 8</t>
  </si>
  <si>
    <t>Sangria Entrada</t>
  </si>
  <si>
    <t>Produto 9</t>
  </si>
  <si>
    <t>Reembolso</t>
  </si>
  <si>
    <t>Quantidade 9</t>
  </si>
  <si>
    <t>Desconto</t>
  </si>
  <si>
    <t>Valor 9</t>
  </si>
  <si>
    <t>Valor Soma 9</t>
  </si>
  <si>
    <t>Produto 10</t>
  </si>
  <si>
    <t>Quantidade 10</t>
  </si>
  <si>
    <t>Valor 10</t>
  </si>
  <si>
    <t>Valor Soma 10</t>
  </si>
  <si>
    <t>Movimentação</t>
  </si>
  <si>
    <t>Produto 11</t>
  </si>
  <si>
    <t>Data Movimentação</t>
  </si>
  <si>
    <t>Quantidade 11</t>
  </si>
  <si>
    <t>Valor 11</t>
  </si>
  <si>
    <t>d5a78b6f</t>
  </si>
  <si>
    <t>Valor Soma 11</t>
  </si>
  <si>
    <t>Conta Corrente</t>
  </si>
  <si>
    <t>Produto 12</t>
  </si>
  <si>
    <t>Selecionado</t>
  </si>
  <si>
    <t>75488b5e</t>
  </si>
  <si>
    <t>Quantidade 12</t>
  </si>
  <si>
    <t>Atualizar</t>
  </si>
  <si>
    <t>Valor 12</t>
  </si>
  <si>
    <t>Justificado</t>
  </si>
  <si>
    <t>Justificativa</t>
  </si>
  <si>
    <t>Valor Soma 12</t>
  </si>
  <si>
    <t>f2433e38</t>
  </si>
  <si>
    <t>Produto 13</t>
  </si>
  <si>
    <t>Quantidade 13</t>
  </si>
  <si>
    <t>Komprao (15/11/2024) - Lanche e granulado</t>
  </si>
  <si>
    <t>Valor 13</t>
  </si>
  <si>
    <t>Notas_Images/d5a78b6f.Foto.222939.jpg</t>
  </si>
  <si>
    <t>Valor Soma 13</t>
  </si>
  <si>
    <t>Lanche e granulado</t>
  </si>
  <si>
    <t>Produto 14</t>
  </si>
  <si>
    <t>Quantidade 14</t>
  </si>
  <si>
    <t>thebestacairionegrinho@gmail.com</t>
  </si>
  <si>
    <t>Valor 14</t>
  </si>
  <si>
    <t>Saída</t>
  </si>
  <si>
    <t>Valor Soma 14</t>
  </si>
  <si>
    <t>Produto 15</t>
  </si>
  <si>
    <t>fcd50af8</t>
  </si>
  <si>
    <t>R$ 21,13</t>
  </si>
  <si>
    <t>Quantidade 15</t>
  </si>
  <si>
    <t>Valor 15</t>
  </si>
  <si>
    <t>8bd77353</t>
  </si>
  <si>
    <t>Valor Soma 15</t>
  </si>
  <si>
    <t>Gervasio (15/11/2024) - Compra de frutas</t>
  </si>
  <si>
    <t>Valor Total</t>
  </si>
  <si>
    <t>Notas_Images/fcd50af8.Foto.223119.jpg</t>
  </si>
  <si>
    <t>consumo renata</t>
  </si>
  <si>
    <t>Compra de frutas</t>
  </si>
  <si>
    <t>Valor Nota</t>
  </si>
  <si>
    <t>147344c6</t>
  </si>
  <si>
    <t>3ba53dad</t>
  </si>
  <si>
    <t>5821dac4</t>
  </si>
  <si>
    <t>26/05/2026 (Consumo) - Renata - R$ 21,13</t>
  </si>
  <si>
    <t>2111f484</t>
  </si>
  <si>
    <t>Foto 1</t>
  </si>
  <si>
    <t>Minersol (16/11/2024) - Lanche</t>
  </si>
  <si>
    <t>Foto 2</t>
  </si>
  <si>
    <t>Notas_Images/5821dac4.Foto.162512.jpg</t>
  </si>
  <si>
    <t>Foto 3</t>
  </si>
  <si>
    <t>Lanche</t>
  </si>
  <si>
    <t>R$ 16,98</t>
  </si>
  <si>
    <t>consumo Sabrina</t>
  </si>
  <si>
    <t>d9a5710b</t>
  </si>
  <si>
    <t>febe3f07</t>
  </si>
  <si>
    <t>2f4c9208</t>
  </si>
  <si>
    <t>Carlos H (17/11/2024) - Alimentação Joice</t>
  </si>
  <si>
    <t>26/05/2026 (Consumo) - Sabrina - R$ 16,98</t>
  </si>
  <si>
    <t>Notas_Images/d9a5710b.Foto.002135.jpg</t>
  </si>
  <si>
    <t>Alimentação Joice</t>
  </si>
  <si>
    <t>cd8f0fb6</t>
  </si>
  <si>
    <t>R$ 59,66</t>
  </si>
  <si>
    <t>COMPRA DE UVA, MANGA,ABACAXI E BANANA</t>
  </si>
  <si>
    <t>Notas_Images/cd8f0fb6.Foto.002203.jpg</t>
  </si>
  <si>
    <t>b944522f</t>
  </si>
  <si>
    <t>854ba96b</t>
  </si>
  <si>
    <t>26/05/2026 (Compra de Mercadorias) -  - R$ 59,66</t>
  </si>
  <si>
    <t>634d9d6c</t>
  </si>
  <si>
    <t>Gervasio (19/11/2024) - Compra de frutas</t>
  </si>
  <si>
    <t>R$ 15,98</t>
  </si>
  <si>
    <t>Notas_Images/634d9d6c.Foto.214918.jpg</t>
  </si>
  <si>
    <t>CONSUMO JENIFER</t>
  </si>
  <si>
    <t>d03ff1ee</t>
  </si>
  <si>
    <t>1bae08b0</t>
  </si>
  <si>
    <t>26/05/2026 (Consumo) - Jeniffer - R$ 15,98</t>
  </si>
  <si>
    <t>Komprao (20/11/2024) - Compra de refrigerante e pão</t>
  </si>
  <si>
    <t>Notas_Images/d03ff1ee.Foto.002106.jpg</t>
  </si>
  <si>
    <t>Compra de refrigerante e pão</t>
  </si>
  <si>
    <t>R$ 91,02</t>
  </si>
  <si>
    <t>CONSUMO SABRINA</t>
  </si>
  <si>
    <t>beac2f4e</t>
  </si>
  <si>
    <t>26/05/2026 (Consumo) - Sabrina - R$ 91,02</t>
  </si>
  <si>
    <t>Gervasio (20/11/2024) - Compra de frutas</t>
  </si>
  <si>
    <t>Notas_Images/beac2f4e.Foto.002243.jpg</t>
  </si>
  <si>
    <t>R$ 17,86</t>
  </si>
  <si>
    <t>Outros</t>
  </si>
  <si>
    <t>47ee75c9</t>
  </si>
  <si>
    <t>27/05/2026 (Consumo) - Renata - R$ 17,86</t>
  </si>
  <si>
    <t>Komprao (20/11/2024) - Compra de presunto e queijo lanche</t>
  </si>
  <si>
    <t>1150915</t>
  </si>
  <si>
    <t>Notas_Images/47ee75c9.Foto.002354.jpg</t>
  </si>
  <si>
    <t>R$ 0,01</t>
  </si>
  <si>
    <t>Compra de presunto e queijo lanche</t>
  </si>
  <si>
    <t>REFERENTE AO ID: 2198152 CONSUMO RENATA</t>
  </si>
  <si>
    <t>8256413e</t>
  </si>
  <si>
    <t>27/05/2026 (Consumo) - Renata - R$ 0,01</t>
  </si>
  <si>
    <t>759c1f10</t>
  </si>
  <si>
    <t>Novo lar (20/11/2024) - Compra de produtos de limpeza</t>
  </si>
  <si>
    <t>R$ 12,71</t>
  </si>
  <si>
    <t>Notas_Images/8256413e.Foto.002535.jpg</t>
  </si>
  <si>
    <t>Compra de produtos de limpeza</t>
  </si>
  <si>
    <t>27/05/2026 (Consumo) - Sabrina - R$ 12,71</t>
  </si>
  <si>
    <t>1f500f747</t>
  </si>
  <si>
    <t>R$ 17,00</t>
  </si>
  <si>
    <t>9b50e936</t>
  </si>
  <si>
    <t>6ca8ee9e</t>
  </si>
  <si>
    <t>Honorario</t>
  </si>
  <si>
    <t>d9429536</t>
  </si>
  <si>
    <t>Novo lar (20/11/2024) - Compra de luvas</t>
  </si>
  <si>
    <t>Notas_Images/6ca8ee9e.Foto.002612.jpg</t>
  </si>
  <si>
    <t>Compra de luvas</t>
  </si>
  <si>
    <t>f4bbed3b</t>
  </si>
  <si>
    <t>27/05/2026 (Consumo) - Sabrina - R$ 17,00</t>
  </si>
  <si>
    <t>90a78969</t>
  </si>
  <si>
    <t>Lojas rf papelaria (21/11/2024) - Compra de papeis de Natal para decoração das caixas</t>
  </si>
  <si>
    <t>alinedcdalmeida@gmail.com</t>
  </si>
  <si>
    <t>Notas_Images/f4bbed3b.Foto.192750.jpg</t>
  </si>
  <si>
    <t>Compra de papeis de Natal para decoração das caixas</t>
  </si>
  <si>
    <t>14db24b16</t>
  </si>
  <si>
    <t>R$ 43,35</t>
  </si>
  <si>
    <t>a5381ef2</t>
  </si>
  <si>
    <t>COMPRA DE FECHADURA DA PORTA DO BANHEIRO MASCULINO (DANIEL)</t>
  </si>
  <si>
    <t>75d8708c</t>
  </si>
  <si>
    <t>Aluguel</t>
  </si>
  <si>
    <t>b4de89a3</t>
  </si>
  <si>
    <t>e1063195</t>
  </si>
  <si>
    <t>Fruta ( morango) (22/11/2024) - 10kg a 25,00</t>
  </si>
  <si>
    <t>08ab43bd</t>
  </si>
  <si>
    <t>Notas_Images/75d8708c.Foto.173734.jpg</t>
  </si>
  <si>
    <t>10kg a 25,00</t>
  </si>
  <si>
    <t>27/05/2026 (Compra de Mercadorias) -  - R$ 43,35</t>
  </si>
  <si>
    <t>10e0b0af0</t>
  </si>
  <si>
    <t>Entrada</t>
  </si>
  <si>
    <t>b7f54d63</t>
  </si>
  <si>
    <t>R$ 10,57</t>
  </si>
  <si>
    <t>3f09d68d</t>
  </si>
  <si>
    <t>Fotos inauguração</t>
  </si>
  <si>
    <t>79023a95</t>
  </si>
  <si>
    <t>Komprao (22/11/2024) - Lanche</t>
  </si>
  <si>
    <t>Notas_Images/b7f54d63.Foto.161313.jpg</t>
  </si>
  <si>
    <t>consumo mari</t>
  </si>
  <si>
    <t>icm.jairo@gmail.com</t>
  </si>
  <si>
    <t>10719fa1d</t>
  </si>
  <si>
    <t>cb12ce46</t>
  </si>
  <si>
    <t>36b523cf</t>
  </si>
  <si>
    <t>14665a2f</t>
  </si>
  <si>
    <t>REEMBOLSAR COMPRA DE BEBIDAS..MANI COM DE BEBIDAS</t>
  </si>
  <si>
    <t>1ef31b26</t>
  </si>
  <si>
    <t>Mercado Nariantal Cruzeiro (23/11/2024) - Refrigerante e suco</t>
  </si>
  <si>
    <t>Notas_Images/cb12ce46.Foto.162021.jpg</t>
  </si>
  <si>
    <t>Refrigerante e suco</t>
  </si>
  <si>
    <t>e5e5d365</t>
  </si>
  <si>
    <t>392558a9</t>
  </si>
  <si>
    <t>43cdff76</t>
  </si>
  <si>
    <t>1bf63ce95</t>
  </si>
  <si>
    <t>28/05/2026 (Desconsiderado) - Mariselma - R$ 10,57</t>
  </si>
  <si>
    <t>15d71ab4</t>
  </si>
  <si>
    <t>Decorafest (25/11/2024) - Canudo e filme</t>
  </si>
  <si>
    <t>Notas_Images/392558a9.Foto.214528.jpg</t>
  </si>
  <si>
    <t>Canudo e filme</t>
  </si>
  <si>
    <t>Instalação de tomada para decoração e mata insetos</t>
  </si>
  <si>
    <t>R$ 19,00</t>
  </si>
  <si>
    <t>c7fc047a</t>
  </si>
  <si>
    <t>joicealmeida74135@gmail.com</t>
  </si>
  <si>
    <t>006176b9</t>
  </si>
  <si>
    <t>0d63e77a</t>
  </si>
  <si>
    <t>Amadelli (20/11/2024) - Royalt Nota 20732</t>
  </si>
  <si>
    <t>28/05/2026 (Consumo) - Renata - R$ 19,00</t>
  </si>
  <si>
    <t>Notas_Images/006176b9.Foto.235937.jpg</t>
  </si>
  <si>
    <t>Royalt Nota 20732</t>
  </si>
  <si>
    <t>1dc7acfa0</t>
  </si>
  <si>
    <t>R$ 10,82</t>
  </si>
  <si>
    <t>31bfedb3</t>
  </si>
  <si>
    <t>Frutas e lanche</t>
  </si>
  <si>
    <t>4fd86515</t>
  </si>
  <si>
    <t>Amadelli (20/11/2024) - Pedido gelado N 000001224</t>
  </si>
  <si>
    <t>Notas_Images/31bfedb3.Foto.001922.jpg</t>
  </si>
  <si>
    <t>Pedido gelado N 000001224</t>
  </si>
  <si>
    <t>Notas_Images/31bfedb3.Foto 1.001922.jpg</t>
  </si>
  <si>
    <t>Notas_Images/31bfedb3.Foto 2.001922.jpg</t>
  </si>
  <si>
    <t>28/05/2026 (Consumo) - Sabrina - R$ 10,82</t>
  </si>
  <si>
    <t>ff313ca4</t>
  </si>
  <si>
    <t>0c5eb8df</t>
  </si>
  <si>
    <t>Gervasio (25/11/2024) - Manga</t>
  </si>
  <si>
    <t>Notas_Images/ff313ca4.Foto.020254.jpg</t>
  </si>
  <si>
    <t>Manga</t>
  </si>
  <si>
    <t>128f0fd04</t>
  </si>
  <si>
    <t>Feltro Mafea e RN … compensei o valor em outra nota para Mafra</t>
  </si>
  <si>
    <t>34485af0</t>
  </si>
  <si>
    <t>1fdb04c9</t>
  </si>
  <si>
    <t>R$ 4,00</t>
  </si>
  <si>
    <t>4 IMPRESSOES DE CARTAZ DA LOJA</t>
  </si>
  <si>
    <t>Gervasio (26/11/2024) - Compra de uvas e bananas</t>
  </si>
  <si>
    <t>Notas_Images/1fdb04c9.Foto.175320.jpg</t>
  </si>
  <si>
    <t>d00192a5</t>
  </si>
  <si>
    <t>Compra de uvas e bananas</t>
  </si>
  <si>
    <t>1153c18e4</t>
  </si>
  <si>
    <t>28/05/2026 (Compra de Mercadorias) -  - R$ 4,00</t>
  </si>
  <si>
    <t>Taxa de alvará da vigilância q fomos dispensados</t>
  </si>
  <si>
    <t>a7fb0cd7</t>
  </si>
  <si>
    <t>ac7d4885</t>
  </si>
  <si>
    <t>CONSUMO MARI REFERENTE AO ID 2199486</t>
  </si>
  <si>
    <t>b3192cd6</t>
  </si>
  <si>
    <t>SuperPão (24/11/2024) - Lanche e frutas</t>
  </si>
  <si>
    <t>1159257</t>
  </si>
  <si>
    <t>Notas_Images/a7fb0cd7.Foto.204551.jpg</t>
  </si>
  <si>
    <t>28/05/2026 (Consumo) - Mariselma - R$ 10,57</t>
  </si>
  <si>
    <t>Lanche e frutas</t>
  </si>
  <si>
    <t>1ec2f64f3</t>
  </si>
  <si>
    <t>R$ 19,90</t>
  </si>
  <si>
    <t>consumo sabrina</t>
  </si>
  <si>
    <t>5623de38</t>
  </si>
  <si>
    <t>29/05/2026 (Consumo) - Sabrina - R$ 19,90</t>
  </si>
  <si>
    <t>88d23c2d</t>
  </si>
  <si>
    <t>Fruta</t>
  </si>
  <si>
    <t>Lojão Astral (26/11/2024) - Utens cozinha, organização e ferramentas</t>
  </si>
  <si>
    <t>Notas_Images/5623de38.Foto.204653.jpg</t>
  </si>
  <si>
    <t>1161077</t>
  </si>
  <si>
    <t>R$ 140,00</t>
  </si>
  <si>
    <t>Utens cozinha, organização e ferramentas</t>
  </si>
  <si>
    <t>5 KG de morango</t>
  </si>
  <si>
    <t>eeffbe45</t>
  </si>
  <si>
    <t>72c5661d</t>
  </si>
  <si>
    <t>29/05/2026 (Compra de Mercadorias) -  - R$ 140,00</t>
  </si>
  <si>
    <t>1c78394d1</t>
  </si>
  <si>
    <t>6f5c9bef</t>
  </si>
  <si>
    <t>R$ 87,22</t>
  </si>
  <si>
    <t>Restaurante (26/11/2024) - Alimentação Joice</t>
  </si>
  <si>
    <t>Notas_Images/72c5661d.Foto.204728.jpg</t>
  </si>
  <si>
    <t>COMPRA DE PÃO, QUEIJO, PRESUNTO PRA LANCHE FIM DE SEMANA, ABACAXI, UVA E BANANA.</t>
  </si>
  <si>
    <t>Decoração</t>
  </si>
  <si>
    <t>3ea982ac</t>
  </si>
  <si>
    <t>29/05/2026 (Compra de Mercadorias) -  - R$ 87,22</t>
  </si>
  <si>
    <t>e75e9233</t>
  </si>
  <si>
    <t>R$ 56,00</t>
  </si>
  <si>
    <t>Amadelli (27/11/2024) - secos</t>
  </si>
  <si>
    <t>COMPRA DE 4 CARTAZES: LIGTH,PETIT GATEAU,CASQUINHA,BITES + ADESIVOS LIGTH ADESIVOS COPA + ADESIVOS HORÁRIO. RIO NEGRINHO.</t>
  </si>
  <si>
    <t>Notas_Images/e75e9233.Foto.134135.jpg</t>
  </si>
  <si>
    <t>1cb8bebe2</t>
  </si>
  <si>
    <t>secos</t>
  </si>
  <si>
    <t>4990206f</t>
  </si>
  <si>
    <t>Notas_Images/e75e9233.Foto 1.134135.jpg</t>
  </si>
  <si>
    <t>29/05/2026 (Compra de Mercadorias) -  - R$ 56,00</t>
  </si>
  <si>
    <t>Decoração e utensílios</t>
  </si>
  <si>
    <t>Notas_Images/e75e9233.Foto 2.134135.jpg</t>
  </si>
  <si>
    <t>R$ 32,00</t>
  </si>
  <si>
    <t>a92ce5a9</t>
  </si>
  <si>
    <t>COMPRA DE 2 CARTAZES CASQUINHA E LIGTH +ADESIVOS LIGTH+ ADESIVOS COPA P/ LOJA DE SÃO BENTO DO SUL.</t>
  </si>
  <si>
    <t>dc6dbcb5</t>
  </si>
  <si>
    <t>Fruta ( morango) (29/11/2024) - Morang</t>
  </si>
  <si>
    <t>Notas_Images/a92ce5a9.Foto.012113.jpg</t>
  </si>
  <si>
    <t>1151075</t>
  </si>
  <si>
    <t>29/05/2026 (Compra de Mercadorias) -  - R$ 32,00</t>
  </si>
  <si>
    <t>Morang</t>
  </si>
  <si>
    <t>143d4b397</t>
  </si>
  <si>
    <t>Bebidas semana passada</t>
  </si>
  <si>
    <t>COMPRA DE 2 ARTAZES LIGTH E CASQUINHA+ ADESIVOS LIHTH + ADESIVOS COPA. P/ LOJA DE MAFRA.</t>
  </si>
  <si>
    <t>6e3036b1</t>
  </si>
  <si>
    <t>513666c8</t>
  </si>
  <si>
    <t>Fruta ( morango) (30/11/2024) - Morango</t>
  </si>
  <si>
    <t>Notas_Images/6e3036b1.Foto.012235.jpg</t>
  </si>
  <si>
    <t>R$ 47,77</t>
  </si>
  <si>
    <t>1c30a9947</t>
  </si>
  <si>
    <t>Morango</t>
  </si>
  <si>
    <t>Reembolso compra 2 papais noeis</t>
  </si>
  <si>
    <t>d22b9f3b</t>
  </si>
  <si>
    <t>29/05/2026 (Consumo) - Sabrina - R$ 47,77</t>
  </si>
  <si>
    <t>d725d6e6</t>
  </si>
  <si>
    <t>1161070</t>
  </si>
  <si>
    <t>Pagmenos (02/12/2024) - Caixa de suco tang</t>
  </si>
  <si>
    <t>Notas_Images/d22b9f3b.Foto.193906.jpg</t>
  </si>
  <si>
    <t>R$ 50,00</t>
  </si>
  <si>
    <t>Caixa de suco tang</t>
  </si>
  <si>
    <t>gasolina para o Daniel referente a reparo na loja</t>
  </si>
  <si>
    <t>15ca4241b</t>
  </si>
  <si>
    <t>2df7dd77</t>
  </si>
  <si>
    <t>Reembolso adiantamento Bruno</t>
  </si>
  <si>
    <t>30/05/2026 (Compra de Mercadorias) -  - R$ 50,00</t>
  </si>
  <si>
    <t>d5b0f7f5</t>
  </si>
  <si>
    <t>R$ 15,25</t>
  </si>
  <si>
    <t>Nicopel (21/11/2024) - Embalagem panetone 052919</t>
  </si>
  <si>
    <t>compra de sifâo engate</t>
  </si>
  <si>
    <t>Notas_Images/80950878.Foto.194112.jpg</t>
  </si>
  <si>
    <t>Embalagem panetone 052919</t>
  </si>
  <si>
    <t>133bc6094</t>
  </si>
  <si>
    <t>ffcfa349</t>
  </si>
  <si>
    <t>35e5b6a2</t>
  </si>
  <si>
    <t>30/05/2026 (Compra de Mercadorias) -  - R$ 15,25</t>
  </si>
  <si>
    <t>Reembolso adiantamento Estefani</t>
  </si>
  <si>
    <t>1161096</t>
  </si>
  <si>
    <t>R$ 127,50</t>
  </si>
  <si>
    <t>Amadelli (18/12/2024) - 0497</t>
  </si>
  <si>
    <t>PAGAMENTO DA FREELANCER CARLA DAS 13:00 ATÉ AS 21:30 .</t>
  </si>
  <si>
    <t>Notas_Images/35e5b6a2.Foto.195406.jpg</t>
  </si>
  <si>
    <t>1994aa8b</t>
  </si>
  <si>
    <t>31/05/2026 (Freelancer) -  - R$ 127,50</t>
  </si>
  <si>
    <t>1f07f956c</t>
  </si>
  <si>
    <t>a2c03299</t>
  </si>
  <si>
    <t>R$ 24,00</t>
  </si>
  <si>
    <t>PAGAMENTO DO MOTOBOY JOÃO REFERENTE A DUAS ENTREGAS NO DIA 30/05.</t>
  </si>
  <si>
    <t>1161104</t>
  </si>
  <si>
    <t>aae2062c</t>
  </si>
  <si>
    <t>Reembolso acerto recisão Estefani</t>
  </si>
  <si>
    <t>7e61d5c9</t>
  </si>
  <si>
    <t>bf7ef01f</t>
  </si>
  <si>
    <t>Gervasio (29/11/2024) - Frutas</t>
  </si>
  <si>
    <t>31/05/2026 (Motoboy) -  - R$ 24,00</t>
  </si>
  <si>
    <t>Notas_Images/a2c03299.Foto.200119.jpg</t>
  </si>
  <si>
    <t>Frutas</t>
  </si>
  <si>
    <t>R$ 192,00</t>
  </si>
  <si>
    <t>PAGAMENTO DO MOTOBOY RONALDO REFERENTE AO DIA 25/05 ATÉ O DIA 30/05.</t>
  </si>
  <si>
    <t>096f762c</t>
  </si>
  <si>
    <t>17d3da598</t>
  </si>
  <si>
    <t>Adesivos jateados, banheiro e porta</t>
  </si>
  <si>
    <t>7cb82992</t>
  </si>
  <si>
    <t>1162374</t>
  </si>
  <si>
    <t>01/06/2026 (Motoboy) -  - R$ 192,00</t>
  </si>
  <si>
    <t>1960e55f0</t>
  </si>
  <si>
    <t>R$ 1.300,00</t>
  </si>
  <si>
    <t>Instalação de câmeras e alarme</t>
  </si>
  <si>
    <t>1468cf64</t>
  </si>
  <si>
    <t>1163483</t>
  </si>
  <si>
    <t>SANGRIA Renata</t>
  </si>
  <si>
    <t>176e106b</t>
  </si>
  <si>
    <t>a36cb9b2</t>
  </si>
  <si>
    <t>Gervasio (30/11/2024) - Frutas</t>
  </si>
  <si>
    <t>01/06/2026 (Sangria) - Renata - R$ 1.300,00</t>
  </si>
  <si>
    <t>Notas_Images/1468cf64.Foto.200245.jpg</t>
  </si>
  <si>
    <t>151ce92b4</t>
  </si>
  <si>
    <t>1164346</t>
  </si>
  <si>
    <t>R$ 39,00</t>
  </si>
  <si>
    <t>pagamento de freelancer Summer das 18:30 até as 21:30</t>
  </si>
  <si>
    <t>2f38d0de</t>
  </si>
  <si>
    <t>Troco para abertura de caixa</t>
  </si>
  <si>
    <t>6a590a43</t>
  </si>
  <si>
    <t>25a39e06</t>
  </si>
  <si>
    <t>01/06/2026 (Freelancer) -  - R$ 39,00</t>
  </si>
  <si>
    <t>75956c78</t>
  </si>
  <si>
    <t>1164773</t>
  </si>
  <si>
    <t>Industrial norte  frutas e verduras (30/11/2024) - Frutas</t>
  </si>
  <si>
    <t>Notas_Images/25a39e06.Foto.200444.jpg</t>
  </si>
  <si>
    <t>14b5b7769</t>
  </si>
  <si>
    <t>R$ 58,65</t>
  </si>
  <si>
    <t>ea84fc9b</t>
  </si>
  <si>
    <t>compra de uva abacaxi manga e banana</t>
  </si>
  <si>
    <t>4 cxs</t>
  </si>
  <si>
    <t>b4750bfd</t>
  </si>
  <si>
    <t>c65a390d</t>
  </si>
  <si>
    <t>02/06/2026 (Compra de Mercadorias) -  - R$ 58,65</t>
  </si>
  <si>
    <t>Gervasio (02/12/2024) - Frutas</t>
  </si>
  <si>
    <t>R$ 12,45</t>
  </si>
  <si>
    <t>Notas_Images/b4750bfd.Foto.200615.jpg</t>
  </si>
  <si>
    <t>Consumo Jeniffer</t>
  </si>
  <si>
    <t>4d5fa630</t>
  </si>
  <si>
    <t>172a55b22</t>
  </si>
  <si>
    <t>Novo lar (29/11/2024) - Produtos de limpeza7</t>
  </si>
  <si>
    <t>Notas_Images/4d5fa630.Foto.201145.jpg</t>
  </si>
  <si>
    <t>Produtos de limpeza7</t>
  </si>
  <si>
    <t>6 cxs</t>
  </si>
  <si>
    <t>02/06/2026 (Consumo) - Jeniffer - R$ 12,45</t>
  </si>
  <si>
    <t>c828c76f</t>
  </si>
  <si>
    <t>1170489</t>
  </si>
  <si>
    <t>178c1e6b3</t>
  </si>
  <si>
    <t>Komprao (02/12/2024) - Detergente</t>
  </si>
  <si>
    <t>Pagamento freelancer Summer das 18:30 ate as 21:30</t>
  </si>
  <si>
    <t>Notas_Images/c828c76f.Foto.201334.jpg</t>
  </si>
  <si>
    <t>Detergente</t>
  </si>
  <si>
    <t>Total R$975 / 3 lojas</t>
  </si>
  <si>
    <t>02/06/2026 (Freelancer) -  - R$ 39,00</t>
  </si>
  <si>
    <t>1170837</t>
  </si>
  <si>
    <t>8f7f2af8</t>
  </si>
  <si>
    <t>1a98cb30</t>
  </si>
  <si>
    <t>compra de 5kg de morango</t>
  </si>
  <si>
    <t>425a42b2</t>
  </si>
  <si>
    <t>1621b85b1</t>
  </si>
  <si>
    <t>Aluani papelaria (04/12/2024) - Adesivos, voucher</t>
  </si>
  <si>
    <t>369feb29</t>
  </si>
  <si>
    <t>Notas_Images/1a98cb30.Foto.224415.jpg</t>
  </si>
  <si>
    <t>Adesivos, voucher</t>
  </si>
  <si>
    <t>67b13d19</t>
  </si>
  <si>
    <t>03/06/2026 (Compra de Mercadorias) -  - R$ 140,00</t>
  </si>
  <si>
    <t>Trazido pela Val</t>
  </si>
  <si>
    <t>59a5d96b</t>
  </si>
  <si>
    <t>d3ac7ce3</t>
  </si>
  <si>
    <t>Komprao (07/12/2024) - Refrigerante</t>
  </si>
  <si>
    <t>13dbc424c</t>
  </si>
  <si>
    <t>03/06/2026 (Freelancer) -  - R$ 39,00</t>
  </si>
  <si>
    <t>Notas_Images/d3ac7ce3.Foto.224738.jpg</t>
  </si>
  <si>
    <t>Refrigerante</t>
  </si>
  <si>
    <t>Trocas</t>
  </si>
  <si>
    <t>R$ 700,00</t>
  </si>
  <si>
    <t>b845765a</t>
  </si>
  <si>
    <t>sangria Renata</t>
  </si>
  <si>
    <t>ea8d3663</t>
  </si>
  <si>
    <t>Posto M7 (07/12/2024) - Pão</t>
  </si>
  <si>
    <t>14746f927</t>
  </si>
  <si>
    <t xml:space="preserve"> (Desconsiderado) -  - </t>
  </si>
  <si>
    <t>Notas_Images/b845765a.Foto.224925.jpg</t>
  </si>
  <si>
    <t>Pão</t>
  </si>
  <si>
    <t>Acerto</t>
  </si>
  <si>
    <t>b1151d85</t>
  </si>
  <si>
    <t>R$ 84,00</t>
  </si>
  <si>
    <t>55392cbe</t>
  </si>
  <si>
    <t>compra de 3kg de morangos</t>
  </si>
  <si>
    <t>11765888</t>
  </si>
  <si>
    <t>d302406b</t>
  </si>
  <si>
    <t>f2c616a0</t>
  </si>
  <si>
    <t>Conecta celular (08/12/2024) - Película pra o celular</t>
  </si>
  <si>
    <t>Notas_Images/55392cbe.Foto.225312.jpg</t>
  </si>
  <si>
    <t>6c63ec68</t>
  </si>
  <si>
    <t>05/06/2026 (Compra de Mercadorias) -  - R$ 84,00</t>
  </si>
  <si>
    <t>Película pra o celular</t>
  </si>
  <si>
    <t>13b84948f</t>
  </si>
  <si>
    <t>R$ 70,60</t>
  </si>
  <si>
    <t>892c3d8f</t>
  </si>
  <si>
    <t>Material de finalização da obra</t>
  </si>
  <si>
    <t>8e5a8e35</t>
  </si>
  <si>
    <t>compra de manga uva e banana</t>
  </si>
  <si>
    <t>1178489</t>
  </si>
  <si>
    <t>e75dcc8d</t>
  </si>
  <si>
    <t>ebabb39d</t>
  </si>
  <si>
    <t>Gervasio (06/12/2024) - Frutas</t>
  </si>
  <si>
    <t>Notas_Images/8e5a8e35.Foto.225504.jpg</t>
  </si>
  <si>
    <t>05/06/2026 (Compra de Mercadorias) -  - R$ 70,60</t>
  </si>
  <si>
    <t>R$ 40,88</t>
  </si>
  <si>
    <t>1e5b5b3fb</t>
  </si>
  <si>
    <t>1183385</t>
  </si>
  <si>
    <t>32d64a3e</t>
  </si>
  <si>
    <t>bb2e1dec</t>
  </si>
  <si>
    <t>Reembolsar Joice</t>
  </si>
  <si>
    <t>9aa07662</t>
  </si>
  <si>
    <t>05/06/2026 (Consumo) - Renata - R$ 40,88</t>
  </si>
  <si>
    <t>68893939</t>
  </si>
  <si>
    <t>35fa398c</t>
  </si>
  <si>
    <t>Céus utilidades (sapo) (05/12/2024) - Rodo.fitas.</t>
  </si>
  <si>
    <t>Notas_Images/32d64a3e.Foto.230541.jpg</t>
  </si>
  <si>
    <t>Rodo.fitas.</t>
  </si>
  <si>
    <t>R$ 32,50</t>
  </si>
  <si>
    <t>Pagamento de freelancer Summer das 18:30 ate as 21:00</t>
  </si>
  <si>
    <t>1a9b4c4db</t>
  </si>
  <si>
    <t>05f7f81c</t>
  </si>
  <si>
    <t>d6f16a2a</t>
  </si>
  <si>
    <t>6ddc4671</t>
  </si>
  <si>
    <t>05/06/2026 (Freelancer) -  - R$ 32,50</t>
  </si>
  <si>
    <t>0497</t>
  </si>
  <si>
    <t>Suco prats (04/12/2024) - Sucos prats</t>
  </si>
  <si>
    <t>Notas_Images/05f7f81c.Foto.230557.jpg</t>
  </si>
  <si>
    <t>Sucos prats</t>
  </si>
  <si>
    <t>R$ 57,13</t>
  </si>
  <si>
    <t>COMPRA DE PÃO, QUEIJO, PRESUNTO PRA LANCHE FINAL DE SEMANA E LEITE.</t>
  </si>
  <si>
    <t>1c4b75f14</t>
  </si>
  <si>
    <t>ada5b863</t>
  </si>
  <si>
    <t>304d0cfe</t>
  </si>
  <si>
    <t>1176571</t>
  </si>
  <si>
    <t>Reembolsar Joice, pagamento free Bruno</t>
  </si>
  <si>
    <t>7db59fdf</t>
  </si>
  <si>
    <t>MANI COMERCIO DE BEBIDAS (05/12/2024) - Bebidas</t>
  </si>
  <si>
    <t>06/06/2026 (Compra de Mercadorias) -  - R$ 57,13</t>
  </si>
  <si>
    <t>Notas_Images/304d0cfe.Foto.231513.jpg</t>
  </si>
  <si>
    <t>Bebidas</t>
  </si>
  <si>
    <t>R$ 65,00</t>
  </si>
  <si>
    <t>PAGAMENTO DA FREELANCER SUMMER DAS 15:00 ATÉ AS 20:00.</t>
  </si>
  <si>
    <t>4556a064</t>
  </si>
  <si>
    <t>1a4962111</t>
  </si>
  <si>
    <t>1177425</t>
  </si>
  <si>
    <t>f369aa66</t>
  </si>
  <si>
    <t>Reembolsar Loja Mafra</t>
  </si>
  <si>
    <t>06/06/2026 (Freelancer) -  - R$ 65,00</t>
  </si>
  <si>
    <t>The Best Açaí (07/12/2024) - Referente Royal  N 23898</t>
  </si>
  <si>
    <t>Notas_Images/4556a064.Foto.165834.jpg</t>
  </si>
  <si>
    <t>Referente Royal  N 23898</t>
  </si>
  <si>
    <t>R$ 95,00</t>
  </si>
  <si>
    <t>5943267e</t>
  </si>
  <si>
    <t>Pagamento freelancer Sabrina das 13:10 ate as 19:30</t>
  </si>
  <si>
    <t>1178473</t>
  </si>
  <si>
    <t>40eeecf2</t>
  </si>
  <si>
    <t>The Best Açaí (06/12/2024) - Royally N 23727</t>
  </si>
  <si>
    <t>3860c982</t>
  </si>
  <si>
    <t>Notas_Images/5943267e.Foto.171031.jpg</t>
  </si>
  <si>
    <t>18cd3a368</t>
  </si>
  <si>
    <t>07/06/2026 (Freelancer) -  - R$ 95,00</t>
  </si>
  <si>
    <t>Royally N 23727</t>
  </si>
  <si>
    <t>Adiantamento Bruno… reembolsar Joice</t>
  </si>
  <si>
    <t>1182295</t>
  </si>
  <si>
    <t>R$ 104,00</t>
  </si>
  <si>
    <t>04b6b65d</t>
  </si>
  <si>
    <t>Pagamento freelancer Summer das 13:00 até as 21:00</t>
  </si>
  <si>
    <t>Amadelli (06/12/2024) - Amadelli N 000002328</t>
  </si>
  <si>
    <t>Notas_Images/04b6b65d.Foto.172244.jpg</t>
  </si>
  <si>
    <t>Amadelli N 000002328</t>
  </si>
  <si>
    <t>1176581</t>
  </si>
  <si>
    <t>07/06/2026 (Freelancer) -  - R$ 104,00</t>
  </si>
  <si>
    <t>71ecf707</t>
  </si>
  <si>
    <t>11116edb5</t>
  </si>
  <si>
    <t>a862d4f2</t>
  </si>
  <si>
    <t>R$ 516,00</t>
  </si>
  <si>
    <t>Pagamento motoboy João do dia 31/05 ate dia 07/06</t>
  </si>
  <si>
    <t>Reembolsar loja Magra</t>
  </si>
  <si>
    <t>1184022</t>
  </si>
  <si>
    <t>Amadelli (07/12/2024) - Amadelli N 000002663</t>
  </si>
  <si>
    <t>Notas_Images/a862d4f2.Foto.173208.jpg</t>
  </si>
  <si>
    <t>Amadelli N 000002663</t>
  </si>
  <si>
    <t>07/06/2026 (Motoboy) -  - R$ 516,00</t>
  </si>
  <si>
    <t>Notas_Images/a862d4f2.Foto 1.173208.jpg</t>
  </si>
  <si>
    <t>R$ 224,00</t>
  </si>
  <si>
    <t>5fca298d</t>
  </si>
  <si>
    <t>1185286</t>
  </si>
  <si>
    <t>compra de 8 kg de morangos</t>
  </si>
  <si>
    <t>167322bb4</t>
  </si>
  <si>
    <t>Komprao (30/11/2024) - Lanche débito</t>
  </si>
  <si>
    <t>11fd3779</t>
  </si>
  <si>
    <t>08/06/2026 (Compra de Mercadorias) -  - R$ 224,00</t>
  </si>
  <si>
    <t>Notas_Images/5fca298d.Foto.123013.jpg</t>
  </si>
  <si>
    <t>2 Ar Condicionados</t>
  </si>
  <si>
    <t>Lanche débito</t>
  </si>
  <si>
    <t>413ed8db</t>
  </si>
  <si>
    <t>R$ 75,57</t>
  </si>
  <si>
    <t>1190245</t>
  </si>
  <si>
    <t>3280909d</t>
  </si>
  <si>
    <t>1098ae8d</t>
  </si>
  <si>
    <t>Komprao (30/11/2024) - Sacola mercado</t>
  </si>
  <si>
    <t>Notas_Images/3280909d.Foto.123056.jpg</t>
  </si>
  <si>
    <t>Sacola mercado</t>
  </si>
  <si>
    <t>a448eaab</t>
  </si>
  <si>
    <t>f4c64dc0</t>
  </si>
  <si>
    <t>Sapo Ceuss (29/11/2024) - Ventilador buffet</t>
  </si>
  <si>
    <t>Notas_Images/a448eaab.Foto.123259.jpg</t>
  </si>
  <si>
    <t>Ventilador buffet</t>
  </si>
  <si>
    <t>c6fd45ca</t>
  </si>
  <si>
    <t>17a202f4e</t>
  </si>
  <si>
    <t>SuperPão (30/11/2024) - Mercadoria</t>
  </si>
  <si>
    <t>Notas_Images/c6fd45ca.Foto.163022.jpg</t>
  </si>
  <si>
    <t>Mercadoria</t>
  </si>
  <si>
    <t>67ad14f5</t>
  </si>
  <si>
    <t>Persianas</t>
  </si>
  <si>
    <t>e9c152a9</t>
  </si>
  <si>
    <t>08/06/2026 (Compra de Mercadorias) -  - R$ 75,57</t>
  </si>
  <si>
    <t>5be51b45</t>
  </si>
  <si>
    <t>d72767e6</t>
  </si>
  <si>
    <t>Posto ipiranga (27/11/2024) - Diesel</t>
  </si>
  <si>
    <t>Notas_Images/e9c152a9.Foto.163040.jpg</t>
  </si>
  <si>
    <t>Diesel</t>
  </si>
  <si>
    <t>1190248</t>
  </si>
  <si>
    <t>1fa82206a</t>
  </si>
  <si>
    <t>194ab782</t>
  </si>
  <si>
    <t>1657f522</t>
  </si>
  <si>
    <t>Planalto (11/12/2024) - Utensílios</t>
  </si>
  <si>
    <t>Combustível</t>
  </si>
  <si>
    <t>Notas_Images/194ab782.Foto.163822.png</t>
  </si>
  <si>
    <t>d57227f3</t>
  </si>
  <si>
    <t>Utensílios</t>
  </si>
  <si>
    <t>R$ 900,00</t>
  </si>
  <si>
    <t>1188453</t>
  </si>
  <si>
    <t>sangria RENATA</t>
  </si>
  <si>
    <t>c89e1046</t>
  </si>
  <si>
    <t>1d65dabf1</t>
  </si>
  <si>
    <t>Reembolsar Joice / adiantamento Eduarda</t>
  </si>
  <si>
    <t>ca16520b</t>
  </si>
  <si>
    <t>Celesc (16/10/2024) - Energia</t>
  </si>
  <si>
    <t>Notas_Images/c89e1046.Foto.000900.jpg</t>
  </si>
  <si>
    <t>1188500</t>
  </si>
  <si>
    <t>Energia</t>
  </si>
  <si>
    <t>08/06/2026 (Sangria) - Renata - R$ 900,00</t>
  </si>
  <si>
    <t>1d74cd554</t>
  </si>
  <si>
    <t>Almoço Joice</t>
  </si>
  <si>
    <t>b6c8c5de</t>
  </si>
  <si>
    <t>3e2da999</t>
  </si>
  <si>
    <t>R$ 17,99</t>
  </si>
  <si>
    <t>Celesc (04/11/2024) - Energia</t>
  </si>
  <si>
    <t>Notas_Images/b6c8c5de.Foto.001136.jpg</t>
  </si>
  <si>
    <t>1cfa441b4k</t>
  </si>
  <si>
    <t>1188786</t>
  </si>
  <si>
    <t>5d4c50b9</t>
  </si>
  <si>
    <t>08/06/2026 (Consumo) - Renata - R$ 17,99</t>
  </si>
  <si>
    <t>Anuncio de radio</t>
  </si>
  <si>
    <t>6684252f</t>
  </si>
  <si>
    <t>9d6ddd89</t>
  </si>
  <si>
    <t>Nicopel (05/12/2024) - Embalagem 53764</t>
  </si>
  <si>
    <t>R$ 78,00</t>
  </si>
  <si>
    <t>Notas_Images/6684252f.Foto.134638.jpg</t>
  </si>
  <si>
    <t>Embalagem 53764</t>
  </si>
  <si>
    <t>Pagamento freelancer Summer das 15:00 até as 21:00</t>
  </si>
  <si>
    <t>1185282</t>
  </si>
  <si>
    <t>73f9a4ff</t>
  </si>
  <si>
    <t>08/06/2026 (Freelancer) -  - R$ 78,00</t>
  </si>
  <si>
    <t>Novo lar (10/12/2024) - Luvas</t>
  </si>
  <si>
    <t>Notas_Images/73f9a4ff.Foto.210224.jpg</t>
  </si>
  <si>
    <t>Luvas</t>
  </si>
  <si>
    <t>18601eb7f</t>
  </si>
  <si>
    <t>118607</t>
  </si>
  <si>
    <t>Pela internet</t>
  </si>
  <si>
    <t>e2962903</t>
  </si>
  <si>
    <t>09/06/2026 (Consumo) - Renata - R$ 17,86</t>
  </si>
  <si>
    <t>773209d7</t>
  </si>
  <si>
    <t>R$ 90,00</t>
  </si>
  <si>
    <t>6f745ad6</t>
  </si>
  <si>
    <t>PAGAMENTO FREELANCER SUMMER DAS 15H AS 21H</t>
  </si>
  <si>
    <t>16a895630</t>
  </si>
  <si>
    <t>Empório do pão (15/12/2024) - Compra de pão 🍞  lanche</t>
  </si>
  <si>
    <t>Notas_Images/773209d7.Foto.212311.jpg</t>
  </si>
  <si>
    <t>Compra de pão 🍞  lanche</t>
  </si>
  <si>
    <t>7 cxs pote 500</t>
  </si>
  <si>
    <t>09/06/2026 (Freelancer) -  - R$ 90,00</t>
  </si>
  <si>
    <t>b2191553</t>
  </si>
  <si>
    <t>53f314f5</t>
  </si>
  <si>
    <t>1c5cb0b24</t>
  </si>
  <si>
    <t>Pagamento de freelancer Summer das 15:00 até as 21:00</t>
  </si>
  <si>
    <t>Supermercado pag menos (14/12/2024) - Compra de lanche</t>
  </si>
  <si>
    <t>Notas_Images/b2191553.Foto.212729.jpg</t>
  </si>
  <si>
    <t>Salario Adm Daniel Joice</t>
  </si>
  <si>
    <t>Compra de lanche</t>
  </si>
  <si>
    <t>10/06/2026 (Freelancer) -  - R$ 90,00</t>
  </si>
  <si>
    <t>633aed09</t>
  </si>
  <si>
    <t>8b7320ad</t>
  </si>
  <si>
    <t>1d7855d6c</t>
  </si>
  <si>
    <t>1/2 salario Adm Jairo</t>
  </si>
  <si>
    <t>11/06/2026 (Freelancer) -  - R$ 90,00</t>
  </si>
  <si>
    <t>Novo lar (13/12/2024) - Copos e saco de lixo para o banheiro</t>
  </si>
  <si>
    <t>R$ 149,50</t>
  </si>
  <si>
    <t>compra de uva para a o final de semana e semana seguinte</t>
  </si>
  <si>
    <t>Notas_Images/633aed09.Foto.213132.jpg</t>
  </si>
  <si>
    <t>Copos e saco de lixo para o banheiro</t>
  </si>
  <si>
    <t>1c2a93f74</t>
  </si>
  <si>
    <t>aa419762</t>
  </si>
  <si>
    <t>12/06/2026 (Compra de Mercadorias) -  - R$ 149,50</t>
  </si>
  <si>
    <t>6be1d9b6</t>
  </si>
  <si>
    <t>R$ 252,00</t>
  </si>
  <si>
    <t>compra de 9 kg de morango</t>
  </si>
  <si>
    <t>Gervasio (18/12/2024) - Manga, abacaxi e uva</t>
  </si>
  <si>
    <t>Notas_Images/6be1d9b6.Foto.214331.jpg</t>
  </si>
  <si>
    <t>Manga, abacaxi e uva</t>
  </si>
  <si>
    <t>3a68db1c</t>
  </si>
  <si>
    <t>b568bd90</t>
  </si>
  <si>
    <t>1c3426e4e</t>
  </si>
  <si>
    <t>12/06/2026 (Compra de Mercadorias) -  - R$ 252,00</t>
  </si>
  <si>
    <t>654fc27a</t>
  </si>
  <si>
    <t>eac9210a</t>
  </si>
  <si>
    <t>Tablet para implementar NPS</t>
  </si>
  <si>
    <t>Simão Perovano Ltda (18/12/2024) - Aguardo de coco, suco prats</t>
  </si>
  <si>
    <t>a76f6b95</t>
  </si>
  <si>
    <t>Notas_Images/654fc27a.Foto.224623.jpg</t>
  </si>
  <si>
    <t>Aguardo de coco, suco prats</t>
  </si>
  <si>
    <t>12/06/2026 (Freelancer) -  - R$ 90,00</t>
  </si>
  <si>
    <t>R$ 11,00</t>
  </si>
  <si>
    <t>1edf1aef4</t>
  </si>
  <si>
    <t>compra de paes para sabado e domingo</t>
  </si>
  <si>
    <t>Adiantamento ( reembolsar Joice)</t>
  </si>
  <si>
    <t>70d7a351</t>
  </si>
  <si>
    <t>13/06/2026 (Compra de Mercadorias) -  - R$ 11,00</t>
  </si>
  <si>
    <t>R$ 75,00</t>
  </si>
  <si>
    <t>pagamento freelancer sabrina das 13h as 18h</t>
  </si>
  <si>
    <t>190785f30</t>
  </si>
  <si>
    <t>13/06/2026 (Freelancer) -  - R$ 75,00</t>
  </si>
  <si>
    <t>Adiantamento Eduarda (reembolsar Joice)</t>
  </si>
  <si>
    <t>b6170e7f</t>
  </si>
  <si>
    <t>R$ 120,00</t>
  </si>
  <si>
    <t>pagamento freelancer summer das 13h as 21h</t>
  </si>
  <si>
    <t>Novo lar (19/12/2024) - Desinfetante, papel higiênico, saco para lixo</t>
  </si>
  <si>
    <t>Notas_Images/b6170e7f.Foto.224838.jpg</t>
  </si>
  <si>
    <t>13/06/2026 (Freelancer) -  - R$ 120,00</t>
  </si>
  <si>
    <t>Desinfetante, papel higiênico, saco para lixo</t>
  </si>
  <si>
    <t>R$ 29,94</t>
  </si>
  <si>
    <t>146bf5dc4</t>
  </si>
  <si>
    <t>6cd479f6</t>
  </si>
  <si>
    <t>Reembolsar Mafra (cesta Mari)</t>
  </si>
  <si>
    <t>13/06/2026 (Consumo) - Jeniffer - R$ 29,94</t>
  </si>
  <si>
    <t>2073c4ab</t>
  </si>
  <si>
    <t>9fa36630</t>
  </si>
  <si>
    <t>1198015</t>
  </si>
  <si>
    <t>R$ 13,84</t>
  </si>
  <si>
    <t>Chaveiro Ritzman (19/12/2024) - Carimbo</t>
  </si>
  <si>
    <t>Notas_Images/6cd479f6.Foto.225032.jpg</t>
  </si>
  <si>
    <t>Carimbo</t>
  </si>
  <si>
    <t>14/06/2026 (Consumo) - Mariselma - R$ 13,84</t>
  </si>
  <si>
    <t>179c25c01</t>
  </si>
  <si>
    <t>R$ 5,03</t>
  </si>
  <si>
    <t>9ce0bb3a</t>
  </si>
  <si>
    <t>Taxa de dispensa ambiental</t>
  </si>
  <si>
    <t>1c5f5bf3</t>
  </si>
  <si>
    <t>Gervasio (16/12/2024) - Uva e Banana</t>
  </si>
  <si>
    <t>14/06/2026 (Consumo) - Mariselma - R$ 5,03</t>
  </si>
  <si>
    <t>Notas_Images/9ce0bb3a.Foto.225207.jpg</t>
  </si>
  <si>
    <t>Uva e Banana</t>
  </si>
  <si>
    <t>R$ 390,00</t>
  </si>
  <si>
    <t>Pagamento de entregas de delivery Motoboy Joao do dia 08/06 a 14/06</t>
  </si>
  <si>
    <t>1d1852074</t>
  </si>
  <si>
    <t>1cf96d76</t>
  </si>
  <si>
    <t>14/06/2026 (Motoboy) -  - R$ 390,00</t>
  </si>
  <si>
    <t>nova</t>
  </si>
  <si>
    <t>02b1780a</t>
  </si>
  <si>
    <t>Novo lar (19/12/2024) - Saco para lixo, papel higiênico, desinfetante</t>
  </si>
  <si>
    <t>R$ 1.000,00</t>
  </si>
  <si>
    <t>Notas_Images/1cf96d76.Foto.230457.jpg</t>
  </si>
  <si>
    <t>sangria sabrina</t>
  </si>
  <si>
    <t>Saco para lixo, papel higiênico, desinfetante</t>
  </si>
  <si>
    <t>1df337cec</t>
  </si>
  <si>
    <t>14/06/2026 (Sangria) - Sabrina - R$ 1.000,00</t>
  </si>
  <si>
    <t>Rescisão período sem registro</t>
  </si>
  <si>
    <t>15/06/2026 (Freelancer) -  - R$ 90,00</t>
  </si>
  <si>
    <t>Pagamento freelancer Yohana das 18:00 até as 21:00</t>
  </si>
  <si>
    <t>15/06/2026 (Freelancer) -  - R$ 39,00</t>
  </si>
  <si>
    <t>cfb03095</t>
  </si>
  <si>
    <t>1f8dac23a</t>
  </si>
  <si>
    <t>Acerto período sem registro</t>
  </si>
  <si>
    <t>16/06/2026 (Freelancer) -  - R$ 39,00</t>
  </si>
  <si>
    <t>Aluani papelaria (19/12/2024) - Impressões</t>
  </si>
  <si>
    <t>1bcd37518</t>
  </si>
  <si>
    <t>Notas_Images/cfb03095.Foto.230615.jpg</t>
  </si>
  <si>
    <t>16/06/2026 (Freelancer) -  - R$ 90,00</t>
  </si>
  <si>
    <t>Impressões</t>
  </si>
  <si>
    <t>O</t>
  </si>
  <si>
    <t>Adiantamento</t>
  </si>
  <si>
    <t>179e3c31d</t>
  </si>
  <si>
    <t>1195377</t>
  </si>
  <si>
    <t>ca66c6c7</t>
  </si>
  <si>
    <t>boleto enviado pelo financeiro</t>
  </si>
  <si>
    <t>4d1e55fd</t>
  </si>
  <si>
    <t>Pagamento de freelancer Yohana das 18:00 até as 21:00</t>
  </si>
  <si>
    <t>17/06/2026 (Freelancer) -  - R$ 39,00</t>
  </si>
  <si>
    <t>Notas_Images/ca66c6c7.Foto.230715.jpg</t>
  </si>
  <si>
    <t>151bfd3fa</t>
  </si>
  <si>
    <t>58e12db0</t>
  </si>
  <si>
    <t>Exame Bruno Mari e Eduarda</t>
  </si>
  <si>
    <t>343b47be</t>
  </si>
  <si>
    <t>3475c7b1</t>
  </si>
  <si>
    <t>17/06/2026 (Freelancer) -  - R$ 90,00</t>
  </si>
  <si>
    <t>1204620</t>
  </si>
  <si>
    <t>8aeb6899</t>
  </si>
  <si>
    <t>R$ 16,61</t>
  </si>
  <si>
    <t>SLOK INDUSTRIA DE BEBIDAS (10/12/2024) - Energéticos The Best</t>
  </si>
  <si>
    <t>Consumo mari</t>
  </si>
  <si>
    <t>Notas_Images/3475c7b1.Foto.011438.jpg</t>
  </si>
  <si>
    <t>1d131453b</t>
  </si>
  <si>
    <t>Energéticos The Best</t>
  </si>
  <si>
    <t>18/06/2026 (Consumo) - Mariselma - R$ 16,61</t>
  </si>
  <si>
    <t>E social</t>
  </si>
  <si>
    <t>6a72e696</t>
  </si>
  <si>
    <t>R$ 15,35</t>
  </si>
  <si>
    <t>Compra de manga e banana</t>
  </si>
  <si>
    <t>1201697</t>
  </si>
  <si>
    <t>Qualithek (18/12/2024) - Exame admissional</t>
  </si>
  <si>
    <t>Notas_Images/6a72e696.Foto.172703.jpg</t>
  </si>
  <si>
    <t>1c9752028</t>
  </si>
  <si>
    <t>18/06/2026 (Compra de Mercadorias) -  - R$ 15,35</t>
  </si>
  <si>
    <t>Exame admissional</t>
  </si>
  <si>
    <t>0f213d3a</t>
  </si>
  <si>
    <t>Agua</t>
  </si>
  <si>
    <t>10f4b7a9</t>
  </si>
  <si>
    <t>e2459f2e</t>
  </si>
  <si>
    <t>18/06/2026 (Freelancer) -  - R$ 39,00</t>
  </si>
  <si>
    <t>1199782</t>
  </si>
  <si>
    <t>Amadelli (19/12/2024) - Sorvetes</t>
  </si>
  <si>
    <t>Notas_Images/e2459f2e.Foto.231000.jpg</t>
  </si>
  <si>
    <t>1ebc5096d</t>
  </si>
  <si>
    <t>Sorvetes</t>
  </si>
  <si>
    <t>boleto env pelo financeiro</t>
  </si>
  <si>
    <t>Notas_Images/e2459f2e.Foto 1.231000.jpg</t>
  </si>
  <si>
    <t>18/06/2026 (Freelancer) -  - R$ 90,00</t>
  </si>
  <si>
    <t>86c62ef6</t>
  </si>
  <si>
    <t>R$ 65,05</t>
  </si>
  <si>
    <t>Compra do lanche pro fim de semana</t>
  </si>
  <si>
    <t>1209031</t>
  </si>
  <si>
    <t>1e8c8e03b</t>
  </si>
  <si>
    <t>041d357c</t>
  </si>
  <si>
    <t>bd430db6</t>
  </si>
  <si>
    <t>Prefeitura Municipal de Ibiporã (19/12/2024) - Royalty</t>
  </si>
  <si>
    <t>9f97783e</t>
  </si>
  <si>
    <t>19/06/2026 (Compra de Mercadorias) -  - R$ 65,05</t>
  </si>
  <si>
    <t>Torneira</t>
  </si>
  <si>
    <t>Notas_Images/86c62ef6.Foto.231348.jpg</t>
  </si>
  <si>
    <t>dbb88154</t>
  </si>
  <si>
    <t>Royalty</t>
  </si>
  <si>
    <t>1421f93d</t>
  </si>
  <si>
    <t>195dbc3d2</t>
  </si>
  <si>
    <t>19/06/2026 (Freelancer) -  - R$ 39,00</t>
  </si>
  <si>
    <t>1209730</t>
  </si>
  <si>
    <t>a1b54746</t>
  </si>
  <si>
    <t>Reembolsar Mafra pix</t>
  </si>
  <si>
    <t>Supermercado pag menos (19/12/2024) - Compras de cremes de leite</t>
  </si>
  <si>
    <t>668cb798</t>
  </si>
  <si>
    <t>Notas_Images/1421f93d.Foto.163815.jpg</t>
  </si>
  <si>
    <t>Compras de cremes de leite</t>
  </si>
  <si>
    <t>19/06/2026 (Freelancer) -  - R$ 90,00</t>
  </si>
  <si>
    <t>1211237</t>
  </si>
  <si>
    <t>bb14875e</t>
  </si>
  <si>
    <t>1cbf71a61</t>
  </si>
  <si>
    <t>SANGRIA MARI</t>
  </si>
  <si>
    <t>e8b78de8</t>
  </si>
  <si>
    <t>Instalação de ar condicionado (reembolsar Mafra)</t>
  </si>
  <si>
    <t>Supermercado pag menos (21/12/2024) - Compra de lanche pra sábado e domingo</t>
  </si>
  <si>
    <t>21/06/2026 (Sangria) - Mariselma - R$ 1.300,00</t>
  </si>
  <si>
    <t>Notas_Images/bb14875e.Foto.164001.jpg</t>
  </si>
  <si>
    <t>Compra de lanche pra sábado e domingo</t>
  </si>
  <si>
    <t>R$ 112,50</t>
  </si>
  <si>
    <t>PAGAMENTO DE FREELANCER SUMMER DSA 13;30 ATE AS 21HORAS</t>
  </si>
  <si>
    <t>1af1afff8</t>
  </si>
  <si>
    <t>1210865</t>
  </si>
  <si>
    <t>cd706730</t>
  </si>
  <si>
    <t>21/06/2026 (Freelancer) -  - R$ 112,50</t>
  </si>
  <si>
    <t>MANI COMERCIO DE BEBIDAS (20/12/2024) - Compras de bebidas para a loja</t>
  </si>
  <si>
    <t>R$ 258,00</t>
  </si>
  <si>
    <t>Notas_Images/cd706730.Foto.165128.jpg</t>
  </si>
  <si>
    <t>PAGAMENTO DE MOTOBOY REFERENTE DIAS 15/06 ATE 21/06</t>
  </si>
  <si>
    <t>Compras de bebidas para a loja</t>
  </si>
  <si>
    <t>21/06/2026 (Motoboy) -  - R$ 258,00</t>
  </si>
  <si>
    <t>037dc6df</t>
  </si>
  <si>
    <t>1205935</t>
  </si>
  <si>
    <t>12694e18e</t>
  </si>
  <si>
    <t>572a495b</t>
  </si>
  <si>
    <t>R$ 16,00</t>
  </si>
  <si>
    <t>Cópias de chaves</t>
  </si>
  <si>
    <t>2 CARTAZ DE WAFFLE PARA A LOJA</t>
  </si>
  <si>
    <t>c7515d9b</t>
  </si>
  <si>
    <t>834ae047</t>
  </si>
  <si>
    <t>Auto Posto Mires (28/12/2024) - PAO FRANCES</t>
  </si>
  <si>
    <t>22/06/2026 (Compra de Mercadorias) -  - R$ 16,00</t>
  </si>
  <si>
    <t>Notas_Images/572a495b.Foto.005850.jpg</t>
  </si>
  <si>
    <t>PAO FRANCES</t>
  </si>
  <si>
    <t>R$ 20,47</t>
  </si>
  <si>
    <t>ABACAXI BANANA</t>
  </si>
  <si>
    <t>122588b30</t>
  </si>
  <si>
    <t>Adesivo consultória</t>
  </si>
  <si>
    <t>22/06/2026 (Compra de Mercadorias) -  - R$ 20,47</t>
  </si>
  <si>
    <t>ddef57c2</t>
  </si>
  <si>
    <t>R$ 9,99</t>
  </si>
  <si>
    <t>MANTEIGA PARA CASQUINHA</t>
  </si>
  <si>
    <t>Gervasio (28/12/2024) - Uvas</t>
  </si>
  <si>
    <t>Notas_Images/ddef57c2.Foto.005921.jpg</t>
  </si>
  <si>
    <t>1d6e30476</t>
  </si>
  <si>
    <t>22/06/2026 (Compra de Mercadorias) -  - R$ 9,99</t>
  </si>
  <si>
    <t>Uvas</t>
  </si>
  <si>
    <t>1210918</t>
  </si>
  <si>
    <t>Utensílios Panetone</t>
  </si>
  <si>
    <t>b20e34e3</t>
  </si>
  <si>
    <t>PAGAMENTO DE RAFAELA FREELANCER</t>
  </si>
  <si>
    <t>3b8641be</t>
  </si>
  <si>
    <t>22/06/2026 (Freelancer) -  - R$ 90,00</t>
  </si>
  <si>
    <t>Gervasio (27/12/2024) - Frutas</t>
  </si>
  <si>
    <t>R$ 135,00</t>
  </si>
  <si>
    <t>1eb353747</t>
  </si>
  <si>
    <t>Notas_Images/3b8641be.Foto.010456.jpg</t>
  </si>
  <si>
    <t>pagamento de Summer limpeza de manha 9;30 te as12;30 e tarde 13;30ate as 18;30</t>
  </si>
  <si>
    <t>1210919</t>
  </si>
  <si>
    <t>Reembolsar Mafra</t>
  </si>
  <si>
    <t>6b89a8ab</t>
  </si>
  <si>
    <t>23/06/2026 (Freelancer) -  - R$ 135,00</t>
  </si>
  <si>
    <t>1e30ac74</t>
  </si>
  <si>
    <t>pagamento Mari freelancer do dia 22/06 e 23/06 das 18;30 ate as 21h</t>
  </si>
  <si>
    <t>14fd581e2</t>
  </si>
  <si>
    <t>23/06/2026 (Freelancer) -  - R$ 75,00</t>
  </si>
  <si>
    <t>SuperPão (27/12/2024) - Café fds</t>
  </si>
  <si>
    <t>Notas_Images/1e30ac74.Foto.010919.jpg</t>
  </si>
  <si>
    <t>Conta de água</t>
  </si>
  <si>
    <t>Café fds</t>
  </si>
  <si>
    <t>PAGAMENTO DA SAMMER DAS 12;30 ATE AS 18;30</t>
  </si>
  <si>
    <t>943cc819</t>
  </si>
  <si>
    <t>24/06/2026 (Freelancer) -  - R$ 90,00</t>
  </si>
  <si>
    <t>1cfa441b4</t>
  </si>
  <si>
    <t>Nicopel (26/12/2024) - Embalagem para Donuts NF 54488</t>
  </si>
  <si>
    <t>Notas_Images/943cc819.Foto.215716.jpg</t>
  </si>
  <si>
    <t>PAGAMENTO DE FREELANCER SUMMER DAS 15 H ATE AS 21</t>
  </si>
  <si>
    <t>Embalagem para Donuts NF 54488</t>
  </si>
  <si>
    <t>25/06/2026 (Freelancer) -  - R$ 90,00</t>
  </si>
  <si>
    <t>1f0a2bd07</t>
  </si>
  <si>
    <t>07689f0a</t>
  </si>
  <si>
    <t>Adian feito no dia 20</t>
  </si>
  <si>
    <t>Amadelli (27/12/2024) - Sorvetes e Açaí NF 4021</t>
  </si>
  <si>
    <t>R$ 38,00</t>
  </si>
  <si>
    <t>Notas_Images/07689f0a.Foto.220201.jpg</t>
  </si>
  <si>
    <t>Sorvetes e Açaí NF 4021</t>
  </si>
  <si>
    <t>PAGAMENTO DE FREELANCER MARI DAS 18;30 ATE AS 21H</t>
  </si>
  <si>
    <t>25/06/2026 (Freelancer) -  - R$ 38,00</t>
  </si>
  <si>
    <t>72769ee4</t>
  </si>
  <si>
    <t>a6d5d443</t>
  </si>
  <si>
    <t>1d725da30</t>
  </si>
  <si>
    <t>SPRAY DESMOLDANTE</t>
  </si>
  <si>
    <t>25/06/2026 (Compra de Mercadorias) -  - R$ 39,00</t>
  </si>
  <si>
    <t>Prefeitura Municipal de Ibiporã (27/12/2024) - Royalty NF 26840</t>
  </si>
  <si>
    <t>104fbd6f2</t>
  </si>
  <si>
    <t>R$ 72,77</t>
  </si>
  <si>
    <t>Notas_Images/72769ee4.Foto.220646.jpg</t>
  </si>
  <si>
    <t>compra do lanche final rodo de espuma para a loja</t>
  </si>
  <si>
    <t>Royalty NF 26840</t>
  </si>
  <si>
    <t>Sistema</t>
  </si>
  <si>
    <t>1215239</t>
  </si>
  <si>
    <t>a52b6943</t>
  </si>
  <si>
    <t>26/06/2026 (Desconsiderado) -  - R$ 72,77</t>
  </si>
  <si>
    <t>fbc78e71</t>
  </si>
  <si>
    <t>1f4228835</t>
  </si>
  <si>
    <t>pagamento freelancer Sammer das 15h ate as 21h</t>
  </si>
  <si>
    <t>19c6465e</t>
  </si>
  <si>
    <t>B3 Bebidas (01/01/2025) - Água</t>
  </si>
  <si>
    <t>Marketing</t>
  </si>
  <si>
    <t>Notas_Images/fbc78e71.Foto.001053.jpg</t>
  </si>
  <si>
    <t>1215238</t>
  </si>
  <si>
    <t>26/06/2026 (Freelancer) -  - R$ 90,00</t>
  </si>
  <si>
    <t>Água</t>
  </si>
  <si>
    <t>pagamento de freelancer Mari das 18;30 ate as 21h</t>
  </si>
  <si>
    <t>0994bb8a</t>
  </si>
  <si>
    <t>13097086a</t>
  </si>
  <si>
    <t>26/06/2026 (Freelancer) -  - R$ 38,00</t>
  </si>
  <si>
    <t>Royalties</t>
  </si>
  <si>
    <t>Auto Posto Mires (01/01/2025) - Pão</t>
  </si>
  <si>
    <t>b41d0a24</t>
  </si>
  <si>
    <t>R$ 112,00</t>
  </si>
  <si>
    <t>1212919</t>
  </si>
  <si>
    <t>Notas_Images/0994bb8a.Foto.001152.jpg</t>
  </si>
  <si>
    <t>pagamento do morango 4kg</t>
  </si>
  <si>
    <t>26/06/2026 (Compra de Mercadorias) -  - R$ 112,00</t>
  </si>
  <si>
    <t>85b7cf8a</t>
  </si>
  <si>
    <t>ID 2242875 NAO FOI ENTRADA SIM SAIDA</t>
  </si>
  <si>
    <t>1226710</t>
  </si>
  <si>
    <t>Gervasio (02/01/2025) - Uva, Banana e abacaxi</t>
  </si>
  <si>
    <t>Notas_Images/85b7cf8a.Foto.001549.jpg</t>
  </si>
  <si>
    <t>26/06/2026 (Compra de Mercadorias) -  - R$ 72,77</t>
  </si>
  <si>
    <t>Uva, Banana e abacaxi</t>
  </si>
  <si>
    <t>PAGAMENTO DE FREELANCER SAMMER DAS 13H ATE AS 21H</t>
  </si>
  <si>
    <t>56aa7b4d</t>
  </si>
  <si>
    <t>27/06/2026 (Freelancer) -  - R$ 120,00</t>
  </si>
  <si>
    <t>1226719</t>
  </si>
  <si>
    <t>e7af93ce</t>
  </si>
  <si>
    <t>1/2 salario Adm Jairo Aline</t>
  </si>
  <si>
    <t>Elaine Hubl (02/01/2025) - Morango</t>
  </si>
  <si>
    <t>Notas_Images/56aa7b4d.Foto.001836.jpg</t>
  </si>
  <si>
    <t>R$ 342,00</t>
  </si>
  <si>
    <t>PAGAMENTO MOTOBOY REFERENTE DIAS 22/06 ATE DIA 28/06</t>
  </si>
  <si>
    <t>28/06/2026 (Motoboy) -  - R$ 342,00</t>
  </si>
  <si>
    <t>9fcfe5dc</t>
  </si>
  <si>
    <t>1223465</t>
  </si>
  <si>
    <t>PAGAMENTO FREELANCER MARI DAS 13H ATE AS 21H</t>
  </si>
  <si>
    <t>Gervasio (03/01/2025) - Morango, Banana, uva, abacaxi</t>
  </si>
  <si>
    <t>Notas_Images/9fcfe5dc.Foto.165631.jpg</t>
  </si>
  <si>
    <t>Morango, Banana, uva, abacaxi</t>
  </si>
  <si>
    <t>28/06/2026 (Freelancer) -  - R$ 120,00</t>
  </si>
  <si>
    <t>R$ 100,00</t>
  </si>
  <si>
    <t>124521</t>
  </si>
  <si>
    <t>1e618ff9</t>
  </si>
  <si>
    <t>PAGAMENTO FREELANCER MORGANA 13;30 ATE AS 21;30</t>
  </si>
  <si>
    <t>1cc29dc47</t>
  </si>
  <si>
    <t>37d22a0b</t>
  </si>
  <si>
    <t>Supermercado Mariental Ltda ME (02/01/2025) - Produtos de limpeza</t>
  </si>
  <si>
    <t>28/06/2026 (Freelancer) -  - R$ 100,00</t>
  </si>
  <si>
    <t>Notas_Images/1e618ff9.Foto.165834.jpg</t>
  </si>
  <si>
    <t>Assinatura mensal</t>
  </si>
  <si>
    <t>Produtos de limpeza</t>
  </si>
  <si>
    <t>2a26aa23</t>
  </si>
  <si>
    <t>PAGAMENTO DE FREELANCER BRUNA DAS 13;30 ATE 21 H</t>
  </si>
  <si>
    <t>d0298823</t>
  </si>
  <si>
    <t>1dbd19641</t>
  </si>
  <si>
    <t>MANI COMERCIO DE BEBIDAS (03/01/2025) - Refrigerante</t>
  </si>
  <si>
    <t>Parte do custo</t>
  </si>
  <si>
    <t>ef6c8700</t>
  </si>
  <si>
    <t>Notas_Images/d0298823.Foto.170037.jpg</t>
  </si>
  <si>
    <t>R$ 94,50</t>
  </si>
  <si>
    <t>Compra de uva, manga e abacaxi</t>
  </si>
  <si>
    <t>1f810bf12</t>
  </si>
  <si>
    <t>d46dab7f</t>
  </si>
  <si>
    <t>29/06/2026 (Compra de Mercadorias) -  - R$ 94,50</t>
  </si>
  <si>
    <t>Amadelli (08/01/2025) - Coberturas, cajuzinho, microball e gotas de chocolate</t>
  </si>
  <si>
    <t>R$ 67,50</t>
  </si>
  <si>
    <t>Notas_Images/d46dab7f.Foto.170209.jpg</t>
  </si>
  <si>
    <t>Coberturas, cajuzinho, microball e gotas de chocolate</t>
  </si>
  <si>
    <t>Pagamento de freelancer Summer das 16:30 até as 21:00</t>
  </si>
  <si>
    <t>1c222df90</t>
  </si>
  <si>
    <t>4fb46201</t>
  </si>
  <si>
    <t>29/06/2026 (Freelancer) -  - R$ 67,50</t>
  </si>
  <si>
    <t>Prefeitura Municipal de Ibiporã (30/12/2024) - Royalty</t>
  </si>
  <si>
    <t>R$ 17,49</t>
  </si>
  <si>
    <t>Notas_Images/4fb46201.Foto.170612.jpg</t>
  </si>
  <si>
    <t>1233509</t>
  </si>
  <si>
    <t>Consumo Sabrina</t>
  </si>
  <si>
    <t>1666ded31</t>
  </si>
  <si>
    <t>a7f711de</t>
  </si>
  <si>
    <t>29/06/2026 (Consumo) - Sabrina - R$ 17,49</t>
  </si>
  <si>
    <t>c67d251c</t>
  </si>
  <si>
    <t>Nov</t>
  </si>
  <si>
    <t>0f524447</t>
  </si>
  <si>
    <t>9eeec060</t>
  </si>
  <si>
    <t>R$ 36,17</t>
  </si>
  <si>
    <t>Alan Pscheidt (06/01/2025) - 8kg de morango</t>
  </si>
  <si>
    <t>12333510</t>
  </si>
  <si>
    <t>Notas_Images/a7f711de.Foto.210003.jpg</t>
  </si>
  <si>
    <t>8kg de morango</t>
  </si>
  <si>
    <t>29/06/2026 (Consumo) - Sabrina - R$ 36,17</t>
  </si>
  <si>
    <t>1828baf49</t>
  </si>
  <si>
    <t>R$ 6,00</t>
  </si>
  <si>
    <t>001efb45</t>
  </si>
  <si>
    <t>Pagamento de impressão para os documentos de Summer</t>
  </si>
  <si>
    <t>consta no relatório dasch VO 206,01</t>
  </si>
  <si>
    <t>d7b00bdc</t>
  </si>
  <si>
    <t>1234217</t>
  </si>
  <si>
    <t>Elaine Hubl (06/01/2025) - 10 kg de morangos</t>
  </si>
  <si>
    <t>30/06/2026 (Compra de Mercadorias) -  - R$ 6,00</t>
  </si>
  <si>
    <t>Notas_Images/001efb45.Foto.212842.jpg</t>
  </si>
  <si>
    <t>10 kg de morangos</t>
  </si>
  <si>
    <t>R$ 87,57</t>
  </si>
  <si>
    <t>1bc31081d</t>
  </si>
  <si>
    <t>30/06/2026 (Consumo) - Sabrina - R$ 87,57</t>
  </si>
  <si>
    <t>salario dez</t>
  </si>
  <si>
    <t>R$ 110,00</t>
  </si>
  <si>
    <t>Pagamento freelancer Summer das 9:00 até as 11:00 e das 15:00 até as 21:00</t>
  </si>
  <si>
    <t>2aeb2bfe</t>
  </si>
  <si>
    <t>30/06/2026 (Freelancer) -  - R$ 110,00</t>
  </si>
  <si>
    <t>1fb1f3c40</t>
  </si>
  <si>
    <t>e688fd30</t>
  </si>
  <si>
    <t>R$ 15,00</t>
  </si>
  <si>
    <t>Chaveiro Ritzmann (06/01/2025) - Fechadura, cópia chave e mão de obra</t>
  </si>
  <si>
    <t>Notas_Images/2aeb2bfe.Foto.213255.jpg</t>
  </si>
  <si>
    <t>1236933</t>
  </si>
  <si>
    <t>Fechadura, cópia chave e mão de obra</t>
  </si>
  <si>
    <t>c64fc81c</t>
  </si>
  <si>
    <t>12d38cb45</t>
  </si>
  <si>
    <t>1236984</t>
  </si>
  <si>
    <t>Novo lar (05/01/2025) - Detergente, sapolio, toalha interfolha, papel higiênico, vassoura, esponja rodo c/ cabo</t>
  </si>
  <si>
    <t>30/06/2026 (Consumo) - Sabrina - R$ 15,00</t>
  </si>
  <si>
    <t>Notas_Images/c64fc81c.Foto.213435.jpg</t>
  </si>
  <si>
    <t>dez</t>
  </si>
  <si>
    <t>Detergente, sapolio, toalha interfolha, papel higiênico, vassoura, esponja rodo c/ cabo</t>
  </si>
  <si>
    <t>R$ 10,00</t>
  </si>
  <si>
    <t>Saida Outros: pag o exame da Sammer</t>
  </si>
  <si>
    <t>01/07/2026 (Compra de Mercadorias) -  - R$ 10,00</t>
  </si>
  <si>
    <t>cfd877ad</t>
  </si>
  <si>
    <t>22b37558</t>
  </si>
  <si>
    <t>R$ 20,51</t>
  </si>
  <si>
    <t>RN Embalagens e Papelaria Ltda. (06/01/2025) - Canudo Sache</t>
  </si>
  <si>
    <t>Notas_Images/cfd877ad.Foto.213735.jpg</t>
  </si>
  <si>
    <t>Saida Outros: consumo sabrina</t>
  </si>
  <si>
    <t>Canudo Sache</t>
  </si>
  <si>
    <t>1f3e363ca</t>
  </si>
  <si>
    <t>1236929</t>
  </si>
  <si>
    <t>2d8080e9</t>
  </si>
  <si>
    <t>01/07/2026 (Consumo) - Sabrina - R$ 20,51</t>
  </si>
  <si>
    <t>1 açaí maracuja e 3 cookies cream</t>
  </si>
  <si>
    <t>07ec2ab1</t>
  </si>
  <si>
    <t>Sapus Fest (06/01/2025) - Papel sulfite e cola instantânea</t>
  </si>
  <si>
    <t>Notas_Images/2d8080e9.Foto.220133.jpg</t>
  </si>
  <si>
    <t>Saida Outros: compra de morango 5 kg</t>
  </si>
  <si>
    <t>01/07/2026 (Compra de Mercadorias) -  - R$ 140,00</t>
  </si>
  <si>
    <t>Papel sulfite e cola instantânea</t>
  </si>
  <si>
    <t>Saida Outros: pagamento freelancer Summer das 15h as 21h</t>
  </si>
  <si>
    <t>1172b9e6a</t>
  </si>
  <si>
    <t>01/07/2026 (Freelancer) -  - R$ 90,00</t>
  </si>
  <si>
    <t>572b14bc</t>
  </si>
  <si>
    <t>43d8675b</t>
  </si>
  <si>
    <t>R$ 20,75</t>
  </si>
  <si>
    <t>Saida Outros: compra de pote com trava para casquinhas</t>
  </si>
  <si>
    <t>Supermercado Mariental Ltda ME (04/01/2025) - Lanche Freelance, leite e copos descartáveis</t>
  </si>
  <si>
    <t>Notas_Images/43d8675b.Foto.220325.jpg</t>
  </si>
  <si>
    <t>1cdc8d596</t>
  </si>
  <si>
    <t>Lanche Freelance, leite e copos descartáveis</t>
  </si>
  <si>
    <t>01/07/2026 (Compra de Mercadorias) -  - R$ 20,75</t>
  </si>
  <si>
    <t>R$ 69,90</t>
  </si>
  <si>
    <t>Saida Outros: compra de pote de tampa hermetica</t>
  </si>
  <si>
    <t>6dcb557e</t>
  </si>
  <si>
    <t>02/07/2026 (Compra de Mercadorias) -  - R$ 69,90</t>
  </si>
  <si>
    <t>Novo lar (06/01/2025) - Papel higiênico, esponja, vassoura, detergente, luva, rodo e toalha interfolha</t>
  </si>
  <si>
    <t>15877b9de</t>
  </si>
  <si>
    <t>Notas_Images/6dcb557e.Foto.220544.jpg</t>
  </si>
  <si>
    <t>Papel higiênico, esponja, vassoura, detergente, luva, rodo e toalha interfolha</t>
  </si>
  <si>
    <t>1243531</t>
  </si>
  <si>
    <t>R$ 104,87</t>
  </si>
  <si>
    <t>5236b8d6</t>
  </si>
  <si>
    <t>54c9efef</t>
  </si>
  <si>
    <t>Saida Outros: compra de uvas; abacaxi , banana; e manga</t>
  </si>
  <si>
    <t>19617ad91</t>
  </si>
  <si>
    <t>Amadelli (30/12/2024) - Sorvetes e Acai</t>
  </si>
  <si>
    <t>Notas_Images/5236b8d6.Foto.230553.jpg</t>
  </si>
  <si>
    <t>02/07/2026 (Compra de Mercadorias) -  - R$ 104,87</t>
  </si>
  <si>
    <t>Sorvetes e Acai</t>
  </si>
  <si>
    <t>1243529</t>
  </si>
  <si>
    <t>Notas_Images/5236b8d6.Foto 1.230553.jpg</t>
  </si>
  <si>
    <t>R$ 175,00</t>
  </si>
  <si>
    <t>939117ce</t>
  </si>
  <si>
    <t>Saida Outros: compra de vale transporte para Sabrina</t>
  </si>
  <si>
    <t>12a7c0801</t>
  </si>
  <si>
    <t>Notas_Images/939117ce.Foto.231812.jpg</t>
  </si>
  <si>
    <t>02/07/2026 (Compra de Mercadorias) -  - R$ 175,00</t>
  </si>
  <si>
    <t>notas e moedas</t>
  </si>
  <si>
    <t>1243868</t>
  </si>
  <si>
    <t>Saida Outros: Pagamento freelancer Summer das 15:00 até as 21:00</t>
  </si>
  <si>
    <t>b56ac686</t>
  </si>
  <si>
    <t>02/07/2026 (Freelancer) -  - R$ 90,00</t>
  </si>
  <si>
    <t>c2391abb</t>
  </si>
  <si>
    <t>168c005af</t>
  </si>
  <si>
    <t>Olivia Skrepecz Eireli Papelaria (08/01/2025) - Impressão Escala</t>
  </si>
  <si>
    <t>Notas_Images/b56ac686.Foto.223935.jpg</t>
  </si>
  <si>
    <t>Impressão Escala</t>
  </si>
  <si>
    <t>Saida Outros: compra de morando 4 kg</t>
  </si>
  <si>
    <t>prateleira energetico</t>
  </si>
  <si>
    <t>1242005</t>
  </si>
  <si>
    <t>03/07/2026 (Compra de Mercadorias) -  - R$ 112,00</t>
  </si>
  <si>
    <t>a61702e1</t>
  </si>
  <si>
    <t>R$ 20,00</t>
  </si>
  <si>
    <t>Saida Outros: Consumo Sabrina</t>
  </si>
  <si>
    <t>1877916ba</t>
  </si>
  <si>
    <t>Gervasio (08/01/2025) - Manga, uvas, abacaxi e banana</t>
  </si>
  <si>
    <t>1243594</t>
  </si>
  <si>
    <t>Notas_Images/a61702e1.Foto.224025.jpg</t>
  </si>
  <si>
    <t>03/07/2026 (Consumo) - Sabrina - R$ 20,00</t>
  </si>
  <si>
    <t>cesta de natal</t>
  </si>
  <si>
    <t>Manga, uvas, abacaxi e banana</t>
  </si>
  <si>
    <t>4779094e</t>
  </si>
  <si>
    <t>03/07/2026 (Freelancer) -  - R$ 90,00</t>
  </si>
  <si>
    <t>1e9d8a6ee</t>
  </si>
  <si>
    <t>1243255</t>
  </si>
  <si>
    <t>Nicopel (06/01/2025) - Pote de 1Lt e Pote de 500ml</t>
  </si>
  <si>
    <t>Notas_Images/4779094e.Foto.224131.jpg</t>
  </si>
  <si>
    <t>R$ 52,53</t>
  </si>
  <si>
    <t>consta no relatório do dasch</t>
  </si>
  <si>
    <t>Pote de 1Lt e Pote de 500ml</t>
  </si>
  <si>
    <t>Saida Outros: compra de leites ,pâo quejo para o lanche</t>
  </si>
  <si>
    <t>976db368</t>
  </si>
  <si>
    <t>04/07/2026 (Compra de Mercadorias) -  - R$ 52,53</t>
  </si>
  <si>
    <t>1239499</t>
  </si>
  <si>
    <t>15f34a46b</t>
  </si>
  <si>
    <t>R$ 11,98</t>
  </si>
  <si>
    <t>Novo lar (09/01/2025) - Sacos para lixo 200 unidades</t>
  </si>
  <si>
    <t>Saida Outros: compra para lanche</t>
  </si>
  <si>
    <t>Notas_Images/976db368.Foto.232405.jpg</t>
  </si>
  <si>
    <t>consta no relatório dasch</t>
  </si>
  <si>
    <t>04/07/2026 (Compra de Mercadorias) -  - R$ 11,98</t>
  </si>
  <si>
    <t>Sacos para lixo 200 unidades</t>
  </si>
  <si>
    <t>R$ 37,48</t>
  </si>
  <si>
    <t>1243575</t>
  </si>
  <si>
    <t>Saida Outros: pago trafego instagram</t>
  </si>
  <si>
    <t>1eb7bdcc8</t>
  </si>
  <si>
    <t>319b224a</t>
  </si>
  <si>
    <t>04/07/2026 (Compra de Mercadorias) -  - R$ 37,48</t>
  </si>
  <si>
    <t>Jan</t>
  </si>
  <si>
    <t>61236c72</t>
  </si>
  <si>
    <t>Koch Hipermercado (09/01/2025) - 27 unidades de creme de leite</t>
  </si>
  <si>
    <t>Notas_Images/319b224a.Foto.003144.jpg</t>
  </si>
  <si>
    <t>Saida Outros: pagamento freelancer Mari das 13h ate as 19h</t>
  </si>
  <si>
    <t>27 unidades de creme de leite</t>
  </si>
  <si>
    <t>04/07/2026 (Freelancer) -  - R$ 90,00</t>
  </si>
  <si>
    <t>1adb638b4</t>
  </si>
  <si>
    <t>994e1f78</t>
  </si>
  <si>
    <t>Saida Outros: pagamento de freelancer Carla das 13;30 ate as 21 h</t>
  </si>
  <si>
    <t>04/07/2026 (Freelancer) -  - R$ 112,00</t>
  </si>
  <si>
    <t>Elaine Hubl (10/01/2025) - Morangos 10kg</t>
  </si>
  <si>
    <t>R$ 35,10</t>
  </si>
  <si>
    <t>Notas_Images/994e1f78.Foto.222939.jpg</t>
  </si>
  <si>
    <t>19b410de2</t>
  </si>
  <si>
    <t>Morangos 10kg</t>
  </si>
  <si>
    <t>Saida Outros: SABÂO EM PEDRA PARA A LOJA COMPRA</t>
  </si>
  <si>
    <t>d66a3a65</t>
  </si>
  <si>
    <t>Internet/joice tem o app</t>
  </si>
  <si>
    <t>1247725</t>
  </si>
  <si>
    <t>05/07/2026 (Compra de Mercadorias) -  - R$ 35,10</t>
  </si>
  <si>
    <t>R$ 336,00</t>
  </si>
  <si>
    <t>Saida Outros: PAGAMENTO JOÂO MOTOBOY DO DIA 29/06 ATE 05/07</t>
  </si>
  <si>
    <t>35cb8e21</t>
  </si>
  <si>
    <t>05/07/2026 (Motoboy) -  - R$ 336,00</t>
  </si>
  <si>
    <t>1247730</t>
  </si>
  <si>
    <t>Saida Outros: PAGAMENTO FREELANCER CARLA 5 H DE TRABALHO</t>
  </si>
  <si>
    <t>Supermercado Mariental Ltda ME (11/01/2025) - Lanche FDS e produtos de limpeza</t>
  </si>
  <si>
    <t>Notas_Images/35cb8e21.Foto.213525.jpg</t>
  </si>
  <si>
    <t>05/07/2026 (Freelancer) -  - R$ 75,00</t>
  </si>
  <si>
    <t>Lanche FDS e produtos de limpeza</t>
  </si>
  <si>
    <t>Saida Outros: PAGAMENTO FREELANCER SUMMER 5 H DE TRABALLHO</t>
  </si>
  <si>
    <t>bcbc83c2</t>
  </si>
  <si>
    <t>Nicopel (10/01/2025) - POTE 500ML</t>
  </si>
  <si>
    <t>R$ 7,80</t>
  </si>
  <si>
    <t>1249593</t>
  </si>
  <si>
    <t>Notas_Images/bcbc83c2.Foto.213905.jpg</t>
  </si>
  <si>
    <t>POTE 500ML</t>
  </si>
  <si>
    <t>06/07/2026 (Consumo) - Sabrina - R$ 7,80</t>
  </si>
  <si>
    <t>Saida Outros: Pagamento freelance Summer das 15:00 até as 21:00</t>
  </si>
  <si>
    <t>1249727</t>
  </si>
  <si>
    <t>06/07/2026 (Freelancer) -  - R$ 90,00</t>
  </si>
  <si>
    <t>1e5c76aca</t>
  </si>
  <si>
    <t>SuperPão (14/01/2025) - Corante e Confeito</t>
  </si>
  <si>
    <t>Notas_Images/93234044.Foto.211650.jpg</t>
  </si>
  <si>
    <t>R$ 21,89</t>
  </si>
  <si>
    <t>Janeiro</t>
  </si>
  <si>
    <t>Corante e Confeito</t>
  </si>
  <si>
    <t>1250786</t>
  </si>
  <si>
    <t>06/07/2026 (Consumo) - Sabrina - R$ 21,89</t>
  </si>
  <si>
    <t>ba2abde2</t>
  </si>
  <si>
    <t>2e79612c</t>
  </si>
  <si>
    <t>Komprao (14/01/2025) - Abacaxi, manga, banana</t>
  </si>
  <si>
    <t>Notas_Images/ba2abde2.Foto.211845.jpg</t>
  </si>
  <si>
    <t>Abacaxi, manga, banana</t>
  </si>
  <si>
    <t>07/07/2026 (Consumo) - Sabrina - R$ 12,45</t>
  </si>
  <si>
    <t>1253773</t>
  </si>
  <si>
    <t>R$ 56,37</t>
  </si>
  <si>
    <t>Saida Outros: compra de banana uva abacaxi</t>
  </si>
  <si>
    <t>ae6623a2</t>
  </si>
  <si>
    <t>09/07/2026 (Compra de Mercadorias) -  - R$ 56,37</t>
  </si>
  <si>
    <t>Gervasio (14/01/2025) - Uvas</t>
  </si>
  <si>
    <t>R$ 86,10</t>
  </si>
  <si>
    <t>Notas_Images/ae6623a2.Foto.232521.jpg</t>
  </si>
  <si>
    <t>Saida Outros: compra de aguas e refrigerante para a loja</t>
  </si>
  <si>
    <t>122b1b2f9</t>
  </si>
  <si>
    <t>09/07/2026 (Compra de Mercadorias) -  - R$ 86,10</t>
  </si>
  <si>
    <t>10 cxs</t>
  </si>
  <si>
    <t>baf9926f</t>
  </si>
  <si>
    <t>R$ 15,47</t>
  </si>
  <si>
    <t>1259641</t>
  </si>
  <si>
    <t>Saida Outros: consumo summer</t>
  </si>
  <si>
    <t>Elaine Hubl (15/01/2025) - 20 kg de morango</t>
  </si>
  <si>
    <t>41c181b3</t>
  </si>
  <si>
    <t>Notas_Images/baf9926f.Foto.171534.jpg</t>
  </si>
  <si>
    <t>20 kg de morango</t>
  </si>
  <si>
    <t>09/07/2026 (Consumo) - Summer Brigoni - R$ 15,47</t>
  </si>
  <si>
    <t>1fc9d402d</t>
  </si>
  <si>
    <t>R$ 8,81</t>
  </si>
  <si>
    <t>1a91d450</t>
  </si>
  <si>
    <t>0710a946</t>
  </si>
  <si>
    <t>1259646</t>
  </si>
  <si>
    <t>Coqueteleira e moldura para alvará</t>
  </si>
  <si>
    <t>Saida Outros: consumo Summer</t>
  </si>
  <si>
    <t>0eb931ce</t>
  </si>
  <si>
    <t>Olivia Skrepecz Eireli Papelaria (15/01/2025) - Impressões</t>
  </si>
  <si>
    <t>Notas_Images/0710a946.Foto.171717.jpg</t>
  </si>
  <si>
    <t>10/07/2026 (Consumo) - Summer Brigoni - R$ 8,81</t>
  </si>
  <si>
    <t>185c24d0d</t>
  </si>
  <si>
    <t>1259939</t>
  </si>
  <si>
    <t>Saida Outros: Compra de 3kgs de morango</t>
  </si>
  <si>
    <t>040f449a</t>
  </si>
  <si>
    <t>10/07/2026 (Compra de Mercadorias) -  - R$ 84,00</t>
  </si>
  <si>
    <t>f87c9ae8</t>
  </si>
  <si>
    <t>Anelise Wotroba Pezenatto (15/01/2025) - Bobeira Retangular</t>
  </si>
  <si>
    <t>Notas_Images/040f449a.Foto.172222.jpg</t>
  </si>
  <si>
    <t>Saida Outros: pagamento de freelancer celia das 15h ate 21 h</t>
  </si>
  <si>
    <t>Bobeira Retangular</t>
  </si>
  <si>
    <t>1261372</t>
  </si>
  <si>
    <t>11/07/2026 (Freelancer) -  - R$ 78,00</t>
  </si>
  <si>
    <t>34c333cf</t>
  </si>
  <si>
    <t>R$ 10,70</t>
  </si>
  <si>
    <t>10ee71cd4</t>
  </si>
  <si>
    <t>Saida Outros: COMPRA DE PAO</t>
  </si>
  <si>
    <t>Simão Perovano Ltda (15/01/2025) - Suco Prats</t>
  </si>
  <si>
    <t>Feito pela Aline</t>
  </si>
  <si>
    <t>Notas_Images/34c333cf.Foto.172542.jpg</t>
  </si>
  <si>
    <t>1261559</t>
  </si>
  <si>
    <t>Suco Prats</t>
  </si>
  <si>
    <t>12/07/2026 (Compra de Mercadorias) -  - R$ 10,70</t>
  </si>
  <si>
    <t>Saida Outros: PAGAMENTO FREELANCER MARI 13H ATE AS 21H</t>
  </si>
  <si>
    <t>4f884488</t>
  </si>
  <si>
    <t>15687caf2</t>
  </si>
  <si>
    <t>1261557</t>
  </si>
  <si>
    <t>12/07/2026 (Freelancer) -  - R$ 120,00</t>
  </si>
  <si>
    <t>Amadelli (13/01/2025) - Boia PVC, porta boia e corantes</t>
  </si>
  <si>
    <t>Notas_Images/4f884488.Foto.172916.jpg</t>
  </si>
  <si>
    <t>Saida Outros: PAGAMENTO DE FREELANCER CARLA DAS 13H ATE AS 21H</t>
  </si>
  <si>
    <t>Boia PVC, porta boia e corantes</t>
  </si>
  <si>
    <t>0f4cfc6d</t>
  </si>
  <si>
    <t>1261376</t>
  </si>
  <si>
    <t>1c36fc241</t>
  </si>
  <si>
    <t>R$ 1.400,00</t>
  </si>
  <si>
    <t>Saida Outros: SANGRIA MARI</t>
  </si>
  <si>
    <t>Prefeitura Municipal de Ibiporã (13/01/2025) - Royalty</t>
  </si>
  <si>
    <t>Notas_Images/0f4cfc6d.Foto.173340.jpg</t>
  </si>
  <si>
    <t>12/07/2026 (Sangria) - Mariselma - R$ 1.400,00</t>
  </si>
  <si>
    <t>368eac1f</t>
  </si>
  <si>
    <t>Saida Outros: PAGAMENTO REFERENTE MOTOBOY DIAS 06/07 ATE 12/07</t>
  </si>
  <si>
    <t>9ee9900a</t>
  </si>
  <si>
    <t>12/07/2026 (Motoboy) -  - R$ 390,00</t>
  </si>
  <si>
    <t>Amadelli (14/01/2025) - NF 4503</t>
  </si>
  <si>
    <t>Notas_Images/9ee9900a.Foto.173810.jpg</t>
  </si>
  <si>
    <t>Saida Outros: Compra de 3kg morangos elaine hubl</t>
  </si>
  <si>
    <t>NF 4503</t>
  </si>
  <si>
    <t>994827ba</t>
  </si>
  <si>
    <t>13/07/2026 (Compra de Mercadorias) -  - R$ 84,00</t>
  </si>
  <si>
    <t>c02ec6db</t>
  </si>
  <si>
    <t>R$ 50,85</t>
  </si>
  <si>
    <t>Saida Outros: compra de uvas Gervasio</t>
  </si>
  <si>
    <t>Prefeitura Municipal de Ibiporã (14/01/2025) - Royalty</t>
  </si>
  <si>
    <t>0dcd7c12</t>
  </si>
  <si>
    <t>Notas_Images/c02ec6db.Foto.174208.jpg</t>
  </si>
  <si>
    <t>13/07/2026 (Compra de Mercadorias) -  - R$ 50,85</t>
  </si>
  <si>
    <t>R$ 13,59</t>
  </si>
  <si>
    <t>41bc07f6</t>
  </si>
  <si>
    <t>Saida Outros: Consumo summer</t>
  </si>
  <si>
    <t>MANI COMERCIO DE BEBIDAS (16/01/2025) - Coca, água, h2o</t>
  </si>
  <si>
    <t>13/07/2026 (Consumo) - Summer Brigoni - R$ 13,59</t>
  </si>
  <si>
    <t>Notas_Images/41bc07f6.Foto.201025.jpg</t>
  </si>
  <si>
    <t>Coca, água, h2o</t>
  </si>
  <si>
    <t>R$ 61,75</t>
  </si>
  <si>
    <t>Saida Outros: Pagamento freelancer kaua das 16;10 as 20;55h</t>
  </si>
  <si>
    <t>49503c1b</t>
  </si>
  <si>
    <t>13/07/2026 (Freelancer) -  - R$ 61,75</t>
  </si>
  <si>
    <t>Amadelli (16/01/2025) - Sorvete, açaí e Donuts</t>
  </si>
  <si>
    <t>R$ 37,46</t>
  </si>
  <si>
    <t>Notas_Images/49503c1b.Foto.194752.jpg</t>
  </si>
  <si>
    <t>Saida Outros: pagamento trafego pago instagran</t>
  </si>
  <si>
    <t>Sorvete, açaí e Donuts</t>
  </si>
  <si>
    <t>5619ad11</t>
  </si>
  <si>
    <t>14/07/2026 (Compra de Mercadorias) -  - R$ 37,46</t>
  </si>
  <si>
    <t>Notas_Images/49503c1b.Foto 1.194752.jpg</t>
  </si>
  <si>
    <t>Notas_Images/49503c1b.Foto 2.194826.jpg</t>
  </si>
  <si>
    <t>b83883eb</t>
  </si>
  <si>
    <t>Saida Outros: pagamento freelancer kaua das 14;50 as 20;55</t>
  </si>
  <si>
    <t>Prefeitura Municipal de Ibiporã (16/01/2025) - Royalty</t>
  </si>
  <si>
    <t>14/07/2026 (Freelancer) -  - R$ 78,00</t>
  </si>
  <si>
    <t>Notas_Images/b83883eb.Foto.195233.jpg</t>
  </si>
  <si>
    <t>R$ 39,96</t>
  </si>
  <si>
    <t>Saida Outros: Compra de Uvas, Abacaxi, Manga</t>
  </si>
  <si>
    <t>81bd43aa</t>
  </si>
  <si>
    <t>16/07/2026 (Compra de Mercadorias) -  - R$ 39,96</t>
  </si>
  <si>
    <t>Gervasio (16/01/2025) - Banana uva</t>
  </si>
  <si>
    <t>181a4357b</t>
  </si>
  <si>
    <t>Banana uva</t>
  </si>
  <si>
    <t>Notas_Images/81bd43aa.Foto.204725.jpg</t>
  </si>
  <si>
    <t>1265135</t>
  </si>
  <si>
    <t>Saida Outros: compra de morangos 5kg</t>
  </si>
  <si>
    <t>e51d5348</t>
  </si>
  <si>
    <t>17/07/2026 (Compra de Mercadorias) -  - R$ 140,00</t>
  </si>
  <si>
    <t>Gervasio (18/01/2025) - Manga uva</t>
  </si>
  <si>
    <t>Manga uva</t>
  </si>
  <si>
    <t>R$ 351,83</t>
  </si>
  <si>
    <t>Saida Outros: compras de refrigerante, aguas, lanches final de semana, sucos, frutas, sabão</t>
  </si>
  <si>
    <t>Notas_Images/e51d5348.Foto.204810.jpg</t>
  </si>
  <si>
    <t>128dd0731</t>
  </si>
  <si>
    <t>1269261</t>
  </si>
  <si>
    <t>17/07/2026 (Compra de Mercadorias) -  - R$ 351,83</t>
  </si>
  <si>
    <t>d1c85e01</t>
  </si>
  <si>
    <t>eed090e5</t>
  </si>
  <si>
    <t>Vale transporte para Cleimara e Sabrina</t>
  </si>
  <si>
    <t>ff13bd68</t>
  </si>
  <si>
    <t>R$ 125,00</t>
  </si>
  <si>
    <t>bd47aa8d</t>
  </si>
  <si>
    <t>Mercado Big Bom (18/01/2025) - Café do FDS e produtos de limpeza</t>
  </si>
  <si>
    <t>Café do FDS e produtos de limpeza</t>
  </si>
  <si>
    <t>Saida Outros: Pagamento da limpeza dos vidros</t>
  </si>
  <si>
    <t>Notas_Images/eed090e5.Foto.205533.jpg</t>
  </si>
  <si>
    <t>13d0ea824</t>
  </si>
  <si>
    <t>1269264</t>
  </si>
  <si>
    <t>18/07/2026 (Freelancer) -  - R$ 125,00</t>
  </si>
  <si>
    <t>12ef8cd7</t>
  </si>
  <si>
    <t>20kg</t>
  </si>
  <si>
    <t>MANI COMERCIO DE BEBIDAS (24/01/2025) - Águas e refrigerantes</t>
  </si>
  <si>
    <t>Saida Outros: pagamento de freelancer Carla das 13h ate as 21h</t>
  </si>
  <si>
    <t>Águas e refrigerantes</t>
  </si>
  <si>
    <t>Notas_Images/12ef8cd7.Foto.215103.jpg</t>
  </si>
  <si>
    <t>18/07/2026 (Freelancer) -  - R$ 120,00</t>
  </si>
  <si>
    <t>1278152</t>
  </si>
  <si>
    <t>6938eae0</t>
  </si>
  <si>
    <t>145402dd2</t>
  </si>
  <si>
    <t>R$ 800,00</t>
  </si>
  <si>
    <t>Saida Outros: sangria Mari</t>
  </si>
  <si>
    <t>Fruta ( morango) (24/01/2025) - Compra de morango  com a Eliane</t>
  </si>
  <si>
    <t>Recibo + holerite</t>
  </si>
  <si>
    <t>Compra de morango  com a Eliane</t>
  </si>
  <si>
    <t>Notas_Images/6938eae0.Foto.215332.jpg</t>
  </si>
  <si>
    <t>18/07/2026 (Sangria) - Mariselma - R$ 800,00</t>
  </si>
  <si>
    <t>1278303</t>
  </si>
  <si>
    <t>R$ 20,25</t>
  </si>
  <si>
    <t>3c46cef6</t>
  </si>
  <si>
    <t>Saida Outros: Consumo Mari</t>
  </si>
  <si>
    <t>Gervasio (24/01/2025) - Compra de frutas do Gervasio</t>
  </si>
  <si>
    <t>1aba126b2</t>
  </si>
  <si>
    <t>Compra de frutas do Gervasio</t>
  </si>
  <si>
    <t>19/07/2026 (Consumo) - Mariselma - R$ 20,25</t>
  </si>
  <si>
    <t>Notas_Images/3c46cef6.Foto.215546.jpg</t>
  </si>
  <si>
    <t>128414</t>
  </si>
  <si>
    <t>R$ 123,48</t>
  </si>
  <si>
    <t>6d256f33</t>
  </si>
  <si>
    <t>Saida Outros: Compra de um abacaxi, uma manga e 7 uvas</t>
  </si>
  <si>
    <t>Supermercado Mariental Ltda ME (25/01/2025) - Compras de lanche para sábado  e domingo</t>
  </si>
  <si>
    <t>Compras de lanche para sábado  e domingo</t>
  </si>
  <si>
    <t>19/07/2026 (Compra de Mercadorias) -  - R$ 123,48</t>
  </si>
  <si>
    <t>Notas_Images/6d256f33.Foto.215803.jpg</t>
  </si>
  <si>
    <t>13579cb4d</t>
  </si>
  <si>
    <t>1280147</t>
  </si>
  <si>
    <t>2244c76b</t>
  </si>
  <si>
    <t>Saida Outros: Sangria Mari</t>
  </si>
  <si>
    <t>Honorário</t>
  </si>
  <si>
    <t>Olivia Skrepecz Eireli Papelaria (24/01/2025) - Impressões de  documentos</t>
  </si>
  <si>
    <t>Impressões de  documentos</t>
  </si>
  <si>
    <t>19/07/2026 (Sangria) - Mariselma - R$ 700,00</t>
  </si>
  <si>
    <t>Notas_Images/2244c76b.Foto.220012.jpg</t>
  </si>
  <si>
    <t>1278381</t>
  </si>
  <si>
    <t>Saida Outros: Pagamento freelancer Carla das 13:00 até as 21:00</t>
  </si>
  <si>
    <t>e4d706ea</t>
  </si>
  <si>
    <t>1c344f66d</t>
  </si>
  <si>
    <t>19/07/2026 (Freelancer) -  - R$ 120,00</t>
  </si>
  <si>
    <t>Gervasio (20/01/2025) - Compras  de  frutas</t>
  </si>
  <si>
    <t>Compras  de  frutas</t>
  </si>
  <si>
    <t>52a81a08</t>
  </si>
  <si>
    <t>R$ 510,00</t>
  </si>
  <si>
    <t>Exame admissional Dabrina e Cleimara</t>
  </si>
  <si>
    <t>Saida Outros: Pagamento motoboy João do dia 13/07 ate dia 19/07</t>
  </si>
  <si>
    <t>Notas_Images/e4d706ea.Foto.220226.jpg</t>
  </si>
  <si>
    <t>1271728</t>
  </si>
  <si>
    <t>19/07/2026 (Motoboy) -  - R$ 510,00</t>
  </si>
  <si>
    <t>3426b932</t>
  </si>
  <si>
    <t>b6d7b803</t>
  </si>
  <si>
    <t>Farmacia (22/01/2025) - Compras de remédios  para loja</t>
  </si>
  <si>
    <t>Compras de remédios  para loja</t>
  </si>
  <si>
    <t>Notas_Images/3426b932.Foto.220516.jpg</t>
  </si>
  <si>
    <t>1278975</t>
  </si>
  <si>
    <t>R$ 52,50</t>
  </si>
  <si>
    <t>Saida Outros: Pagamento freelancer Carla das 17:30 até as 21:00</t>
  </si>
  <si>
    <t>9282956d</t>
  </si>
  <si>
    <t>20/07/2026 (Freelancer) -  - R$ 52,50</t>
  </si>
  <si>
    <t>Supermercado pag menos (27/01/2025) - Copo , Saco , Confeito, Granulado e desinfetante</t>
  </si>
  <si>
    <t>Copo , Saco , Confeito, Granulado e desinfetante</t>
  </si>
  <si>
    <t>Notas_Images/9282956d.Foto.204409.jpg</t>
  </si>
  <si>
    <t>Saida Outros: Compra de 5kgs de morango</t>
  </si>
  <si>
    <t>1288335</t>
  </si>
  <si>
    <t>20/07/2026 (Compra de Mercadorias) -  - R$ 140,00</t>
  </si>
  <si>
    <t>6b571ce7</t>
  </si>
  <si>
    <t>R$ 256,89</t>
  </si>
  <si>
    <t>Simão Perovano Ltda (29/01/2025) - Água de coco e suco de laranja</t>
  </si>
  <si>
    <t>Água de coco e suco de laranja</t>
  </si>
  <si>
    <t>Saida Outros: compra de aguas refrigerante e frutas</t>
  </si>
  <si>
    <t>Notas_Images/6b571ce7.Foto.204628.jpg</t>
  </si>
  <si>
    <t>21/07/2026 (Compra de Mercadorias) -  - R$ 256,89</t>
  </si>
  <si>
    <t>128819</t>
  </si>
  <si>
    <t>a6a78032</t>
  </si>
  <si>
    <t>R$ 624,00</t>
  </si>
  <si>
    <t>Saida Outros: pagamento de freelancer Kauâ do dias 15/07 ate 21/07</t>
  </si>
  <si>
    <t>Gervasio (27/01/2025) - Manga, abacaxi e uva</t>
  </si>
  <si>
    <t>21/07/2026 (Freelancer) -  - R$ 624,00</t>
  </si>
  <si>
    <t>Notas_Images/a6a78032.Foto.204802.jpg</t>
  </si>
  <si>
    <t>1285464</t>
  </si>
  <si>
    <t>Saida Outros: Compra de 5kg de morango</t>
  </si>
  <si>
    <t>22/07/2026 (Compra de Mercadorias) -  - R$ 140,00</t>
  </si>
  <si>
    <t>R$ 17,11</t>
  </si>
  <si>
    <t>1d0bee92f</t>
  </si>
  <si>
    <t>Saida Outros: Consumo Summer</t>
  </si>
  <si>
    <t>22/07/2026 (Consumo) - Summer Brigoni - R$ 17,11</t>
  </si>
  <si>
    <t>Parcela 1/10</t>
  </si>
  <si>
    <t>d817f066</t>
  </si>
  <si>
    <t>31ba74c7</t>
  </si>
  <si>
    <t>Saida Outros: compra de 4g de morango</t>
  </si>
  <si>
    <t>a7af63da</t>
  </si>
  <si>
    <t>Elaine Hubl (27/01/2025) - Morango</t>
  </si>
  <si>
    <t>24/07/2026 (Compra de Mercadorias) -  - R$ 112,00</t>
  </si>
  <si>
    <t>Notas_Images/31ba74c7.Foto.204956.jpg</t>
  </si>
  <si>
    <t>R$ 254,68</t>
  </si>
  <si>
    <t>1285468</t>
  </si>
  <si>
    <t>Saida Outros: compra de agua ,frutas, Sabâo ,leites e lanche para final de semana</t>
  </si>
  <si>
    <t>73ebc9c7</t>
  </si>
  <si>
    <t>24/07/2026 (Compra de Mercadorias) -  - R$ 254,68</t>
  </si>
  <si>
    <t>Nicopel (23/01/2025) - Embalagem 1lt e 500ml</t>
  </si>
  <si>
    <t>Saida Outros: pagamento de freelancer Carla</t>
  </si>
  <si>
    <t>Embalagem 1lt e 500ml</t>
  </si>
  <si>
    <t>Notas_Images/73ebc9c7.Foto.205832.jpg</t>
  </si>
  <si>
    <t>25/07/2026 (Freelancer) -  - R$ 120,00</t>
  </si>
  <si>
    <t>Notas_Images/73ebc9c7.Foto 1.205832.jpg</t>
  </si>
  <si>
    <t>Notas_Images/73ebc9c7.Foto 2.205832.jpg</t>
  </si>
  <si>
    <t>0e7eee42</t>
  </si>
  <si>
    <t>1eefcf1c9</t>
  </si>
  <si>
    <t>Saida Outros: pagamento freelancer Mari</t>
  </si>
  <si>
    <t>SAMAE (25/02/2025) - Agua</t>
  </si>
  <si>
    <t>Medeiros para prateleira… reembolsar Mafra</t>
  </si>
  <si>
    <t>a282731d</t>
  </si>
  <si>
    <t>Notas_Images/0e7eee42.Foto.210000.jpg</t>
  </si>
  <si>
    <t>aac5ae63</t>
  </si>
  <si>
    <t>25/07/2026 (Sangria) - Mariselma - R$ 1.000,00</t>
  </si>
  <si>
    <t>Prefeitura Municipal de Ibiporã (10/02/2025) - Grupo the best</t>
  </si>
  <si>
    <t>Grupo the best</t>
  </si>
  <si>
    <t>Notas_Images/aac5ae63.Foto.210116.jpg</t>
  </si>
  <si>
    <t>c8b33c8e</t>
  </si>
  <si>
    <t>26/07/2026 (Sangria) - Mariselma - R$ 1.300,00</t>
  </si>
  <si>
    <t>Amadelli (10/02/2025) - Pedidos secos</t>
  </si>
  <si>
    <t>Pedidos secos</t>
  </si>
  <si>
    <t>R$ 450,00</t>
  </si>
  <si>
    <t>Notas_Images/c8b33c8e.Foto.210230.jpg</t>
  </si>
  <si>
    <t>Saida Outros: pagamento motoboy referente dias 20/07 ate 26/07 ( Joao Vitor Matoso)</t>
  </si>
  <si>
    <t>161a3a61f</t>
  </si>
  <si>
    <t>ac293d7b</t>
  </si>
  <si>
    <t>26/07/2026 (Motoboy) -  - R$ 450,00</t>
  </si>
  <si>
    <t>Amadelli (27/01/2025) - Royalty</t>
  </si>
  <si>
    <t>Saida Outros: pagamento freelancer Carla</t>
  </si>
  <si>
    <t>26/07/2026 (Freelancer) -  - R$ 120,00</t>
  </si>
  <si>
    <t>Visitas técnicas Eletricista Felipe</t>
  </si>
  <si>
    <t>a646b234</t>
  </si>
  <si>
    <t>Notas_Images/ac293d7b.Foto.213250.jpg</t>
  </si>
  <si>
    <t>Saida Outros: compra de morango 4kg</t>
  </si>
  <si>
    <t>e55bd2b5</t>
  </si>
  <si>
    <t>171b126a5</t>
  </si>
  <si>
    <t>27/07/2026 (Compra de Mercadorias) -  - R$ 112,00</t>
  </si>
  <si>
    <t>Amadelli (27/01/2025) - Pedido Gelado N6410</t>
  </si>
  <si>
    <t>Pedido Gelado N6410</t>
  </si>
  <si>
    <t>cxs</t>
  </si>
  <si>
    <t>Notas_Images/e55bd2b5.Foto.214210.jpg</t>
  </si>
  <si>
    <t>Notas_Images/e55bd2b5.Foto 1.214210.jpg</t>
  </si>
  <si>
    <t>Notas_Images/e55bd2b5.Foto 2.214210.jpg</t>
  </si>
  <si>
    <t>1283b3774</t>
  </si>
  <si>
    <t>27/07/2026 (Consumo) - Sabrina - R$ 21,89</t>
  </si>
  <si>
    <t>eee8b526</t>
  </si>
  <si>
    <t>Simples Nacional</t>
  </si>
  <si>
    <t>Gervasio (31/01/2025) - Frutas( uva e abacaxi)</t>
  </si>
  <si>
    <t>Frutas( uva e abacaxi)</t>
  </si>
  <si>
    <t>Notas_Images/eee8b526.Foto.221924.jpg</t>
  </si>
  <si>
    <t>1291222</t>
  </si>
  <si>
    <t>R$ 12,83</t>
  </si>
  <si>
    <t>5399412c</t>
  </si>
  <si>
    <t>12a10c270</t>
  </si>
  <si>
    <t>Transtusa (29/01/2025) - Bloco de passe</t>
  </si>
  <si>
    <t>Bloco de passe</t>
  </si>
  <si>
    <t>ee20c819</t>
  </si>
  <si>
    <t>27/07/2026 (Consumo) - Summer Brigoni - R$ 12,83</t>
  </si>
  <si>
    <t>ref salario Layana 2024</t>
  </si>
  <si>
    <t>d6fc9dea</t>
  </si>
  <si>
    <t>Notas_Images/5399412c.Foto.222106.jpg</t>
  </si>
  <si>
    <t>R$ 585,00</t>
  </si>
  <si>
    <t>bb564236</t>
  </si>
  <si>
    <t>Saida Outros: pagamento de freelancer kaua do dia 22/07 ate 28/07</t>
  </si>
  <si>
    <t>Novo lar (30/01/2025) - Álcool em gel 1l</t>
  </si>
  <si>
    <t>Álcool em gel 1l</t>
  </si>
  <si>
    <t>28/07/2026 (Freelancer) -  - R$ 585,00</t>
  </si>
  <si>
    <t>18a0a62ec</t>
  </si>
  <si>
    <t>Notas_Images/bb564236.Foto.222318.jpg</t>
  </si>
  <si>
    <t>R$ 401,86</t>
  </si>
  <si>
    <t>1289853</t>
  </si>
  <si>
    <t>Troca de produtos</t>
  </si>
  <si>
    <t>Saida Outros: compra de papel higienico , papel toalha, durex , sabao pedra, sapolio , etc</t>
  </si>
  <si>
    <t>34af5ed6</t>
  </si>
  <si>
    <t>28/07/2026 (Compra de Mercadorias) -  - R$ 401,86</t>
  </si>
  <si>
    <t>MANI COMERCIO DE BEBIDAS (31/01/2025) - Bebidas para a loja ( refrigerante e água)</t>
  </si>
  <si>
    <t>Bebidas para a loja ( refrigerante e água)</t>
  </si>
  <si>
    <t>R$ 136,76</t>
  </si>
  <si>
    <t>Notas_Images/34af5ed6.Foto.222639.jpg</t>
  </si>
  <si>
    <t>Saida Outros: compra de frutas</t>
  </si>
  <si>
    <t>1291100</t>
  </si>
  <si>
    <t>620fdfa7</t>
  </si>
  <si>
    <t>28/07/2026 (Compra de Mercadorias) -  - R$ 136,76</t>
  </si>
  <si>
    <t>R$ 35,94</t>
  </si>
  <si>
    <t>Novo lar (02/02/2025) - Compras de luvas</t>
  </si>
  <si>
    <t>Compras de luvas</t>
  </si>
  <si>
    <t>Saida Outros: compra de manteigas</t>
  </si>
  <si>
    <t>be9a4b48</t>
  </si>
  <si>
    <t>Notas_Images/620fdfa7.Foto.211136.jpg</t>
  </si>
  <si>
    <t>29/07/2026 (Compra de Mercadorias) -  - R$ 35,94</t>
  </si>
  <si>
    <t>129513</t>
  </si>
  <si>
    <t>3e222cf3</t>
  </si>
  <si>
    <t>Saida Outros: compra de spray desmoldante</t>
  </si>
  <si>
    <t>Supermercado pag menos (01/02/2025) - Compra de lanche  para sábado e domingo</t>
  </si>
  <si>
    <t>Compra de lanche  para sábado e domingo</t>
  </si>
  <si>
    <t>eba7891b</t>
  </si>
  <si>
    <t>29/07/2026 (Compra de Mercadorias) -  - R$ 39,00</t>
  </si>
  <si>
    <t>Notas_Images/3e222cf3.Foto.211606.jpg</t>
  </si>
  <si>
    <t>1294007</t>
  </si>
  <si>
    <t>28845a58</t>
  </si>
  <si>
    <t>5def218e</t>
  </si>
  <si>
    <t>3713860a</t>
  </si>
  <si>
    <t>Utilidades miner (04/02/2025) - Utilidades miner</t>
  </si>
  <si>
    <t>29/07/2026 (Compra de Mercadorias) -  - R$ 140,00</t>
  </si>
  <si>
    <t>Utilidades miner</t>
  </si>
  <si>
    <t>Notas_Images/28845a58.Foto.212807.jpg</t>
  </si>
  <si>
    <t>R$ 379,63</t>
  </si>
  <si>
    <t>1299800</t>
  </si>
  <si>
    <t>Saida Outros: Compra de bebidas</t>
  </si>
  <si>
    <t>9ed0d4b5</t>
  </si>
  <si>
    <t>d621335c</t>
  </si>
  <si>
    <t>29/07/2026 (Compra de Mercadorias) -  - R$ 379,63</t>
  </si>
  <si>
    <t>Notas_Images/9ed0d4b5.Foto.212915.jpg</t>
  </si>
  <si>
    <t>1299811</t>
  </si>
  <si>
    <t>29/07/2026 (Consumo) - Sabrina - R$ 10,00</t>
  </si>
  <si>
    <t>8dcac35b</t>
  </si>
  <si>
    <t>6270a55a</t>
  </si>
  <si>
    <t>Cofermaco (04/02/2025) - Fita antiderrapante</t>
  </si>
  <si>
    <t>R$ 1,00</t>
  </si>
  <si>
    <t>Fita antiderrapante</t>
  </si>
  <si>
    <t>Saida Outros: Xerox/ impressão</t>
  </si>
  <si>
    <t>Notas_Images/8dcac35b.Foto.213210.jpg</t>
  </si>
  <si>
    <t>2eec6826</t>
  </si>
  <si>
    <t>1299807</t>
  </si>
  <si>
    <t>30/07/2026 (Compra de Mercadorias) -  - R$ 1,00</t>
  </si>
  <si>
    <t>b408bfb9</t>
  </si>
  <si>
    <t>RN Embalagens e Papelaria Ltda. (04/02/2025) - Papel sulfite,caderno, impressão</t>
  </si>
  <si>
    <t>Papel sulfite,caderno, impressão</t>
  </si>
  <si>
    <t>30/07/2026 (Consumo) - Sabrina - R$ 10,00</t>
  </si>
  <si>
    <t>Notas_Images/b408bfb9.Foto.213451.jpg</t>
  </si>
  <si>
    <t>1299806</t>
  </si>
  <si>
    <t>3b6ee396</t>
  </si>
  <si>
    <t>Elaine Hubl (07/02/2025) - Compras de 10kg de morango</t>
  </si>
  <si>
    <t>31/07/2026 (Compra de Mercadorias) -  - R$ 112,00</t>
  </si>
  <si>
    <t>Compras de 10kg de morango</t>
  </si>
  <si>
    <t>Notas_Images/3b6ee396.Foto.213643.jpg</t>
  </si>
  <si>
    <t>R$ 11,45</t>
  </si>
  <si>
    <t>1304840</t>
  </si>
  <si>
    <t>37598ae8</t>
  </si>
  <si>
    <t>31/07/2026 (Consumo) - Sabrina - R$ 11,45</t>
  </si>
  <si>
    <t>Gervasio (04/02/2025) - Compras de frutas,uva,manga,abacaxi,banana</t>
  </si>
  <si>
    <t>Compras de frutas,uva,manga,abacaxi,banana</t>
  </si>
  <si>
    <t>R$ 91,51</t>
  </si>
  <si>
    <t>Saida Outros: consumo Sabrina</t>
  </si>
  <si>
    <t>Notas_Images/37598ae8.Foto.213910.jpg</t>
  </si>
  <si>
    <t>1304834</t>
  </si>
  <si>
    <t>31/07/2026 (Consumo) - Sabrina - R$ 91,51</t>
  </si>
  <si>
    <t>0f20fb30</t>
  </si>
  <si>
    <t>Gervasio (07/02/2025) - Compras de frutas,manga,uva.</t>
  </si>
  <si>
    <t>Compras de frutas,manga,uva.</t>
  </si>
  <si>
    <t>Notas_Images/0f20fb30.Foto.214044.jpg</t>
  </si>
  <si>
    <t>31/07/2026 (Consumo) - Sabrina - R$ 15,00</t>
  </si>
  <si>
    <t>1304829</t>
  </si>
  <si>
    <t>1eca2f1e6</t>
  </si>
  <si>
    <t>7e56e3da</t>
  </si>
  <si>
    <t>adiantamento</t>
  </si>
  <si>
    <t>Pagmenos (07/02/2025) - Compras de lanche para sábado e domingo ,Sabão e Sapolio</t>
  </si>
  <si>
    <t>Compras de lanche para sábado e domingo ,Sabão e Sapolio</t>
  </si>
  <si>
    <t>31/07/2026 (Freelancer) -  - R$ 52,50</t>
  </si>
  <si>
    <t>Notas_Images/7e56e3da.Foto.214203.jpg</t>
  </si>
  <si>
    <t>1304839</t>
  </si>
  <si>
    <t>R$ 207,96</t>
  </si>
  <si>
    <t>Saida Outros: compra de frutas uva ; banana, abacaxi e manga Lanche para final de semana</t>
  </si>
  <si>
    <t>1fa6806d3</t>
  </si>
  <si>
    <t>50ce1c39</t>
  </si>
  <si>
    <t>6ec93404</t>
  </si>
  <si>
    <t>Vale transporte Cleimara e Sabrina</t>
  </si>
  <si>
    <t>Pedidos 10 (11/02/2025) - Compra de pizza para loja funcionarios</t>
  </si>
  <si>
    <t>Compra de pizza para loja funcionarios</t>
  </si>
  <si>
    <t>Notas_Images/50ce1c39.Foto.195603.jpg</t>
  </si>
  <si>
    <t>1314024</t>
  </si>
  <si>
    <t>56ed13e3</t>
  </si>
  <si>
    <t>Gervasio (10/02/2025) - Compra de frutas</t>
  </si>
  <si>
    <t>Notas_Images/56ed13e3.Foto.195750.jpg</t>
  </si>
  <si>
    <t>1312036</t>
  </si>
  <si>
    <t>74fbf2a5</t>
  </si>
  <si>
    <t>Elaine Hubl (07/02/2025) - Compras de morango</t>
  </si>
  <si>
    <t>Compras de morango</t>
  </si>
  <si>
    <t>17d0a1a8d</t>
  </si>
  <si>
    <t>01/08/2026 (Compra de Mercadorias) -  - R$ 207,96</t>
  </si>
  <si>
    <t>Notas_Images/74fbf2a5.Foto.200138.jpg</t>
  </si>
  <si>
    <t>1312195</t>
  </si>
  <si>
    <t>Decoração Páscoa</t>
  </si>
  <si>
    <t>246c610b</t>
  </si>
  <si>
    <t>165ea45c</t>
  </si>
  <si>
    <t>Simão Perovano Ltda (12/02/2025) - Compra água de coco e sucos</t>
  </si>
  <si>
    <t>Compra água de coco e sucos</t>
  </si>
  <si>
    <t>R$ 134,00</t>
  </si>
  <si>
    <t>Notas_Images/165ea45c.Foto.200452.jpg</t>
  </si>
  <si>
    <t>1dc633051</t>
  </si>
  <si>
    <t>1315529</t>
  </si>
  <si>
    <t>Saida Outros: pagamento de freelance referente Fernanda referente dias 29/07 e 30/07</t>
  </si>
  <si>
    <t>Lembrança dia das mulheres</t>
  </si>
  <si>
    <t>e1a28cfb</t>
  </si>
  <si>
    <t>4561e5c3</t>
  </si>
  <si>
    <t>6d1b6cdf</t>
  </si>
  <si>
    <t>01/08/2026 (Freelancer) -  - R$ 134,00</t>
  </si>
  <si>
    <t>Papelaria (05/02/2025) - Impressao</t>
  </si>
  <si>
    <t>Impressao</t>
  </si>
  <si>
    <t>Notas_Images/e1a28cfb.Foto.200605.jpg</t>
  </si>
  <si>
    <t>R$ 650,00</t>
  </si>
  <si>
    <t>1314025</t>
  </si>
  <si>
    <t>120a5f97c</t>
  </si>
  <si>
    <t>9b196d5a</t>
  </si>
  <si>
    <t>Dia das mulheres</t>
  </si>
  <si>
    <t>Chaveiro Ritzman (12/02/2025) - Cópia de chaves</t>
  </si>
  <si>
    <t>Cópia de chaves</t>
  </si>
  <si>
    <t>01/08/2026 (Sangria) - Mariselma - R$ 650,00</t>
  </si>
  <si>
    <t>Notas_Images/9b196d5a.Foto.200730.jpg</t>
  </si>
  <si>
    <t>1314026</t>
  </si>
  <si>
    <t>4128e47c</t>
  </si>
  <si>
    <t>12e609f27</t>
  </si>
  <si>
    <t>Saida Outros: pagamento freelancer Mari das 13h ate 21h</t>
  </si>
  <si>
    <t>segurança</t>
  </si>
  <si>
    <t>Novo lar (08/02/2025) - Toalha interfolha e toucas descartável</t>
  </si>
  <si>
    <t>5f645fb6</t>
  </si>
  <si>
    <t>Toalha interfolha e toucas descartável</t>
  </si>
  <si>
    <t>01/08/2026 (Freelancer) -  - R$ 120,00</t>
  </si>
  <si>
    <t>Notas_Images/4128e47c.Foto.201055.jpg</t>
  </si>
  <si>
    <t>1307243</t>
  </si>
  <si>
    <t>Saida Outros: pagamento freelancer Carla das 13h ate as 21h</t>
  </si>
  <si>
    <t>f0ac4b85</t>
  </si>
  <si>
    <t>Amadelli (11/02/2025) - Copos chaveiros e coberturas</t>
  </si>
  <si>
    <t>Copos chaveiros e coberturas</t>
  </si>
  <si>
    <t>13f777b9d</t>
  </si>
  <si>
    <t>Notas_Images/f0ac4b85.Foto.202049.jpg</t>
  </si>
  <si>
    <t>R$ 82,00</t>
  </si>
  <si>
    <t>a35adbc9</t>
  </si>
  <si>
    <t>Exame Renata</t>
  </si>
  <si>
    <t>Saida Outros: Pagamento freelancer Yohana das 13:30 até as 20:00</t>
  </si>
  <si>
    <t>Prefeitura Municipal de Ibiporã (11/02/2025) - Pagamento prefeitura</t>
  </si>
  <si>
    <t>Pagamento prefeitura</t>
  </si>
  <si>
    <t>02/08/2026 (Freelancer) -  - R$ 82,00</t>
  </si>
  <si>
    <t>Notas_Images/a35adbc9.Foto.210329.jpg</t>
  </si>
  <si>
    <t>172ced8c2</t>
  </si>
  <si>
    <t>4f0b32e1</t>
  </si>
  <si>
    <t>Amadelli (16/02/2025) - Sorvetes</t>
  </si>
  <si>
    <t>Saida Outros: Pagamento freelancer Carla das 13h até as 21h</t>
  </si>
  <si>
    <t>Notas_Images/4f0b32e1.Foto.170530.jpg</t>
  </si>
  <si>
    <t>Notas_Images/4f0b32e1.Foto 1.170611.jpg</t>
  </si>
  <si>
    <t>2b52c30c</t>
  </si>
  <si>
    <t>02/08/2026 (Freelancer) -  - R$ 120,00</t>
  </si>
  <si>
    <t>The Best Açaí (13/02/2025) - Pagamento para franquia</t>
  </si>
  <si>
    <t>Pagamento para franquia</t>
  </si>
  <si>
    <t>Notas_Images/2b52c30c.Foto.171240.jpg</t>
  </si>
  <si>
    <t>R$ 113,00</t>
  </si>
  <si>
    <t>10308a758</t>
  </si>
  <si>
    <t>7de93e23</t>
  </si>
  <si>
    <t>Saida Outros: Pagamento de freelancer Jeniffer das 13:30 até as 21h</t>
  </si>
  <si>
    <t>a3f8b00b</t>
  </si>
  <si>
    <t>Super mercado mariantal (13/02/2025) - Compra de utensílios para a loja</t>
  </si>
  <si>
    <t>3 meses</t>
  </si>
  <si>
    <t>Compra de utensílios para a loja</t>
  </si>
  <si>
    <t>02/08/2026 (Freelancer) -  - R$ 113,00</t>
  </si>
  <si>
    <t>Notas_Images/7de93e23.Foto.213847.jpg</t>
  </si>
  <si>
    <t>1318966</t>
  </si>
  <si>
    <t>20cb4d64</t>
  </si>
  <si>
    <t>Saida Outros: Pagamento de freelancer Jonathan das 13:30 até as 21h</t>
  </si>
  <si>
    <t>Gervasio (14/02/2025) - Frutas</t>
  </si>
  <si>
    <t>Notas_Images/20cb4d64.Foto.214024.jpg</t>
  </si>
  <si>
    <t>1319052</t>
  </si>
  <si>
    <t>845739be</t>
  </si>
  <si>
    <t>R$ 600,00</t>
  </si>
  <si>
    <t>Saida Outros: Pagamento de Motoboy João do dia 27/07 até dia 02/08</t>
  </si>
  <si>
    <t>Supermercado Mariental Ltda ME (17/02/2025) - Aniversário da funcionária Sabrina</t>
  </si>
  <si>
    <t>Aniversário da funcionária Sabrina</t>
  </si>
  <si>
    <t>02/08/2026 (Motoboy) -  - R$ 600,00</t>
  </si>
  <si>
    <t>Notas_Images/845739be.Foto.214155.jpg</t>
  </si>
  <si>
    <t>1325934</t>
  </si>
  <si>
    <t>R$ 5,00</t>
  </si>
  <si>
    <t>25c5791a</t>
  </si>
  <si>
    <t>MANI COMERCIO DE BEBIDAS (13/02/2025) - Bebidas</t>
  </si>
  <si>
    <t>Notas_Images/25c5791a.Foto.214325.jpg</t>
  </si>
  <si>
    <t>03/08/2026 (Consumo) - Sabrina - R$ 5,00</t>
  </si>
  <si>
    <t>1318903</t>
  </si>
  <si>
    <t>6a7e0ecd</t>
  </si>
  <si>
    <t>Parcela 2/10</t>
  </si>
  <si>
    <t>Fruta ( morango) (17/02/2025) - Morangos Eliane</t>
  </si>
  <si>
    <t>Morangos Eliane</t>
  </si>
  <si>
    <t>Notas_Images/6a7e0ecd.Foto.214617.jpg</t>
  </si>
  <si>
    <t>Saida Outros: COMPRA DE 5KG MORANGOS ELAINE HUEBL</t>
  </si>
  <si>
    <t>1318540</t>
  </si>
  <si>
    <t>14d797998</t>
  </si>
  <si>
    <t>03/08/2026 (Compra de Mercadorias) -  - R$ 140,00</t>
  </si>
  <si>
    <t>706c721d</t>
  </si>
  <si>
    <t>4c7ed06e</t>
  </si>
  <si>
    <t>R$ 950,00</t>
  </si>
  <si>
    <t>Fruta ( morango) (17/02/2025) - Morangos Elaine</t>
  </si>
  <si>
    <t>Morangos Elaine</t>
  </si>
  <si>
    <t>Saida Outros: sANGRIA SABRINA</t>
  </si>
  <si>
    <t>Notas_Images/4c7ed06e.Foto.214741.jpg</t>
  </si>
  <si>
    <t>03/08/2026 (Sangria) - Sabrina - R$ 950,00</t>
  </si>
  <si>
    <t>fe606876</t>
  </si>
  <si>
    <t>a6900b3d</t>
  </si>
  <si>
    <t>Salgados (17/02/2025) - Salgados parao aniversário da funcionária sabrina</t>
  </si>
  <si>
    <t>Salgados parao aniversário da funcionária sabrina</t>
  </si>
  <si>
    <t>Notas_Images/fe606876.Foto.214934.jpg</t>
  </si>
  <si>
    <t>1325941</t>
  </si>
  <si>
    <t>Farmacia (15/02/2025) - Compra de remédios</t>
  </si>
  <si>
    <t>Compra de remédios</t>
  </si>
  <si>
    <t>Notas_Images/51793317.Foto.215438.jpg</t>
  </si>
  <si>
    <t>1320094</t>
  </si>
  <si>
    <t>cf21b679</t>
  </si>
  <si>
    <t>Supermercado Mariental Ltda ME (15/02/2025) - Lanche do final de semana</t>
  </si>
  <si>
    <t>Lanche do final de semana</t>
  </si>
  <si>
    <t>Notas_Images/cf21b679.Foto.215643.jpg</t>
  </si>
  <si>
    <t>1320071</t>
  </si>
  <si>
    <t>7784b355</t>
  </si>
  <si>
    <t>SAMAE (24/11/2024) - Água</t>
  </si>
  <si>
    <t>Notas_Images/7784b355.Foto.180820.jpg</t>
  </si>
  <si>
    <t>485f5620</t>
  </si>
  <si>
    <t>Gervasio (21/02/2025) - Frutas</t>
  </si>
  <si>
    <t>1ce0dfe58</t>
  </si>
  <si>
    <t>Notas_Images/485f5620.Foto.221921.jpg</t>
  </si>
  <si>
    <t>1332165</t>
  </si>
  <si>
    <t>f200d63e</t>
  </si>
  <si>
    <t>Gervasio (18/02/2025) - Frutas</t>
  </si>
  <si>
    <t>Notas_Images/f200d63e.Foto.221951.jpg</t>
  </si>
  <si>
    <t>1b520f396</t>
  </si>
  <si>
    <t>1327203</t>
  </si>
  <si>
    <t>bb79c82a</t>
  </si>
  <si>
    <t>fevereiro</t>
  </si>
  <si>
    <t>RN Embalagens e Papelaria Ltda. (18/02/2025) - Impressões</t>
  </si>
  <si>
    <t>Notas_Images/bb79c82a.Foto.221959.jpg</t>
  </si>
  <si>
    <t>1339776</t>
  </si>
  <si>
    <t>e9a714fd</t>
  </si>
  <si>
    <t>RN Embalagens e Papelaria Ltda. (24/02/2025) - Impressões</t>
  </si>
  <si>
    <t>15b5409e5</t>
  </si>
  <si>
    <t>Notas_Images/e9a714fd.Foto.222008.jpg</t>
  </si>
  <si>
    <t>1339772</t>
  </si>
  <si>
    <t>e50e3e80</t>
  </si>
  <si>
    <t>Sapus Fest (24/02/2025) - Esponja de vidros</t>
  </si>
  <si>
    <t>Esponja de vidros</t>
  </si>
  <si>
    <t>Notas_Images/e50e3e80.Foto.222206.jpg</t>
  </si>
  <si>
    <t>1339766</t>
  </si>
  <si>
    <t>5b0fdbd3</t>
  </si>
  <si>
    <t>1b7080f1d</t>
  </si>
  <si>
    <t>100cc3930</t>
  </si>
  <si>
    <t>março</t>
  </si>
  <si>
    <t>841e85d3</t>
  </si>
  <si>
    <t>1ae66b46e</t>
  </si>
  <si>
    <t>Produto</t>
  </si>
  <si>
    <t>Quantidade</t>
  </si>
  <si>
    <t>1d6481990</t>
  </si>
  <si>
    <t>ValorTotal</t>
  </si>
  <si>
    <t>ITEM-1d26b2e3d1-1</t>
  </si>
  <si>
    <t>1d26b2e3d1</t>
  </si>
  <si>
    <t>ITEM-1ae4bc58f1-1</t>
  </si>
  <si>
    <t>1ae4bc58f1</t>
  </si>
  <si>
    <t>ITEM-114284683e-1</t>
  </si>
  <si>
    <t>114284683e</t>
  </si>
  <si>
    <t>ITEM-1e589c173-1</t>
  </si>
  <si>
    <t>1e589c173</t>
  </si>
  <si>
    <t>ITEM-1abd5c435-1</t>
  </si>
  <si>
    <t>1abd5c435</t>
  </si>
  <si>
    <t>1747da5ef</t>
  </si>
  <si>
    <t>7cacd2d3</t>
  </si>
  <si>
    <t>4 faturas agrupadas</t>
  </si>
  <si>
    <t>ITEM-198c4586c-1</t>
  </si>
  <si>
    <t>1836c060</t>
  </si>
  <si>
    <t>198c4586c</t>
  </si>
  <si>
    <t>ITEM-11c2ba78c-1</t>
  </si>
  <si>
    <t>11c2ba78c</t>
  </si>
  <si>
    <t>793c2e7a</t>
  </si>
  <si>
    <t>13a941229</t>
  </si>
  <si>
    <t>ITEM-1ff2b2cf3-1</t>
  </si>
  <si>
    <t>1ff2b2cf3</t>
  </si>
  <si>
    <t>3 camiseta 2 aventais</t>
  </si>
  <si>
    <t>ITEM-1a1ec1883-1</t>
  </si>
  <si>
    <t>1a1ec1883</t>
  </si>
  <si>
    <t>ITEM-19a4a35ad-1</t>
  </si>
  <si>
    <t>19a4a35ad</t>
  </si>
  <si>
    <t>1de95a344</t>
  </si>
  <si>
    <t>e6b016a3</t>
  </si>
  <si>
    <t>ITEM-16e6c625e-1</t>
  </si>
  <si>
    <t>16e6c625e</t>
  </si>
  <si>
    <t>Decorçao Pascoa</t>
  </si>
  <si>
    <t>ITEM-1ad71de2d-1</t>
  </si>
  <si>
    <t>1ad71de2d</t>
  </si>
  <si>
    <t>13e24aea6</t>
  </si>
  <si>
    <t>ITEM-13579cb4d12-1</t>
  </si>
  <si>
    <t>13579cb4d12</t>
  </si>
  <si>
    <t>Pedestal de isolamento</t>
  </si>
  <si>
    <t>ITEM-123d3de7f12-1</t>
  </si>
  <si>
    <t>123d3de7f12</t>
  </si>
  <si>
    <t>ITEM-17ab58a9312-1</t>
  </si>
  <si>
    <t>17ab58a9312</t>
  </si>
  <si>
    <t>8fc3cc65</t>
  </si>
  <si>
    <t>103b4d211</t>
  </si>
  <si>
    <t>ITEM-14c48e92712-1</t>
  </si>
  <si>
    <t>14c48e92712</t>
  </si>
  <si>
    <t>c31c2697</t>
  </si>
  <si>
    <t>decoração Pascoa</t>
  </si>
  <si>
    <t>ITEM-13fdd9a2112-1</t>
  </si>
  <si>
    <t>13fdd9a2112</t>
  </si>
  <si>
    <t>9cc3c814</t>
  </si>
  <si>
    <t>ITEM-19f9da10d-1</t>
  </si>
  <si>
    <t>19f9da10d</t>
  </si>
  <si>
    <t>5dd08498</t>
  </si>
  <si>
    <t>ITEM-1b2ec0f4f-1</t>
  </si>
  <si>
    <t>1b2ec0f4f</t>
  </si>
  <si>
    <t>1f9d566e1</t>
  </si>
  <si>
    <t>2c81c5c8</t>
  </si>
  <si>
    <t>ITEM-1fd6e4540-1</t>
  </si>
  <si>
    <t>1fd6e4540</t>
  </si>
  <si>
    <t>Caixas organizadoras/ Mari perdeu a nota</t>
  </si>
  <si>
    <t>f08fbc86</t>
  </si>
  <si>
    <t>ITEM-13097086a12-1</t>
  </si>
  <si>
    <t>13097086a12</t>
  </si>
  <si>
    <t>ITEM-1f422883512-1</t>
  </si>
  <si>
    <t>1f422883512</t>
  </si>
  <si>
    <t>ITEM-104fbd6f212-1</t>
  </si>
  <si>
    <t>104fbd6f212</t>
  </si>
  <si>
    <t>e1af79ad</t>
  </si>
  <si>
    <t>ITEM-1adb638b412-1</t>
  </si>
  <si>
    <t>1adb638b412</t>
  </si>
  <si>
    <t>1ba4197e5</t>
  </si>
  <si>
    <t>ITEM-19b410de212-1</t>
  </si>
  <si>
    <t>19b410de212</t>
  </si>
  <si>
    <t>ITEM-1d0bee92f12-1</t>
  </si>
  <si>
    <t>1d0bee92f12</t>
  </si>
  <si>
    <t>ITEM-10500d69b12-1</t>
  </si>
  <si>
    <t>Cia Da Saúde (24/02/2025) - Compra de bicarbonato de sódio</t>
  </si>
  <si>
    <t>10500d69b12</t>
  </si>
  <si>
    <t>13fa8fa51</t>
  </si>
  <si>
    <t>b539a5bd</t>
  </si>
  <si>
    <t>Compra de bicarbonato de sódio</t>
  </si>
  <si>
    <t>ITEM-1cd070ef0-1</t>
  </si>
  <si>
    <t>1cd070ef0</t>
  </si>
  <si>
    <t>ITEM-1551-1</t>
  </si>
  <si>
    <t>Notas_Images/5b0fdbd3.Foto.222530.jpg</t>
  </si>
  <si>
    <t>ITEM-1552-1</t>
  </si>
  <si>
    <t>1b96fa374</t>
  </si>
  <si>
    <t>2e69bdd3</t>
  </si>
  <si>
    <t>1339708</t>
  </si>
  <si>
    <t>ITEM-1664b3bb3-1</t>
  </si>
  <si>
    <t>1664b3bb3</t>
  </si>
  <si>
    <t>2 coelhos</t>
  </si>
  <si>
    <t>01372a83</t>
  </si>
  <si>
    <t>ITEM-101c45ddb-1</t>
  </si>
  <si>
    <t>101c45ddb</t>
  </si>
  <si>
    <t>a9ce3086</t>
  </si>
  <si>
    <t>ITEM-10506bda5-1</t>
  </si>
  <si>
    <t>10506bda5</t>
  </si>
  <si>
    <t>ITEM-1adb06a20-1</t>
  </si>
  <si>
    <t>1adb06a20</t>
  </si>
  <si>
    <t>Supermercado Mariental Ltda ME (22/02/2025) - Compra lanche final de semana</t>
  </si>
  <si>
    <t>e508d314</t>
  </si>
  <si>
    <t>Compra lanche final de semana</t>
  </si>
  <si>
    <t>Notas_Images/a9ce3086.Foto.222702.jpg</t>
  </si>
  <si>
    <t>ITEM-1e50f5262-1</t>
  </si>
  <si>
    <t>1e50f5262</t>
  </si>
  <si>
    <t>1337834</t>
  </si>
  <si>
    <t>636867a2</t>
  </si>
  <si>
    <t>ITEM-1af62d1ec-1</t>
  </si>
  <si>
    <t>1af62d1ec</t>
  </si>
  <si>
    <t>Hiper (26/02/2025) - Gancho vassouras</t>
  </si>
  <si>
    <t>Gancho vassouras</t>
  </si>
  <si>
    <t>ITEM-14eb58c19-1</t>
  </si>
  <si>
    <t>14eb58c19</t>
  </si>
  <si>
    <t>58813a7c</t>
  </si>
  <si>
    <t>Notas_Images/636867a2.Foto.222910.jpg</t>
  </si>
  <si>
    <t>1342967</t>
  </si>
  <si>
    <t>ITEM-19b03d62b-1</t>
  </si>
  <si>
    <t>19b03d62b</t>
  </si>
  <si>
    <t>18b4b2358</t>
  </si>
  <si>
    <t>44b728dc</t>
  </si>
  <si>
    <t>ITEM-1fab14538-1</t>
  </si>
  <si>
    <t>1fab14538</t>
  </si>
  <si>
    <t>Gervasio (26/02/2025) - Frutas</t>
  </si>
  <si>
    <t>ITEM-1566-1</t>
  </si>
  <si>
    <t>Notas_Images/44b728dc.Foto.223108.jpg</t>
  </si>
  <si>
    <t>1342987</t>
  </si>
  <si>
    <t>ITEM-1567-1</t>
  </si>
  <si>
    <t>44e47e43</t>
  </si>
  <si>
    <t>ITEM-18ef34c5b-1</t>
  </si>
  <si>
    <t>Elaine Hubl (21/02/2025) - Morangos</t>
  </si>
  <si>
    <t>18ef34c5b</t>
  </si>
  <si>
    <t>Morangos</t>
  </si>
  <si>
    <t>Notas_Images/44e47e43.Foto.223326.jpg</t>
  </si>
  <si>
    <t>ITEM-184adda28-1</t>
  </si>
  <si>
    <t>184adda28</t>
  </si>
  <si>
    <t>1331735</t>
  </si>
  <si>
    <t>1d5d320e</t>
  </si>
  <si>
    <t>Novo lar (26/02/2025) - Compra papel,sacos de lixo,alcool</t>
  </si>
  <si>
    <t>Compra papel,sacos de lixo,alcool</t>
  </si>
  <si>
    <t>Notas_Images/1d5d320e.Foto.223510.jpg</t>
  </si>
  <si>
    <t>1342984</t>
  </si>
  <si>
    <t>7866209f</t>
  </si>
  <si>
    <t>ITEM-1569-1</t>
  </si>
  <si>
    <t>Amadelli (25/02/2025) - Compra de baldes e secos</t>
  </si>
  <si>
    <t>Compra de baldes e secos</t>
  </si>
  <si>
    <t>ITEM-1570-1</t>
  </si>
  <si>
    <t>Notas_Images/7866209f.Foto.213900.jpg</t>
  </si>
  <si>
    <t>1cc850406</t>
  </si>
  <si>
    <t>ITEM-1571-1</t>
  </si>
  <si>
    <t>Notas_Images/7866209f.Foto 1.214537.jpg</t>
  </si>
  <si>
    <t>fd694be9</t>
  </si>
  <si>
    <t>Amadelli (25/02/2025) - Direito de uso da marca</t>
  </si>
  <si>
    <t>ITEM-1572-1</t>
  </si>
  <si>
    <t>Direito de uso da marca</t>
  </si>
  <si>
    <t>Notas_Images/fd694be9.Foto.214844.jpg</t>
  </si>
  <si>
    <t>ITEM-1573-1</t>
  </si>
  <si>
    <t>5ecb6418</t>
  </si>
  <si>
    <t>15cb3f8d8</t>
  </si>
  <si>
    <t>Elaine Hubl (28/02/2025) - Compra de Morangos</t>
  </si>
  <si>
    <t>ITEM-1574-1</t>
  </si>
  <si>
    <t>Compra de Morangos</t>
  </si>
  <si>
    <t>Notas_Images/5ecb6418.Foto.165325.jpg</t>
  </si>
  <si>
    <t>ITEM-1575-1</t>
  </si>
  <si>
    <t>1345772</t>
  </si>
  <si>
    <t>2e7cd5d7</t>
  </si>
  <si>
    <t>ITEM-1576-1</t>
  </si>
  <si>
    <t>14b6f911e</t>
  </si>
  <si>
    <t>Elaine Hubl (03/03/2025) - Compra de Morangos</t>
  </si>
  <si>
    <t>Notas_Images/2e7cd5d7.Foto.165457.jpg</t>
  </si>
  <si>
    <t>ITEM-1577-1</t>
  </si>
  <si>
    <t>1353848</t>
  </si>
  <si>
    <t>91036ce5</t>
  </si>
  <si>
    <t>ITEM-1578-1</t>
  </si>
  <si>
    <t>1b4fb90e4</t>
  </si>
  <si>
    <t>Supermercado pag menos (01/03/2025) - Compra de lanche final de semana</t>
  </si>
  <si>
    <t>ITEM-171608141-1</t>
  </si>
  <si>
    <t>Compra de lanche final de semana</t>
  </si>
  <si>
    <t>Março</t>
  </si>
  <si>
    <t>ITEM-1e8549346-1</t>
  </si>
  <si>
    <t>Notas_Images/91036ce5.Foto.165650.jpg</t>
  </si>
  <si>
    <t>1e8549346</t>
  </si>
  <si>
    <t>1348651</t>
  </si>
  <si>
    <t>3ac8011e</t>
  </si>
  <si>
    <t>c5402186</t>
  </si>
  <si>
    <t>ITEM-10126eda6-1</t>
  </si>
  <si>
    <t>10126eda6</t>
  </si>
  <si>
    <t>1f07559bd</t>
  </si>
  <si>
    <t>Gervasio (01/03/2025) - Compra de frutas</t>
  </si>
  <si>
    <t>ITEM-1c890b885-1</t>
  </si>
  <si>
    <t>1c890b885</t>
  </si>
  <si>
    <t>Notas_Images/c5402186.Foto.165741.jpg</t>
  </si>
  <si>
    <t>1348657</t>
  </si>
  <si>
    <t>ITEM-1587-1</t>
  </si>
  <si>
    <t>cff6e833</t>
  </si>
  <si>
    <t>ITEM-1588-1</t>
  </si>
  <si>
    <t>Komprao (02/03/2025) - Compra de almoço Mari e Erick ficou na loja para receber os sorvetes</t>
  </si>
  <si>
    <t>Compra de almoço Mari e Erick ficou na loja para receber os sorvetes</t>
  </si>
  <si>
    <t>6b4bdc05</t>
  </si>
  <si>
    <t>1e15de80c</t>
  </si>
  <si>
    <t>Notas_Images/cff6e833.Foto.170629.jpg</t>
  </si>
  <si>
    <t>ITEM-1589-1</t>
  </si>
  <si>
    <t>1351807</t>
  </si>
  <si>
    <t>d8892ca3</t>
  </si>
  <si>
    <t>Kit automação</t>
  </si>
  <si>
    <t>7c471ac5</t>
  </si>
  <si>
    <t>ITEM-1590-1</t>
  </si>
  <si>
    <t>MANI COMERCIO DE BEBIDAS (28/02/2025) - Compra bebidas</t>
  </si>
  <si>
    <t>Compra bebidas</t>
  </si>
  <si>
    <t>Notas_Images/d8892ca3.Foto.214420.jpg</t>
  </si>
  <si>
    <t>1345777</t>
  </si>
  <si>
    <t>ITEM-1591-1</t>
  </si>
  <si>
    <t>f8569582</t>
  </si>
  <si>
    <t>1b7585fdc</t>
  </si>
  <si>
    <t>Amadelli (28/02/2025) - Direito de uso de marca</t>
  </si>
  <si>
    <t>ITEM-1591_2-1</t>
  </si>
  <si>
    <t>Direito de uso de marca</t>
  </si>
  <si>
    <t>1591_2</t>
  </si>
  <si>
    <t>Notas_Images/f8569582.Foto.214618.jpg</t>
  </si>
  <si>
    <t>3 aparelhos</t>
  </si>
  <si>
    <t>38ae6647</t>
  </si>
  <si>
    <t>ITEM-1592-1</t>
  </si>
  <si>
    <t>7b731402</t>
  </si>
  <si>
    <t>ITEM-1593-1</t>
  </si>
  <si>
    <t>Amadelli (28/02/2025) - Compra de sorvetes e acai</t>
  </si>
  <si>
    <t>Compra de sorvetes e acai</t>
  </si>
  <si>
    <t>Notas_Images/7b731402.Foto.215031.jpg</t>
  </si>
  <si>
    <t>ITEM-1594-1</t>
  </si>
  <si>
    <t>196f6e012</t>
  </si>
  <si>
    <t>Notas_Images/7b731402.Foto 1.215140.jpg</t>
  </si>
  <si>
    <t>Notas_Images/7b731402.Foto 2.215140.jpg</t>
  </si>
  <si>
    <t>abril</t>
  </si>
  <si>
    <t>ITEM-1595-1</t>
  </si>
  <si>
    <t>b51c7a2b</t>
  </si>
  <si>
    <t>ITEM-1596-1</t>
  </si>
  <si>
    <t>Gervasio (05/03/2025) - Compra de Frutas</t>
  </si>
  <si>
    <t>Compra de Frutas</t>
  </si>
  <si>
    <t>Notas_Images/b51c7a2b.Foto.175940.jpg</t>
  </si>
  <si>
    <t>ITEM-136e5480a-1</t>
  </si>
  <si>
    <t>136e5480a</t>
  </si>
  <si>
    <t>1cd9f4aff</t>
  </si>
  <si>
    <t>1359050</t>
  </si>
  <si>
    <t>f01ad73b</t>
  </si>
  <si>
    <t>810bbdf7</t>
  </si>
  <si>
    <t>ITEM-1d07f9865-1</t>
  </si>
  <si>
    <t>1d07f9865</t>
  </si>
  <si>
    <t>Komprao (03/03/2025) - Produtos de limpeza</t>
  </si>
  <si>
    <t>ITEM-19eee80ec-1</t>
  </si>
  <si>
    <t>19eee80ec</t>
  </si>
  <si>
    <t>6d6a9402</t>
  </si>
  <si>
    <t>Notas_Images/810bbdf7.Foto.180516.jpg</t>
  </si>
  <si>
    <t>ITEM-1603-1</t>
  </si>
  <si>
    <t>1356731</t>
  </si>
  <si>
    <t>19401eef3</t>
  </si>
  <si>
    <t>dd87b1d8</t>
  </si>
  <si>
    <t>Elaine Hubl (07/03/2025) - Compra de morangos</t>
  </si>
  <si>
    <t>Compra de morangos</t>
  </si>
  <si>
    <t>ITEM-1320f290c-1</t>
  </si>
  <si>
    <t>Notas_Images/dd87b1d8.Foto.183204.jpg</t>
  </si>
  <si>
    <t>1320f290c</t>
  </si>
  <si>
    <t>1361542</t>
  </si>
  <si>
    <t>ITEM-185d34e4d-1</t>
  </si>
  <si>
    <t>18cd40810</t>
  </si>
  <si>
    <t>185d34e4d</t>
  </si>
  <si>
    <t>aaa0d858</t>
  </si>
  <si>
    <t>energético vo 360</t>
  </si>
  <si>
    <t>ITEM-100365b3e-1</t>
  </si>
  <si>
    <t>100365b3e</t>
  </si>
  <si>
    <t>MANI COMERCIO DE BEBIDAS (06/03/2025) - Compra de Aguas</t>
  </si>
  <si>
    <t>Compra de Aguas</t>
  </si>
  <si>
    <t>ITEM-14ee8aef2-1</t>
  </si>
  <si>
    <t>14ee8aef2</t>
  </si>
  <si>
    <t>Notas_Images/aaa0d858.Foto.183415.jpg</t>
  </si>
  <si>
    <t>14c7e407b</t>
  </si>
  <si>
    <t>1361589</t>
  </si>
  <si>
    <t>ITEM-1608-1</t>
  </si>
  <si>
    <t>Paguei com conta de Mafra o cliente de RN</t>
  </si>
  <si>
    <t>cce46cb6</t>
  </si>
  <si>
    <t>ITEM-1609-1</t>
  </si>
  <si>
    <t>MANI COMERCIO DE BEBIDAS (04/03/2025) - Compra de Água e Refrigerantes</t>
  </si>
  <si>
    <t>Compra de Água e Refrigerantes</t>
  </si>
  <si>
    <t>ITEM-19ed7a300-1</t>
  </si>
  <si>
    <t>19ed7a300</t>
  </si>
  <si>
    <t>15c9c9218</t>
  </si>
  <si>
    <t>Notas_Images/cce46cb6.Foto.183808.jpg</t>
  </si>
  <si>
    <t>ITEM-1752dfdc2-1</t>
  </si>
  <si>
    <t>1752dfdc2</t>
  </si>
  <si>
    <t>1356740</t>
  </si>
  <si>
    <t>Carrinho de carregar caixas</t>
  </si>
  <si>
    <t>8e94a1b6</t>
  </si>
  <si>
    <t>ITEM-1613-1</t>
  </si>
  <si>
    <t>2d86d115</t>
  </si>
  <si>
    <t>db6cd407</t>
  </si>
  <si>
    <t>ITEM-1e8fca02d-1</t>
  </si>
  <si>
    <t>Elaine Hubl (10/03/2025) - Compra de morangos</t>
  </si>
  <si>
    <t>1e8fca02d</t>
  </si>
  <si>
    <t>ITEM-1615-1</t>
  </si>
  <si>
    <t>Notas_Images/2d86d115.Foto.210248.jpg</t>
  </si>
  <si>
    <t>1369393</t>
  </si>
  <si>
    <t>ITEM-1616-1</t>
  </si>
  <si>
    <t>d0587f01</t>
  </si>
  <si>
    <t>ITEM-1617-1</t>
  </si>
  <si>
    <t>123d3de7f</t>
  </si>
  <si>
    <t>ITEM-1618-1</t>
  </si>
  <si>
    <t>Novo lar (10/03/2025) - Compra de produtos de limpeza</t>
  </si>
  <si>
    <t>Seguranca</t>
  </si>
  <si>
    <t>ITEM-1f05425e2-1</t>
  </si>
  <si>
    <t>Notas_Images/d0587f01.Foto.210403.jpg</t>
  </si>
  <si>
    <t>1f05425e2</t>
  </si>
  <si>
    <t>1369407</t>
  </si>
  <si>
    <t>ITEM-17022b878-1</t>
  </si>
  <si>
    <t>1f0186ff2</t>
  </si>
  <si>
    <t>17022b878</t>
  </si>
  <si>
    <t>902a5e1e</t>
  </si>
  <si>
    <t>0fe31c8c</t>
  </si>
  <si>
    <t>18b7d957</t>
  </si>
  <si>
    <t>ITEM-1815d6b7a-1</t>
  </si>
  <si>
    <t>Conchas</t>
  </si>
  <si>
    <t>8ff26039</t>
  </si>
  <si>
    <t>1815d6b7a</t>
  </si>
  <si>
    <t>Supermercado pag menos (08/03/2025) - Compra de mortadela para lanche final de semana</t>
  </si>
  <si>
    <t>Compra de mortadela para lanche final de semana</t>
  </si>
  <si>
    <t>ITEM-17e33702c-1</t>
  </si>
  <si>
    <t>17e33702c</t>
  </si>
  <si>
    <t>872d2a3a</t>
  </si>
  <si>
    <t>Notas_Images/18b7d957.Foto.211607.jpg</t>
  </si>
  <si>
    <t>ITEM-169ed2b26-1</t>
  </si>
  <si>
    <t>1365046</t>
  </si>
  <si>
    <t>169ed2b26</t>
  </si>
  <si>
    <t>6fedeba3</t>
  </si>
  <si>
    <t>7d10b58e</t>
  </si>
  <si>
    <t>ITEM-1e717d21b-1</t>
  </si>
  <si>
    <t>1e717d21b</t>
  </si>
  <si>
    <t>Supermercado pag menos (08/03/2025) - Compra de lanche final de semana</t>
  </si>
  <si>
    <t>Notas_Images/7d10b58e.Foto.211809.jpg</t>
  </si>
  <si>
    <t>ITEM-1cb87f823-1</t>
  </si>
  <si>
    <t>1cb87f823</t>
  </si>
  <si>
    <t>1364937</t>
  </si>
  <si>
    <t>ITEM-1d236646c-1</t>
  </si>
  <si>
    <t>5b960fe7</t>
  </si>
  <si>
    <t>1d236646c</t>
  </si>
  <si>
    <t>ITEM-1b1c3d7c0-1</t>
  </si>
  <si>
    <t>Gervasio (07/03/2025) - Compra de frutas</t>
  </si>
  <si>
    <t>1b1c3d7c0</t>
  </si>
  <si>
    <t>Notas_Images/5b960fe7.Foto.211902.jpg</t>
  </si>
  <si>
    <t>ITEM-1f80d2e0c-1</t>
  </si>
  <si>
    <t>1f80d2e0c</t>
  </si>
  <si>
    <t>1361748</t>
  </si>
  <si>
    <t>ITEM-15854b981-1</t>
  </si>
  <si>
    <t>988919da</t>
  </si>
  <si>
    <t>15854b981</t>
  </si>
  <si>
    <t>ITEM-12cb9259b-1</t>
  </si>
  <si>
    <t>Sapo Ceuss (07/03/2025) - Compra de pulverizadores e caneta detectora de dinheiro falso</t>
  </si>
  <si>
    <t>12cb9259b</t>
  </si>
  <si>
    <t>Compra de pulverizadores e caneta detectora de dinheiro falso</t>
  </si>
  <si>
    <t>Notas_Images/988919da.Foto.212053.jpg</t>
  </si>
  <si>
    <t>ITEM-1803cfc92-1</t>
  </si>
  <si>
    <t>1803cfc92</t>
  </si>
  <si>
    <t>1361708</t>
  </si>
  <si>
    <t>5a2be974</t>
  </si>
  <si>
    <t>ITEM-183db829a-1</t>
  </si>
  <si>
    <t>183db829a</t>
  </si>
  <si>
    <t>ITEM-1f8602b86-1</t>
  </si>
  <si>
    <t>Simão Perovano Ltda (11/03/2025) - Compra de sucos e água de coco</t>
  </si>
  <si>
    <t>1f8602b86</t>
  </si>
  <si>
    <t>Compra de sucos e água de coco</t>
  </si>
  <si>
    <t>ITEM-14243461d-1</t>
  </si>
  <si>
    <t>14243461d</t>
  </si>
  <si>
    <t>Notas_Images/5a2be974.Foto.201235.jpg</t>
  </si>
  <si>
    <t>1372288</t>
  </si>
  <si>
    <t>ITEM-13766987d-1</t>
  </si>
  <si>
    <t>13766987d</t>
  </si>
  <si>
    <t>15a9d16e</t>
  </si>
  <si>
    <t>ITEM-1759ceecd-1</t>
  </si>
  <si>
    <t>1759ceecd</t>
  </si>
  <si>
    <t>Novo lar (11/03/2025) - Compra de álcool líquido e Sapolio</t>
  </si>
  <si>
    <t>Compra de álcool líquido e Sapolio</t>
  </si>
  <si>
    <t>ITEM-16bfd078c-1</t>
  </si>
  <si>
    <t>16bfd078c</t>
  </si>
  <si>
    <t>Parcela 3/10</t>
  </si>
  <si>
    <t>Notas_Images/15a9d16e.Foto.201432.jpg</t>
  </si>
  <si>
    <t>ITEM-1638-1</t>
  </si>
  <si>
    <t>1371158</t>
  </si>
  <si>
    <t>95b684ea</t>
  </si>
  <si>
    <t>ITEM-1639-1</t>
  </si>
  <si>
    <t>ITEM-1640-1</t>
  </si>
  <si>
    <t>SAMAE (13/03/2025) - Conta de Agua</t>
  </si>
  <si>
    <t>Conta de Agua</t>
  </si>
  <si>
    <t>ITEM-1641-1</t>
  </si>
  <si>
    <t>Notas_Images/95b684ea.Foto.202658.jpg</t>
  </si>
  <si>
    <t>ITEM-1642-1</t>
  </si>
  <si>
    <t>1aa3af772</t>
  </si>
  <si>
    <t>ITEM-1643-1</t>
  </si>
  <si>
    <t>1f5f88aa</t>
  </si>
  <si>
    <t>b43dd555</t>
  </si>
  <si>
    <t>reembolsar Mafra ( 2maquinas de Waffe)</t>
  </si>
  <si>
    <t>ITEM-1644-1</t>
  </si>
  <si>
    <t>242e30cf</t>
  </si>
  <si>
    <t>27c08043</t>
  </si>
  <si>
    <t>INMETRO (10/03/2025) - INMETRO</t>
  </si>
  <si>
    <t>INMETRO</t>
  </si>
  <si>
    <t>ITEM-1645-1</t>
  </si>
  <si>
    <t>Notas_Images/1f5f88aa.Foto.203920.jpg</t>
  </si>
  <si>
    <t>ITEM-1646-1</t>
  </si>
  <si>
    <t>15b4faaf6</t>
  </si>
  <si>
    <t>06fe9a15</t>
  </si>
  <si>
    <t>da81254b</t>
  </si>
  <si>
    <t>ITEM-1647-1</t>
  </si>
  <si>
    <t>Adesivos diversos mais adesivos vidro</t>
  </si>
  <si>
    <t>Nicopel (06/03/2025) - Certinha de Páscoa embalagem</t>
  </si>
  <si>
    <t>ITEM-15bc3d6a0-1</t>
  </si>
  <si>
    <t>Certinha de Páscoa embalagem</t>
  </si>
  <si>
    <t>15bc3d6a0</t>
  </si>
  <si>
    <t>Notas_Images/06fe9a15.Foto.205104.jpg</t>
  </si>
  <si>
    <t>ITEM-1528230ec-1</t>
  </si>
  <si>
    <t>1528230ec</t>
  </si>
  <si>
    <t>19c150d4</t>
  </si>
  <si>
    <t>ITEM-1622039b6-1</t>
  </si>
  <si>
    <t>1622039b6</t>
  </si>
  <si>
    <t>Amadelli (12/03/2025) - Gelado</t>
  </si>
  <si>
    <t>Gelado</t>
  </si>
  <si>
    <t>ITEM-18e7565de-1</t>
  </si>
  <si>
    <t>18e7565de</t>
  </si>
  <si>
    <t>Notas_Images/19c150d4.Foto.194950.jpg</t>
  </si>
  <si>
    <t>1ac85dc88</t>
  </si>
  <si>
    <t>ITEM-1893d481f-1</t>
  </si>
  <si>
    <t>1893d481f</t>
  </si>
  <si>
    <t>Notas_Images/19c150d4.Foto 1.194950.jpg</t>
  </si>
  <si>
    <t>Notas_Images/19c150d4.Foto 2.194950.jpg</t>
  </si>
  <si>
    <t>2583d3b3</t>
  </si>
  <si>
    <t>ITEM-16bb18ed5-1</t>
  </si>
  <si>
    <t>16bb18ed5</t>
  </si>
  <si>
    <t>3562e5ae</t>
  </si>
  <si>
    <t>Amadelli (12/03/2025) - Pedido gelado</t>
  </si>
  <si>
    <t>Pedido gelado</t>
  </si>
  <si>
    <t>ITEM-17ce1efc9-1</t>
  </si>
  <si>
    <t>17ce1efc9</t>
  </si>
  <si>
    <t>1bff61e7c</t>
  </si>
  <si>
    <t>Notas_Images/2583d3b3.Foto.195933.jpg</t>
  </si>
  <si>
    <t>ITEM-1ea37027c-1</t>
  </si>
  <si>
    <t>1ea37027c</t>
  </si>
  <si>
    <t>6eb33d6a</t>
  </si>
  <si>
    <t>c4b58a41</t>
  </si>
  <si>
    <t>ITEM-15b44aac3-1</t>
  </si>
  <si>
    <t>Bom Bazar (14/03/2025) - Forma de ovos de pascoa</t>
  </si>
  <si>
    <t>15b44aac3</t>
  </si>
  <si>
    <t>Forma de ovos de pascoa</t>
  </si>
  <si>
    <t>Notas_Images/6eb33d6a.Foto.200423.jpg</t>
  </si>
  <si>
    <t>ITEM-1f0052123-1</t>
  </si>
  <si>
    <t>1f0052123</t>
  </si>
  <si>
    <t>1375143</t>
  </si>
  <si>
    <t>bbacad74</t>
  </si>
  <si>
    <t>ITEM-19a469888-1</t>
  </si>
  <si>
    <t>19a469888</t>
  </si>
  <si>
    <t>Gervasio (12/03/2025) - Compra de frutas</t>
  </si>
  <si>
    <t>ITEM-155a3c058-1</t>
  </si>
  <si>
    <t>155a3c058</t>
  </si>
  <si>
    <t>Notas_Images/bbacad74.Foto.200639.jpg</t>
  </si>
  <si>
    <t>1375139</t>
  </si>
  <si>
    <t>ITEM-1cee81cff-1</t>
  </si>
  <si>
    <t>1cee81cff</t>
  </si>
  <si>
    <t>5e7251ab</t>
  </si>
  <si>
    <t>178fec3b</t>
  </si>
  <si>
    <t>ITEM-1655-1</t>
  </si>
  <si>
    <t>Elaine Hubl (14/03/2025) - 10kg de Morangos</t>
  </si>
  <si>
    <t>10kg de Morangos</t>
  </si>
  <si>
    <t>ITEM-1656-1</t>
  </si>
  <si>
    <t>Notas_Images/178fec3b.Foto.200823.jpg</t>
  </si>
  <si>
    <t>1374885</t>
  </si>
  <si>
    <t>ITEM-1657-1</t>
  </si>
  <si>
    <t>ITEM-1658-1</t>
  </si>
  <si>
    <t>968ff420</t>
  </si>
  <si>
    <t>ITEM-1659-1</t>
  </si>
  <si>
    <t>Cofermaco (19/03/2025) - Compra de cimento e argamassa para arvore de pascoa</t>
  </si>
  <si>
    <t>ITEM-1660-1</t>
  </si>
  <si>
    <t>Compra de cimento e argamassa para arvore de pascoa</t>
  </si>
  <si>
    <t>Notas_Images/968ff420.Foto.194208.jpg</t>
  </si>
  <si>
    <t>1385455</t>
  </si>
  <si>
    <t>ITEM-16f466640-1</t>
  </si>
  <si>
    <t>2db99160</t>
  </si>
  <si>
    <t>16f466640</t>
  </si>
  <si>
    <t>ITEM-1675-1</t>
  </si>
  <si>
    <t>Komprao (14/03/2025) - Compra de lanche de final de semana</t>
  </si>
  <si>
    <t>Compra de lanche de final de semana</t>
  </si>
  <si>
    <t>ITEM-1676-1</t>
  </si>
  <si>
    <t>Notas_Images/2db99160.Foto.194306.jpg</t>
  </si>
  <si>
    <t>1375508</t>
  </si>
  <si>
    <t>ITEM-18a6b79e0-1</t>
  </si>
  <si>
    <t>18a6b79e0</t>
  </si>
  <si>
    <t>4fcb9b72</t>
  </si>
  <si>
    <t>d0870c6f</t>
  </si>
  <si>
    <t>ITEM-1672-1</t>
  </si>
  <si>
    <t>41db3986</t>
  </si>
  <si>
    <t>Loja de variedades (16/03/2025) - Compra de espatula</t>
  </si>
  <si>
    <t>Compra de espatula</t>
  </si>
  <si>
    <t>ITEM-1674-1</t>
  </si>
  <si>
    <t>1685936dc</t>
  </si>
  <si>
    <t>Notas_Images/d0870c6f.Foto.194439.jpg</t>
  </si>
  <si>
    <t>f48b510c</t>
  </si>
  <si>
    <t>ITEM-1d06f2afd-1</t>
  </si>
  <si>
    <t>1d06f2afd</t>
  </si>
  <si>
    <t>Troco de moedas</t>
  </si>
  <si>
    <t>1382407</t>
  </si>
  <si>
    <t>f7a11acb</t>
  </si>
  <si>
    <t>ce37ce01</t>
  </si>
  <si>
    <t>ITEM-17df903c5-1</t>
  </si>
  <si>
    <t>17df903c5</t>
  </si>
  <si>
    <t>Loja de variedades (15/03/2025) - Compra termômetro culinario</t>
  </si>
  <si>
    <t>Compra termômetro culinario</t>
  </si>
  <si>
    <t>ITEM-1678-1</t>
  </si>
  <si>
    <t>Notas_Images/ce37ce01.Foto.194548.jpg</t>
  </si>
  <si>
    <t>1382413</t>
  </si>
  <si>
    <t>ITEM-1683-1</t>
  </si>
  <si>
    <t>30133c7d</t>
  </si>
  <si>
    <t>Gervasio (17/03/2025) - Compra de frutas</t>
  </si>
  <si>
    <t>ITEM-1684-1</t>
  </si>
  <si>
    <t>Notas_Images/30133c7d.Foto.194728.jpg</t>
  </si>
  <si>
    <t>1383810</t>
  </si>
  <si>
    <t>ITEM-120bc82ae-1</t>
  </si>
  <si>
    <t>120bc82ae</t>
  </si>
  <si>
    <t>fa8feba1</t>
  </si>
  <si>
    <t>13068f22d</t>
  </si>
  <si>
    <t>Minersol (18/03/2025) - Compra de pote de micro-ondas</t>
  </si>
  <si>
    <t>Compra de pote de micro-ondas</t>
  </si>
  <si>
    <t>ITEM-13db5ff3f-1</t>
  </si>
  <si>
    <t>REF 12-2024</t>
  </si>
  <si>
    <t>13db5ff3f</t>
  </si>
  <si>
    <t>Notas_Images/fa8feba1.Foto.194855.jpg</t>
  </si>
  <si>
    <t>1383811</t>
  </si>
  <si>
    <t>ITEM-1c72e0172-1</t>
  </si>
  <si>
    <t>1c72e0172</t>
  </si>
  <si>
    <t>5db824a8</t>
  </si>
  <si>
    <t>Loja de variedades (15/03/2025) - Compra de canudinhos</t>
  </si>
  <si>
    <t>Compra de canudinhos</t>
  </si>
  <si>
    <t>ITEM-1c970597a-1</t>
  </si>
  <si>
    <t>1c970597a</t>
  </si>
  <si>
    <t>1f2bce710</t>
  </si>
  <si>
    <t>Notas_Images/5db824a8.Foto.195027.jpg</t>
  </si>
  <si>
    <t>1382414</t>
  </si>
  <si>
    <t>3c76cd16</t>
  </si>
  <si>
    <t>Ref 01-2025</t>
  </si>
  <si>
    <t>ITEM-1699-1</t>
  </si>
  <si>
    <t>Loja de variedades (15/03/2025) - Compra de filme lusafilme</t>
  </si>
  <si>
    <t>Compra de filme lusafilme</t>
  </si>
  <si>
    <t>Notas_Images/3c76cd16.Foto.195134.jpg</t>
  </si>
  <si>
    <t>ITEM-1700-1</t>
  </si>
  <si>
    <t>1382419</t>
  </si>
  <si>
    <t>f2138a54</t>
  </si>
  <si>
    <t>17d71aa3e</t>
  </si>
  <si>
    <t>ITEM-1249fd9bd-1</t>
  </si>
  <si>
    <t>The Best Açaí (28/02/2025) - Salário de dias trabalhados antes de registro</t>
  </si>
  <si>
    <t>1249fd9bd</t>
  </si>
  <si>
    <t>Salário de dias trabalhados antes de registro</t>
  </si>
  <si>
    <t>Ref 02 2025</t>
  </si>
  <si>
    <t>Notas_Images/f2138a54.Foto.195257.jpg</t>
  </si>
  <si>
    <t>ITEM-1707-1</t>
  </si>
  <si>
    <t>1375894</t>
  </si>
  <si>
    <t>d0fe49e5</t>
  </si>
  <si>
    <t>ITEM-1708-1</t>
  </si>
  <si>
    <t>Amadelli (12/03/2025) - Compra de Secos</t>
  </si>
  <si>
    <t>Compra de Secos</t>
  </si>
  <si>
    <t>1f5a212ec</t>
  </si>
  <si>
    <t>Notas_Images/d0fe49e5.Foto.195919.jpg</t>
  </si>
  <si>
    <t>ITEM-17120282e-1</t>
  </si>
  <si>
    <t>17120282e</t>
  </si>
  <si>
    <t>d8310a3a</t>
  </si>
  <si>
    <t>ITEM-1491ea2e2-1</t>
  </si>
  <si>
    <t>Amadelli (12/03/2025) - Compra de secos</t>
  </si>
  <si>
    <t>1491ea2e2</t>
  </si>
  <si>
    <t>Compra de secos</t>
  </si>
  <si>
    <t>Notas_Images/d8310a3a.Foto.200003.jpg</t>
  </si>
  <si>
    <t>ITEM-14830ab75-1</t>
  </si>
  <si>
    <t>14830ab75</t>
  </si>
  <si>
    <t>2bcdbddc</t>
  </si>
  <si>
    <t>1ca870ab6</t>
  </si>
  <si>
    <t>ITEM-191335743-1</t>
  </si>
  <si>
    <t>retroativo</t>
  </si>
  <si>
    <t>Notas_Images/2bcdbddc.Foto.202040.jpg</t>
  </si>
  <si>
    <t>Notas_Images/2bcdbddc.Foto 1.202149.jpg</t>
  </si>
  <si>
    <t>ITEM-106f52a81-1</t>
  </si>
  <si>
    <t>bf6fbd0b</t>
  </si>
  <si>
    <t>106f52a81</t>
  </si>
  <si>
    <t>ITEM-1fa6999d8-1</t>
  </si>
  <si>
    <t>1fa6999d8</t>
  </si>
  <si>
    <t>15d8ee804</t>
  </si>
  <si>
    <t>Notas_Images/bf6fbd0b.Foto.202541.jpg</t>
  </si>
  <si>
    <t>26f7a766</t>
  </si>
  <si>
    <t>28f51a14</t>
  </si>
  <si>
    <t>ITEM-1705bd1a5-1</t>
  </si>
  <si>
    <t>Dia das mães</t>
  </si>
  <si>
    <t>1705bd1a5</t>
  </si>
  <si>
    <t>The Best Açaí (15/03/2025) - Pagamento de Eric Bruno Taisque de dias trabalhados antes de registro</t>
  </si>
  <si>
    <t>Pagamento de Eric Bruno Taisque de dias trabalhados antes de registro</t>
  </si>
  <si>
    <t>ITEM-1704-1</t>
  </si>
  <si>
    <t>Notas_Images/28f51a14.Foto.203308.jpg</t>
  </si>
  <si>
    <t>1377278</t>
  </si>
  <si>
    <t>9011add4</t>
  </si>
  <si>
    <t>ITEM-1705-1</t>
  </si>
  <si>
    <t>1156c6d3e</t>
  </si>
  <si>
    <t>Komprao (24/03/2025) - Desinfetante, Sabão em pedra e Sabão em po</t>
  </si>
  <si>
    <t>Desinfetante, Sabão em pedra e Sabão em po</t>
  </si>
  <si>
    <t>ec3129e5</t>
  </si>
  <si>
    <t>Notas_Images/9011add4.Foto.191812.jpg</t>
  </si>
  <si>
    <t>Mães dia</t>
  </si>
  <si>
    <t>ITEM-1706-1</t>
  </si>
  <si>
    <t>1395164</t>
  </si>
  <si>
    <t>ITEM-1709-1</t>
  </si>
  <si>
    <t>80a49868</t>
  </si>
  <si>
    <t>Supermercado pag menos (22/03/2025) - Compra de lanche sábado e domingo</t>
  </si>
  <si>
    <t>ITEM-1710-1</t>
  </si>
  <si>
    <t>Compra de lanche sábado e domingo</t>
  </si>
  <si>
    <t>1ce8ce744</t>
  </si>
  <si>
    <t>Notas_Images/80a49868.Foto.192103.jpg</t>
  </si>
  <si>
    <t>1390798</t>
  </si>
  <si>
    <t>ITEM-1711-1</t>
  </si>
  <si>
    <t>2ac33394</t>
  </si>
  <si>
    <t>Komprao (19/03/2025) - Almoço do dia trabalhado das 9 às 16:30</t>
  </si>
  <si>
    <t>ITEM-1712-1</t>
  </si>
  <si>
    <t>Almoço do dia trabalhado das 9 às 16:30</t>
  </si>
  <si>
    <t>Notas_Images/2ac33394.Foto.192336.jpg</t>
  </si>
  <si>
    <t>1386529</t>
  </si>
  <si>
    <t>ITEM-1713-1</t>
  </si>
  <si>
    <t>03fd77ba</t>
  </si>
  <si>
    <t>3ce54979</t>
  </si>
  <si>
    <t>1c68ff7df</t>
  </si>
  <si>
    <t>Bombazar (20/03/2025) - Bastão cola quente</t>
  </si>
  <si>
    <t>ITEM-15443bf20-1</t>
  </si>
  <si>
    <t>Bastão cola quente</t>
  </si>
  <si>
    <t>15443bf20</t>
  </si>
  <si>
    <t>Notas_Images/03fd77ba.Foto.192643.jpg</t>
  </si>
  <si>
    <t>1386539</t>
  </si>
  <si>
    <t>Reembolso de compra de vale transporte</t>
  </si>
  <si>
    <t>ITEM-1673-1</t>
  </si>
  <si>
    <t>d7536e12</t>
  </si>
  <si>
    <t>Gervasio (22/03/2025) - Uva, abacaxi, manga, e banana</t>
  </si>
  <si>
    <t>ITEM-1a4224985-1</t>
  </si>
  <si>
    <t>Uva, abacaxi, manga, e banana</t>
  </si>
  <si>
    <t>1a4224985</t>
  </si>
  <si>
    <t>Notas_Images/d7536e12.Foto.192813.jpg</t>
  </si>
  <si>
    <t>1390716</t>
  </si>
  <si>
    <t>ITEM-1722-1</t>
  </si>
  <si>
    <t>effdcc1d</t>
  </si>
  <si>
    <t>Gervasio (20/03/2025) - Uva e abacaxi</t>
  </si>
  <si>
    <t>Uva e abacaxi</t>
  </si>
  <si>
    <t>ITEM-1723-1</t>
  </si>
  <si>
    <t>Notas_Images/effdcc1d.Foto.192945.jpg</t>
  </si>
  <si>
    <t>1386519</t>
  </si>
  <si>
    <t>ITEM-1724-1</t>
  </si>
  <si>
    <t>e6860fa5</t>
  </si>
  <si>
    <t>1c28fa9bd</t>
  </si>
  <si>
    <t>ITEM-1726-1</t>
  </si>
  <si>
    <t>Amadelli (25/03/2025) - Pedido seco</t>
  </si>
  <si>
    <t>db11a7e4</t>
  </si>
  <si>
    <t>Pedido seco</t>
  </si>
  <si>
    <t>maio</t>
  </si>
  <si>
    <t>ITEM-1727-1</t>
  </si>
  <si>
    <t>Notas_Images/e6860fa5.Foto.193505.jpg</t>
  </si>
  <si>
    <t>Notas_Images/e6860fa5.Foto 1.193505.jpg</t>
  </si>
  <si>
    <t>c65e8484</t>
  </si>
  <si>
    <t>ITEM-1ccc37ef7-1</t>
  </si>
  <si>
    <t>1ccc37ef7</t>
  </si>
  <si>
    <t>Notas_Images/c65e8484.Foto.193935.jpg</t>
  </si>
  <si>
    <t>ITEM-1725-1</t>
  </si>
  <si>
    <t>addcf7f1</t>
  </si>
  <si>
    <t>MANI COMERCIO DE BEBIDAS (21/03/2025) - Compra de Bebidas</t>
  </si>
  <si>
    <t>ITEM-14b33c6ff-1</t>
  </si>
  <si>
    <t>Compra de Bebidas</t>
  </si>
  <si>
    <t>14b33c6ff</t>
  </si>
  <si>
    <t>Notas_Images/addcf7f1.Foto.194443.jpg</t>
  </si>
  <si>
    <t>1388618</t>
  </si>
  <si>
    <t>ITEM-1630960b0-1</t>
  </si>
  <si>
    <t>e769cd91</t>
  </si>
  <si>
    <t>1630960b0</t>
  </si>
  <si>
    <t>Elaine Hubl (21/03/2025) - Morangos</t>
  </si>
  <si>
    <t>1c08a9c92</t>
  </si>
  <si>
    <t>ITEM-18d06a7da-1</t>
  </si>
  <si>
    <t>Notas_Images/e769cd91.Foto.194643.jpg</t>
  </si>
  <si>
    <t>18d06a7da</t>
  </si>
  <si>
    <t>8afdbba1</t>
  </si>
  <si>
    <t>1388079</t>
  </si>
  <si>
    <t>Sindical</t>
  </si>
  <si>
    <t>46a6fafe</t>
  </si>
  <si>
    <t>ITEM-1840fc907-1</t>
  </si>
  <si>
    <t>1840fc907</t>
  </si>
  <si>
    <t>Elaine Hubl (24/03/2025) - Morango</t>
  </si>
  <si>
    <t>ITEM-1e6ec5631-1</t>
  </si>
  <si>
    <t>1e6ec5631</t>
  </si>
  <si>
    <t>Notas_Images/46a6fafe.Foto.194744.jpg</t>
  </si>
  <si>
    <t>1395132</t>
  </si>
  <si>
    <t>13442a610</t>
  </si>
  <si>
    <t>f03f9f8e</t>
  </si>
  <si>
    <t>ITEM-1734-1</t>
  </si>
  <si>
    <t>9b7880a7</t>
  </si>
  <si>
    <t>Taxa de entrega de 01/05 a 11/05</t>
  </si>
  <si>
    <t>Amadelli (26/03/2025) - Pedido gelado</t>
  </si>
  <si>
    <t>c51cd222</t>
  </si>
  <si>
    <t>ITEM-1735-1</t>
  </si>
  <si>
    <t>Notas_Images/f03f9f8e.Foto.214415.jpg</t>
  </si>
  <si>
    <t>Notas_Images/f03f9f8e.Foto 1.214415.jpg</t>
  </si>
  <si>
    <t>Notas_Images/f03f9f8e.Foto 2.214415.jpg</t>
  </si>
  <si>
    <t>ITEM-138784331-1</t>
  </si>
  <si>
    <t>cf1f7174</t>
  </si>
  <si>
    <t>ITEM-115d0e815-1</t>
  </si>
  <si>
    <t>115d0e815</t>
  </si>
  <si>
    <t>Notas_Images/cf1f7174.Foto.214934.jpg</t>
  </si>
  <si>
    <t>6bf7a382</t>
  </si>
  <si>
    <t>ITEM-1742-1</t>
  </si>
  <si>
    <t>Nicopel (06/03/2025) - Cestinha de pascoa</t>
  </si>
  <si>
    <t>Cestinha de pascoa</t>
  </si>
  <si>
    <t>Notas_Images/6bf7a382.Foto.233403.jpg</t>
  </si>
  <si>
    <t>ITEM-1743-1</t>
  </si>
  <si>
    <t>847fd8ef</t>
  </si>
  <si>
    <t>Parcela 4/10</t>
  </si>
  <si>
    <t>ITEM-1753-1</t>
  </si>
  <si>
    <t>Gervasio (28/03/2025) - Compra de uva banana abacaxi e manga</t>
  </si>
  <si>
    <t>Compra de uva banana abacaxi e manga</t>
  </si>
  <si>
    <t>Notas_Images/847fd8ef.Foto.194631.jpg</t>
  </si>
  <si>
    <t>ITEM-1739-1</t>
  </si>
  <si>
    <t>1401814</t>
  </si>
  <si>
    <t>5f51ed7d</t>
  </si>
  <si>
    <t>ITEM-1752-1</t>
  </si>
  <si>
    <t>e91fbc3c</t>
  </si>
  <si>
    <t>casa da boleira (01/05/2025) - Forma para confecção de ovo</t>
  </si>
  <si>
    <t>Forma para confecção de ovo</t>
  </si>
  <si>
    <t>ITEM-1dab522f8-1</t>
  </si>
  <si>
    <t>1dab522f8</t>
  </si>
  <si>
    <t>Notas_Images/5f51ed7d.Foto.194928.jpg</t>
  </si>
  <si>
    <t>14105995</t>
  </si>
  <si>
    <t>ITEM-1754-1</t>
  </si>
  <si>
    <t>61d8ff6e</t>
  </si>
  <si>
    <t>ITEM-1757-1</t>
  </si>
  <si>
    <t>Simão Perovano Ltda (02/04/2025) - Água de coco, suco de laranja e suco de uva</t>
  </si>
  <si>
    <t>Água de coco, suco de laranja e suco de uva</t>
  </si>
  <si>
    <t>ITEM-1758-1</t>
  </si>
  <si>
    <t>Notas_Images/61d8ff6e.Foto.195422.jpg</t>
  </si>
  <si>
    <t>1412230</t>
  </si>
  <si>
    <t>ITEM-1759-1</t>
  </si>
  <si>
    <t>8ab9fdef</t>
  </si>
  <si>
    <t>Gervasio (02/04/2025) - Uva banana manga e abacaxi</t>
  </si>
  <si>
    <t>ITEM-1174c94ea-1</t>
  </si>
  <si>
    <t>Uva banana manga e abacaxi</t>
  </si>
  <si>
    <t>1174c94ea</t>
  </si>
  <si>
    <t>Notas_Images/8ab9fdef.Foto.200912.jpg</t>
  </si>
  <si>
    <t>142208</t>
  </si>
  <si>
    <t>ITEM-1ba10829e-1</t>
  </si>
  <si>
    <t>1ba10829e</t>
  </si>
  <si>
    <t>f349d4ac</t>
  </si>
  <si>
    <t>ITEM-1755-1</t>
  </si>
  <si>
    <t>RN Embalagens e Papelaria Ltda. (02/04/2025) - Itens de papelaria canetas e canetoes</t>
  </si>
  <si>
    <t>Itens de papelaria canetas e canetoes</t>
  </si>
  <si>
    <t>ITEM-1756-1</t>
  </si>
  <si>
    <t>Notas_Images/f349d4ac.Foto.201203.jpg</t>
  </si>
  <si>
    <t>1412222</t>
  </si>
  <si>
    <t>14858cad</t>
  </si>
  <si>
    <t>ITEM-1760-1</t>
  </si>
  <si>
    <t>Cofermaco (02/04/2025) - Fita veda rosca fita isolante cola de silicone e fita crepe</t>
  </si>
  <si>
    <t>Fita veda rosca fita isolante cola de silicone e fita crepe</t>
  </si>
  <si>
    <t>ITEM-1761-1</t>
  </si>
  <si>
    <t>Notas_Images/14858cad.Foto.202012.jpg</t>
  </si>
  <si>
    <t>1412213</t>
  </si>
  <si>
    <t>ITEM-1762-1</t>
  </si>
  <si>
    <t>569f2efe</t>
  </si>
  <si>
    <t>1d4c383bd</t>
  </si>
  <si>
    <t>ITEM-1763-1</t>
  </si>
  <si>
    <t>Gervasio (31/03/2025) - Banana, abacaxi e uva</t>
  </si>
  <si>
    <t>c0e39805</t>
  </si>
  <si>
    <t>Propaganda paga Instagram</t>
  </si>
  <si>
    <t>ITEM-1013cfd57-1</t>
  </si>
  <si>
    <t>1013cfd57</t>
  </si>
  <si>
    <t>ITEM-1837b9403-1</t>
  </si>
  <si>
    <t>1837b9403</t>
  </si>
  <si>
    <t>ITEM-16db555bb-1</t>
  </si>
  <si>
    <t>16db555bb</t>
  </si>
  <si>
    <t>ITEM-1773-1</t>
  </si>
  <si>
    <t>ITEM-1774-1</t>
  </si>
  <si>
    <t>Banana, abacaxi e uva</t>
  </si>
  <si>
    <t>ITEM-1775-1</t>
  </si>
  <si>
    <t>1bd4f1389</t>
  </si>
  <si>
    <t>Notas_Images/569f2efe.Foto.202122.jpg</t>
  </si>
  <si>
    <t>1409024</t>
  </si>
  <si>
    <t>ITEM-1777-1</t>
  </si>
  <si>
    <t>mensal</t>
  </si>
  <si>
    <t>1c0f72b6</t>
  </si>
  <si>
    <t>ITEM-1778-1</t>
  </si>
  <si>
    <t>Komprao (28/03/2025) - Lanche para final de semana</t>
  </si>
  <si>
    <t>ITEM-133cafd01-1</t>
  </si>
  <si>
    <t>133cafd01</t>
  </si>
  <si>
    <t>c1060fa5</t>
  </si>
  <si>
    <t>ITEM-1788-1</t>
  </si>
  <si>
    <t>1c87f3a53</t>
  </si>
  <si>
    <t>Lanche para final de semana</t>
  </si>
  <si>
    <t>ITEM-1785-1</t>
  </si>
  <si>
    <t>Mensal</t>
  </si>
  <si>
    <t>Notas_Images/1c0f72b6.Foto.202828.jpg</t>
  </si>
  <si>
    <t>ITEM-1786-1</t>
  </si>
  <si>
    <t>1402310</t>
  </si>
  <si>
    <t>0a395004</t>
  </si>
  <si>
    <t>ITEM-1787-1</t>
  </si>
  <si>
    <t>Komprao (02/04/2025) - Produtos de limpeza</t>
  </si>
  <si>
    <t>ITEM-149954597-1</t>
  </si>
  <si>
    <t>Notas_Images/0a395004.Foto.203044.jpg</t>
  </si>
  <si>
    <t>ITEM-17c03f615-1</t>
  </si>
  <si>
    <t>1412290</t>
  </si>
  <si>
    <t>17c03f615</t>
  </si>
  <si>
    <t>f54b511d</t>
  </si>
  <si>
    <t>ITEM-1776-1</t>
  </si>
  <si>
    <t>1093006b1</t>
  </si>
  <si>
    <t>Elaine Hubl (31/03/2025) - Morangos</t>
  </si>
  <si>
    <t>ITEM-185031018-1</t>
  </si>
  <si>
    <t>43 entregas de R$12</t>
  </si>
  <si>
    <t>Notas_Images/f54b511d.Foto.203225.jpg</t>
  </si>
  <si>
    <t>ITEM-1c7cb86c1-1</t>
  </si>
  <si>
    <t>1c7cb86c1</t>
  </si>
  <si>
    <t>ITEM-1fc268aa8-1</t>
  </si>
  <si>
    <t>1fc268aa8</t>
  </si>
  <si>
    <t>1409023</t>
  </si>
  <si>
    <t>ITEM-1789-1</t>
  </si>
  <si>
    <t>a9a36503</t>
  </si>
  <si>
    <t>ITEM-1790-1</t>
  </si>
  <si>
    <t>ITEM-113b4ad85-1</t>
  </si>
  <si>
    <t>113b4ad85</t>
  </si>
  <si>
    <t>ITEM-1d84c7a30-1</t>
  </si>
  <si>
    <t>1d84c7a30</t>
  </si>
  <si>
    <t>Novo lar (02/04/2025) - Álcool</t>
  </si>
  <si>
    <t>Álcool</t>
  </si>
  <si>
    <t>ITEM-19cc8d635-1</t>
  </si>
  <si>
    <t>Notas_Images/a9a36503.Foto.203601.jpg</t>
  </si>
  <si>
    <t>19cc8d635</t>
  </si>
  <si>
    <t>1412249</t>
  </si>
  <si>
    <t>ITEM-1804-1</t>
  </si>
  <si>
    <t>8dc8333e</t>
  </si>
  <si>
    <t>Novo lar (29/03/2025) - Papel toalha saco de lixo</t>
  </si>
  <si>
    <t>Papel toalha saco de lixo</t>
  </si>
  <si>
    <t>ITEM-1731-1</t>
  </si>
  <si>
    <t>Notas_Images/8dc8333e.Foto.203959.jpg</t>
  </si>
  <si>
    <t>1404493</t>
  </si>
  <si>
    <t>ITEM-1732-1</t>
  </si>
  <si>
    <t>5b41b458</t>
  </si>
  <si>
    <t>ITEM-1733-1</t>
  </si>
  <si>
    <t>Supermercado pag menos (04/04/2025) - Compra lanche final de semana</t>
  </si>
  <si>
    <t>Notas_Images/5b41b458.Foto.194537.jpg</t>
  </si>
  <si>
    <t>ITEM-19ae90c0f-1</t>
  </si>
  <si>
    <t>1419110</t>
  </si>
  <si>
    <t>19ae90c0f</t>
  </si>
  <si>
    <t>b705dc70</t>
  </si>
  <si>
    <t>ITEM-1022d3619-1</t>
  </si>
  <si>
    <t>1022d3619</t>
  </si>
  <si>
    <t>Elaine Hubl (07/04/2025) - Compra 10kg morangos</t>
  </si>
  <si>
    <t>Compra 10kg morangos</t>
  </si>
  <si>
    <t>ITEM-1aba84aa2-1</t>
  </si>
  <si>
    <t>Notas_Images/b705dc70.Foto.194656.jpg</t>
  </si>
  <si>
    <t>1aba84aa2</t>
  </si>
  <si>
    <t>1421452</t>
  </si>
  <si>
    <t>52176a86</t>
  </si>
  <si>
    <t>ITEM-1055255d0-1</t>
  </si>
  <si>
    <t>1055255d0</t>
  </si>
  <si>
    <t>MANI COMERCIO DE BEBIDAS (04/04/2025) - Compra de Aguas</t>
  </si>
  <si>
    <t>ITEM-1807-1</t>
  </si>
  <si>
    <t>Notas_Images/52176a86.Foto.194812.jpg</t>
  </si>
  <si>
    <t>1415242</t>
  </si>
  <si>
    <t>ITEM-1808-1</t>
  </si>
  <si>
    <t>a65e77d9</t>
  </si>
  <si>
    <t>ITEM-1809-1</t>
  </si>
  <si>
    <t>Nicopel (01/04/2025) - Potes de 500ml e 1L</t>
  </si>
  <si>
    <t>Potes de 500ml e 1L</t>
  </si>
  <si>
    <t>ITEM-1810-1</t>
  </si>
  <si>
    <t>Notas_Images/a65e77d9.Foto.195021.jpg</t>
  </si>
  <si>
    <t>3789d19b</t>
  </si>
  <si>
    <t>ITEM-1811-1</t>
  </si>
  <si>
    <t>Elaine Hubl (04/04/2025) - Compra de 10kg morangos</t>
  </si>
  <si>
    <t>Compra de 10kg morangos</t>
  </si>
  <si>
    <t>ITEM-1812-1</t>
  </si>
  <si>
    <t>Notas_Images/3789d19b.Foto.200229.jpg</t>
  </si>
  <si>
    <t>1415253</t>
  </si>
  <si>
    <t>14fad7f51</t>
  </si>
  <si>
    <t>ITEM-1dc6149c0-1</t>
  </si>
  <si>
    <t>001026f7</t>
  </si>
  <si>
    <t>1dc6149c0</t>
  </si>
  <si>
    <t>ITEM-1a69d1314-1</t>
  </si>
  <si>
    <t>Komprao (11/04/2025) - Compra lanche final de semana</t>
  </si>
  <si>
    <t>1a69d1314</t>
  </si>
  <si>
    <t>Notas_Images/001026f7.Foto.211359.jpg</t>
  </si>
  <si>
    <t>ITEM-1e3d63b47-1</t>
  </si>
  <si>
    <t>1428734</t>
  </si>
  <si>
    <t>1e3d63b47</t>
  </si>
  <si>
    <t>ITEM-14a8403c1-1</t>
  </si>
  <si>
    <t>14a8403c1</t>
  </si>
  <si>
    <t>Pagmenos (12/04/2025) - Compra pães final de semana</t>
  </si>
  <si>
    <t>Compra pães final de semana</t>
  </si>
  <si>
    <t>ITEM-192347dff-1</t>
  </si>
  <si>
    <t>Notas_Images/53615320.Foto.211605.jpg</t>
  </si>
  <si>
    <t>192347dff</t>
  </si>
  <si>
    <t>1428731</t>
  </si>
  <si>
    <t>1a398b61</t>
  </si>
  <si>
    <t>ITEM-12edd522c-1</t>
  </si>
  <si>
    <t>12edd522c</t>
  </si>
  <si>
    <t>Gervasio (09/04/2025) - Compra frutas</t>
  </si>
  <si>
    <t>Compra frutas</t>
  </si>
  <si>
    <t>16e19ab31</t>
  </si>
  <si>
    <t>ITEM-1813-1</t>
  </si>
  <si>
    <t>Notas_Images/1a398b61.Foto.211701.jpg</t>
  </si>
  <si>
    <t>1423894</t>
  </si>
  <si>
    <t>instalação de mais uma persiana</t>
  </si>
  <si>
    <t>fe9a8108</t>
  </si>
  <si>
    <t>379a9b91</t>
  </si>
  <si>
    <t>ITEM-1814-1</t>
  </si>
  <si>
    <t>Nicopel (10/04/2025) - Embalagem</t>
  </si>
  <si>
    <t>Embalagem</t>
  </si>
  <si>
    <t>ITEM-1815-1</t>
  </si>
  <si>
    <t>Notas_Images/fe9a8108.Foto.190548.jpg</t>
  </si>
  <si>
    <t>12c43c6fa</t>
  </si>
  <si>
    <t>ITEM-1816-1</t>
  </si>
  <si>
    <t>040130dc</t>
  </si>
  <si>
    <t>700ml</t>
  </si>
  <si>
    <t>ITEM-1817-1</t>
  </si>
  <si>
    <t>Amadelli (10/04/2025) - Pedido gelado</t>
  </si>
  <si>
    <t>Notas_Images/040130dc.Foto.193722.jpg</t>
  </si>
  <si>
    <t>ITEM-19be80b95-1</t>
  </si>
  <si>
    <t>19be80b95</t>
  </si>
  <si>
    <t>30fced89</t>
  </si>
  <si>
    <t>Notas_Images/040130dc.Foto 1.193722.jpg</t>
  </si>
  <si>
    <t>Notas_Images/040130dc.Foto 2.193722.jpg</t>
  </si>
  <si>
    <t>ITEM-1829-1</t>
  </si>
  <si>
    <t>1da294b4c</t>
  </si>
  <si>
    <t>25a71d0f</t>
  </si>
  <si>
    <t>ITEM-1830-1</t>
  </si>
  <si>
    <t>ITEM-1831-1</t>
  </si>
  <si>
    <t>Notas_Images/25a71d0f.Foto.194909.jpg</t>
  </si>
  <si>
    <t>46641f09</t>
  </si>
  <si>
    <t>ITEM-1834-1</t>
  </si>
  <si>
    <t>18c191b95</t>
  </si>
  <si>
    <t>Amadelli (09/04/2025) - Pedido gelado</t>
  </si>
  <si>
    <t>ITEM-175bb9b39-1</t>
  </si>
  <si>
    <t>175bb9b39</t>
  </si>
  <si>
    <t>Notas_Images/46641f09.Foto.195748.jpg</t>
  </si>
  <si>
    <t>ITEM-1797a7486-1</t>
  </si>
  <si>
    <t>1797a7486</t>
  </si>
  <si>
    <t>Notas_Images/46641f09.Foto 1.195748.jpg</t>
  </si>
  <si>
    <t>76e0216d</t>
  </si>
  <si>
    <t>ITEM-13872cabe-1</t>
  </si>
  <si>
    <t>13872cabe</t>
  </si>
  <si>
    <t>14c48e927</t>
  </si>
  <si>
    <t>ITEM-14e86a174-1</t>
  </si>
  <si>
    <t>14e86a174</t>
  </si>
  <si>
    <t>Notas_Images/76e0216d.Foto.200332.jpg</t>
  </si>
  <si>
    <t>Comissão de delivery</t>
  </si>
  <si>
    <t>ITEM-1f4c666e3-1</t>
  </si>
  <si>
    <t>c15b6c6f</t>
  </si>
  <si>
    <t>1f4c666e3</t>
  </si>
  <si>
    <t>9ffe722b</t>
  </si>
  <si>
    <t>Bebidas duck (11/04/2025) - Compra de bebidas</t>
  </si>
  <si>
    <t>ITEM-13f5f48be-1</t>
  </si>
  <si>
    <t>Compra de bebidas</t>
  </si>
  <si>
    <t>13f5f48be</t>
  </si>
  <si>
    <t>Notas_Images/c15b6c6f.Foto.202438.jpg</t>
  </si>
  <si>
    <t>ITEM-1832-1</t>
  </si>
  <si>
    <t>1426721</t>
  </si>
  <si>
    <t>ITEM-1833-1</t>
  </si>
  <si>
    <t>ba66e4e4</t>
  </si>
  <si>
    <t>Elaine Hubl (11/04/2025) - Compra de morangos</t>
  </si>
  <si>
    <t>ITEM-1851-1</t>
  </si>
  <si>
    <t>Notas_Images/ba66e4e4.Foto.202712.jpg</t>
  </si>
  <si>
    <t>ITEM-1da2aa2b2-1</t>
  </si>
  <si>
    <t>1426717</t>
  </si>
  <si>
    <t>1da2aa2b2</t>
  </si>
  <si>
    <t>649d5a81</t>
  </si>
  <si>
    <t>Gervasio (12/04/2025) - Compra de banana</t>
  </si>
  <si>
    <t>ITEM-1c65994b3-1</t>
  </si>
  <si>
    <t>Compra de banana</t>
  </si>
  <si>
    <t>1c65994b3</t>
  </si>
  <si>
    <t>Notas_Images/649d5a81.Foto.202938.jpg</t>
  </si>
  <si>
    <t>ITEM-1c3a83db6-1</t>
  </si>
  <si>
    <t>1429114</t>
  </si>
  <si>
    <t>1c3a83db6</t>
  </si>
  <si>
    <t>e6f5ab16</t>
  </si>
  <si>
    <t>ITEM-1a9119bdd-1</t>
  </si>
  <si>
    <t>1a9119bdd</t>
  </si>
  <si>
    <t>Komprao (20/04/2025) - Pão final de semana</t>
  </si>
  <si>
    <t>Pão final de semana</t>
  </si>
  <si>
    <t>ITEM-1847-1</t>
  </si>
  <si>
    <t>Notas_Images/e6f5ab16.Foto.203340.jpg</t>
  </si>
  <si>
    <t>1442387</t>
  </si>
  <si>
    <t>ITEM-1848-1</t>
  </si>
  <si>
    <t>e66b8e97</t>
  </si>
  <si>
    <t>Gervasio (17/04/2025) - Compra de frutas</t>
  </si>
  <si>
    <t>ITEM-1849-1</t>
  </si>
  <si>
    <t>17ab58a93</t>
  </si>
  <si>
    <t>Notas_Images/e66b8e97.Foto.204340.jpg</t>
  </si>
  <si>
    <t>ITEM-1cba63155-1</t>
  </si>
  <si>
    <t>1437966</t>
  </si>
  <si>
    <t>1cba63155</t>
  </si>
  <si>
    <t>e060d199</t>
  </si>
  <si>
    <t>ITEM-12bedbfdd-1</t>
  </si>
  <si>
    <t>62d97406</t>
  </si>
  <si>
    <t>Papelaria ME rodovia (15/04/2025) - Cola bond, pastas, papel foto e plastificação</t>
  </si>
  <si>
    <t>12bedbfdd</t>
  </si>
  <si>
    <t>Cola bond, pastas, papel foto e plastificação</t>
  </si>
  <si>
    <t>8fb9c9ae</t>
  </si>
  <si>
    <t>Notas_Images/e060d199.Foto.204804.jpg</t>
  </si>
  <si>
    <t>1434664</t>
  </si>
  <si>
    <t>ITEM-1f6fdc52e-1</t>
  </si>
  <si>
    <t>1f6fdc52e</t>
  </si>
  <si>
    <t>cd664064</t>
  </si>
  <si>
    <t>Amadelli (21/04/2025) - Pedidos secos</t>
  </si>
  <si>
    <t>ITEM-17e340c75-1</t>
  </si>
  <si>
    <t>17e340c75</t>
  </si>
  <si>
    <t>Notas_Images/cd664064.Foto.205211.jpg</t>
  </si>
  <si>
    <t>ITEM-1855-1</t>
  </si>
  <si>
    <t>4d262939</t>
  </si>
  <si>
    <t>Amadelli (21/04/2025) - Pedido secos</t>
  </si>
  <si>
    <t>Pedido secos</t>
  </si>
  <si>
    <t>ITEM-1856-1</t>
  </si>
  <si>
    <t>Notas_Images/4d262939.Foto.205755.jpg</t>
  </si>
  <si>
    <t>127eb20be</t>
  </si>
  <si>
    <t>ITEM-101e853b3-1</t>
  </si>
  <si>
    <t>b908897e</t>
  </si>
  <si>
    <t>101e853b3</t>
  </si>
  <si>
    <t>sindicato</t>
  </si>
  <si>
    <t>Pagmenos (18/04/2025) - Compra de lanche final de semana</t>
  </si>
  <si>
    <t>ITEM-1de50b089-1</t>
  </si>
  <si>
    <t>Notas_Images/b908897e.Foto.210341.jpg</t>
  </si>
  <si>
    <t>1de50b089</t>
  </si>
  <si>
    <t>1439317</t>
  </si>
  <si>
    <t>d2c9db22</t>
  </si>
  <si>
    <t>ITEM-11f197fbc-1</t>
  </si>
  <si>
    <t>11f197fbc</t>
  </si>
  <si>
    <t>Sapus Fest (18/04/2025) - Tiara para funcionários de pascoa</t>
  </si>
  <si>
    <t>9e84410b</t>
  </si>
  <si>
    <t>Tiara para funcionários de pascoa</t>
  </si>
  <si>
    <t>Notas_Images/d2c9db22.Foto.210501.jpg</t>
  </si>
  <si>
    <t>ITEM-1782-1</t>
  </si>
  <si>
    <t>1438594</t>
  </si>
  <si>
    <t>a5825c8d</t>
  </si>
  <si>
    <t>ITEM-1783-1</t>
  </si>
  <si>
    <t>Komprao (16/04/2025) - Produto de limpeza</t>
  </si>
  <si>
    <t>Produto de limpeza</t>
  </si>
  <si>
    <t>ITEM-1784-1</t>
  </si>
  <si>
    <t>Notas_Images/a5825c8d.Foto.210717.jpg</t>
  </si>
  <si>
    <t>1453836</t>
  </si>
  <si>
    <t>a1d52f90</t>
  </si>
  <si>
    <t>ITEM-15034f107-1</t>
  </si>
  <si>
    <t>15034f107</t>
  </si>
  <si>
    <t>Papelaria ME rodovia (16/04/2025) - Plástico polaseal para plastificação</t>
  </si>
  <si>
    <t>Plástico polaseal para plastificação</t>
  </si>
  <si>
    <t>ITEM-1763fdaa4-1</t>
  </si>
  <si>
    <t>1763fdaa4</t>
  </si>
  <si>
    <t>Notas_Images/a1d52f90.Foto.210900.jpg</t>
  </si>
  <si>
    <t>1435831</t>
  </si>
  <si>
    <t>ITEM-1868-1</t>
  </si>
  <si>
    <t>2194f1e6</t>
  </si>
  <si>
    <t>Elaine Hubl (18/04/2025) - Compra de 10kg de morango</t>
  </si>
  <si>
    <t>ITEM-1844-1</t>
  </si>
  <si>
    <t>Compra de 10kg de morango</t>
  </si>
  <si>
    <t>Notas_Images/2194f1e6.Foto.211359.jpg</t>
  </si>
  <si>
    <t>Parcela 5/10</t>
  </si>
  <si>
    <t>ITEM-1845-1</t>
  </si>
  <si>
    <t>1439240</t>
  </si>
  <si>
    <t>58433a80</t>
  </si>
  <si>
    <t>ITEM-1846-1</t>
  </si>
  <si>
    <t>1837ca0fc</t>
  </si>
  <si>
    <t>SAMAE (14/04/2025) - Fatura de água</t>
  </si>
  <si>
    <t>ITEM-1869-1</t>
  </si>
  <si>
    <t>Fatura de água</t>
  </si>
  <si>
    <t>ref maio</t>
  </si>
  <si>
    <t>Notas_Images/58433a80.Foto.211633.jpg</t>
  </si>
  <si>
    <t>ITEM-1870-1</t>
  </si>
  <si>
    <t>8a0c55e2</t>
  </si>
  <si>
    <t>ITEM-1871-1</t>
  </si>
  <si>
    <t>10bcd15e2</t>
  </si>
  <si>
    <t>Gervasio (29/04/2025) - Compra de manga uva Abacaxi e banana</t>
  </si>
  <si>
    <t>ITEM-1872-1</t>
  </si>
  <si>
    <t>Compra de manga uva Abacaxi e banana</t>
  </si>
  <si>
    <t>Notas_Images/8a0c55e2.Foto.215307.jpg</t>
  </si>
  <si>
    <t>ITEM-1873-1</t>
  </si>
  <si>
    <t>1456393</t>
  </si>
  <si>
    <t>lojarionegrinho@gmail.com</t>
  </si>
  <si>
    <t>7536c4bb</t>
  </si>
  <si>
    <t>ITEM-1874-1</t>
  </si>
  <si>
    <t>1dd830fa5</t>
  </si>
  <si>
    <t>Pagmenos (02/05/2025) - Compra de lanche pão Coca, queijo, presunto e mortadela</t>
  </si>
  <si>
    <t>Compra de lanche pão Coca, queijo, presunto e mortadela</t>
  </si>
  <si>
    <t>ITEM-1aefe462c-1</t>
  </si>
  <si>
    <t>1aefe462c</t>
  </si>
  <si>
    <t>Notas_Images/7536c4bb.Foto.215525.jpg</t>
  </si>
  <si>
    <t>1462923</t>
  </si>
  <si>
    <t>ITEM-1f3468dee-1</t>
  </si>
  <si>
    <t>1f3468dee</t>
  </si>
  <si>
    <t>65b9bd5b</t>
  </si>
  <si>
    <t>19a7aa9d5</t>
  </si>
  <si>
    <t>Cofermaco (30/04/2025) - Fita dupla face e tomada "T"</t>
  </si>
  <si>
    <t>ITEM-1396bc174-1</t>
  </si>
  <si>
    <t>Fita dupla face e tomada "T"</t>
  </si>
  <si>
    <t>1396bc174</t>
  </si>
  <si>
    <t>Notas_Images/65b9bd5b.Foto.215716.jpg</t>
  </si>
  <si>
    <t>1457963</t>
  </si>
  <si>
    <t>ITEM-1875-1</t>
  </si>
  <si>
    <t>5ce22cf6</t>
  </si>
  <si>
    <t>ITEM-1876-1</t>
  </si>
  <si>
    <t>Gervasio (26/04/2025) - Compra de frutas abacaxi e manga</t>
  </si>
  <si>
    <t>Compra de frutas abacaxi e manga</t>
  </si>
  <si>
    <t>Notas_Images/5ce22cf6.Foto.215856.jpg</t>
  </si>
  <si>
    <t>ITEM-1877-1</t>
  </si>
  <si>
    <t>1450976</t>
  </si>
  <si>
    <t>eff4ce77</t>
  </si>
  <si>
    <t>ITEM-1878-1</t>
  </si>
  <si>
    <t>Lojão Astral (30/04/2025) - Cestos organizadores</t>
  </si>
  <si>
    <t>Cestos organizadores</t>
  </si>
  <si>
    <t>Notas_Images/eff4ce77.Foto.220051.jpg</t>
  </si>
  <si>
    <t>ITEM-1879-1</t>
  </si>
  <si>
    <t>1457956</t>
  </si>
  <si>
    <t>7b4a3919</t>
  </si>
  <si>
    <t>19a9496c3</t>
  </si>
  <si>
    <t>ITEM-17ff54b91-1</t>
  </si>
  <si>
    <t>17ff54b91</t>
  </si>
  <si>
    <t>Gervasio (03/05/2025) - Compra de frutas uva, abacaxi, banana e manga</t>
  </si>
  <si>
    <t>e6a1b25f</t>
  </si>
  <si>
    <t>Compra de frutas uva, abacaxi, banana e manga</t>
  </si>
  <si>
    <t>Parte de reembolso</t>
  </si>
  <si>
    <t>Notas_Images/7b4a3919.Foto.220303.jpg</t>
  </si>
  <si>
    <t>ITEM-16c5845e6-1</t>
  </si>
  <si>
    <t>1462914</t>
  </si>
  <si>
    <t>16c5845e6</t>
  </si>
  <si>
    <t>4471de5c</t>
  </si>
  <si>
    <t>ITEM-14d907e16-1</t>
  </si>
  <si>
    <t>Posto M7 (01/05/2025) - Gasolina</t>
  </si>
  <si>
    <t>14d907e16</t>
  </si>
  <si>
    <t>Gasolina</t>
  </si>
  <si>
    <t>Notas_Images/4471de5c.Foto.220501.jpg</t>
  </si>
  <si>
    <t>10500d69b</t>
  </si>
  <si>
    <t>ITEM-159983f53-1</t>
  </si>
  <si>
    <t>1459278</t>
  </si>
  <si>
    <t>159983f53</t>
  </si>
  <si>
    <t>dcc4c7c9</t>
  </si>
  <si>
    <t>ITEM-17dcdc005-1</t>
  </si>
  <si>
    <t>SuperPão (01/05/2025) - Compras de lanche dia do trabalhador pão, refrigerante, queijo e presunto</t>
  </si>
  <si>
    <t>17dcdc005</t>
  </si>
  <si>
    <t>Compras de lanche dia do trabalhador pão, refrigerante, queijo e presunto</t>
  </si>
  <si>
    <t>Notas_Images/dcc4c7c9.Foto.220714.jpg</t>
  </si>
  <si>
    <t>1459283</t>
  </si>
  <si>
    <t>ITEM-10dac91f3-1</t>
  </si>
  <si>
    <t>10dac91f3</t>
  </si>
  <si>
    <t>65a7492c</t>
  </si>
  <si>
    <t>19e3df8bc</t>
  </si>
  <si>
    <t>ITEM-1892-1</t>
  </si>
  <si>
    <t>Komprao (24/04/2025) - Bolo e refrigerante aniversário do eric</t>
  </si>
  <si>
    <t>Bolo e refrigerante aniversário do eric</t>
  </si>
  <si>
    <t>Notas_Images/65a7492c.Foto.223116.jpg</t>
  </si>
  <si>
    <t>2 pares</t>
  </si>
  <si>
    <t>ITEM-1893-1</t>
  </si>
  <si>
    <t>1449077</t>
  </si>
  <si>
    <t>f10c89d7</t>
  </si>
  <si>
    <t>9dd918cb</t>
  </si>
  <si>
    <t>Komprao (26/04/2025) - Pão queijo mortadela refrigerante lanche final de semana</t>
  </si>
  <si>
    <t>ITEM-1894-1</t>
  </si>
  <si>
    <t>Pão queijo mortadela refrigerante lanche final de semana</t>
  </si>
  <si>
    <t>Notas_Images/9dd918cb.Foto.223416.jpg</t>
  </si>
  <si>
    <t>1450974</t>
  </si>
  <si>
    <t>ITEM-1896-1</t>
  </si>
  <si>
    <t>7945f93e</t>
  </si>
  <si>
    <t>d400f012</t>
  </si>
  <si>
    <t>Amélia ap salgados (24/04/2025) - Salgados do aniversário do eric</t>
  </si>
  <si>
    <t>Salgados do aniversário do eric</t>
  </si>
  <si>
    <t>ITEM-1897-1</t>
  </si>
  <si>
    <t>Notas_Images/7945f93e.Foto.223539.jpg</t>
  </si>
  <si>
    <t>1449075</t>
  </si>
  <si>
    <t>ITEM-19972abba-1</t>
  </si>
  <si>
    <t>19972abba</t>
  </si>
  <si>
    <t>cd9486f2</t>
  </si>
  <si>
    <t>Elaine Hubl (30/04/2025) - Compra de morango</t>
  </si>
  <si>
    <t>ITEM-1895-1</t>
  </si>
  <si>
    <t>Compra de morango</t>
  </si>
  <si>
    <t>Notas_Images/cd9486f2.Foto.223738.jpg</t>
  </si>
  <si>
    <t>1457604</t>
  </si>
  <si>
    <t>ITEM-1905-1</t>
  </si>
  <si>
    <t>489a41e3</t>
  </si>
  <si>
    <t>Elaine Hubl (02/05/2025) - Compra de morango</t>
  </si>
  <si>
    <t>ITEM-1906-1</t>
  </si>
  <si>
    <t>Notas_Images/489a41e3.Foto.223924.jpg</t>
  </si>
  <si>
    <t>1461211</t>
  </si>
  <si>
    <t>ITEM-1907-1</t>
  </si>
  <si>
    <t>ff636ee8</t>
  </si>
  <si>
    <t>1f891564d</t>
  </si>
  <si>
    <t>Novo lar (05/05/2025) - Sacos de lixos querosene álcool detergente sapolio removedor de manchas do chão</t>
  </si>
  <si>
    <t>ITEM-1909-1</t>
  </si>
  <si>
    <t>Sacos de lixos querosene álcool detergente sapolio removedor de manchas do chão</t>
  </si>
  <si>
    <t>457bb559</t>
  </si>
  <si>
    <t>Notas_Images/ff636ee8.Foto.224212.jpg</t>
  </si>
  <si>
    <t>frete</t>
  </si>
  <si>
    <t>ITEM-1a72a8a43-1</t>
  </si>
  <si>
    <t>1467948</t>
  </si>
  <si>
    <t>6d4f60bb</t>
  </si>
  <si>
    <t>1a72a8a43</t>
  </si>
  <si>
    <t>a01b8112</t>
  </si>
  <si>
    <t>ITEM-1921-1</t>
  </si>
  <si>
    <t>0aae1020</t>
  </si>
  <si>
    <t>flores e cia (08/05/2025) - Argila</t>
  </si>
  <si>
    <t>Argila</t>
  </si>
  <si>
    <t>ITEM-1075bb0a4-1</t>
  </si>
  <si>
    <t>Notas_Images/a01b8112.Foto.164900.jpg</t>
  </si>
  <si>
    <t>198cfd0b1</t>
  </si>
  <si>
    <t>1075bb0a4</t>
  </si>
  <si>
    <t>1472754</t>
  </si>
  <si>
    <t>1b377a0c</t>
  </si>
  <si>
    <t>ITEM-1ffa03b91-1</t>
  </si>
  <si>
    <t>Elaine Hubl (14/05/2025) - Compra 10kg Morangos</t>
  </si>
  <si>
    <t>1ffa03b91</t>
  </si>
  <si>
    <t>Compra 10kg Morangos</t>
  </si>
  <si>
    <t>Notas_Images/10133108.Foto.165004.jpg</t>
  </si>
  <si>
    <t>ITEM-1902-1</t>
  </si>
  <si>
    <t>c932e107</t>
  </si>
  <si>
    <t>Elaine Hubl (09/05/2025) - Compra 7kg Morangos</t>
  </si>
  <si>
    <t>ITEM-1903-1</t>
  </si>
  <si>
    <t>Compra 7kg Morangos</t>
  </si>
  <si>
    <t>Notas_Images/c932e107.Foto.165531.jpg</t>
  </si>
  <si>
    <t>ITEM-1904-1</t>
  </si>
  <si>
    <t>1473582</t>
  </si>
  <si>
    <t>42ad346d</t>
  </si>
  <si>
    <t>Bom Bazar (07/05/2025) - Letras e varetas para decoração dia das maes</t>
  </si>
  <si>
    <t>Letras e varetas para decoração dia das maes</t>
  </si>
  <si>
    <t>Notas_Images/42ad346d.Foto.165801.jpg</t>
  </si>
  <si>
    <t>1470896</t>
  </si>
  <si>
    <t>0d9bdcb8</t>
  </si>
  <si>
    <t>Auto Posto Mires (07/05/2025) - Óleo diesel</t>
  </si>
  <si>
    <t>Óleo diesel</t>
  </si>
  <si>
    <t>Notas_Images/0d9bdcb8.Foto.170004.jpg</t>
  </si>
  <si>
    <t>ITEM-1920-1</t>
  </si>
  <si>
    <t>1470887</t>
  </si>
  <si>
    <t>324a2fc4</t>
  </si>
  <si>
    <t>ITEM-17523c2dd-1</t>
  </si>
  <si>
    <t>17523c2dd</t>
  </si>
  <si>
    <t>Simão Perovano Ltda (07/05/2025) - Compra de suco limonada</t>
  </si>
  <si>
    <t>Compra de suco limonada</t>
  </si>
  <si>
    <t>ITEM-13f3cae6d-1</t>
  </si>
  <si>
    <t>13f3cae6d</t>
  </si>
  <si>
    <t>Notas_Images/324a2fc4.Foto.170244.jpg</t>
  </si>
  <si>
    <t>1470922</t>
  </si>
  <si>
    <t>ITEM-1933-1</t>
  </si>
  <si>
    <t>0804d9d0</t>
  </si>
  <si>
    <t>Gervasio (09/05/2025) - Compra de frutas</t>
  </si>
  <si>
    <t>ITEM-1934-1</t>
  </si>
  <si>
    <t>Notas_Images/0804d9d0.Foto.170454.jpg</t>
  </si>
  <si>
    <t>1473598</t>
  </si>
  <si>
    <t>ITEM-1935-1</t>
  </si>
  <si>
    <t>104192b2</t>
  </si>
  <si>
    <t>ITEM-1936-1</t>
  </si>
  <si>
    <t>Supermercado pag menos (10/05/2025) - Compra lanche final de semana</t>
  </si>
  <si>
    <t>Notas_Images/104192b2.Foto.170627.jpg</t>
  </si>
  <si>
    <t>ITEM-1937-1</t>
  </si>
  <si>
    <t>1af0a12c0</t>
  </si>
  <si>
    <t>1476070</t>
  </si>
  <si>
    <t>980f7b08</t>
  </si>
  <si>
    <t>ITEM-1938-1</t>
  </si>
  <si>
    <t>Novo lar (10/05/2025) - Desinfetante,luvas,papel toalhas</t>
  </si>
  <si>
    <t>Desinfetante,luvas,papel toalhas</t>
  </si>
  <si>
    <t>ITEM-1939-1</t>
  </si>
  <si>
    <t>Notas_Images/980f7b08.Foto.171059.jpg</t>
  </si>
  <si>
    <t>1475835</t>
  </si>
  <si>
    <t>2bd0b631</t>
  </si>
  <si>
    <t>ITEM-1356807d8-1</t>
  </si>
  <si>
    <t>1356807d8</t>
  </si>
  <si>
    <t>854b71c9</t>
  </si>
  <si>
    <t>Duck Bebidas (08/05/2025) - Compra de refrigerantes</t>
  </si>
  <si>
    <t>Compra de refrigerantes</t>
  </si>
  <si>
    <t>ITEM-1940-1</t>
  </si>
  <si>
    <t>Notas_Images/2bd0b631.Foto.171224.jpg</t>
  </si>
  <si>
    <t>1473552</t>
  </si>
  <si>
    <t>ITEM-1941-1</t>
  </si>
  <si>
    <t>4c71e95f</t>
  </si>
  <si>
    <t>MANI COMERCIO DE BEBIDAS (08/05/2025) - Compra de aguas</t>
  </si>
  <si>
    <t>ITEM-1942-1</t>
  </si>
  <si>
    <t>Compra de aguas</t>
  </si>
  <si>
    <t>Notas_Images/4c71e95f.Foto.171351.jpg</t>
  </si>
  <si>
    <t>1473547</t>
  </si>
  <si>
    <t>ITEM-1943-1</t>
  </si>
  <si>
    <t>1d5427ca2</t>
  </si>
  <si>
    <t>b770c43f</t>
  </si>
  <si>
    <t>ITEM-1944-1</t>
  </si>
  <si>
    <t>Amadelli (07/05/2025) - Pedido Secos</t>
  </si>
  <si>
    <t>Pedido Secos</t>
  </si>
  <si>
    <t>dda</t>
  </si>
  <si>
    <t>Notas_Images/b770c43f.Foto.171458.jpg</t>
  </si>
  <si>
    <t>ITEM-1a3fa008b-1</t>
  </si>
  <si>
    <t>1a3fa008b</t>
  </si>
  <si>
    <t>23bfdc70</t>
  </si>
  <si>
    <t>ITEM-1a9abe534-1</t>
  </si>
  <si>
    <t>Amadelli (07/05/2025) - Pedido secos</t>
  </si>
  <si>
    <t>1a9abe534</t>
  </si>
  <si>
    <t>Notas_Images/23bfdc70.Foto.171807.jpg</t>
  </si>
  <si>
    <t>ITEM-1bfec3be5-1</t>
  </si>
  <si>
    <t>1bfec3be5</t>
  </si>
  <si>
    <t>ece23088</t>
  </si>
  <si>
    <t>ITEM-1afc4d483-1</t>
  </si>
  <si>
    <t>1afc4d483</t>
  </si>
  <si>
    <t>SAMAE (13/05/2025) - Fatura Agua</t>
  </si>
  <si>
    <t>Fatura Agua</t>
  </si>
  <si>
    <t>ITEM-1954-1</t>
  </si>
  <si>
    <t>Notas_Images/ece23088.Foto.182529.jpg</t>
  </si>
  <si>
    <t>80ada9c0</t>
  </si>
  <si>
    <t>ITEM-1955-1</t>
  </si>
  <si>
    <t>Nicopel (09/05/2025) - Embalagens</t>
  </si>
  <si>
    <t>ITEM-1956-1</t>
  </si>
  <si>
    <t>Embalagens</t>
  </si>
  <si>
    <t>Notas_Images/80ada9c0.Foto.191126.jpg</t>
  </si>
  <si>
    <t>ITEM-1959-1</t>
  </si>
  <si>
    <t>d9ecfccf</t>
  </si>
  <si>
    <t>ITEM-178d23d8e-1</t>
  </si>
  <si>
    <t>5d00d134</t>
  </si>
  <si>
    <t>178d23d8e</t>
  </si>
  <si>
    <t>Embalagens LTDA (06/05/2025) - Embalagens</t>
  </si>
  <si>
    <t>f4d26e18</t>
  </si>
  <si>
    <t>ITEM-1957-1</t>
  </si>
  <si>
    <t>Notas_Images/d9ecfccf.Foto.191628.jpg</t>
  </si>
  <si>
    <t>b9899dbf</t>
  </si>
  <si>
    <t>ITEM-1958-1</t>
  </si>
  <si>
    <t>Motoboy (19/05/2025) - Pagamento do motoboy 516.00 hoje</t>
  </si>
  <si>
    <t>Pagamento do motoboy 516.00 hoje</t>
  </si>
  <si>
    <t>ITEM-1960-1</t>
  </si>
  <si>
    <t>Notas_Images/b9899dbf.Foto.180427.jpg</t>
  </si>
  <si>
    <t>ITEM-1961-1</t>
  </si>
  <si>
    <t>6282a0a1</t>
  </si>
  <si>
    <t>ITEM-1962-1</t>
  </si>
  <si>
    <t>399ccda7</t>
  </si>
  <si>
    <t>Publicidade (23/05/2025) - Publicidade paga</t>
  </si>
  <si>
    <t>Publicidade paga</t>
  </si>
  <si>
    <t>ITEM-1963-1</t>
  </si>
  <si>
    <t>Notas_Images/6282a0a1.Foto.182003.jpg</t>
  </si>
  <si>
    <t>ITEM-1964-1</t>
  </si>
  <si>
    <t>ITEM-1965-1</t>
  </si>
  <si>
    <t>c61be8cc</t>
  </si>
  <si>
    <t>Gervasio (21/05/2025) - Frutas</t>
  </si>
  <si>
    <t>ITEM-1faf1cd09-1</t>
  </si>
  <si>
    <t>1faf1cd09</t>
  </si>
  <si>
    <t>Notas_Images/c61be8cc.Foto.181102.jpg</t>
  </si>
  <si>
    <t>1493826</t>
  </si>
  <si>
    <t>9589a0f9</t>
  </si>
  <si>
    <t>Supermercado pag menos (17/05/2025) - Lanche final de semana</t>
  </si>
  <si>
    <t>Lanche final de semana</t>
  </si>
  <si>
    <t>ITEM-123cda2b4-1</t>
  </si>
  <si>
    <t>123cda2b4</t>
  </si>
  <si>
    <t>Notas_Images/9589a0f9.Foto.181204.jpg</t>
  </si>
  <si>
    <t>1486312</t>
  </si>
  <si>
    <t>ITEM-11e9560f4-1</t>
  </si>
  <si>
    <t>ae5b39d9</t>
  </si>
  <si>
    <t>11e9560f4</t>
  </si>
  <si>
    <t>Gervasio (16/05/2025) - Frutas</t>
  </si>
  <si>
    <t>ITEM-1d562cd02-1</t>
  </si>
  <si>
    <t>Notas_Images/ae5b39d9.Foto.181253.jpg</t>
  </si>
  <si>
    <t>1d562cd02</t>
  </si>
  <si>
    <t>1484763</t>
  </si>
  <si>
    <t>e0c82565</t>
  </si>
  <si>
    <t>ITEM-1973-1</t>
  </si>
  <si>
    <t>Minersol (19/05/2025) - Facas,garfos para o Waffle</t>
  </si>
  <si>
    <t>Facas,garfos para o Waffle</t>
  </si>
  <si>
    <t>Notas_Images/e0c82565.Foto.181734.jpg</t>
  </si>
  <si>
    <t>ITEM-1974-1</t>
  </si>
  <si>
    <t>1491137</t>
  </si>
  <si>
    <t>f52b3374</t>
  </si>
  <si>
    <t>ITEM-103c2c966-1</t>
  </si>
  <si>
    <t>103c2c966</t>
  </si>
  <si>
    <t>Komprao (19/05/2025) - Sucos para a banana,Sabão de pedra</t>
  </si>
  <si>
    <t>Sucos para a banana,Sabão de pedra</t>
  </si>
  <si>
    <t>ITEM-1556be390-1</t>
  </si>
  <si>
    <t>Notas_Images/f52b3374.Foto.181857.jpg</t>
  </si>
  <si>
    <t>1556be390</t>
  </si>
  <si>
    <t>1491127</t>
  </si>
  <si>
    <t>1a406d1d4</t>
  </si>
  <si>
    <t>aea38df5</t>
  </si>
  <si>
    <t>ITEM-1966-1</t>
  </si>
  <si>
    <t>julho</t>
  </si>
  <si>
    <t>Elaine Hubl (14/05/2025) - 7kg morangos</t>
  </si>
  <si>
    <t>7kg morangos</t>
  </si>
  <si>
    <t>ITEM-1bcb558a9-1</t>
  </si>
  <si>
    <t>1bcb558a9</t>
  </si>
  <si>
    <t>Notas_Images/aea38df5.Foto.182000.jpg</t>
  </si>
  <si>
    <t>1482053</t>
  </si>
  <si>
    <t>101ce698</t>
  </si>
  <si>
    <t>ITEM-1980-1</t>
  </si>
  <si>
    <t>Elaine Hubl (16/05/2025) - 10kg morangos</t>
  </si>
  <si>
    <t>10kg morangos</t>
  </si>
  <si>
    <t>ITEM-1982-1</t>
  </si>
  <si>
    <t>Notas_Images/101ce698.Foto.182052.jpg</t>
  </si>
  <si>
    <t>1484725</t>
  </si>
  <si>
    <t>ITEM-1983-1</t>
  </si>
  <si>
    <t>c842fb5a</t>
  </si>
  <si>
    <t>Elaine Hubl (21/05/2025) - 10 kg morangos</t>
  </si>
  <si>
    <t>10 kg morangos</t>
  </si>
  <si>
    <t>ITEM-1984-1</t>
  </si>
  <si>
    <t>Notas_Images/c842fb5a.Foto.182148.jpg</t>
  </si>
  <si>
    <t>1493820</t>
  </si>
  <si>
    <t>5ac04941</t>
  </si>
  <si>
    <t>ITEM-1985-1</t>
  </si>
  <si>
    <t>1a140409</t>
  </si>
  <si>
    <t>MANI COMERCIO DE BEBIDAS (21/05/2025) - Aguas</t>
  </si>
  <si>
    <t>Aguas</t>
  </si>
  <si>
    <t>Vale transporte Erick e Fernando</t>
  </si>
  <si>
    <t>ITEM-1986-1</t>
  </si>
  <si>
    <t>Notas_Images/5ac04941.Foto.182257.jpg</t>
  </si>
  <si>
    <t>1493832</t>
  </si>
  <si>
    <t>be869941</t>
  </si>
  <si>
    <t>ITEM-1993-1</t>
  </si>
  <si>
    <t>7ee51177</t>
  </si>
  <si>
    <t>Amadelli (20/05/2025) - Gelados</t>
  </si>
  <si>
    <t>Gelados</t>
  </si>
  <si>
    <t>ITEM-108bf6f6a-1</t>
  </si>
  <si>
    <t>108bf6f6a</t>
  </si>
  <si>
    <t>Notas_Images/be869941.Foto.182442.jpg</t>
  </si>
  <si>
    <t>Notas_Images/be869941.Foto 1.182442.jpg</t>
  </si>
  <si>
    <t>ITEM-1988-1</t>
  </si>
  <si>
    <t>Notas_Images/be869941.Foto 2.182442.jpg</t>
  </si>
  <si>
    <t>bfdfd75a</t>
  </si>
  <si>
    <t>ITEM-1989-1</t>
  </si>
  <si>
    <t>Notas_Images/bfdfd75a.Foto.182540.jpg</t>
  </si>
  <si>
    <t>ITEM-1990-1</t>
  </si>
  <si>
    <t>3bb7ad30</t>
  </si>
  <si>
    <t>ITEM-1991-1</t>
  </si>
  <si>
    <t>Amadelli (13/05/2025) - Waffle</t>
  </si>
  <si>
    <t>Waffle</t>
  </si>
  <si>
    <t>Notas_Images/3bb7ad30.Foto.183444.jpg</t>
  </si>
  <si>
    <t>ITEM-1992-1</t>
  </si>
  <si>
    <t>5c066a1e</t>
  </si>
  <si>
    <t>37c8bd18</t>
  </si>
  <si>
    <t>4d7e9478</t>
  </si>
  <si>
    <t>6ac1d306</t>
  </si>
  <si>
    <t>Notas_Images/5c066a1e.Foto.183551.jpg</t>
  </si>
  <si>
    <t>cd78588d</t>
  </si>
  <si>
    <t>0f6f56c7</t>
  </si>
  <si>
    <t>b6274734</t>
  </si>
  <si>
    <t>b6d4f68c</t>
  </si>
  <si>
    <t>Papelaria (23/05/2025) - Compra de recibo sem canhoto,emplastificacao</t>
  </si>
  <si>
    <t>Compra de recibo sem canhoto,emplastificacao</t>
  </si>
  <si>
    <t>Notas_Images/cd78588d.Foto.211623.jpg</t>
  </si>
  <si>
    <t>4f2e79ee</t>
  </si>
  <si>
    <t>1496796</t>
  </si>
  <si>
    <t>75375964</t>
  </si>
  <si>
    <t>be5a9484</t>
  </si>
  <si>
    <t>0aea8dd7</t>
  </si>
  <si>
    <t>Farmacia (22/05/2025) - Compra de acetona para remover silicone</t>
  </si>
  <si>
    <t>Compra de acetona para remover silicone</t>
  </si>
  <si>
    <t>443bf5ca</t>
  </si>
  <si>
    <t>Notas_Images/be5a9484.Foto.211924.jpg</t>
  </si>
  <si>
    <t>1495475</t>
  </si>
  <si>
    <t>27cc13ca</t>
  </si>
  <si>
    <t>55a17899</t>
  </si>
  <si>
    <t>4c40f9d5</t>
  </si>
  <si>
    <t>99398b63</t>
  </si>
  <si>
    <t>Gervasio (28/05/2025) - Frutas</t>
  </si>
  <si>
    <t>b59bc6fe</t>
  </si>
  <si>
    <t>Notas_Images/4c40f9d5.Foto.212018.jpg</t>
  </si>
  <si>
    <t>1504802</t>
  </si>
  <si>
    <t>a6e2e87d</t>
  </si>
  <si>
    <t>562fcceb</t>
  </si>
  <si>
    <t>4a937fbe</t>
  </si>
  <si>
    <t>Supermercado pag menos (24/05/2025) - Lanche de final de semana</t>
  </si>
  <si>
    <t>Lanche de final de semana</t>
  </si>
  <si>
    <t>b8b31588</t>
  </si>
  <si>
    <t>Notas_Images/562fcceb.Foto.212131.jpg</t>
  </si>
  <si>
    <t>e751b257</t>
  </si>
  <si>
    <t>1498608</t>
  </si>
  <si>
    <t>a0c95763</t>
  </si>
  <si>
    <t>dc320174</t>
  </si>
  <si>
    <t>c4c0b624</t>
  </si>
  <si>
    <t>Parcela 6/10</t>
  </si>
  <si>
    <t>bf80084e</t>
  </si>
  <si>
    <t>Papelaria (30/05/2025) - Enfeite dia dos namorados</t>
  </si>
  <si>
    <t>Enfeite dia dos namorados</t>
  </si>
  <si>
    <t>7de1b907</t>
  </si>
  <si>
    <t>Notas_Images/dc320174.Foto.212255.jpg</t>
  </si>
  <si>
    <t>977803d0</t>
  </si>
  <si>
    <t>12539885</t>
  </si>
  <si>
    <t>1506985</t>
  </si>
  <si>
    <t>c9e72d0b</t>
  </si>
  <si>
    <t>a5e29d42</t>
  </si>
  <si>
    <t>6ab316f6</t>
  </si>
  <si>
    <t>128156f38</t>
  </si>
  <si>
    <t>Supermercado pag menos (31/05/2025) - Lanche final de semana</t>
  </si>
  <si>
    <t>410aee70</t>
  </si>
  <si>
    <t>00a0759d</t>
  </si>
  <si>
    <t>Notas_Images/c9e72d0b.Foto.212456.jpg</t>
  </si>
  <si>
    <t>1507590</t>
  </si>
  <si>
    <t>b43fefeb</t>
  </si>
  <si>
    <t>1a06d7ad</t>
  </si>
  <si>
    <t>7cfd15c1</t>
  </si>
  <si>
    <t>41513fbe</t>
  </si>
  <si>
    <t>Motoboy (26/05/2025) - Pagamento de entregas do delivery motoboy</t>
  </si>
  <si>
    <t>b7793d96</t>
  </si>
  <si>
    <t>1061b4f04</t>
  </si>
  <si>
    <t>ccd6fba2</t>
  </si>
  <si>
    <t>Pagamento de entregas do delivery motoboy</t>
  </si>
  <si>
    <t>Notas_Images/7cfd15c1.Foto.212656.jpg</t>
  </si>
  <si>
    <t>cf9dc83e</t>
  </si>
  <si>
    <t>1502102</t>
  </si>
  <si>
    <t>f22ee7f8</t>
  </si>
  <si>
    <t>247854b8</t>
  </si>
  <si>
    <t>f8a73e5c</t>
  </si>
  <si>
    <t>Elaine Hubl (28/05/2025) - 10kg morangos</t>
  </si>
  <si>
    <t>3c28390d</t>
  </si>
  <si>
    <t>Notas_Images/247854b8.Foto.212756.jpg</t>
  </si>
  <si>
    <t>1504648</t>
  </si>
  <si>
    <t>19944662a</t>
  </si>
  <si>
    <t>ef73e728</t>
  </si>
  <si>
    <t>71c2eb3f</t>
  </si>
  <si>
    <t>6e7cba38</t>
  </si>
  <si>
    <t>Duck Bebidas (23/05/2025) - Refrigerantes</t>
  </si>
  <si>
    <t>4f64a213</t>
  </si>
  <si>
    <t>Refrigerantes</t>
  </si>
  <si>
    <t>Notas_Images/71c2eb3f.Foto.212926.jpg</t>
  </si>
  <si>
    <t>1496330</t>
  </si>
  <si>
    <t>b2455782</t>
  </si>
  <si>
    <t>c66681ae</t>
  </si>
  <si>
    <t>4213f209</t>
  </si>
  <si>
    <t>Nicopel (22/05/2025) - Embalagem</t>
  </si>
  <si>
    <t>Notas_Images/c66681ae.Foto.213115.jpg</t>
  </si>
  <si>
    <t>18b9159a0</t>
  </si>
  <si>
    <t>7b62be92</t>
  </si>
  <si>
    <t>e4f90387</t>
  </si>
  <si>
    <t>a600018f</t>
  </si>
  <si>
    <t>Novo lar (29/05/2025) - Sacos de lixo,papel higiênico</t>
  </si>
  <si>
    <t>Sacos de lixo,papel higiênico</t>
  </si>
  <si>
    <t>Notas_Images/e4f90387.Foto.213518.jpg</t>
  </si>
  <si>
    <t>1505723</t>
  </si>
  <si>
    <t>165f5f03</t>
  </si>
  <si>
    <t>bca96249</t>
  </si>
  <si>
    <t>3e2734cf</t>
  </si>
  <si>
    <t>Gervasio (27/05/2025) - Fruta</t>
  </si>
  <si>
    <t>Notas_Images/165f5f03.Foto.213623.jpg</t>
  </si>
  <si>
    <t>01baee8a</t>
  </si>
  <si>
    <t>1503141</t>
  </si>
  <si>
    <t>acd15a12</t>
  </si>
  <si>
    <t>a5532fb1</t>
  </si>
  <si>
    <t>13a76f23</t>
  </si>
  <si>
    <t>Amadelli (04/06/2025) - Pedido seco</t>
  </si>
  <si>
    <t>c902fac7</t>
  </si>
  <si>
    <t>Notas_Images/a5532fb1.Foto.191843.jpg</t>
  </si>
  <si>
    <t>4ed9a5f2</t>
  </si>
  <si>
    <t>Notas_Images/a5532fb1.Foto 1.191843.jpg</t>
  </si>
  <si>
    <t>89616d5c</t>
  </si>
  <si>
    <t>4eae5cbc</t>
  </si>
  <si>
    <t>Amadelli (04/06/2025) - Pedidos seco</t>
  </si>
  <si>
    <t>5c782db5</t>
  </si>
  <si>
    <t>Pedidos seco</t>
  </si>
  <si>
    <t>d343628b</t>
  </si>
  <si>
    <t>Notas_Images/4eae5cbc.Foto.192333.jpg</t>
  </si>
  <si>
    <t>a3b13a33</t>
  </si>
  <si>
    <t>443ac3f5</t>
  </si>
  <si>
    <t>556a28ce</t>
  </si>
  <si>
    <t>Cofermaco (06/06/2025) - Compra de tinta</t>
  </si>
  <si>
    <t>Compra de tinta</t>
  </si>
  <si>
    <t>db6413a8</t>
  </si>
  <si>
    <t>Notas_Images/443ac3f5.Foto.203536.jpg</t>
  </si>
  <si>
    <t>1517677</t>
  </si>
  <si>
    <t>9d023a81</t>
  </si>
  <si>
    <t>9a0ed0bb</t>
  </si>
  <si>
    <t>Komprao (07/06/2025) - Compra de lanche para o final de semana</t>
  </si>
  <si>
    <t>3cde205b</t>
  </si>
  <si>
    <t>Compra de lanche para o final de semana</t>
  </si>
  <si>
    <t>Notas_Images/9d023a81.Foto.203946.jpg</t>
  </si>
  <si>
    <t>04216a3a</t>
  </si>
  <si>
    <t>1517673</t>
  </si>
  <si>
    <t>c7b9f4d9</t>
  </si>
  <si>
    <t>2fead94a</t>
  </si>
  <si>
    <t>333edbfb</t>
  </si>
  <si>
    <t>1430f18c8</t>
  </si>
  <si>
    <t>Komprao (05/06/2025) - Manga e banana</t>
  </si>
  <si>
    <t>Manga e banana</t>
  </si>
  <si>
    <t>08d7bac3</t>
  </si>
  <si>
    <t>Notas_Images/2fead94a.Foto.204221.jpg</t>
  </si>
  <si>
    <t>Tranca porta banheiro masculino</t>
  </si>
  <si>
    <t>273b63cc</t>
  </si>
  <si>
    <t>1515315</t>
  </si>
  <si>
    <t>f8c65dc3</t>
  </si>
  <si>
    <t>1f542171</t>
  </si>
  <si>
    <t>d00dcf98</t>
  </si>
  <si>
    <t>648bf919</t>
  </si>
  <si>
    <t>Gervasio (03/06/2025) - Compra de frutas</t>
  </si>
  <si>
    <t>3cadd9c8</t>
  </si>
  <si>
    <t>Notas_Images/d00dcf98.Foto.204423.jpg</t>
  </si>
  <si>
    <t>1515316</t>
  </si>
  <si>
    <t>b5637c32</t>
  </si>
  <si>
    <t>18e7324b2</t>
  </si>
  <si>
    <t>8ae8b184</t>
  </si>
  <si>
    <t>147fd273</t>
  </si>
  <si>
    <t>Amadelli (03/06/2025) - Pedido gelado</t>
  </si>
  <si>
    <t>8c47d9cf</t>
  </si>
  <si>
    <t>Notas_Images/8ae8b184.Foto.205112.jpg</t>
  </si>
  <si>
    <t>28d115e7</t>
  </si>
  <si>
    <t>614fde3e</t>
  </si>
  <si>
    <t>Notas_Images/8ae8b184.Foto 1.205112.jpg</t>
  </si>
  <si>
    <t>Notas_Images/8ae8b184.Foto 2.205112.jpg</t>
  </si>
  <si>
    <t>Notas_Images/8ae8b184.Foto 3.205115.jpg</t>
  </si>
  <si>
    <t>3f73e891</t>
  </si>
  <si>
    <t>e88b0d36</t>
  </si>
  <si>
    <t>1a56cf775</t>
  </si>
  <si>
    <t>769296f6</t>
  </si>
  <si>
    <t>Notas_Images/3f73e891.Foto.205402.jpg</t>
  </si>
  <si>
    <t>Notas_Images/3f73e891.Foto 1.205402.jpg</t>
  </si>
  <si>
    <t>54b1baa1</t>
  </si>
  <si>
    <t>1733dcb2</t>
  </si>
  <si>
    <t>5c1cacea</t>
  </si>
  <si>
    <t>acc6a3bc</t>
  </si>
  <si>
    <t>Lageadense (04/06/2025) - Compra de tábuas para a troca na dispensa</t>
  </si>
  <si>
    <t>1815a7de7</t>
  </si>
  <si>
    <t>Compra de tábuas para a troca na dispensa</t>
  </si>
  <si>
    <t>c76322c8</t>
  </si>
  <si>
    <t>f2a6303c</t>
  </si>
  <si>
    <t>Notas_Images/1733dcb2.Foto.205924.jpg</t>
  </si>
  <si>
    <t>1513934</t>
  </si>
  <si>
    <t>3167492f</t>
  </si>
  <si>
    <t>26faf498</t>
  </si>
  <si>
    <t>a7df235e</t>
  </si>
  <si>
    <t>2bf04b08</t>
  </si>
  <si>
    <t>e94cb51e</t>
  </si>
  <si>
    <t>Nicolle milde medeiros (02/06/2025) - Compra de balões</t>
  </si>
  <si>
    <t>Compra de balões</t>
  </si>
  <si>
    <t>0657bbab</t>
  </si>
  <si>
    <t>Notas_Images/a7df235e.Foto.210056.jpg</t>
  </si>
  <si>
    <t>63fd7ab7</t>
  </si>
  <si>
    <t>1511563</t>
  </si>
  <si>
    <t>910bc7b8</t>
  </si>
  <si>
    <t>1f05f2f2e</t>
  </si>
  <si>
    <t>fd6128e7</t>
  </si>
  <si>
    <t>junho</t>
  </si>
  <si>
    <t>264bbf65</t>
  </si>
  <si>
    <t>7f600b9f</t>
  </si>
  <si>
    <t>Alfa papelaria (02/06/2025) - Compra de EVA,nylon  e tesoura para decoração do dia dos namorados</t>
  </si>
  <si>
    <t>d40ccfa9</t>
  </si>
  <si>
    <t>Compra de EVA,nylon  e tesoura para decoração do dia dos namorados</t>
  </si>
  <si>
    <t>Notas_Images/fd6128e7.Foto.210300.jpg</t>
  </si>
  <si>
    <t>1511566</t>
  </si>
  <si>
    <t>14310d26</t>
  </si>
  <si>
    <t>a5d8892f</t>
  </si>
  <si>
    <t>Cofermaco (04/06/2025) - Compra de tinta, rolo e bandeira pata pintura</t>
  </si>
  <si>
    <t>1caefc6a5</t>
  </si>
  <si>
    <t>8b2a6ef7</t>
  </si>
  <si>
    <t>Compra de tinta, rolo e bandeira pata pintura</t>
  </si>
  <si>
    <t>Notas_Images/a5d8892f.Foto.210407.jpg</t>
  </si>
  <si>
    <t>Adian</t>
  </si>
  <si>
    <t>1513939</t>
  </si>
  <si>
    <t>789c0d68</t>
  </si>
  <si>
    <t>2f7b3290</t>
  </si>
  <si>
    <t>155b3f9d</t>
  </si>
  <si>
    <t>Papelaria (16/06/2025) - Decoração fogueira</t>
  </si>
  <si>
    <t>Decoração fogueira</t>
  </si>
  <si>
    <t>71912b6b</t>
  </si>
  <si>
    <t>Notas_Images/155b3f9d.Foto.183656.jpg</t>
  </si>
  <si>
    <t>1530954</t>
  </si>
  <si>
    <t>1bdb32a93</t>
  </si>
  <si>
    <t>14513a09</t>
  </si>
  <si>
    <t>547e31ae</t>
  </si>
  <si>
    <t>aa11ca57</t>
  </si>
  <si>
    <t>Komprao (15/06/2025) - Morangos</t>
  </si>
  <si>
    <t>c190d409</t>
  </si>
  <si>
    <t>Notas_Images/aa11ca57.Foto.183805.jpg</t>
  </si>
  <si>
    <t>152988</t>
  </si>
  <si>
    <t>3c4a26e4</t>
  </si>
  <si>
    <t>ea4d9f1d</t>
  </si>
  <si>
    <t>a6efa9e1</t>
  </si>
  <si>
    <t>19b84f526</t>
  </si>
  <si>
    <t>56a5c191</t>
  </si>
  <si>
    <t>M7 (14/06/2025) - Compra pão final semana</t>
  </si>
  <si>
    <t>Compra pão final semana</t>
  </si>
  <si>
    <t>b8951dfe</t>
  </si>
  <si>
    <t>Canudos , filme, marmitas</t>
  </si>
  <si>
    <t>Notas_Images/ea4d9f1d.Foto.183907.jpg</t>
  </si>
  <si>
    <t>dec6d522</t>
  </si>
  <si>
    <t>1527666</t>
  </si>
  <si>
    <t>54a5e151</t>
  </si>
  <si>
    <t>0ad38fda</t>
  </si>
  <si>
    <t>d66b3fff</t>
  </si>
  <si>
    <t>Decorafest (12/06/2025) - Chocolate gotas fondue</t>
  </si>
  <si>
    <t>Chocolate gotas fondue</t>
  </si>
  <si>
    <t>11e7caa5</t>
  </si>
  <si>
    <t>1b4c9b295</t>
  </si>
  <si>
    <t>Notas_Images/0ad38fda.Foto.184101.jpg</t>
  </si>
  <si>
    <t>1526354</t>
  </si>
  <si>
    <t>77bbf000</t>
  </si>
  <si>
    <t>269f3391</t>
  </si>
  <si>
    <t>a46770e1</t>
  </si>
  <si>
    <t>Forte acessórios (16/06/2025) - Pen-drive para tv</t>
  </si>
  <si>
    <t>Pen-drive para tv</t>
  </si>
  <si>
    <t>15978b31</t>
  </si>
  <si>
    <t>Notas_Images/269f3391.Foto.184237.jpg</t>
  </si>
  <si>
    <t>1530561</t>
  </si>
  <si>
    <t>87295f4f</t>
  </si>
  <si>
    <t>d3bd3724</t>
  </si>
  <si>
    <t>11039ce7d</t>
  </si>
  <si>
    <t>d68497db</t>
  </si>
  <si>
    <t>071203ad</t>
  </si>
  <si>
    <t>SuperPão (16/06/2025) - Lenha fogueira decoração</t>
  </si>
  <si>
    <t>a729114e</t>
  </si>
  <si>
    <t>Lenha fogueira decoração</t>
  </si>
  <si>
    <t>transferencia de acai e sorvete</t>
  </si>
  <si>
    <t>Notas_Images/d68497db.Foto.184346.jpg</t>
  </si>
  <si>
    <t>3b6e70ad</t>
  </si>
  <si>
    <t>1530946</t>
  </si>
  <si>
    <t>abf8df95</t>
  </si>
  <si>
    <t>5867e7da</t>
  </si>
  <si>
    <t>d50ff076</t>
  </si>
  <si>
    <t>60c0d4b9</t>
  </si>
  <si>
    <t>c1437b81</t>
  </si>
  <si>
    <t>15f5eb9ed</t>
  </si>
  <si>
    <t>Komprao (12/06/2025) - Creme de leite</t>
  </si>
  <si>
    <t>Creme de leite</t>
  </si>
  <si>
    <t>3d96ffaa</t>
  </si>
  <si>
    <t>pedido 72053</t>
  </si>
  <si>
    <t>Notas_Images/d50ff076.Foto.184436.jpg</t>
  </si>
  <si>
    <t>1524964</t>
  </si>
  <si>
    <t>eaf26747</t>
  </si>
  <si>
    <t>1c684c3e</t>
  </si>
  <si>
    <t>Komprao (11/06/2025) - Produto de limpeza</t>
  </si>
  <si>
    <t>eee0cb2c</t>
  </si>
  <si>
    <t>Notas_Images/1c684c3e.Foto.184529.jpg</t>
  </si>
  <si>
    <t>16b95da12</t>
  </si>
  <si>
    <t>1524135</t>
  </si>
  <si>
    <t>25c1cf02</t>
  </si>
  <si>
    <t>837a860e</t>
  </si>
  <si>
    <t>e2c4ef0f</t>
  </si>
  <si>
    <t>pedido 72060</t>
  </si>
  <si>
    <t>3176367f</t>
  </si>
  <si>
    <t>SAMAE (12/06/2025) - Conta água</t>
  </si>
  <si>
    <t>9e0eee5c</t>
  </si>
  <si>
    <t>Conta água</t>
  </si>
  <si>
    <t>Notas_Images/e2c4ef0f.Foto.184650.jpg</t>
  </si>
  <si>
    <t>1965259f</t>
  </si>
  <si>
    <t>8c1d97a2</t>
  </si>
  <si>
    <t>a66798c8</t>
  </si>
  <si>
    <t>12cede440</t>
  </si>
  <si>
    <t>Amadelli (16/06/2025) - Pedido Seco</t>
  </si>
  <si>
    <t>Pedido Seco</t>
  </si>
  <si>
    <t>124a5c89</t>
  </si>
  <si>
    <t>Notas_Images/8c1d97a2.Foto.185557.jpg</t>
  </si>
  <si>
    <t>ecbd4393</t>
  </si>
  <si>
    <t>pedido 71114</t>
  </si>
  <si>
    <t>Notas_Images/8c1d97a2.Foto 1.185557.jpg</t>
  </si>
  <si>
    <t>90152ee2</t>
  </si>
  <si>
    <t>c736fd22</t>
  </si>
  <si>
    <t>f96f72af</t>
  </si>
  <si>
    <t>Amadelli (16/06/2025) - Pedido secos</t>
  </si>
  <si>
    <t>2485ba06</t>
  </si>
  <si>
    <t>Notas_Images/90152ee2.Foto.185656.jpg</t>
  </si>
  <si>
    <t>2cf02972</t>
  </si>
  <si>
    <t>12dddb713</t>
  </si>
  <si>
    <t>0e937a0a</t>
  </si>
  <si>
    <t>1423bd91</t>
  </si>
  <si>
    <t>a33fc51e</t>
  </si>
  <si>
    <t>Amadelli (16/06/2025) - Pedido seco(cartaz)</t>
  </si>
  <si>
    <t>pedido 70416</t>
  </si>
  <si>
    <t>Pedido seco(cartaz)</t>
  </si>
  <si>
    <t>Notas_Images/0e937a0a.Foto.185755.jpg</t>
  </si>
  <si>
    <t>2c233162</t>
  </si>
  <si>
    <t>e347fdb4</t>
  </si>
  <si>
    <t>b2a3e88c</t>
  </si>
  <si>
    <t>Amadelli (16/06/2025) - Pedido seco(c</t>
  </si>
  <si>
    <t>c06da378</t>
  </si>
  <si>
    <t>Pedido seco(c</t>
  </si>
  <si>
    <t>Notas_Images/e347fdb4.Foto.185835.jpg</t>
  </si>
  <si>
    <t>c58c23f5</t>
  </si>
  <si>
    <t>dfbdfce6</t>
  </si>
  <si>
    <t>598827ab</t>
  </si>
  <si>
    <t>e2b4771c</t>
  </si>
  <si>
    <t>Amadelli (10/06/2025) - Pedido gelado</t>
  </si>
  <si>
    <t>1956e23d</t>
  </si>
  <si>
    <t>Notas_Images/dfbdfce6.Foto.190950.jpg</t>
  </si>
  <si>
    <t>29fac795</t>
  </si>
  <si>
    <t>70d25959</t>
  </si>
  <si>
    <t>07a7187f</t>
  </si>
  <si>
    <t>0cdd1712</t>
  </si>
  <si>
    <t>Amadelli (10/06/2025) - Pedido gelados</t>
  </si>
  <si>
    <t>Pedido gelados</t>
  </si>
  <si>
    <t>Notas_Images/07a7187f.Foto.191048.jpg</t>
  </si>
  <si>
    <t>67776d81</t>
  </si>
  <si>
    <t>6502d00f</t>
  </si>
  <si>
    <t>06b12e38</t>
  </si>
  <si>
    <t>bda9a94b</t>
  </si>
  <si>
    <t>05457aec</t>
  </si>
  <si>
    <t>ee66ae24</t>
  </si>
  <si>
    <t>Motoboy (02/06/2025) - Pagamento de entregas do motoboy</t>
  </si>
  <si>
    <t>8068def3</t>
  </si>
  <si>
    <t>Pagamento de entregas do motoboy</t>
  </si>
  <si>
    <t>Notas_Images/bda9a94b.Foto.192243.jpg</t>
  </si>
  <si>
    <t>102ad78e</t>
  </si>
  <si>
    <t>1511603</t>
  </si>
  <si>
    <t>a7519e6a</t>
  </si>
  <si>
    <t>46dd48d4</t>
  </si>
  <si>
    <t>Elaine Hubl (09/06/2025) - 5kg morangos</t>
  </si>
  <si>
    <t>5kg morangos</t>
  </si>
  <si>
    <t>Notas_Images/a7519e6a.Foto.193332.jpg</t>
  </si>
  <si>
    <t>1521349</t>
  </si>
  <si>
    <t>35ee8ce4</t>
  </si>
  <si>
    <t>b0d0dcb3</t>
  </si>
  <si>
    <t>73a5a8ef</t>
  </si>
  <si>
    <t>Motoboy (09/06/2025) - Entregas motoboy</t>
  </si>
  <si>
    <t>a6414d8c</t>
  </si>
  <si>
    <t>Entregas motoboy</t>
  </si>
  <si>
    <t>7c7a078f</t>
  </si>
  <si>
    <t>Notas_Images/73a5a8ef.Foto.193429.jpg</t>
  </si>
  <si>
    <t>1521771</t>
  </si>
  <si>
    <t>016a20d4</t>
  </si>
  <si>
    <t>e00b0ad2</t>
  </si>
  <si>
    <t>Papelaria (11/06/2025) - Fita durex</t>
  </si>
  <si>
    <t>5f9334eb</t>
  </si>
  <si>
    <t>Fita durex</t>
  </si>
  <si>
    <t>Notas_Images/e00b0ad2.Foto.193815.jpg</t>
  </si>
  <si>
    <t>6d10da34</t>
  </si>
  <si>
    <t>dfa5e1a1</t>
  </si>
  <si>
    <t>Elaine Hubl (13/06/2025) - 2kg morangos</t>
  </si>
  <si>
    <t>2kg morangos</t>
  </si>
  <si>
    <t>9e01e63c</t>
  </si>
  <si>
    <t>Notas_Images/dfa5e1a1.Foto.193922.jpg</t>
  </si>
  <si>
    <t>bc75057d</t>
  </si>
  <si>
    <t>1526415</t>
  </si>
  <si>
    <t>a7f11c1c</t>
  </si>
  <si>
    <t>eb185e47</t>
  </si>
  <si>
    <t>ff86542f</t>
  </si>
  <si>
    <t>Komprao (14/06/2025) - Compras para loja</t>
  </si>
  <si>
    <t>Compras para loja</t>
  </si>
  <si>
    <t>fdb28b84</t>
  </si>
  <si>
    <t>Notas_Images/a7f11c1c.Foto.194021.jpg</t>
  </si>
  <si>
    <t>e50e876f</t>
  </si>
  <si>
    <t>74b6e132</t>
  </si>
  <si>
    <t>1527663</t>
  </si>
  <si>
    <t>bcd3e39d</t>
  </si>
  <si>
    <t>5ce1deef</t>
  </si>
  <si>
    <t>a4e44c17</t>
  </si>
  <si>
    <t>Motoboy (16/06/2025) - Pagamento entregas motoboy</t>
  </si>
  <si>
    <t>035e5c36</t>
  </si>
  <si>
    <t>a9922e12</t>
  </si>
  <si>
    <t>6c37d02b</t>
  </si>
  <si>
    <t>9c34b046</t>
  </si>
  <si>
    <t>5fe03865</t>
  </si>
  <si>
    <t>Pagamento entregas motoboy</t>
  </si>
  <si>
    <t>f60d7a87</t>
  </si>
  <si>
    <t>Notas_Images/5ce1deef.Foto.194127.jpg</t>
  </si>
  <si>
    <t>8f582b19</t>
  </si>
  <si>
    <t>1530980</t>
  </si>
  <si>
    <t>ff258984</t>
  </si>
  <si>
    <t>53487535</t>
  </si>
  <si>
    <t>c0beb300</t>
  </si>
  <si>
    <t>19c421adf</t>
  </si>
  <si>
    <t>78f24681</t>
  </si>
  <si>
    <t>67acdc99</t>
  </si>
  <si>
    <t>Elaine Hubl (18/06/2025) - 5kg morangos</t>
  </si>
  <si>
    <t>9cd5c62a</t>
  </si>
  <si>
    <t>Notas_Images/c0beb300.Foto.194213.jpg</t>
  </si>
  <si>
    <t>1533058</t>
  </si>
  <si>
    <t>84bff8de</t>
  </si>
  <si>
    <t>6b765a9a</t>
  </si>
  <si>
    <t>3d5957d6</t>
  </si>
  <si>
    <t>16b9d4f84</t>
  </si>
  <si>
    <t>Elaine Hubl (04/06/2025) - 6kg morangos</t>
  </si>
  <si>
    <t>6kg morangos</t>
  </si>
  <si>
    <t>Notas_Images/3d5957d6.Foto.201338.jpg</t>
  </si>
  <si>
    <t>Notas_Images/3d5957d6.Foto 1.201338.jpg</t>
  </si>
  <si>
    <t>3ef82aaa</t>
  </si>
  <si>
    <t>1c9c4ea7c</t>
  </si>
  <si>
    <t>f5769a95</t>
  </si>
  <si>
    <t>Amadelli (17/06/2025) - Pedido Gelado</t>
  </si>
  <si>
    <t>Pedido Gelado</t>
  </si>
  <si>
    <t>a0abe895</t>
  </si>
  <si>
    <t>1e6d05cf</t>
  </si>
  <si>
    <t>Notas_Images/3ef82aaa.Foto.200609.jpg</t>
  </si>
  <si>
    <t>ce8a0a17</t>
  </si>
  <si>
    <t>Notas_Images/3ef82aaa.Foto 1.200609.jpg</t>
  </si>
  <si>
    <t>f1f7fe1d</t>
  </si>
  <si>
    <t>9612677d</t>
  </si>
  <si>
    <t>1bd7baea8</t>
  </si>
  <si>
    <t>Elaine Hubl (20/06/2025) - 5kg Morangos</t>
  </si>
  <si>
    <t>5kg Morangos</t>
  </si>
  <si>
    <t>b8bb216a</t>
  </si>
  <si>
    <t>1256,70+131,87</t>
  </si>
  <si>
    <t>a6582c25</t>
  </si>
  <si>
    <t>Notas_Images/f1f7fe1d.Foto.203702.jpg</t>
  </si>
  <si>
    <t>1536605</t>
  </si>
  <si>
    <t>0690794a</t>
  </si>
  <si>
    <t>5033faba</t>
  </si>
  <si>
    <t>cc256515</t>
  </si>
  <si>
    <t>ffff70b5</t>
  </si>
  <si>
    <t>858f84f8</t>
  </si>
  <si>
    <t>MANI COMERCIO DE BEBIDAS (20/06/2025) - Aguas</t>
  </si>
  <si>
    <t>d5fcd1c2</t>
  </si>
  <si>
    <t>38b44dd1</t>
  </si>
  <si>
    <t>Notas_Images/cc256515.Foto.203905.jpg</t>
  </si>
  <si>
    <t>1536641</t>
  </si>
  <si>
    <t>6fa35378</t>
  </si>
  <si>
    <t>5523a821</t>
  </si>
  <si>
    <t>fde94fba</t>
  </si>
  <si>
    <t>eab365d3</t>
  </si>
  <si>
    <t>c8cd141a</t>
  </si>
  <si>
    <t>Duck Bebidas (20/06/2025) - Latas de refrigerantes</t>
  </si>
  <si>
    <t>Latas de refrigerantes</t>
  </si>
  <si>
    <t>661e37c8</t>
  </si>
  <si>
    <t>15fd7e23</t>
  </si>
  <si>
    <t>Notas_Images/fde94fba.Foto.204422.jpg</t>
  </si>
  <si>
    <t>d9ff1fc1</t>
  </si>
  <si>
    <t>1536616</t>
  </si>
  <si>
    <t>0e58a867</t>
  </si>
  <si>
    <t>9cc239d3</t>
  </si>
  <si>
    <t>bbd4da20</t>
  </si>
  <si>
    <t>e42d4bc2</t>
  </si>
  <si>
    <t>88b0ab3e</t>
  </si>
  <si>
    <t>3f5ae3ca</t>
  </si>
  <si>
    <t>9aea7805</t>
  </si>
  <si>
    <t>565f8357</t>
  </si>
  <si>
    <t>Komprao (18/06/2025) - Maionese lanche final de semana</t>
  </si>
  <si>
    <t>Maionese lanche final de semana</t>
  </si>
  <si>
    <t>265f5e17</t>
  </si>
  <si>
    <t>1e5c52f0e</t>
  </si>
  <si>
    <t>Notas_Images/88b0ab3e.Foto.204723.jpg</t>
  </si>
  <si>
    <t>1536651</t>
  </si>
  <si>
    <t>95806bb0</t>
  </si>
  <si>
    <t>pedido 74116</t>
  </si>
  <si>
    <t>59b407e6</t>
  </si>
  <si>
    <t>358f8e88</t>
  </si>
  <si>
    <t>Komprao (18/06/2025) - Lanche final de semana</t>
  </si>
  <si>
    <t>873d2a48</t>
  </si>
  <si>
    <t>9c7487c8</t>
  </si>
  <si>
    <t>Notas_Images/59b407e6.Foto.204838.jpg</t>
  </si>
  <si>
    <t>17ca3a5ca</t>
  </si>
  <si>
    <t>fd22b20a</t>
  </si>
  <si>
    <t>1536653</t>
  </si>
  <si>
    <t>e05370de</t>
  </si>
  <si>
    <t>2e6356be</t>
  </si>
  <si>
    <t>369379cc</t>
  </si>
  <si>
    <t>agosto</t>
  </si>
  <si>
    <t>3551dd7d</t>
  </si>
  <si>
    <t>Gervasio (18/06/2025) - Frutas</t>
  </si>
  <si>
    <t>f3f06698</t>
  </si>
  <si>
    <t>30b8cd8f</t>
  </si>
  <si>
    <t>Notas_Images/369379cc.Foto.204936.jpg</t>
  </si>
  <si>
    <t>c830aa6e</t>
  </si>
  <si>
    <t>1533056</t>
  </si>
  <si>
    <t>12b26bb1c</t>
  </si>
  <si>
    <t>9a4fa664</t>
  </si>
  <si>
    <t>bd3cd38e</t>
  </si>
  <si>
    <t>Sindicato</t>
  </si>
  <si>
    <t>Novo lar (17/06/2025) - Luvas papel</t>
  </si>
  <si>
    <t>62595bb7</t>
  </si>
  <si>
    <t>Luvas papel</t>
  </si>
  <si>
    <t>2471aa40</t>
  </si>
  <si>
    <t>Notas_Images/bd3cd38e.Foto.205116.jpg</t>
  </si>
  <si>
    <t>1533692</t>
  </si>
  <si>
    <t>75fa1345</t>
  </si>
  <si>
    <t>0c33616e</t>
  </si>
  <si>
    <t>4606133c</t>
  </si>
  <si>
    <t>Elaine Hubl (23/06/2025) - Compra de morango (5kg)</t>
  </si>
  <si>
    <t>03cfc23e</t>
  </si>
  <si>
    <t>18f89b053</t>
  </si>
  <si>
    <t>Compra de morango (5kg)</t>
  </si>
  <si>
    <t>Notas_Images/4606133c.Foto.204646.jpg</t>
  </si>
  <si>
    <t>731b8072</t>
  </si>
  <si>
    <t>1541853</t>
  </si>
  <si>
    <t>ba4601b0</t>
  </si>
  <si>
    <t>Vale Fernando</t>
  </si>
  <si>
    <t>d9e22f66</t>
  </si>
  <si>
    <t>Amadelli (01/07/2025) - Pedido seco</t>
  </si>
  <si>
    <t>017c8bbd</t>
  </si>
  <si>
    <t>Notas_Images/d9e22f66.Foto.171024.jpg</t>
  </si>
  <si>
    <t>299cbabf</t>
  </si>
  <si>
    <t>Notas_Images/d9e22f66.Foto 1.171024.jpg</t>
  </si>
  <si>
    <t>6f922a20</t>
  </si>
  <si>
    <t>87d279e5</t>
  </si>
  <si>
    <t>5bbebd8f</t>
  </si>
  <si>
    <t>Amadelli (02/07/2025) - Pedido gelado</t>
  </si>
  <si>
    <t>8765b644</t>
  </si>
  <si>
    <t>01be18c3</t>
  </si>
  <si>
    <t>Notas_Images/87d279e5.Foto.171238.jpg</t>
  </si>
  <si>
    <t>Notas_Images/87d279e5.Foto 1.171239.jpg</t>
  </si>
  <si>
    <t>74f03f8b</t>
  </si>
  <si>
    <t>Notas_Images/87d279e5.Foto 2.171239.jpg</t>
  </si>
  <si>
    <t>b59f8580</t>
  </si>
  <si>
    <t>bd334263</t>
  </si>
  <si>
    <t>35d66c04</t>
  </si>
  <si>
    <t>SAMAE (01/07/2025) - Conta de água</t>
  </si>
  <si>
    <t>1f5f69672</t>
  </si>
  <si>
    <t>65ff6a40</t>
  </si>
  <si>
    <t>Notas_Images/b59f8580.Foto.174252.jpg</t>
  </si>
  <si>
    <t>a58ace8a</t>
  </si>
  <si>
    <t>0dcbe223</t>
  </si>
  <si>
    <t>28d94a66</t>
  </si>
  <si>
    <t>35aeee2c</t>
  </si>
  <si>
    <t>00bbaeff</t>
  </si>
  <si>
    <t>Casa da boleira são bento (03/07/2025) - Chocolate para confecção de fondue</t>
  </si>
  <si>
    <t>da7dc4eb</t>
  </si>
  <si>
    <t>Chocolate para confecção de fondue</t>
  </si>
  <si>
    <t>1d2a14092</t>
  </si>
  <si>
    <t>1c916566</t>
  </si>
  <si>
    <t>9ee99ca0</t>
  </si>
  <si>
    <t>Notas_Images/35aeee2c.Foto.183155.jpg</t>
  </si>
  <si>
    <t>1553930</t>
  </si>
  <si>
    <t>pedido 74111</t>
  </si>
  <si>
    <t>0cadc772</t>
  </si>
  <si>
    <t>176f009f</t>
  </si>
  <si>
    <t>b1aaf9fc</t>
  </si>
  <si>
    <t>b590dbe5</t>
  </si>
  <si>
    <t>6ee745b2</t>
  </si>
  <si>
    <t>M7 (05/07/2025) - Pão para final de semana</t>
  </si>
  <si>
    <t>1d563bec4</t>
  </si>
  <si>
    <t>ea7fe03b</t>
  </si>
  <si>
    <t>Pão para final de semana</t>
  </si>
  <si>
    <t>pedido 73391</t>
  </si>
  <si>
    <t>e3f6943a</t>
  </si>
  <si>
    <t>18c3d452</t>
  </si>
  <si>
    <t>8d8a8acc</t>
  </si>
  <si>
    <t>Notas_Images/b1aaf9fc.Foto.183359.jpg</t>
  </si>
  <si>
    <t>67cebdf9</t>
  </si>
  <si>
    <t>741225b2</t>
  </si>
  <si>
    <t>1557342</t>
  </si>
  <si>
    <t>090d25c2</t>
  </si>
  <si>
    <t>bf4c656e</t>
  </si>
  <si>
    <t>d0480a26</t>
  </si>
  <si>
    <t>98d791fb</t>
  </si>
  <si>
    <t>8111f4b4</t>
  </si>
  <si>
    <t>a0c465b8</t>
  </si>
  <si>
    <t>3ae23f1e</t>
  </si>
  <si>
    <t>Komprao (04/07/2025) - Mortadela e queijo para final de semana.  E álcool para limpeza</t>
  </si>
  <si>
    <t>ad570fed</t>
  </si>
  <si>
    <t>Mortadela e queijo para final de semana.  E álcool para limpeza</t>
  </si>
  <si>
    <t>655271a9</t>
  </si>
  <si>
    <t>e0e37921</t>
  </si>
  <si>
    <t>fd4dd0b5</t>
  </si>
  <si>
    <t>328ce6af</t>
  </si>
  <si>
    <t>Notas_Images/79481929.Foto.183626.jpg</t>
  </si>
  <si>
    <t>2ccbec7c</t>
  </si>
  <si>
    <t>1555654</t>
  </si>
  <si>
    <t>22db9c2b</t>
  </si>
  <si>
    <t>575082f1</t>
  </si>
  <si>
    <t>6a6767f7</t>
  </si>
  <si>
    <t>Supermercado pag menos (21/06/2025) - Pão para lanche de final de semana</t>
  </si>
  <si>
    <t>Pão para lanche de final de semana</t>
  </si>
  <si>
    <t>ec15f83b</t>
  </si>
  <si>
    <t>cf60b310</t>
  </si>
  <si>
    <t>Parcela 7/10</t>
  </si>
  <si>
    <t>Notas_Images/575082f1.Foto.184413.jpg</t>
  </si>
  <si>
    <t>1538668</t>
  </si>
  <si>
    <t>a803f4ac</t>
  </si>
  <si>
    <t>d62f57d3</t>
  </si>
  <si>
    <t>2435b4db</t>
  </si>
  <si>
    <t>RN Embalagens e Papelaria Ltda. (03/07/2025) - Canetas para copos</t>
  </si>
  <si>
    <t>31aecdbe</t>
  </si>
  <si>
    <t>Canetas para copos</t>
  </si>
  <si>
    <t>Notas_Images/d62f57d3.Foto.184932.jpg</t>
  </si>
  <si>
    <t>199b89fd</t>
  </si>
  <si>
    <t>55d17b6b</t>
  </si>
  <si>
    <t>1554109</t>
  </si>
  <si>
    <t>0251176e</t>
  </si>
  <si>
    <t>80c4c844</t>
  </si>
  <si>
    <t>aaa867d8</t>
  </si>
  <si>
    <t>23c64b9d</t>
  </si>
  <si>
    <t>7a7e2799</t>
  </si>
  <si>
    <t>Komprao (22/06/2025) - Uva e morango</t>
  </si>
  <si>
    <t>Uva e morango</t>
  </si>
  <si>
    <t>48d06360</t>
  </si>
  <si>
    <t>f3e53095</t>
  </si>
  <si>
    <t>Notas_Images/80c4c844.Foto.185420.jpg</t>
  </si>
  <si>
    <t>1539977</t>
  </si>
  <si>
    <t>ff36505e</t>
  </si>
  <si>
    <t>2998cf39</t>
  </si>
  <si>
    <t>4c9074c3</t>
  </si>
  <si>
    <t>Gervasio (25/06/2025) - Compra de manga uva Abacaxi</t>
  </si>
  <si>
    <t>1bd01a3b</t>
  </si>
  <si>
    <t>Compra de manga uva Abacaxi</t>
  </si>
  <si>
    <t>3d6a4227</t>
  </si>
  <si>
    <t>cb268001</t>
  </si>
  <si>
    <t>Notas_Images/2998cf39.Foto.185929.jpg</t>
  </si>
  <si>
    <t>1544069</t>
  </si>
  <si>
    <t>d2bad2cd</t>
  </si>
  <si>
    <t>097f09bf</t>
  </si>
  <si>
    <t>5a18e18c</t>
  </si>
  <si>
    <t>Gervasio (27/06/2025) - Uva Abacaxi Manga banana</t>
  </si>
  <si>
    <t>64c54e64</t>
  </si>
  <si>
    <t>Uva Abacaxi Manga banana</t>
  </si>
  <si>
    <t>Notas_Images/5a18e18c.Foto.190743.jpg</t>
  </si>
  <si>
    <t>872ba75f</t>
  </si>
  <si>
    <t>1545699</t>
  </si>
  <si>
    <t>4351bdec</t>
  </si>
  <si>
    <t>be18e301</t>
  </si>
  <si>
    <t>SuperPão (06/07/2025) - Uva italia</t>
  </si>
  <si>
    <t>Uva italia</t>
  </si>
  <si>
    <t>f1a4a89d</t>
  </si>
  <si>
    <t>1ed6c873</t>
  </si>
  <si>
    <t>Notas_Images/4351bdec.Foto.191305.jpg</t>
  </si>
  <si>
    <t>1559476</t>
  </si>
  <si>
    <t>045af4ad</t>
  </si>
  <si>
    <t>2f7a2d4c</t>
  </si>
  <si>
    <t>9634ea76</t>
  </si>
  <si>
    <t>SuperPão (28/06/2025) - Pão queijo e mortadela para lanche de final de semana</t>
  </si>
  <si>
    <t>Pão queijo e mortadela para lanche de final de semana</t>
  </si>
  <si>
    <t>e1800931</t>
  </si>
  <si>
    <t>Notas_Images/2f7a2d4c.Foto.193722.jpg</t>
  </si>
  <si>
    <t>e86f7fb6</t>
  </si>
  <si>
    <t>1547713</t>
  </si>
  <si>
    <t>d46f852c</t>
  </si>
  <si>
    <t>7ebf6ea7</t>
  </si>
  <si>
    <t>42f33b2f</t>
  </si>
  <si>
    <t>Komprao (11/07/2025) - Lanche para final de semana e produtos de limpeza</t>
  </si>
  <si>
    <t>Lanche para final de semana e produtos de limpeza</t>
  </si>
  <si>
    <t>322ce910</t>
  </si>
  <si>
    <t>bbc74892</t>
  </si>
  <si>
    <t>Notas_Images/7ebf6ea7.Foto.194021.jpg</t>
  </si>
  <si>
    <t>770d5e70</t>
  </si>
  <si>
    <t>1566698</t>
  </si>
  <si>
    <t>52371620</t>
  </si>
  <si>
    <t>f75ae218</t>
  </si>
  <si>
    <t>11627138</t>
  </si>
  <si>
    <t>Gervasio (11/07/2025) - Manga Abacaxi e uva</t>
  </si>
  <si>
    <t>Manga Abacaxi e uva</t>
  </si>
  <si>
    <t>16ffb56d</t>
  </si>
  <si>
    <t>Notas_Images/f75ae218.Foto.194938.jpg</t>
  </si>
  <si>
    <t>08b9483c</t>
  </si>
  <si>
    <t>1566691</t>
  </si>
  <si>
    <t>9f5eb4ae</t>
  </si>
  <si>
    <t>a69da2fc</t>
  </si>
  <si>
    <t>197bb5c95</t>
  </si>
  <si>
    <t>dc1b003e</t>
  </si>
  <si>
    <t>Alfa papelaria (09/07/2025) - Canetas para decoração</t>
  </si>
  <si>
    <t>Canetas para decoração</t>
  </si>
  <si>
    <t>6899972b</t>
  </si>
  <si>
    <t>7018038e</t>
  </si>
  <si>
    <t>compra de 2 cameras</t>
  </si>
  <si>
    <t>Notas_Images/9f5eb4ae.Foto.195539.jpg</t>
  </si>
  <si>
    <t>f2df2248</t>
  </si>
  <si>
    <t>1563925</t>
  </si>
  <si>
    <t>57b41fbb</t>
  </si>
  <si>
    <t>6e96ea8b</t>
  </si>
  <si>
    <t>09bb820b</t>
  </si>
  <si>
    <t>fc9fdb04</t>
  </si>
  <si>
    <t>47d17ea1</t>
  </si>
  <si>
    <t>RN Embalagens e Papelaria Ltda. (09/07/2025) - Saco para colheres do delivery</t>
  </si>
  <si>
    <t>Saco para colheres do delivery</t>
  </si>
  <si>
    <t>58fa72ad</t>
  </si>
  <si>
    <t>7fe0bba3</t>
  </si>
  <si>
    <t>Notas_Images/6e96ea8b.Foto.195853.jpg</t>
  </si>
  <si>
    <t>1563928</t>
  </si>
  <si>
    <t>bd46ebc5</t>
  </si>
  <si>
    <t>51cdde6a</t>
  </si>
  <si>
    <t>8b2e3a0d</t>
  </si>
  <si>
    <t>Gervasio (07/07/2025) - Uva Abacaxi Manga banana</t>
  </si>
  <si>
    <t>a10db31d</t>
  </si>
  <si>
    <t>Notas_Images/51cdde6a.Foto.200045.jpg</t>
  </si>
  <si>
    <t>1560504</t>
  </si>
  <si>
    <t>d07fcbde</t>
  </si>
  <si>
    <t>6ba3d336</t>
  </si>
  <si>
    <t>6e375fc0</t>
  </si>
  <si>
    <t>Novo lar (11/07/2025) - Produtos de limpeza e papel</t>
  </si>
  <si>
    <t>16264d66</t>
  </si>
  <si>
    <t>Produtos de limpeza e papel</t>
  </si>
  <si>
    <t>Notas_Images/6e375fc0.Foto.200257.jpg</t>
  </si>
  <si>
    <t>828c7993</t>
  </si>
  <si>
    <t>1566319</t>
  </si>
  <si>
    <t>0c99d21d</t>
  </si>
  <si>
    <t>ee72e3e3</t>
  </si>
  <si>
    <t>eca71d56</t>
  </si>
  <si>
    <t>1726a4b83</t>
  </si>
  <si>
    <t>Chaveiro Ritzman (24/06/2025) - Cadeado</t>
  </si>
  <si>
    <t>de4911e6</t>
  </si>
  <si>
    <t>Cadeado</t>
  </si>
  <si>
    <t>pedido 76468</t>
  </si>
  <si>
    <t>Notas_Images/ee72e3e3.Foto.200933.jpg</t>
  </si>
  <si>
    <t>655d0e25</t>
  </si>
  <si>
    <t>1543025</t>
  </si>
  <si>
    <t>fb112179</t>
  </si>
  <si>
    <t>1529df0d</t>
  </si>
  <si>
    <t>c6a8c716</t>
  </si>
  <si>
    <t>1e34a6ac0</t>
  </si>
  <si>
    <t>Qualithek (09/07/2025) - Exame demissional Sabrina</t>
  </si>
  <si>
    <t>aa460114</t>
  </si>
  <si>
    <t>Exame demissional Sabrina</t>
  </si>
  <si>
    <t>pedido 76469</t>
  </si>
  <si>
    <t>a30a5ee6</t>
  </si>
  <si>
    <t>Notas_Images/fb112179.Foto.203427.jpg</t>
  </si>
  <si>
    <t>1563483</t>
  </si>
  <si>
    <t>c66e0ca0</t>
  </si>
  <si>
    <t>6a50ee70</t>
  </si>
  <si>
    <t>4e3b961b</t>
  </si>
  <si>
    <t>ade6a14a</t>
  </si>
  <si>
    <t>Qualithek (09/07/2025) - Exame admissional do Fernando</t>
  </si>
  <si>
    <t>424f29d8</t>
  </si>
  <si>
    <t>1cc117ed5</t>
  </si>
  <si>
    <t>Exame admissional do Fernando</t>
  </si>
  <si>
    <t>Notas_Images/4e3b961b.Foto.203800.jpg</t>
  </si>
  <si>
    <t>aefbac25</t>
  </si>
  <si>
    <t>pedido 77407</t>
  </si>
  <si>
    <t>0a439e66</t>
  </si>
  <si>
    <t>f3f72d76</t>
  </si>
  <si>
    <t>6739225d</t>
  </si>
  <si>
    <t>a58a6a6a</t>
  </si>
  <si>
    <t>1e1f69c89</t>
  </si>
  <si>
    <t>b0ad54f6</t>
  </si>
  <si>
    <t>19633a38</t>
  </si>
  <si>
    <t>f01dc7d5</t>
  </si>
  <si>
    <t>efa108ef</t>
  </si>
  <si>
    <t>3f468d45</t>
  </si>
  <si>
    <t>2e28893a</t>
  </si>
  <si>
    <t>b93e887f</t>
  </si>
  <si>
    <t>153602b1c</t>
  </si>
  <si>
    <t>1563489</t>
  </si>
  <si>
    <t>8d21b610</t>
  </si>
  <si>
    <t>feito</t>
  </si>
  <si>
    <t>dce28b9a</t>
  </si>
  <si>
    <t>1d9fd4bc</t>
  </si>
  <si>
    <t>bea38b58</t>
  </si>
  <si>
    <t>Elaine Hubl (14/07/2025) - Morango 5kg</t>
  </si>
  <si>
    <t>Morango 5kg</t>
  </si>
  <si>
    <t>Notas_Images/1d9fd4bc.Foto.204023.jpg</t>
  </si>
  <si>
    <t>e6d68d77</t>
  </si>
  <si>
    <t>38bf3906</t>
  </si>
  <si>
    <t>1572561</t>
  </si>
  <si>
    <t>d4ce9378</t>
  </si>
  <si>
    <t>0cbebda3</t>
  </si>
  <si>
    <t>Elaine Hubl (02/07/2025) - Morango 5kg</t>
  </si>
  <si>
    <t>27ac36cb</t>
  </si>
  <si>
    <t>Notas_Images/d4ce9378.Foto.204312.jpg</t>
  </si>
  <si>
    <t>97558d31</t>
  </si>
  <si>
    <t>1553314</t>
  </si>
  <si>
    <t>786158b6</t>
  </si>
  <si>
    <t>b82fbfe8</t>
  </si>
  <si>
    <t>c6410d18</t>
  </si>
  <si>
    <t>Elaine Hubl (09/07/2025) - Morango 4kg</t>
  </si>
  <si>
    <t>Morango 4kg</t>
  </si>
  <si>
    <t>e046b59c</t>
  </si>
  <si>
    <t>Notas_Images/786158b6.Foto.204744.jpg</t>
  </si>
  <si>
    <t>1563495</t>
  </si>
  <si>
    <t>5c868a75</t>
  </si>
  <si>
    <t>369a012a</t>
  </si>
  <si>
    <t>e1a32d6b</t>
  </si>
  <si>
    <t>Elaine Hubl (11/07/2025) - 2kg morango</t>
  </si>
  <si>
    <t>2kg morango</t>
  </si>
  <si>
    <t>c158c30f</t>
  </si>
  <si>
    <t>b1669263</t>
  </si>
  <si>
    <t>Notas_Images/369a012a.Foto.204902.jpg</t>
  </si>
  <si>
    <t>1566685</t>
  </si>
  <si>
    <t>74aa69cb</t>
  </si>
  <si>
    <t>7d200990</t>
  </si>
  <si>
    <t>f8203eb1</t>
  </si>
  <si>
    <t>Elaine Hubl (07/07/2025) - Morango 4,5kg</t>
  </si>
  <si>
    <t>Morango 4,5kg</t>
  </si>
  <si>
    <t>69ea912e</t>
  </si>
  <si>
    <t>a59ff700</t>
  </si>
  <si>
    <t>Notas_Images/7d200990.Foto.205257.jpg</t>
  </si>
  <si>
    <t>e69432f6</t>
  </si>
  <si>
    <t>1560599</t>
  </si>
  <si>
    <t>2b9a89a1</t>
  </si>
  <si>
    <t>5e0976d2</t>
  </si>
  <si>
    <t>41571eec</t>
  </si>
  <si>
    <t>c4e83bc0</t>
  </si>
  <si>
    <t>Elaine Hubl (27/06/2025) - Morango 5.5kg</t>
  </si>
  <si>
    <t>Morango 5.5kg</t>
  </si>
  <si>
    <t>6bb5ba53</t>
  </si>
  <si>
    <t>Notas_Images/5e0976d2.Foto.205439.jpg</t>
  </si>
  <si>
    <t>4c864442</t>
  </si>
  <si>
    <t>1545677</t>
  </si>
  <si>
    <t>406007a7</t>
  </si>
  <si>
    <t>167498dd</t>
  </si>
  <si>
    <t>26edd983</t>
  </si>
  <si>
    <t>Motoboy (07/07/2025) - Pagamento para Mario motoboy</t>
  </si>
  <si>
    <t>Pagamento para Mario motoboy</t>
  </si>
  <si>
    <t>fc7eae7e</t>
  </si>
  <si>
    <t>Notas_Images/406007a7.Foto.205737.jpg</t>
  </si>
  <si>
    <t>1560980</t>
  </si>
  <si>
    <t>9c197f2a</t>
  </si>
  <si>
    <t>e6efe335</t>
  </si>
  <si>
    <t>153b6a3f6</t>
  </si>
  <si>
    <t>d60333f7</t>
  </si>
  <si>
    <t>0794bfbd</t>
  </si>
  <si>
    <t>Motoboy (30/06/2025) - Pagamento de Mario motoboy</t>
  </si>
  <si>
    <t>Pagamento de Mario motoboy</t>
  </si>
  <si>
    <t>Notas_Images/d60333f7.Foto.205834.jpg</t>
  </si>
  <si>
    <t>66293ab5</t>
  </si>
  <si>
    <t>1551069</t>
  </si>
  <si>
    <t>3e6cb55c</t>
  </si>
  <si>
    <t>3b43b654</t>
  </si>
  <si>
    <t>0cef6206</t>
  </si>
  <si>
    <t>ae164c2f</t>
  </si>
  <si>
    <t>5fb852ef</t>
  </si>
  <si>
    <t>1ae4bc58f</t>
  </si>
  <si>
    <t>2c374f14</t>
  </si>
  <si>
    <t>Motoboy (14/07/2025) - Pagamento para Mario motoboy</t>
  </si>
  <si>
    <t>2a30635b</t>
  </si>
  <si>
    <t>cbdb1188</t>
  </si>
  <si>
    <t>Notas_Images/0cef6206.Foto.205958.jpg</t>
  </si>
  <si>
    <t>aa61841a</t>
  </si>
  <si>
    <t>d454e278</t>
  </si>
  <si>
    <t>ac8c652f</t>
  </si>
  <si>
    <t>3a2f9002</t>
  </si>
  <si>
    <t>Motoboy (21/06/2025) - Pagamento para Mario motoboy</t>
  </si>
  <si>
    <t>1275f487a</t>
  </si>
  <si>
    <t>b330ae00</t>
  </si>
  <si>
    <t>Notas_Images/ac8c652f.Foto.210147.jpg</t>
  </si>
  <si>
    <t>b9649e97</t>
  </si>
  <si>
    <t>1541873</t>
  </si>
  <si>
    <t>95a8e13e</t>
  </si>
  <si>
    <t>33f6e59e</t>
  </si>
  <si>
    <t>Elaine Hubl (18/07/2025) - 6 kg de morango</t>
  </si>
  <si>
    <t>6 kg de morango</t>
  </si>
  <si>
    <t>7d29362d</t>
  </si>
  <si>
    <t>b79edc70</t>
  </si>
  <si>
    <t>14284683e</t>
  </si>
  <si>
    <t>Notas_Images/95a8e13e.Foto.194745.jpg</t>
  </si>
  <si>
    <t>1578509</t>
  </si>
  <si>
    <t>9ef12192</t>
  </si>
  <si>
    <t>14f16136</t>
  </si>
  <si>
    <t>5fe65d3d</t>
  </si>
  <si>
    <t>Duck Bebidas (17/07/2025) - Compra de bebidas</t>
  </si>
  <si>
    <t>49872887</t>
  </si>
  <si>
    <t>f6bb3002</t>
  </si>
  <si>
    <t>Notas_Images/14f16136.Foto.195300.jpg</t>
  </si>
  <si>
    <t>1d26b2e3d</t>
  </si>
  <si>
    <t>1578531</t>
  </si>
  <si>
    <t>e70a2fd1</t>
  </si>
  <si>
    <t>43f9cb4a</t>
  </si>
  <si>
    <t>Notas_Images/14f16136.Foto 1.195300.jpg</t>
  </si>
  <si>
    <t>0178f033</t>
  </si>
  <si>
    <t>261b79c3</t>
  </si>
  <si>
    <t>62f7abdc</t>
  </si>
  <si>
    <t>Amadelli (17/07/2025) - Pedido seco</t>
  </si>
  <si>
    <t>9dbae4ba</t>
  </si>
  <si>
    <t>6ec3f773</t>
  </si>
  <si>
    <t>Notas_Images/0178f033.Foto.200714.jpg</t>
  </si>
  <si>
    <t>11519215a</t>
  </si>
  <si>
    <t>Notas_Images/0178f033.Foto 1.200714.jpg</t>
  </si>
  <si>
    <t>Notas_Images/0178f033.Foto 2.200714.jpg</t>
  </si>
  <si>
    <t>Notas_Images/0178f033.Foto 3.200720.jpg</t>
  </si>
  <si>
    <t>Pedido 79950 nota de serviço</t>
  </si>
  <si>
    <t>9dda83bd</t>
  </si>
  <si>
    <t>aa96d2b4</t>
  </si>
  <si>
    <t>a9cbafd3</t>
  </si>
  <si>
    <t>Amadelli (15/07/2025) - Pedido gelado</t>
  </si>
  <si>
    <t>c773f3a3</t>
  </si>
  <si>
    <t>Notas_Images/9dda83bd.Foto.202837.jpg</t>
  </si>
  <si>
    <t>129e605d4</t>
  </si>
  <si>
    <t>Notas_Images/9dda83bd.Foto 1.202837.jpg</t>
  </si>
  <si>
    <t>59335551</t>
  </si>
  <si>
    <t>Notas_Images/9dda83bd.Foto 2.202837.jpg</t>
  </si>
  <si>
    <t>Notas_Images/9dda83bd.Foto 3.202841.jpg</t>
  </si>
  <si>
    <t>Pedido 79156 Nota de serviço</t>
  </si>
  <si>
    <t>7f58cede</t>
  </si>
  <si>
    <t>325e682b</t>
  </si>
  <si>
    <t>Amadelli (17/07/2025) - Copo personalizado e canetinha</t>
  </si>
  <si>
    <t>Copo personalizado e canetinha</t>
  </si>
  <si>
    <t>8e3219ae</t>
  </si>
  <si>
    <t>2260f541</t>
  </si>
  <si>
    <t>Notas_Images/7f58cede.Foto.172339.jpg</t>
  </si>
  <si>
    <t>39baed92</t>
  </si>
  <si>
    <t>9d5b8dbf</t>
  </si>
  <si>
    <t>Amadelli (17/07/2025) - Copo personalizado com canetinha</t>
  </si>
  <si>
    <t>096b2998</t>
  </si>
  <si>
    <t>Copo personalizado com canetinha</t>
  </si>
  <si>
    <t>89f3b873</t>
  </si>
  <si>
    <t>Notas_Images/39baed92.Foto.181509.jpg</t>
  </si>
  <si>
    <t>e119bef3</t>
  </si>
  <si>
    <t>b50ccf01</t>
  </si>
  <si>
    <t>273aa278</t>
  </si>
  <si>
    <t>Pagmenos (18/07/2025) - Compra de lanche para final de semana</t>
  </si>
  <si>
    <t>Compra de lanche para final de semana</t>
  </si>
  <si>
    <t>ba6cd2ad</t>
  </si>
  <si>
    <t>0ed04d53</t>
  </si>
  <si>
    <t>Notas_Images/b50ccf01.Foto.193320.jpg</t>
  </si>
  <si>
    <t>1582492</t>
  </si>
  <si>
    <t>380bcc98</t>
  </si>
  <si>
    <t>3d44039c</t>
  </si>
  <si>
    <t>03db129f</t>
  </si>
  <si>
    <t>b6f0900f</t>
  </si>
  <si>
    <t>ed922eea</t>
  </si>
  <si>
    <t>Gervasio (16/07/2025) - Compra de frutas; Banana, Uva e Manga</t>
  </si>
  <si>
    <t>Compra de frutas; Banana, Uva e Manga</t>
  </si>
  <si>
    <t>213bba30</t>
  </si>
  <si>
    <t>Notas_Images/03db129f.Foto.193822.jpg</t>
  </si>
  <si>
    <t>1575747</t>
  </si>
  <si>
    <t>18932635</t>
  </si>
  <si>
    <t>fbefe1e5</t>
  </si>
  <si>
    <t>92bf4410</t>
  </si>
  <si>
    <t>Elaine Hubl (21/07/2025) - Compra de morango 4kg</t>
  </si>
  <si>
    <t>3cc3534e</t>
  </si>
  <si>
    <t>Compra de morango 4kg</t>
  </si>
  <si>
    <t>e583188f</t>
  </si>
  <si>
    <t>Notas_Images/fbefe1e5.Foto.194020.jpg</t>
  </si>
  <si>
    <t>1d00e5b0</t>
  </si>
  <si>
    <t>1584319</t>
  </si>
  <si>
    <t>dd2a53bf</t>
  </si>
  <si>
    <t>d10ed3c8</t>
  </si>
  <si>
    <t>686a13b9</t>
  </si>
  <si>
    <t>Elaine Hubl (16/07/2025) - Compra de morango 7kg</t>
  </si>
  <si>
    <t>Compra de morango 7kg</t>
  </si>
  <si>
    <t>047f6962</t>
  </si>
  <si>
    <t>38392107</t>
  </si>
  <si>
    <t>Notas_Images/dd2a53bf.Foto.194614.jpg</t>
  </si>
  <si>
    <t>1575741</t>
  </si>
  <si>
    <t>aa4520dc</t>
  </si>
  <si>
    <t>1e7bb738</t>
  </si>
  <si>
    <t>143616ebc</t>
  </si>
  <si>
    <t>04a700de</t>
  </si>
  <si>
    <t>Motoboy (22/07/2025) - Pagamento motoboy Mario do dia 14/07/25 ao dia 20/07/25</t>
  </si>
  <si>
    <t>Pagamento motoboy Mario do dia 14/07/25 ao dia 20/07/25</t>
  </si>
  <si>
    <t>00e5be10</t>
  </si>
  <si>
    <t>Notas_Images/1e7bb738.Foto.195534.jpg</t>
  </si>
  <si>
    <t>Vale transporte Fernando</t>
  </si>
  <si>
    <t>1585730</t>
  </si>
  <si>
    <t>946daccf</t>
  </si>
  <si>
    <t>c2f9d1b0</t>
  </si>
  <si>
    <t>df570525</t>
  </si>
  <si>
    <t>Gervasio (23/07/2025) - Compra de frutas; Uva, Manga, Banana e Abacaxi</t>
  </si>
  <si>
    <t>3f8390c7</t>
  </si>
  <si>
    <t>Compra de frutas; Uva, Manga, Banana e Abacaxi</t>
  </si>
  <si>
    <t>792c6ff9</t>
  </si>
  <si>
    <t>3db51186</t>
  </si>
  <si>
    <t>Notas_Images/df570525.Foto.195721.jpg</t>
  </si>
  <si>
    <t>89cf0835</t>
  </si>
  <si>
    <t>b82c511f</t>
  </si>
  <si>
    <t>1587332</t>
  </si>
  <si>
    <t>ecbbc613</t>
  </si>
  <si>
    <t>c0afb4d4</t>
  </si>
  <si>
    <t>MANI COMERCIO DE BEBIDAS (16/07/2025) - Compra de água</t>
  </si>
  <si>
    <t>858ff8a7</t>
  </si>
  <si>
    <t>Compra de água</t>
  </si>
  <si>
    <t>13fdd9a21</t>
  </si>
  <si>
    <t>Notas_Images/ecbbc613.Foto.200006.jpg</t>
  </si>
  <si>
    <t>be665a32</t>
  </si>
  <si>
    <t>1577607</t>
  </si>
  <si>
    <t>3b5df871</t>
  </si>
  <si>
    <t>0ae70b06</t>
  </si>
  <si>
    <t>d9f22d8b</t>
  </si>
  <si>
    <t>Gervasio (19/07/2025) - Compra de frutas</t>
  </si>
  <si>
    <t>b006f9b3</t>
  </si>
  <si>
    <t>81504939</t>
  </si>
  <si>
    <t>Notas_Images/0ae70b06.Foto.200412.jpg</t>
  </si>
  <si>
    <t>106d8c6ab</t>
  </si>
  <si>
    <t>1582521</t>
  </si>
  <si>
    <t>bca182d9</t>
  </si>
  <si>
    <t>007967b7</t>
  </si>
  <si>
    <t>f831cde9</t>
  </si>
  <si>
    <t>Pedido 79957</t>
  </si>
  <si>
    <t>abd0ca15</t>
  </si>
  <si>
    <t>Supermercado pag menos (24/07/2025) - Produtos de limpeza</t>
  </si>
  <si>
    <t>Notas_Images/f831cde9.Foto.204906.jpg</t>
  </si>
  <si>
    <t>1589219</t>
  </si>
  <si>
    <t>ba4d80e9</t>
  </si>
  <si>
    <t>Komprao (01/08/2025) - Lanche final de semana</t>
  </si>
  <si>
    <t>Notas_Images/ba4d80e9.Foto.205006.jpg</t>
  </si>
  <si>
    <t>1602149</t>
  </si>
  <si>
    <t>f9a91cf4</t>
  </si>
  <si>
    <t>1b06b8bf</t>
  </si>
  <si>
    <t>2e989d3b</t>
  </si>
  <si>
    <t>Gervasio (30/07/2025) - Frutas</t>
  </si>
  <si>
    <t>Notas_Images/f9a91cf4.Foto.205105.jpg</t>
  </si>
  <si>
    <t>f54a194f</t>
  </si>
  <si>
    <t>1598854</t>
  </si>
  <si>
    <t>2cdb3a61</t>
  </si>
  <si>
    <t>6cd84d51</t>
  </si>
  <si>
    <t>Komprao (26/07/2025) - Fruta</t>
  </si>
  <si>
    <t>Notas_Images/2cdb3a61.Foto.205215.jpg</t>
  </si>
  <si>
    <t>1592773</t>
  </si>
  <si>
    <t>3f899b5d</t>
  </si>
  <si>
    <t>8a20981f</t>
  </si>
  <si>
    <t>f3f9ac9b</t>
  </si>
  <si>
    <t>Elaine Hubl (25/07/2025) - 5kg morangos</t>
  </si>
  <si>
    <t>09d74328</t>
  </si>
  <si>
    <t>da4eb984</t>
  </si>
  <si>
    <t>Notas_Images/f3f9ac9b.Foto.205323.jpg</t>
  </si>
  <si>
    <t>1590963</t>
  </si>
  <si>
    <t>f091f206</t>
  </si>
  <si>
    <t>8fa92040</t>
  </si>
  <si>
    <t>7cdde6ba</t>
  </si>
  <si>
    <t>Elaine Hubl (28/08/2025) - 5kg morangos</t>
  </si>
  <si>
    <t>80f4725c</t>
  </si>
  <si>
    <t>d355321b</t>
  </si>
  <si>
    <t>Notas_Images/8fa92040.Foto.205415.jpg</t>
  </si>
  <si>
    <t>1596115</t>
  </si>
  <si>
    <t>c6267c4f</t>
  </si>
  <si>
    <t>8a34ea4e</t>
  </si>
  <si>
    <t>eae3bbae</t>
  </si>
  <si>
    <t>000a818a</t>
  </si>
  <si>
    <t>Motoboy (28/07/2025) - Pagamento motoboy</t>
  </si>
  <si>
    <t>Pagamento motoboy</t>
  </si>
  <si>
    <t>564ca7c3</t>
  </si>
  <si>
    <t>Notas_Images/8a34ea4e.Foto.205536.jpg</t>
  </si>
  <si>
    <t>aecae23e</t>
  </si>
  <si>
    <t>07bbf1d7</t>
  </si>
  <si>
    <t>1596262</t>
  </si>
  <si>
    <t>d2244a66</t>
  </si>
  <si>
    <t>76d66b31</t>
  </si>
  <si>
    <t>9315edf2</t>
  </si>
  <si>
    <t>Elaine Hubl (30/07/2025) - 4kg morangos</t>
  </si>
  <si>
    <t>4kg morangos</t>
  </si>
  <si>
    <t>Notas_Images/d2244a66.Foto.205638.jpg</t>
  </si>
  <si>
    <t>0c2a741b</t>
  </si>
  <si>
    <t>c3f9bc31</t>
  </si>
  <si>
    <t>1598855</t>
  </si>
  <si>
    <t>462d6011</t>
  </si>
  <si>
    <t>300e862f</t>
  </si>
  <si>
    <t>Conecta celular (01/08/2025) - Pendrive</t>
  </si>
  <si>
    <t>a7967850</t>
  </si>
  <si>
    <t>Pendrive</t>
  </si>
  <si>
    <t>Notas_Images/462d6011.Foto.205755.jpg</t>
  </si>
  <si>
    <t>1601872</t>
  </si>
  <si>
    <t>478e82c8</t>
  </si>
  <si>
    <t>748a3b48</t>
  </si>
  <si>
    <t>Amadelli (29/07/2025) - Pedido gelado</t>
  </si>
  <si>
    <t>1206fc01</t>
  </si>
  <si>
    <t>Notas_Images/748a3b48.Foto.210020.jpg</t>
  </si>
  <si>
    <t>eff91a6d</t>
  </si>
  <si>
    <t>Parcela 8/10</t>
  </si>
  <si>
    <t>8350c26e</t>
  </si>
  <si>
    <t>13b031fd</t>
  </si>
  <si>
    <t>a74f11ab</t>
  </si>
  <si>
    <t>cc4ac9fe</t>
  </si>
  <si>
    <t>bae6d2db</t>
  </si>
  <si>
    <t>Amadelli (28/07/2025) - Pedido seco</t>
  </si>
  <si>
    <t>a4d39cbe</t>
  </si>
  <si>
    <t>Notas_Images/a74f11ab.Foto.210401.jpg</t>
  </si>
  <si>
    <t>Notas_Images/a74f11ab.Foto 1.210401.jpg</t>
  </si>
  <si>
    <t>08d0606a</t>
  </si>
  <si>
    <t>ebd17a85</t>
  </si>
  <si>
    <t>Notas_Images/08d0606a.Foto.210800.jpg</t>
  </si>
  <si>
    <t>Notas_Images/08d0606a.Foto 1.210800.jpg</t>
  </si>
  <si>
    <t>Notas_Images/08d0606a.Foto 2.210800.jpg</t>
  </si>
  <si>
    <t>75c7f38c</t>
  </si>
  <si>
    <t>5d102f8a</t>
  </si>
  <si>
    <t>09fa2fbd</t>
  </si>
  <si>
    <t>Novo lar (31/07/2025) - Produtos limpeza</t>
  </si>
  <si>
    <t>Produtos limpeza</t>
  </si>
  <si>
    <t>62493102</t>
  </si>
  <si>
    <t>Notas_Images/75c7f38c.Foto.211222.jpg</t>
  </si>
  <si>
    <t>41debdcf</t>
  </si>
  <si>
    <t>1600383</t>
  </si>
  <si>
    <t>Notas_Images/75c7f38c.Foto 1.211222.jpg</t>
  </si>
  <si>
    <t>f413c241</t>
  </si>
  <si>
    <t>342b0635</t>
  </si>
  <si>
    <t>Papelaria (05/08/2025) - Saquinho para colher</t>
  </si>
  <si>
    <t>Saquinho para colher</t>
  </si>
  <si>
    <t>7e034e6a</t>
  </si>
  <si>
    <t>2994ecc1</t>
  </si>
  <si>
    <t>Notas_Images/342b0635.Foto.213053.jpg</t>
  </si>
  <si>
    <t>1609466</t>
  </si>
  <si>
    <t>18fd66b65</t>
  </si>
  <si>
    <t>a6ac3af3</t>
  </si>
  <si>
    <t>bbb966a9</t>
  </si>
  <si>
    <t>38244daa</t>
  </si>
  <si>
    <t>Gervasio (04/08/2025) - Frutas</t>
  </si>
  <si>
    <t>Limpeza de ar condicionados</t>
  </si>
  <si>
    <t>12633b9a</t>
  </si>
  <si>
    <t>834d3b07</t>
  </si>
  <si>
    <t>Notas_Images/bbb966a9.Foto.213201.jpg</t>
  </si>
  <si>
    <t>1608225</t>
  </si>
  <si>
    <t>58044939</t>
  </si>
  <si>
    <t>f5677c01</t>
  </si>
  <si>
    <t>Komprao (09/08/2025) - Lanche final semana</t>
  </si>
  <si>
    <t>Lanche final semana</t>
  </si>
  <si>
    <t>78f8cf8d</t>
  </si>
  <si>
    <t>12d12ce92</t>
  </si>
  <si>
    <t>Notas_Images/f5677c01.Foto.213311.jpg</t>
  </si>
  <si>
    <t>1615393</t>
  </si>
  <si>
    <t>Rescisao</t>
  </si>
  <si>
    <t>6669ae04</t>
  </si>
  <si>
    <t>ed06dc85</t>
  </si>
  <si>
    <t>59d2d602</t>
  </si>
  <si>
    <t>Minersol (05/08/2025) - Bolsa térmica</t>
  </si>
  <si>
    <t>Bolsa térmica</t>
  </si>
  <si>
    <t>23f4096e</t>
  </si>
  <si>
    <t>Notas_Images/ed06dc85.Foto.213550.jpg</t>
  </si>
  <si>
    <t>d9a82bd9</t>
  </si>
  <si>
    <t>0d39bcf3</t>
  </si>
  <si>
    <t>Komprao (06/08/2025) - Aguas</t>
  </si>
  <si>
    <t>Notas_Images/d9a82bd9.Foto.213729.jpg</t>
  </si>
  <si>
    <t>a79eeef8</t>
  </si>
  <si>
    <t>1610848</t>
  </si>
  <si>
    <t>eb6972ab</t>
  </si>
  <si>
    <t>38b3a11b</t>
  </si>
  <si>
    <t>Papelaria (12/08/2025) - Recibos</t>
  </si>
  <si>
    <t>43b201b5</t>
  </si>
  <si>
    <t>Recibos</t>
  </si>
  <si>
    <t>Notas_Images/eb6972ab.Foto.213904.jpg</t>
  </si>
  <si>
    <t>1620488</t>
  </si>
  <si>
    <t>10dcb7201</t>
  </si>
  <si>
    <t>c588951c</t>
  </si>
  <si>
    <t>6e2be737</t>
  </si>
  <si>
    <t>249aa19c</t>
  </si>
  <si>
    <t>Rescisao trabalhista</t>
  </si>
  <si>
    <t>63487400</t>
  </si>
  <si>
    <t>Sapo Ceuss (13/08/2025) - Balança e placas</t>
  </si>
  <si>
    <t>57c6ff2d</t>
  </si>
  <si>
    <t>Balança e placas</t>
  </si>
  <si>
    <t>Notas_Images/249aa19c.Foto.214030.jpg</t>
  </si>
  <si>
    <t>faa32493</t>
  </si>
  <si>
    <t>1621685</t>
  </si>
  <si>
    <t>c406cb28</t>
  </si>
  <si>
    <t>500dbf60</t>
  </si>
  <si>
    <t>Gervasio (13/08/2025) - Fruutas</t>
  </si>
  <si>
    <t>13883da83</t>
  </si>
  <si>
    <t>Fruutas</t>
  </si>
  <si>
    <t>Notas_Images/c406cb28.Foto.214118.jpg</t>
  </si>
  <si>
    <t>1621225</t>
  </si>
  <si>
    <t>87316bb8</t>
  </si>
  <si>
    <t>Serviço 81680 nota de serviço</t>
  </si>
  <si>
    <t>a6a47d5d</t>
  </si>
  <si>
    <t>1ae222ff</t>
  </si>
  <si>
    <t>Komprao (13/08/2025) - Sabão e leite</t>
  </si>
  <si>
    <t>8c495ce5</t>
  </si>
  <si>
    <t>Sabão e leite</t>
  </si>
  <si>
    <t>Notas_Images/a6a47d5d.Foto.214403.jpg</t>
  </si>
  <si>
    <t>1621690</t>
  </si>
  <si>
    <t>1b7adbb35</t>
  </si>
  <si>
    <t>0dcf2150</t>
  </si>
  <si>
    <t>e7a1f85c</t>
  </si>
  <si>
    <t>Papelaria (13/08/2025) - Caneta para dinheiro e baterias de controles</t>
  </si>
  <si>
    <t>Pedido 81686 nota de serviço</t>
  </si>
  <si>
    <t>Caneta para dinheiro e baterias de controles</t>
  </si>
  <si>
    <t>7358fda3</t>
  </si>
  <si>
    <t>Notas_Images/e7a1f85c.Foto.214459.jpg</t>
  </si>
  <si>
    <t>1621689</t>
  </si>
  <si>
    <t>6d8a8ad9</t>
  </si>
  <si>
    <t>cee62ffb</t>
  </si>
  <si>
    <t>Motoboy (04/08/2025) - Pagamento de entregas motoboy neto</t>
  </si>
  <si>
    <t>Pagamento de entregas motoboy neto</t>
  </si>
  <si>
    <t>9c0051c9</t>
  </si>
  <si>
    <t>Notas_Images/6d8a8ad9.Foto.214708.jpg</t>
  </si>
  <si>
    <t>067c0ab4</t>
  </si>
  <si>
    <t>1608216</t>
  </si>
  <si>
    <t>15bece8ee</t>
  </si>
  <si>
    <t>cc87fc4d</t>
  </si>
  <si>
    <t>6ce93cf2</t>
  </si>
  <si>
    <t>81cdfa9f</t>
  </si>
  <si>
    <t>Elaine Hubl (03/08/2025) - 4kg morangos</t>
  </si>
  <si>
    <t>dd4ec487</t>
  </si>
  <si>
    <t>Taxa registro da contabilidade</t>
  </si>
  <si>
    <t>ca3be2fe</t>
  </si>
  <si>
    <t>bd40a100</t>
  </si>
  <si>
    <t>Notas_Images/81cdfa9f.Foto.214758.jpg</t>
  </si>
  <si>
    <t>1608218</t>
  </si>
  <si>
    <t>1f86b01a</t>
  </si>
  <si>
    <t>2d9892cc</t>
  </si>
  <si>
    <t>Notas_Images/1f86b01a.Foto.214912.jpg</t>
  </si>
  <si>
    <t>1e4023584</t>
  </si>
  <si>
    <t>18da1f38</t>
  </si>
  <si>
    <t>1608220</t>
  </si>
  <si>
    <t>2268d4fc</t>
  </si>
  <si>
    <t>cd2ad558</t>
  </si>
  <si>
    <t>3bedd12d</t>
  </si>
  <si>
    <t>dc70459a</t>
  </si>
  <si>
    <t>Renovação</t>
  </si>
  <si>
    <t>65c6a7cf</t>
  </si>
  <si>
    <t>cf8b99df</t>
  </si>
  <si>
    <t>Motoboy (04/08/2025) - Pagamento de entregas motoboy dizao</t>
  </si>
  <si>
    <t>Pagamento de entregas motoboy dizao</t>
  </si>
  <si>
    <t>1be82e14</t>
  </si>
  <si>
    <t>Notas_Images/dc70459a.Foto.215021.jpg</t>
  </si>
  <si>
    <t>1608224</t>
  </si>
  <si>
    <t>eb8d5986</t>
  </si>
  <si>
    <t>9978f277</t>
  </si>
  <si>
    <t>5a5ce249</t>
  </si>
  <si>
    <t>1196a7c02</t>
  </si>
  <si>
    <t>7bdeaa1c</t>
  </si>
  <si>
    <t>Motoboy (04/08/2025) - Pagamento motoboy Mario</t>
  </si>
  <si>
    <t>d87063c4</t>
  </si>
  <si>
    <t>Pagamento motoboy Mario</t>
  </si>
  <si>
    <t>da2ce4b8</t>
  </si>
  <si>
    <t>ef8fc513</t>
  </si>
  <si>
    <t>boleto de 76 cancelado, mercadoria não chegou</t>
  </si>
  <si>
    <t>Notas_Images/5a5ce249.Foto.215125.jpg</t>
  </si>
  <si>
    <t>1608204</t>
  </si>
  <si>
    <t>0742d4d5</t>
  </si>
  <si>
    <t>1deed449</t>
  </si>
  <si>
    <t>fd360d17</t>
  </si>
  <si>
    <t>987fa304</t>
  </si>
  <si>
    <t>9302eae4</t>
  </si>
  <si>
    <t>HC Comercio de Embalagens (05/08/2025) - Guardanapos fitas luvas</t>
  </si>
  <si>
    <t>Guardanapos fitas luvas</t>
  </si>
  <si>
    <t>Notas_Images/fd360d17.Foto.215447.jpg</t>
  </si>
  <si>
    <t>8fcb8ff9</t>
  </si>
  <si>
    <t>1609458</t>
  </si>
  <si>
    <t>5ba860ec</t>
  </si>
  <si>
    <t>df8e3f5a</t>
  </si>
  <si>
    <t>2cac9fbb</t>
  </si>
  <si>
    <t>e5ba8337</t>
  </si>
  <si>
    <t>Motoboy (11/08/2025) - Pagamento entregas motoboy mario</t>
  </si>
  <si>
    <t>Pagamento entregas motoboy mario</t>
  </si>
  <si>
    <t>88ed3671</t>
  </si>
  <si>
    <t>Notas_Images/df8e3f5a.Foto.220326.jpg</t>
  </si>
  <si>
    <t>1619094</t>
  </si>
  <si>
    <t>ca1e876d</t>
  </si>
  <si>
    <t>73d51f98</t>
  </si>
  <si>
    <t>9ce93c94</t>
  </si>
  <si>
    <t>Elaine Hubl (01/08/2025) - 3kg morangos</t>
  </si>
  <si>
    <t>3kg morangos</t>
  </si>
  <si>
    <t>Notas_Images/ca1e876d.Foto.220413.jpg</t>
  </si>
  <si>
    <t>ada8790a</t>
  </si>
  <si>
    <t>1601873</t>
  </si>
  <si>
    <t>67261cc4</t>
  </si>
  <si>
    <t>c03164ae</t>
  </si>
  <si>
    <t>10ecc245</t>
  </si>
  <si>
    <t>Free (08/08/2025) - Pagamento dias trabalhados no lugar do Eric que está de atestado de 30 dias</t>
  </si>
  <si>
    <t>Pagamento dias trabalhados no lugar do Eric que está de atestado de 30 dias</t>
  </si>
  <si>
    <t>Notas_Images/67261cc4.Foto.220528.jpg</t>
  </si>
  <si>
    <t>2773d962</t>
  </si>
  <si>
    <t>1613657</t>
  </si>
  <si>
    <t>21b51d25</t>
  </si>
  <si>
    <t>5ec7d04a</t>
  </si>
  <si>
    <t>7aa00ccf</t>
  </si>
  <si>
    <t>Elaine Hubl (13/08/2025) - 6kg morangos</t>
  </si>
  <si>
    <t>d52a2d0a</t>
  </si>
  <si>
    <t>Notas_Images/5ec7d04a.Foto.220755.jpg</t>
  </si>
  <si>
    <t>1621312</t>
  </si>
  <si>
    <t>5b7287e5</t>
  </si>
  <si>
    <t>c71c998e</t>
  </si>
  <si>
    <t>SAMAE (13/08/2025) - Conta de agua</t>
  </si>
  <si>
    <t>7962164a</t>
  </si>
  <si>
    <t>Conta de agua</t>
  </si>
  <si>
    <t>Notas_Images/c71c998e.Foto.220858.jpg</t>
  </si>
  <si>
    <t>dfb3f54d</t>
  </si>
  <si>
    <t>a9d0e430</t>
  </si>
  <si>
    <t>63cb96bd</t>
  </si>
  <si>
    <t>34789674</t>
  </si>
  <si>
    <t>Amadelli (12/08/2025) - Pedido seco</t>
  </si>
  <si>
    <t>6b64920a</t>
  </si>
  <si>
    <t>Notas_Images/a9d0e430.Foto.221703.jpg</t>
  </si>
  <si>
    <t>Notas_Images/a9d0e430.Foto 1.221703.jpg</t>
  </si>
  <si>
    <t>edf227df</t>
  </si>
  <si>
    <t>Notas_Images/a9d0e430.Foto 2.221703.jpg</t>
  </si>
  <si>
    <t>87af8c21</t>
  </si>
  <si>
    <t>61cd8b97</t>
  </si>
  <si>
    <t>59e8d664</t>
  </si>
  <si>
    <t>85719ac7</t>
  </si>
  <si>
    <t>Dedetizadora (14/08/2025) - Dedetizacao</t>
  </si>
  <si>
    <t>Dedetizacao</t>
  </si>
  <si>
    <t>Notas_Images/61cd8b97.Foto.205147.jpg</t>
  </si>
  <si>
    <t>feedc284</t>
  </si>
  <si>
    <t>aedce096</t>
  </si>
  <si>
    <t>1623079</t>
  </si>
  <si>
    <t>c669c5e1</t>
  </si>
  <si>
    <t>8691ea2c</t>
  </si>
  <si>
    <t>Elaine Hubl (08/08/2025) - 7kg morangos</t>
  </si>
  <si>
    <t>85063294</t>
  </si>
  <si>
    <t>Notas_Images/8691ea2c.Foto.205231.jpg</t>
  </si>
  <si>
    <t>1d12e49c4</t>
  </si>
  <si>
    <t>1613716</t>
  </si>
  <si>
    <t>c2f37944</t>
  </si>
  <si>
    <t>536942b7</t>
  </si>
  <si>
    <t>Transferência de secos e gelados</t>
  </si>
  <si>
    <t>dc1a9fd1</t>
  </si>
  <si>
    <t>Minersol (14/08/2025) - Porta retrato</t>
  </si>
  <si>
    <t>Porta retrato</t>
  </si>
  <si>
    <t>Notas_Images/536942b7.Foto.205458.jpg</t>
  </si>
  <si>
    <t>d19bfd56</t>
  </si>
  <si>
    <t>1623074</t>
  </si>
  <si>
    <t>f6bcaec2</t>
  </si>
  <si>
    <t>31126f34</t>
  </si>
  <si>
    <t>365f1fe1</t>
  </si>
  <si>
    <t>5a09bc0f</t>
  </si>
  <si>
    <t>Elaine Hubl (15/08/2025) - 7kg morangos</t>
  </si>
  <si>
    <t>Teste (01/06/2026) - Teste</t>
  </si>
  <si>
    <t>Teste</t>
  </si>
  <si>
    <t>Notas_Images/31126f34.Foto.205548.jpg</t>
  </si>
  <si>
    <t>1624253</t>
  </si>
  <si>
    <t>Compras_Images/f6bcaec2.Foto.200027.jpg</t>
  </si>
  <si>
    <t>e9db4d34</t>
  </si>
  <si>
    <t>b2b1c645</t>
  </si>
  <si>
    <t>123456789</t>
  </si>
  <si>
    <t>MANI COMERCIO DE BEBIDAS (15/08/2025) - Aguas</t>
  </si>
  <si>
    <t>4c8dfb88</t>
  </si>
  <si>
    <t>50070473</t>
  </si>
  <si>
    <t>Notas_Images/b2b1c645.Foto.205703.jpg</t>
  </si>
  <si>
    <t>1624227</t>
  </si>
  <si>
    <t>24b6555c</t>
  </si>
  <si>
    <t>858e68ad</t>
  </si>
  <si>
    <t>7756f0fd</t>
  </si>
  <si>
    <t>bd729c44</t>
  </si>
  <si>
    <t>Duck Bebidas (15/08/2025) - Bebidas</t>
  </si>
  <si>
    <t>6342a92a</t>
  </si>
  <si>
    <t>8478f466</t>
  </si>
  <si>
    <t>Notas_Images/858e68ad.Foto.205753.jpg</t>
  </si>
  <si>
    <t>1624239</t>
  </si>
  <si>
    <t>ff818ce3</t>
  </si>
  <si>
    <t>0836a936</t>
  </si>
  <si>
    <t>Amadelli (12/08/2025) - Pedido gelado</t>
  </si>
  <si>
    <t>b0a1acd7</t>
  </si>
  <si>
    <t>Notas_Images/0836a936.Foto.205916.jpg</t>
  </si>
  <si>
    <t>7345a256</t>
  </si>
  <si>
    <t>Notas_Images/0836a936.Foto 1.205916.jpg</t>
  </si>
  <si>
    <t>029dc328</t>
  </si>
  <si>
    <t>2bb400cc</t>
  </si>
  <si>
    <t>19a4c233</t>
  </si>
  <si>
    <t>f5d8128a</t>
  </si>
  <si>
    <t>58bc85ae</t>
  </si>
  <si>
    <t>23758acd</t>
  </si>
  <si>
    <t>1eeaa370</t>
  </si>
  <si>
    <t>461640cc</t>
  </si>
  <si>
    <t>Elaine Hubl (18/08/2025) - Compra de 8kg de morango</t>
  </si>
  <si>
    <t>Compra de 8kg de morango</t>
  </si>
  <si>
    <t>bf9a4412</t>
  </si>
  <si>
    <t>Notas_Images/029dc328.Foto.181016.jpg</t>
  </si>
  <si>
    <t>1630924</t>
  </si>
  <si>
    <t>1126fcdb</t>
  </si>
  <si>
    <t>e5692bbe</t>
  </si>
  <si>
    <t>Elaine Hubl (20/08/2025) - Compra de 8 kg de morango</t>
  </si>
  <si>
    <t>Compra de 8 kg de morango</t>
  </si>
  <si>
    <t>312cc8bd</t>
  </si>
  <si>
    <t>Notas_Images/1126fcdb.Foto.182119.jpg</t>
  </si>
  <si>
    <t>184f59ff</t>
  </si>
  <si>
    <t>1634370</t>
  </si>
  <si>
    <t>ada3ce92</t>
  </si>
  <si>
    <t>048f4787</t>
  </si>
  <si>
    <t>b58f743b</t>
  </si>
  <si>
    <t>6efd6d23</t>
  </si>
  <si>
    <t>Extintor (22/08/2025) - Troca de extintor</t>
  </si>
  <si>
    <t>504a0d6d</t>
  </si>
  <si>
    <t>Troca de extintor</t>
  </si>
  <si>
    <t>Notas_Images/ada3ce92.Foto.182715.jpg</t>
  </si>
  <si>
    <t>87c28fc3</t>
  </si>
  <si>
    <t>1637437</t>
  </si>
  <si>
    <t>2916d3c9</t>
  </si>
  <si>
    <t>a47265a9</t>
  </si>
  <si>
    <t>8a03bd93</t>
  </si>
  <si>
    <t>Elaine Hubl (22/08/2025) - Compra de morango 10kg</t>
  </si>
  <si>
    <t>Compra de morango 10kg</t>
  </si>
  <si>
    <t>Notas_Images/2916d3c9.Foto.182856.jpg</t>
  </si>
  <si>
    <t>b37c31a8</t>
  </si>
  <si>
    <t>b21c8fa7</t>
  </si>
  <si>
    <t>1637442</t>
  </si>
  <si>
    <t>2dc50490</t>
  </si>
  <si>
    <t>d82e97a3</t>
  </si>
  <si>
    <t>Motoboy (25/08/2025) - Pagamento de serviços de motoboy dos dias 18de agosto até o dia 24de agosto</t>
  </si>
  <si>
    <t>ace65ca5</t>
  </si>
  <si>
    <t>Pagamento de serviços de motoboy dos dias 18de agosto até o dia 24de agosto</t>
  </si>
  <si>
    <t>Notas_Images/2dc50490.Foto.184059.jpg</t>
  </si>
  <si>
    <t>f98a2875</t>
  </si>
  <si>
    <t>1643709</t>
  </si>
  <si>
    <t>702acb84</t>
  </si>
  <si>
    <t>053761df</t>
  </si>
  <si>
    <t>Elaine Hubl (25/08/2025) - Compra de 8kg de morango</t>
  </si>
  <si>
    <t>Notas_Images/702acb84.Foto.185124.jpg</t>
  </si>
  <si>
    <t>e1fbcf4a</t>
  </si>
  <si>
    <t>1643712</t>
  </si>
  <si>
    <t>034d6dda</t>
  </si>
  <si>
    <t>9b86cf2f</t>
  </si>
  <si>
    <t>Komprao (16/08/2025) - Compra de lanche para final de semana</t>
  </si>
  <si>
    <t>ffb4b6ba</t>
  </si>
  <si>
    <t>Notas_Images/034d6dda.Foto.185318.jpg</t>
  </si>
  <si>
    <t>dae4b4a0</t>
  </si>
  <si>
    <t>1626813</t>
  </si>
  <si>
    <t>6e199c8b</t>
  </si>
  <si>
    <t>306fee10</t>
  </si>
  <si>
    <t>Gervasio (22/08/2025) - Compras de frutas abacaxi banana uva manga</t>
  </si>
  <si>
    <t>Compras de frutas abacaxi banana uva manga</t>
  </si>
  <si>
    <t>Notas_Images/6e199c8b.Foto.185826.jpg</t>
  </si>
  <si>
    <t>6def3d9a</t>
  </si>
  <si>
    <t>1637971</t>
  </si>
  <si>
    <t>9c7a761b</t>
  </si>
  <si>
    <t>3a8ee368</t>
  </si>
  <si>
    <t>Komprao (22/08/2025) - Compra de lanche para final de semana</t>
  </si>
  <si>
    <t>0a9d2a1b</t>
  </si>
  <si>
    <t>Notas_Images/9c7a761b.Foto.192044.jpg</t>
  </si>
  <si>
    <t>1637868</t>
  </si>
  <si>
    <t>6503da22</t>
  </si>
  <si>
    <t>5e6d613a</t>
  </si>
  <si>
    <t>Motoboy (18/08/2025) - Pagamento referente a serviços de motoboy do dia 11 até o dia 17 de agosto</t>
  </si>
  <si>
    <t>Pagamento referente a serviços de motoboy do dia 11 até o dia 17 de agosto</t>
  </si>
  <si>
    <t>f530df71</t>
  </si>
  <si>
    <t>97cb1c4f</t>
  </si>
  <si>
    <t>Notas_Images/5e6d613a.Foto.192907.jpg</t>
  </si>
  <si>
    <t>1630941</t>
  </si>
  <si>
    <t>93e2e1db</t>
  </si>
  <si>
    <t>b86eac46</t>
  </si>
  <si>
    <t>Gervasio (18/08/2025) - Compra de frutas uva manga abacaxi banana</t>
  </si>
  <si>
    <t>Compra de frutas uva manga abacaxi banana</t>
  </si>
  <si>
    <t>5efb43db</t>
  </si>
  <si>
    <t>Notas_Images/b86eac46.Foto.194000.jpg</t>
  </si>
  <si>
    <t>12629765</t>
  </si>
  <si>
    <t>1630921</t>
  </si>
  <si>
    <t>9aee620b</t>
  </si>
  <si>
    <t>4f56dc38</t>
  </si>
  <si>
    <t>7b639e2b</t>
  </si>
  <si>
    <t>Komprao (17/08/2025) - Compra de uva</t>
  </si>
  <si>
    <t>Compra de uva</t>
  </si>
  <si>
    <t>Notas_Images/9aee620b.Foto.194120.jpg</t>
  </si>
  <si>
    <t>d509facd</t>
  </si>
  <si>
    <t>1629460</t>
  </si>
  <si>
    <t>bef189fc</t>
  </si>
  <si>
    <t>c05a6e32</t>
  </si>
  <si>
    <t>3f81230e</t>
  </si>
  <si>
    <t>1efeb7cb</t>
  </si>
  <si>
    <t>c84cfe3e</t>
  </si>
  <si>
    <t>Pro food embalagens (20/08/2025) - Embalagem para o best day</t>
  </si>
  <si>
    <t>fc7ae924</t>
  </si>
  <si>
    <t>Embalagem para o best day</t>
  </si>
  <si>
    <t>1b4f434e</t>
  </si>
  <si>
    <t>a6db0878</t>
  </si>
  <si>
    <t>bd93a366</t>
  </si>
  <si>
    <t>23d1c3d6</t>
  </si>
  <si>
    <t>3c1fab7c</t>
  </si>
  <si>
    <t>ad841302</t>
  </si>
  <si>
    <t>Notas_Images/3f81230e.Foto.195006.jpg</t>
  </si>
  <si>
    <t>3fe90f69</t>
  </si>
  <si>
    <t>Notas_Images/3f81230e.Foto 1.195006.jpg</t>
  </si>
  <si>
    <t>017db0aa</t>
  </si>
  <si>
    <t>6c45f664</t>
  </si>
  <si>
    <t>Amadelli (26/08/2025) - Pedido gelado</t>
  </si>
  <si>
    <t>6e931fad</t>
  </si>
  <si>
    <t>9f43304d</t>
  </si>
  <si>
    <t>Notas_Images/6c45f664.Foto.205609.jpg</t>
  </si>
  <si>
    <t>Notas_Images/6c45f664.Foto 1.205609.jpg</t>
  </si>
  <si>
    <t>036ea18f</t>
  </si>
  <si>
    <t>5e025fba</t>
  </si>
  <si>
    <t>ab956099</t>
  </si>
  <si>
    <t>41cae1db</t>
  </si>
  <si>
    <t>Notas_Images/5e025fba.Foto.210917.jpg</t>
  </si>
  <si>
    <t>Notas_Images/5e025fba.Foto 1.210917.jpg</t>
  </si>
  <si>
    <t>4bcf3e29</t>
  </si>
  <si>
    <t>2c7e88d1</t>
  </si>
  <si>
    <t>Pro food embalagens (26/08/2025) - Potes de 720ml</t>
  </si>
  <si>
    <t>Potes de 720ml</t>
  </si>
  <si>
    <t>350f1199</t>
  </si>
  <si>
    <t>Notas_Images/2c7e88d1.Foto.212836.jpg</t>
  </si>
  <si>
    <t>8e734ded</t>
  </si>
  <si>
    <t>e4b86d35</t>
  </si>
  <si>
    <t>Amadelli (28/08/2025) - Pedido seco</t>
  </si>
  <si>
    <t>64ebc381</t>
  </si>
  <si>
    <t>Notas_Images/8e734ded.Foto.184508.jpg</t>
  </si>
  <si>
    <t>b0f72980</t>
  </si>
  <si>
    <t>30e29a24</t>
  </si>
  <si>
    <t>Gervasio (01/09/2025) - Frutas</t>
  </si>
  <si>
    <t>13a524f3</t>
  </si>
  <si>
    <t>Notas_Images/30e29a24.Foto.215155.jpg</t>
  </si>
  <si>
    <t>1656214</t>
  </si>
  <si>
    <t>635f3449</t>
  </si>
  <si>
    <t>c4cf8432</t>
  </si>
  <si>
    <t>Posto M7 (07/09/2025) - Pães final de semana</t>
  </si>
  <si>
    <t>00ba16b9</t>
  </si>
  <si>
    <t>Pães final de semana</t>
  </si>
  <si>
    <t>007a241b</t>
  </si>
  <si>
    <t>Notas_Images/c4cf8432.Foto.215330.jpg</t>
  </si>
  <si>
    <t>1667505</t>
  </si>
  <si>
    <t>ea8f6f00</t>
  </si>
  <si>
    <t>c4e7e59e</t>
  </si>
  <si>
    <t>Gervasio (05/09/2025) - Frutas</t>
  </si>
  <si>
    <t>c62769d3</t>
  </si>
  <si>
    <t>a7f63552</t>
  </si>
  <si>
    <t>Notas_Images/c4e7e59e.Foto.215417.jpg</t>
  </si>
  <si>
    <t>1663641</t>
  </si>
  <si>
    <t>0f0ca86c</t>
  </si>
  <si>
    <t>61de861c</t>
  </si>
  <si>
    <t>8e9c0a3c</t>
  </si>
  <si>
    <t>Posto M7 (06/09/2025) - Queijo final de semana</t>
  </si>
  <si>
    <t>Queijo final de semana</t>
  </si>
  <si>
    <t>Notas_Images/0f0ca86c.Foto.215506.jpg</t>
  </si>
  <si>
    <t>2dea9758</t>
  </si>
  <si>
    <t>1664936</t>
  </si>
  <si>
    <t>615e490f</t>
  </si>
  <si>
    <t>b1975b4a</t>
  </si>
  <si>
    <t>22440a83</t>
  </si>
  <si>
    <t>Komprao (30/08/2025) - Pão final de semana</t>
  </si>
  <si>
    <t>9982a633</t>
  </si>
  <si>
    <t>Notas_Images/615e490f.Foto.215606.jpg</t>
  </si>
  <si>
    <t>1650286</t>
  </si>
  <si>
    <t>dfc2d6d5</t>
  </si>
  <si>
    <t>cd6ab35f</t>
  </si>
  <si>
    <t>Sapus Fest (01/09/2025) - Caixas organizadoras</t>
  </si>
  <si>
    <t>9b5d0266</t>
  </si>
  <si>
    <t>Caixas organizadoras</t>
  </si>
  <si>
    <t>Notas_Images/cd6ab35f.Foto.215737.jpg</t>
  </si>
  <si>
    <t>1662433</t>
  </si>
  <si>
    <t>07aa39ee</t>
  </si>
  <si>
    <t>Notas_Images/cd6ab35f.Foto 1.215737.jpg</t>
  </si>
  <si>
    <t>7a8ae4e2</t>
  </si>
  <si>
    <t>be9fc71b</t>
  </si>
  <si>
    <t>fdb8a5ad</t>
  </si>
  <si>
    <t>63aa91b1</t>
  </si>
  <si>
    <t>ABC digital (10/09/2025) - Adesivo geladeira,etiquetas QR code,Wi-Fi,e cascatas</t>
  </si>
  <si>
    <t>9f1686a4</t>
  </si>
  <si>
    <t>Adesivo geladeira,etiquetas QR code,Wi-Fi,e cascatas</t>
  </si>
  <si>
    <t>Notas_Images/be9fc71b.Foto.215926.jpg</t>
  </si>
  <si>
    <t>1672846</t>
  </si>
  <si>
    <t>795bf136</t>
  </si>
  <si>
    <t>ecbbccea</t>
  </si>
  <si>
    <t>c24c3365</t>
  </si>
  <si>
    <t>Chaveiro Ritzman (09/09/2025) - Cadeado</t>
  </si>
  <si>
    <t>6ec8725c</t>
  </si>
  <si>
    <t>Notas_Images/795bf136.Foto.220204.jpg</t>
  </si>
  <si>
    <t>1670804</t>
  </si>
  <si>
    <t>61cf34ff</t>
  </si>
  <si>
    <t>3b62467d</t>
  </si>
  <si>
    <t>Elaine Hubl (01/09/2025) - 10kg morangos</t>
  </si>
  <si>
    <t>Notas_Images/61cf34ff.Foto.220249.jpg</t>
  </si>
  <si>
    <t>1656187</t>
  </si>
  <si>
    <t>fabc8835</t>
  </si>
  <si>
    <t>c093762a</t>
  </si>
  <si>
    <t>4c2165fa</t>
  </si>
  <si>
    <t>Motoboy (01/09/2025) - Pagamento de entregas do dia 25/08 a 31/01</t>
  </si>
  <si>
    <t>Pagamento de entregas do dia 25/08 a 31/01</t>
  </si>
  <si>
    <t>Notas_Images/4c2165fa.Foto.220356.jpg</t>
  </si>
  <si>
    <t>aa28eb5d</t>
  </si>
  <si>
    <t>1656207</t>
  </si>
  <si>
    <t>1a4aedf8</t>
  </si>
  <si>
    <t>Elaine Hubl (05/09/2025) - 10kg morangos</t>
  </si>
  <si>
    <t>8b1d23da</t>
  </si>
  <si>
    <t>6722cef8</t>
  </si>
  <si>
    <t>Notas_Images/1a4aedf8.Foto.220447.jpg</t>
  </si>
  <si>
    <t>1662422</t>
  </si>
  <si>
    <t>beec17f4</t>
  </si>
  <si>
    <t>4bb08f9a</t>
  </si>
  <si>
    <t>3ed809e0</t>
  </si>
  <si>
    <t>Produtos limpeza (05/09/2025) - Luvas guardanapos,saquinhos para colheres</t>
  </si>
  <si>
    <t>b34e5995</t>
  </si>
  <si>
    <t>Luvas guardanapos,saquinhos para colheres</t>
  </si>
  <si>
    <t>Notas_Images/4bb08f9a.Foto.220608.jpg</t>
  </si>
  <si>
    <t>1662632</t>
  </si>
  <si>
    <t>b92e4b8f</t>
  </si>
  <si>
    <t>a2dbcb8d</t>
  </si>
  <si>
    <t>Motoboy (08/09/2025) - Pagamento de entregas do dia 01/09 a 07/09</t>
  </si>
  <si>
    <t>Pagamento de entregas do dia 01/09 a 07/09</t>
  </si>
  <si>
    <t>11408035</t>
  </si>
  <si>
    <t>980bbb54</t>
  </si>
  <si>
    <t>Notas_Images/a2dbcb8d.Foto.220822.jpg</t>
  </si>
  <si>
    <t>1669254</t>
  </si>
  <si>
    <t>0824f544</t>
  </si>
  <si>
    <t>e925e050</t>
  </si>
  <si>
    <t>9adba4b0</t>
  </si>
  <si>
    <t>MANI COMERCIO DE BEBIDAS (05/09/2025) - Aguas</t>
  </si>
  <si>
    <t>6faa3c37</t>
  </si>
  <si>
    <t>Notas_Images/0824f544.Foto.220933.jpg</t>
  </si>
  <si>
    <t>0c5fc3ba</t>
  </si>
  <si>
    <t>1662426</t>
  </si>
  <si>
    <t>991fbea6</t>
  </si>
  <si>
    <t>5257bb5d</t>
  </si>
  <si>
    <t>39fde854</t>
  </si>
  <si>
    <t>Novo lar (05/09/2025) - Papel higiênico e papel toalha</t>
  </si>
  <si>
    <t>Papel higiênico e papel toalha</t>
  </si>
  <si>
    <t>Notas_Images/991fbea6.Foto.221043.jpg</t>
  </si>
  <si>
    <t>1662885</t>
  </si>
  <si>
    <t>f5e49450</t>
  </si>
  <si>
    <t>d4792da3</t>
  </si>
  <si>
    <t>154242f9</t>
  </si>
  <si>
    <t>05cc55a6</t>
  </si>
  <si>
    <t>Amadelli (09/09/2025) - Pedido seco</t>
  </si>
  <si>
    <t>Notas_Images/154242f9.Foto.221141.jpg</t>
  </si>
  <si>
    <t>f3ccdc25</t>
  </si>
  <si>
    <t>01aeedac</t>
  </si>
  <si>
    <t>Elaine Hubl (12/09/2025) - 10kg morangos</t>
  </si>
  <si>
    <t>897eecc8</t>
  </si>
  <si>
    <t>5c663dee</t>
  </si>
  <si>
    <t>Notas_Images/01aeedac.Foto.232739.jpg</t>
  </si>
  <si>
    <t>1676530</t>
  </si>
  <si>
    <t>45c19138</t>
  </si>
  <si>
    <t>37d04279</t>
  </si>
  <si>
    <t>d3cea7be</t>
  </si>
  <si>
    <t>3a9ef75f</t>
  </si>
  <si>
    <t>Elaine Hubl (15/09/2025) - 10kg morangos</t>
  </si>
  <si>
    <t>3db61c6f</t>
  </si>
  <si>
    <t>Notas_Images/37d04279.Foto.232851.jpg</t>
  </si>
  <si>
    <t>1683172</t>
  </si>
  <si>
    <t>4085fc1f</t>
  </si>
  <si>
    <t>55031a48</t>
  </si>
  <si>
    <t>a3f69394</t>
  </si>
  <si>
    <t>Motoboy (15/09/2025) - Entregas motoboy do dia 08/09 a 14/09</t>
  </si>
  <si>
    <t>Entregas motoboy do dia 08/09 a 14/09</t>
  </si>
  <si>
    <t>9290ff38</t>
  </si>
  <si>
    <t>Notas_Images/4085fc1f.Foto.233026.jpg</t>
  </si>
  <si>
    <t>1683698</t>
  </si>
  <si>
    <t>666044c8</t>
  </si>
  <si>
    <t>4b14b793</t>
  </si>
  <si>
    <t>9e4ec3d0</t>
  </si>
  <si>
    <t>8b9681ca</t>
  </si>
  <si>
    <t>ProFood (15/09/2025) - Potes 720ml</t>
  </si>
  <si>
    <t>Potes 720ml</t>
  </si>
  <si>
    <t>354c0f44</t>
  </si>
  <si>
    <t>Notas_Images/4b14b793.Foto.233512.jpg</t>
  </si>
  <si>
    <t>Notas_Images/4b14b793.Foto 1.233512.jpg</t>
  </si>
  <si>
    <t>e655eef7</t>
  </si>
  <si>
    <t>05f13646</t>
  </si>
  <si>
    <t>SAMAE (12/09/2025) - Conta de Agua</t>
  </si>
  <si>
    <t>cc94c578</t>
  </si>
  <si>
    <t>Notas_Images/e655eef7.Foto.234030.jpg</t>
  </si>
  <si>
    <t>ba74bb27</t>
  </si>
  <si>
    <t>21da7c50</t>
  </si>
  <si>
    <t>e223c472</t>
  </si>
  <si>
    <t>Amadelli (09/09/2025) - Gelado</t>
  </si>
  <si>
    <t>b5d849cc</t>
  </si>
  <si>
    <t>Notas_Images/e223c472.Foto.234340.jpg</t>
  </si>
  <si>
    <t>af72ba9b</t>
  </si>
  <si>
    <t>9714e61f</t>
  </si>
  <si>
    <t>Notas_Images/e223c472.Foto 1.234340.jpg</t>
  </si>
  <si>
    <t>90b887b1</t>
  </si>
  <si>
    <t>0aafc20c</t>
  </si>
  <si>
    <t>Floricultura cantinho das flores (19/09/2025) - Compra de pedras e argila para vasos</t>
  </si>
  <si>
    <t>8b22f2ac</t>
  </si>
  <si>
    <t>Compra de pedras e argila para vasos</t>
  </si>
  <si>
    <t>Notas_Images/78795677.Foto.210311.jpg</t>
  </si>
  <si>
    <t>c784ae66</t>
  </si>
  <si>
    <t>5f2cce3f</t>
  </si>
  <si>
    <t>1688712</t>
  </si>
  <si>
    <t>4d3a2181</t>
  </si>
  <si>
    <t>a63b3301</t>
  </si>
  <si>
    <t>e30933ec</t>
  </si>
  <si>
    <t>Komprao (12/09/2025) - Compra de lanche para final de semana e produtos de limpeza que faltavam</t>
  </si>
  <si>
    <t>Compra de lanche para final de semana e produtos de limpeza que faltavam</t>
  </si>
  <si>
    <t>03c44a30</t>
  </si>
  <si>
    <t>Notas_Images/4d3a2181.Foto.212010.jpg</t>
  </si>
  <si>
    <t>1676526</t>
  </si>
  <si>
    <t>64c2d8b9</t>
  </si>
  <si>
    <t>a8b66344</t>
  </si>
  <si>
    <t>Gervasio (25/09/2025) - Comprs de uva banana</t>
  </si>
  <si>
    <t>e0d46077</t>
  </si>
  <si>
    <t>Comprs de uva banana</t>
  </si>
  <si>
    <t>3ce12957</t>
  </si>
  <si>
    <t>Notas_Images/a8b66344.Foto.212129.jpg</t>
  </si>
  <si>
    <t>1702297</t>
  </si>
  <si>
    <t>529dfa44</t>
  </si>
  <si>
    <t>c1d5ee1c</t>
  </si>
  <si>
    <t>13e1b206</t>
  </si>
  <si>
    <t>Gervasio (15/09/2025) - Compra de frutas manga banana uva e abacaxi</t>
  </si>
  <si>
    <t>584d778f</t>
  </si>
  <si>
    <t>Compra de frutas manga banana uva e abacaxi</t>
  </si>
  <si>
    <t>900af75f</t>
  </si>
  <si>
    <t>Notas_Images/13e1b206.Foto.212307.jpg</t>
  </si>
  <si>
    <t>1683176</t>
  </si>
  <si>
    <t>b87e5d74</t>
  </si>
  <si>
    <t>8594ddbf</t>
  </si>
  <si>
    <t>6f7744ff</t>
  </si>
  <si>
    <t>RN Embalagens e Papelaria Ltda. (12/09/2025) - Compra de bubinas e grampos</t>
  </si>
  <si>
    <t>Compra de bubinas e grampos</t>
  </si>
  <si>
    <t>753e3c51</t>
  </si>
  <si>
    <t>Notas_Images/6f7744ff.Foto.212442.jpg</t>
  </si>
  <si>
    <t>1676522</t>
  </si>
  <si>
    <t>3c37d951</t>
  </si>
  <si>
    <t>1b7c0444</t>
  </si>
  <si>
    <t>e6dcb857</t>
  </si>
  <si>
    <t>Gervasio (11/09/2025) - Compra de frutas uva manga banana e abacaxi</t>
  </si>
  <si>
    <t>Compra de frutas uva manga banana e abacaxi</t>
  </si>
  <si>
    <t>Notas_Images/1b7c0444.Foto.212553.jpg</t>
  </si>
  <si>
    <t>1674493</t>
  </si>
  <si>
    <t>6d8d661f</t>
  </si>
  <si>
    <t>039cf61d</t>
  </si>
  <si>
    <t>Komprao (20/09/2025) - Refrigerante para venda e lanche para final de semana</t>
  </si>
  <si>
    <t>Refrigerante para venda e lanche para final de semana</t>
  </si>
  <si>
    <t>a68ab813</t>
  </si>
  <si>
    <t>Notas_Images/6d8d661f.Foto.212741.jpg</t>
  </si>
  <si>
    <t>1693204</t>
  </si>
  <si>
    <t>bd6f7b01</t>
  </si>
  <si>
    <t>63f7f06a</t>
  </si>
  <si>
    <t>b761f351</t>
  </si>
  <si>
    <t>Gervasio (19/09/2025) - Compra de uva</t>
  </si>
  <si>
    <t>ae0e0822</t>
  </si>
  <si>
    <t>Notas_Images/bd6f7b01.Foto.212827.jpg</t>
  </si>
  <si>
    <t>247303ef</t>
  </si>
  <si>
    <t>1690906</t>
  </si>
  <si>
    <t>a691cae5</t>
  </si>
  <si>
    <t>96548823</t>
  </si>
  <si>
    <t>adb8c10a</t>
  </si>
  <si>
    <t>8b0b4842</t>
  </si>
  <si>
    <t>NL (24/09/2025) - Compra de saco de lixo e toucas</t>
  </si>
  <si>
    <t>Compra de saco de lixo e toucas</t>
  </si>
  <si>
    <t>4a3d6c48</t>
  </si>
  <si>
    <t>Notas_Images/a691cae5.Foto.212957.jpg</t>
  </si>
  <si>
    <t>1700658</t>
  </si>
  <si>
    <t>eb995c29</t>
  </si>
  <si>
    <t>bdf9b6c0</t>
  </si>
  <si>
    <t>NL (26/09/2025) - Limpador para mesas</t>
  </si>
  <si>
    <t>Limpador para mesas</t>
  </si>
  <si>
    <t>3bde63ff</t>
  </si>
  <si>
    <t>Notas_Images/bdf9b6c0.Foto.213324.jpg</t>
  </si>
  <si>
    <t>1703260</t>
  </si>
  <si>
    <t>15f4ec4b</t>
  </si>
  <si>
    <t>86bc72ac</t>
  </si>
  <si>
    <t>ef7feab2</t>
  </si>
  <si>
    <t>MANI COMERCIO DE BEBIDAS (25/09/2025) - Agua com gás e agua sem gás</t>
  </si>
  <si>
    <t>Agua com gás e agua sem gás</t>
  </si>
  <si>
    <t>Notas_Images/15f4ec4b.Foto.213434.jpg</t>
  </si>
  <si>
    <t>40846bad</t>
  </si>
  <si>
    <t>1703225</t>
  </si>
  <si>
    <t>d51d6ece</t>
  </si>
  <si>
    <t>c1c5243f</t>
  </si>
  <si>
    <t>Duck Bebidas (25/09/2025) - Compra de refrigerante e sucos</t>
  </si>
  <si>
    <t>Compra de refrigerante e sucos</t>
  </si>
  <si>
    <t>Notas_Images/d51d6ece.Foto.213857.jpg</t>
  </si>
  <si>
    <t>b2b73aa0</t>
  </si>
  <si>
    <t>1703081</t>
  </si>
  <si>
    <t>737383df</t>
  </si>
  <si>
    <t>b6227d18</t>
  </si>
  <si>
    <t>Amadelli (23/09/2025) - Cartazes da campanha algodão-doce</t>
  </si>
  <si>
    <t>Cartazes da campanha algodão-doce</t>
  </si>
  <si>
    <t>Notas_Images/737383df.Foto.173033.jpg</t>
  </si>
  <si>
    <t>7fee3151</t>
  </si>
  <si>
    <t>f2e3b168</t>
  </si>
  <si>
    <t>b14abb36</t>
  </si>
  <si>
    <t>Amadelli (23/09/2025) - Pedido gelado</t>
  </si>
  <si>
    <t>Notas_Images/f2e3b168.Foto.173834.jpg</t>
  </si>
  <si>
    <t>641bb435</t>
  </si>
  <si>
    <t>Notas_Images/f2e3b168.Foto 1.173834.jpg</t>
  </si>
  <si>
    <t>81bb588a</t>
  </si>
  <si>
    <t>Notas_Images/f2e3b168.Foto 2.173834.jpg</t>
  </si>
  <si>
    <t>91fe5696</t>
  </si>
  <si>
    <t>5ca50368</t>
  </si>
  <si>
    <t>Amadelli (24/09/2025) - Pedido seco</t>
  </si>
  <si>
    <t>4ae0cc73</t>
  </si>
  <si>
    <t>ea623f78</t>
  </si>
  <si>
    <t>Notas_Images/5ca50368.Foto.174709.jpg</t>
  </si>
  <si>
    <t>Notas_Images/5ca50368.Foto 1.174709.jpg</t>
  </si>
  <si>
    <t>aec47c3a</t>
  </si>
  <si>
    <t>Notas_Images/5ca50368.Foto 2.174709.jpg</t>
  </si>
  <si>
    <t>762f2e06</t>
  </si>
  <si>
    <t>Chaveiro Ritzman (18/09/2025) - Impressões de folhas para a loja</t>
  </si>
  <si>
    <t>21f88599</t>
  </si>
  <si>
    <t>e6b1c584</t>
  </si>
  <si>
    <t>Impressões de folhas para a loja</t>
  </si>
  <si>
    <t>Notas_Images/762f2e06.Foto.203003.jpg</t>
  </si>
  <si>
    <t>1688745</t>
  </si>
  <si>
    <t>cbc0a2d5</t>
  </si>
  <si>
    <t>cd42c48f</t>
  </si>
  <si>
    <t>4cb2f0e0</t>
  </si>
  <si>
    <t>Chaveiro Ritzman (18/09/2025) - Impressão de folha para a loja</t>
  </si>
  <si>
    <t>Impressão de folha para a loja</t>
  </si>
  <si>
    <t>Notas_Images/cd42c48f.Foto.203328.jpg</t>
  </si>
  <si>
    <t>1688765</t>
  </si>
  <si>
    <t>466f437c</t>
  </si>
  <si>
    <t>6cb0d221</t>
  </si>
  <si>
    <t>13cf0631</t>
  </si>
  <si>
    <t>3808f9b5</t>
  </si>
  <si>
    <t>Elaine Hubl (19/09/2025) - Compra de morango 10kg</t>
  </si>
  <si>
    <t>54cd10c7</t>
  </si>
  <si>
    <t>faeb0c0d</t>
  </si>
  <si>
    <t>Notas_Images/6cb0d221.Foto.203458.jpg</t>
  </si>
  <si>
    <t>716efe30</t>
  </si>
  <si>
    <t>1690603</t>
  </si>
  <si>
    <t>dd2d45e6</t>
  </si>
  <si>
    <t>2431b13b</t>
  </si>
  <si>
    <t>cc08f52c</t>
  </si>
  <si>
    <t>Motoboy (22/09/2025) - Pagamento para Mario Motoboy do dia 15/09 até 21/09</t>
  </si>
  <si>
    <t>Pagamento para Mario Motoboy do dia 15/09 até 21/09</t>
  </si>
  <si>
    <t>a6e433a6</t>
  </si>
  <si>
    <t>c9f609f9</t>
  </si>
  <si>
    <t>Notas_Images/2431b13b.Foto.203818.jpg</t>
  </si>
  <si>
    <t>1697735</t>
  </si>
  <si>
    <t>c12648b6</t>
  </si>
  <si>
    <t>Elaine Hubl (24/09/2025) - Compra de morango 10kg</t>
  </si>
  <si>
    <t>Notas_Images/c12648b6.Foto.203925.jpg</t>
  </si>
  <si>
    <t>1700608</t>
  </si>
  <si>
    <t>d92be20d</t>
  </si>
  <si>
    <t>Elaine Hubl (26/09/2025) - Compra de morango 10kg</t>
  </si>
  <si>
    <t>Notas_Images/d92be20d.Foto.204048.jpg</t>
  </si>
  <si>
    <t>f4cd3fc7</t>
  </si>
  <si>
    <t>851394c7</t>
  </si>
  <si>
    <t>Motoboy (29/09/2025) - Pagamento Mario motoboy dia 22/09 até 28/09</t>
  </si>
  <si>
    <t>491f4db2</t>
  </si>
  <si>
    <t>Pagamento Mario motoboy dia 22/09 até 28/09</t>
  </si>
  <si>
    <t>2135ed3c</t>
  </si>
  <si>
    <t>212c9662</t>
  </si>
  <si>
    <t>Notas_Images/851394c7.Foto.204610.jpg</t>
  </si>
  <si>
    <t>1710895</t>
  </si>
  <si>
    <t>cba93c06</t>
  </si>
  <si>
    <t>4fb9fe61</t>
  </si>
  <si>
    <t>Komprao (27/09/2025) - Lanche final de semana</t>
  </si>
  <si>
    <t>ff744788</t>
  </si>
  <si>
    <t>6c490151</t>
  </si>
  <si>
    <t>Notas_Images/4fb9fe61.Foto.205344.jpg</t>
  </si>
  <si>
    <t>1705553</t>
  </si>
  <si>
    <t>7f3831ee</t>
  </si>
  <si>
    <t>d9c22e8b</t>
  </si>
  <si>
    <t>Gervasio (30/09/2025) - Frutas</t>
  </si>
  <si>
    <t>bb2a4ebd</t>
  </si>
  <si>
    <t>e8ff3e9b</t>
  </si>
  <si>
    <t>Notas_Images/d9c22e8b.Foto.205734.jpg</t>
  </si>
  <si>
    <t>1712317</t>
  </si>
  <si>
    <t>85f1ce32</t>
  </si>
  <si>
    <t>d47bfa71</t>
  </si>
  <si>
    <t>8af89d86</t>
  </si>
  <si>
    <t>Festere (07/10/2025) - Arco de balão</t>
  </si>
  <si>
    <t>05ab0982</t>
  </si>
  <si>
    <t>Arco de balão</t>
  </si>
  <si>
    <t>0b21ddff</t>
  </si>
  <si>
    <t>Notas_Images/d47bfa71.Foto.195303.jpg</t>
  </si>
  <si>
    <t>1725995</t>
  </si>
  <si>
    <t>beabb369</t>
  </si>
  <si>
    <t>293927ab</t>
  </si>
  <si>
    <t>7970d115</t>
  </si>
  <si>
    <t>SuperPão (05/10/2025) - Frutas</t>
  </si>
  <si>
    <t>dd02c2ea</t>
  </si>
  <si>
    <t>202a78e2</t>
  </si>
  <si>
    <t>Notas_Images/293927ab.Foto.195435.jpg</t>
  </si>
  <si>
    <t>1722647</t>
  </si>
  <si>
    <t>9aa30de1</t>
  </si>
  <si>
    <t>cfa004a4</t>
  </si>
  <si>
    <t>c5a03bee</t>
  </si>
  <si>
    <t>Komprao (03/10/2025) - Lanche final d semana</t>
  </si>
  <si>
    <t>1add2660</t>
  </si>
  <si>
    <t>26f58688</t>
  </si>
  <si>
    <t>Lanche final d semana</t>
  </si>
  <si>
    <t>78d00791</t>
  </si>
  <si>
    <t>Notas_Images/cfa004a4.Foto.195740.jpg</t>
  </si>
  <si>
    <t>c4890818</t>
  </si>
  <si>
    <t>1718199</t>
  </si>
  <si>
    <t>461a0a8c</t>
  </si>
  <si>
    <t>3adbd82e</t>
  </si>
  <si>
    <t>611bfaae</t>
  </si>
  <si>
    <t>Supermercado pag menos (04/10/2025) - Esponja,rodos</t>
  </si>
  <si>
    <t>Esponja,rodos</t>
  </si>
  <si>
    <t>Notas_Images/461a0a8c.Foto.195844.jpg</t>
  </si>
  <si>
    <t>bdab1bc4</t>
  </si>
  <si>
    <t>46047a6d</t>
  </si>
  <si>
    <t>b244822c</t>
  </si>
  <si>
    <t>636b5b04</t>
  </si>
  <si>
    <t>a4fb875d</t>
  </si>
  <si>
    <t>Komprao (05/10/2025) - Uvas</t>
  </si>
  <si>
    <t>c1f6b1e7</t>
  </si>
  <si>
    <t>Notas_Images/b244822c.Foto.200014.jpg</t>
  </si>
  <si>
    <t>1722658</t>
  </si>
  <si>
    <t>766721b2</t>
  </si>
  <si>
    <t>95b7760e</t>
  </si>
  <si>
    <t>9ee489bc</t>
  </si>
  <si>
    <t>Elaine Hubl (03/10/2025) - 10kg morangos</t>
  </si>
  <si>
    <t>fd8bc07a</t>
  </si>
  <si>
    <t>d9850318</t>
  </si>
  <si>
    <t>Notas_Images/9ee489bc.Foto.200335.jpg</t>
  </si>
  <si>
    <t>1716811</t>
  </si>
  <si>
    <t>a2d43e8b</t>
  </si>
  <si>
    <t>a0062657</t>
  </si>
  <si>
    <t>Elaine Hubl (05/10/2025) - 10kg morangos</t>
  </si>
  <si>
    <t>544ab4c5</t>
  </si>
  <si>
    <t>58874ae2</t>
  </si>
  <si>
    <t>Notas_Images/a0062657.Foto.200443.jpg</t>
  </si>
  <si>
    <t>1724413</t>
  </si>
  <si>
    <t>a0356ed4</t>
  </si>
  <si>
    <t>d11fa2ca</t>
  </si>
  <si>
    <t>Motoboy (06/10/2025) - 29/10 a 05/10 Entregas</t>
  </si>
  <si>
    <t>29/10 a 05/10 Entregas</t>
  </si>
  <si>
    <t>4997f9fb</t>
  </si>
  <si>
    <t>acea3bb1</t>
  </si>
  <si>
    <t>Notas_Images/d11fa2ca.Foto.200554.jpg</t>
  </si>
  <si>
    <t>1724411</t>
  </si>
  <si>
    <t>be2b9b6d</t>
  </si>
  <si>
    <t>8d4c92f2</t>
  </si>
  <si>
    <t>afaa7316</t>
  </si>
  <si>
    <t>Amadelli (07/10/2025) - Gelados</t>
  </si>
  <si>
    <t>349b649e</t>
  </si>
  <si>
    <t>Notas_Images/be2b9b6d.Foto.201156.jpg</t>
  </si>
  <si>
    <t>7aac70e9</t>
  </si>
  <si>
    <t>Notas_Images/be2b9b6d.Foto 1.201156.jpg</t>
  </si>
  <si>
    <t>Notas_Images/be2b9b6d.Foto 2.201156.jpg</t>
  </si>
  <si>
    <t>f034e1f3</t>
  </si>
  <si>
    <t>d1f4ec2b</t>
  </si>
  <si>
    <t>1e7d248b</t>
  </si>
  <si>
    <t>b7b7d439</t>
  </si>
  <si>
    <t>7808ffdd</t>
  </si>
  <si>
    <t>Pro food (03/10/2025) - Potes 720ml</t>
  </si>
  <si>
    <t>06bc730a</t>
  </si>
  <si>
    <t>Notas_Images/d1f4ec2b.Foto.204059.jpg</t>
  </si>
  <si>
    <t>ee4c4479</t>
  </si>
  <si>
    <t>90fe6a82</t>
  </si>
  <si>
    <t>a515a7a3</t>
  </si>
  <si>
    <t>Komprao (08/10/2025) - Compra de suco tang</t>
  </si>
  <si>
    <t>Compra de suco tang</t>
  </si>
  <si>
    <t>Notas_Images/ee4c4479.Foto.210828.jpg</t>
  </si>
  <si>
    <t>42cc1fbb</t>
  </si>
  <si>
    <t>1731192</t>
  </si>
  <si>
    <t>b88a5bc6</t>
  </si>
  <si>
    <t>047ce698</t>
  </si>
  <si>
    <t>Gervasio (11/10/2025) - Compra de abacaxi, manga e uva</t>
  </si>
  <si>
    <t>Compra de abacaxi, manga e uva</t>
  </si>
  <si>
    <t>Notas_Images/b88a5bc6.Foto.210954.jpg</t>
  </si>
  <si>
    <t>2c945614</t>
  </si>
  <si>
    <t>efdf9ef3</t>
  </si>
  <si>
    <t>1731985</t>
  </si>
  <si>
    <t>643f54a0</t>
  </si>
  <si>
    <t>ab53c5dc</t>
  </si>
  <si>
    <t>Gervasio (09/10/2025) - Compra de banana e uva</t>
  </si>
  <si>
    <t>Compra de banana e uva</t>
  </si>
  <si>
    <t>Notas_Images/643f54a0.Foto.211125.jpg</t>
  </si>
  <si>
    <t>33673c94</t>
  </si>
  <si>
    <t>1729017</t>
  </si>
  <si>
    <t>c8b9eb59</t>
  </si>
  <si>
    <t>eedde0d9</t>
  </si>
  <si>
    <t>4a3f6bf0</t>
  </si>
  <si>
    <t>Alfa papelaria (15/10/2025) - Compra de pasta, embalagem plástico, papel sulfite colorido e caneta</t>
  </si>
  <si>
    <t>Compra de pasta, embalagem plástico, papel sulfite colorido e caneta</t>
  </si>
  <si>
    <t>Notas_Images/c8b9eb59.Foto.211507.jpg</t>
  </si>
  <si>
    <t>65399910</t>
  </si>
  <si>
    <t>1740781</t>
  </si>
  <si>
    <t>73eb2a37</t>
  </si>
  <si>
    <t>e8e26c21</t>
  </si>
  <si>
    <t>Minersol (15/10/2025) - Compra de caixa isopor</t>
  </si>
  <si>
    <t>6246bb43</t>
  </si>
  <si>
    <t>Compra de caixa isopor</t>
  </si>
  <si>
    <t>Notas_Images/73eb2a37.Foto.211814.jpg</t>
  </si>
  <si>
    <t>9cb0916b</t>
  </si>
  <si>
    <t>9d0edd63</t>
  </si>
  <si>
    <t>1740806</t>
  </si>
  <si>
    <t>4bf6d206</t>
  </si>
  <si>
    <t>1d6ab770</t>
  </si>
  <si>
    <t>85cff097</t>
  </si>
  <si>
    <t>53a4bcc0</t>
  </si>
  <si>
    <t>Loja do 7,99 (15/10/2025) - Compra de gelo ecológico</t>
  </si>
  <si>
    <t>Compra de gelo ecológico</t>
  </si>
  <si>
    <t>7326531b</t>
  </si>
  <si>
    <t>Notas_Images/4bf6d206.Foto.212040.jpg</t>
  </si>
  <si>
    <t>1740796</t>
  </si>
  <si>
    <t>21de49c5</t>
  </si>
  <si>
    <t>9751b8a5</t>
  </si>
  <si>
    <t>Gervasio (15/10/2025) - Compra de manga, abacaxi, banana e uva</t>
  </si>
  <si>
    <t>Compra de manga, abacaxi, banana e uva</t>
  </si>
  <si>
    <t>9fa78730</t>
  </si>
  <si>
    <t>Notas_Images/9751b8a5.Foto.212430.jpg</t>
  </si>
  <si>
    <t>1740788</t>
  </si>
  <si>
    <t>bfcac572</t>
  </si>
  <si>
    <t>045f46eb</t>
  </si>
  <si>
    <t>5a9b6ab4</t>
  </si>
  <si>
    <t>Minersol (10/10/2025) - Compra caixa isopor</t>
  </si>
  <si>
    <t>Compra caixa isopor</t>
  </si>
  <si>
    <t>035efce1</t>
  </si>
  <si>
    <t>de4fb607</t>
  </si>
  <si>
    <t>Notas_Images/045f46eb.Foto.212706.jpg</t>
  </si>
  <si>
    <t>1731198</t>
  </si>
  <si>
    <t>afefeebe</t>
  </si>
  <si>
    <t>54b877f2</t>
  </si>
  <si>
    <t>d2f687ef</t>
  </si>
  <si>
    <t>ABC digital (08/10/2025) - Compra de folhas de etiqueta e adesivos "Novo sabor" para lojas de Rio Negrinho e São Bento do Sul</t>
  </si>
  <si>
    <t>Compra de folhas de etiqueta e adesivos "Novo sabor" para lojas de Rio Negrinho e São Bento do Sul</t>
  </si>
  <si>
    <t>Notas_Images/afefeebe.Foto.213252.jpg</t>
  </si>
  <si>
    <t>164eb7d0</t>
  </si>
  <si>
    <t>1727940</t>
  </si>
  <si>
    <t>ca839095</t>
  </si>
  <si>
    <t>3e049bc5</t>
  </si>
  <si>
    <t>8b9f67fa</t>
  </si>
  <si>
    <t>Komprao (10/10/2025) - Compra de lanche para sabado e domingo, pano, Sabão em pedra e pulverizador</t>
  </si>
  <si>
    <t>Compra de lanche para sabado e domingo, pano, Sabão em pedra e pulverizador</t>
  </si>
  <si>
    <t>Notas_Images/ca839095.Foto.213955.jpg</t>
  </si>
  <si>
    <t>6bef4b78</t>
  </si>
  <si>
    <t>1731211</t>
  </si>
  <si>
    <t>3a5b18af</t>
  </si>
  <si>
    <t>2dac34ed</t>
  </si>
  <si>
    <t>774ae021</t>
  </si>
  <si>
    <t>SAMAE (14/10/2025) - Conta de agua</t>
  </si>
  <si>
    <t>df3d56bb</t>
  </si>
  <si>
    <t>Notas_Images/2dac34ed.Foto.214924.jpg</t>
  </si>
  <si>
    <t>7ae974ad</t>
  </si>
  <si>
    <t>d014027e</t>
  </si>
  <si>
    <t>Elaine Hubl (09/10/2025) - Compra 5kg morango</t>
  </si>
  <si>
    <t>Compra 5kg morango</t>
  </si>
  <si>
    <t>63602db8</t>
  </si>
  <si>
    <t>Notas_Images/d014027e.Foto.215941.jpg</t>
  </si>
  <si>
    <t>1729020</t>
  </si>
  <si>
    <t>2c3d5f70</t>
  </si>
  <si>
    <t>5691db92</t>
  </si>
  <si>
    <t>6791a76f</t>
  </si>
  <si>
    <t>7d00b1b1</t>
  </si>
  <si>
    <t>9cd8a960</t>
  </si>
  <si>
    <t>755ed98a</t>
  </si>
  <si>
    <t>Luana pintura facial (12/10/2025) - Trabalho pintura facial dia das crianças</t>
  </si>
  <si>
    <t>Trabalho pintura facial dia das crianças</t>
  </si>
  <si>
    <t>Notas_Images/7d00b1b1.Foto.220616.jpg</t>
  </si>
  <si>
    <t>f971ea20</t>
  </si>
  <si>
    <t>1735108</t>
  </si>
  <si>
    <t>8b5d0c9e</t>
  </si>
  <si>
    <t>2eee2143</t>
  </si>
  <si>
    <t>2edb744e</t>
  </si>
  <si>
    <t>bc7e0461</t>
  </si>
  <si>
    <t>Maristela - Vale transporte (13/10/2025) - Compra de vale transporte</t>
  </si>
  <si>
    <t>Compra de vale transporte</t>
  </si>
  <si>
    <t>Notas_Images/2eee2143.Foto.220815.jpg</t>
  </si>
  <si>
    <t>1737624</t>
  </si>
  <si>
    <t>c19714ad</t>
  </si>
  <si>
    <t>17972ab2</t>
  </si>
  <si>
    <t>Motoboy (13/10/2025) - Pagamento mario motoboy do dia 06/10 a 12/10</t>
  </si>
  <si>
    <t>Pagamento mario motoboy do dia 06/10 a 12/10</t>
  </si>
  <si>
    <t>6bd4d900</t>
  </si>
  <si>
    <t>Notas_Images/17972ab2.Foto.221004.jpg</t>
  </si>
  <si>
    <t>1737616</t>
  </si>
  <si>
    <t>8fc1b3cb</t>
  </si>
  <si>
    <t>c3c47bbb</t>
  </si>
  <si>
    <t>883579ae</t>
  </si>
  <si>
    <t>Elaine Hubl (15/10/2025) - Compra 10kg morango</t>
  </si>
  <si>
    <t>Compra 10kg morango</t>
  </si>
  <si>
    <t>Notas_Images/8fc1b3cb.Foto.221142.jpg</t>
  </si>
  <si>
    <t>76e77d0c</t>
  </si>
  <si>
    <t>1740638</t>
  </si>
  <si>
    <t>97acafd0</t>
  </si>
  <si>
    <t>54ba5f7c</t>
  </si>
  <si>
    <t>Amadelli (15/10/2025) - Pedido seco</t>
  </si>
  <si>
    <t>50c317c9</t>
  </si>
  <si>
    <t>Notas_Images/97acafd0.Foto.221923.jpg</t>
  </si>
  <si>
    <t>58a3200e</t>
  </si>
  <si>
    <t>Notas_Images/97acafd0.Foto 1.221923.jpg</t>
  </si>
  <si>
    <t>c42c7906</t>
  </si>
  <si>
    <t>Notas_Images/97acafd0.Foto 2.221923.jpg</t>
  </si>
  <si>
    <t>080da5c1</t>
  </si>
  <si>
    <t>0a8080b7</t>
  </si>
  <si>
    <t>518e76a7</t>
  </si>
  <si>
    <t>Komprao (18/10/2025) - Lanche final de semana</t>
  </si>
  <si>
    <t>0a8b896a</t>
  </si>
  <si>
    <t>Notas_Images/080da5c1.Foto.194616.jpg</t>
  </si>
  <si>
    <t>1746276</t>
  </si>
  <si>
    <t>60bae79b</t>
  </si>
  <si>
    <t>da279d51</t>
  </si>
  <si>
    <t>e0e3b054</t>
  </si>
  <si>
    <t>A.D.A comércio de vestuário e acessórios (18/10/2025) - Elásticos cabelos</t>
  </si>
  <si>
    <t>Elásticos cabelos</t>
  </si>
  <si>
    <t>Notas_Images/60bae79b.Foto.195242.jpg</t>
  </si>
  <si>
    <t>0fc3e202</t>
  </si>
  <si>
    <t>1746265</t>
  </si>
  <si>
    <t>039b22fd</t>
  </si>
  <si>
    <t>dfccbbcd</t>
  </si>
  <si>
    <t>MANI COMERCIO DE BEBIDAS (16/10/2025) - Aguas</t>
  </si>
  <si>
    <t>Notas_Images/039b22fd.Foto.195611.jpg</t>
  </si>
  <si>
    <t>1745289</t>
  </si>
  <si>
    <t>dc22e961</t>
  </si>
  <si>
    <t>6b493688</t>
  </si>
  <si>
    <t>a6df8e12</t>
  </si>
  <si>
    <t>Loja do 7,99 (18/10/2025) - Organizadores burrifadores</t>
  </si>
  <si>
    <t>Organizadores burrifadores</t>
  </si>
  <si>
    <t>Notas_Images/6b493688.Foto.195804.jpg</t>
  </si>
  <si>
    <t>1746288</t>
  </si>
  <si>
    <t>3a9f9128</t>
  </si>
  <si>
    <t>c4a1d684</t>
  </si>
  <si>
    <t>Amadelli (09/10/2025) - Pedido secos</t>
  </si>
  <si>
    <t>0a10a1ba</t>
  </si>
  <si>
    <t>Notas_Images/c4a1d684.Foto.195957.jpg</t>
  </si>
  <si>
    <t>Notas_Images/c4a1d684.Foto 1.195957.jpg</t>
  </si>
  <si>
    <t>7889413e</t>
  </si>
  <si>
    <t>Notas_Images/c4a1d684.Foto 2.195957.jpg</t>
  </si>
  <si>
    <t>a2b31963</t>
  </si>
  <si>
    <t>Pro food (24/10/2025) - Potes de papel de 720ml</t>
  </si>
  <si>
    <t>Potes de papel de 720ml</t>
  </si>
  <si>
    <t>a19dc246</t>
  </si>
  <si>
    <t>Notas_Images/a2b31963.Foto.181012.jpg</t>
  </si>
  <si>
    <t>f1dd053b</t>
  </si>
  <si>
    <t>89e3aafd</t>
  </si>
  <si>
    <t>Amadelli (20/10/2025) - Pedido gelado</t>
  </si>
  <si>
    <t>38e1f6cd</t>
  </si>
  <si>
    <t>Notas_Images/89e3aafd.Foto.183507.jpg</t>
  </si>
  <si>
    <t>Notas_Images/89e3aafd.Foto 1.183507.jpg</t>
  </si>
  <si>
    <t>5dd246b4</t>
  </si>
  <si>
    <t>Notas_Images/89e3aafd.Foto 2.183507.jpg</t>
  </si>
  <si>
    <t>ed5fd6b4</t>
  </si>
  <si>
    <t>Amadelli (22/10/2025) - Pedido seco</t>
  </si>
  <si>
    <t>f3e4bc2a</t>
  </si>
  <si>
    <t>e89bbb96</t>
  </si>
  <si>
    <t>Notas_Images/ed5fd6b4.Foto.184301.jpg</t>
  </si>
  <si>
    <t>894f0998</t>
  </si>
  <si>
    <t>Notas_Images/ed5fd6b4.Foto 1.184302.jpg</t>
  </si>
  <si>
    <t>a70d048e</t>
  </si>
  <si>
    <t>6a00694b</t>
  </si>
  <si>
    <t>Gervasio (24/10/2025) - Compras de frutas manga abacaxi banana e uva</t>
  </si>
  <si>
    <t>Compras de frutas manga abacaxi banana e uva</t>
  </si>
  <si>
    <t>Notas_Images/a70d048e.Foto.185540.jpg</t>
  </si>
  <si>
    <t>05aab339</t>
  </si>
  <si>
    <t>1757511</t>
  </si>
  <si>
    <t>1faadb7b</t>
  </si>
  <si>
    <t>b954b253</t>
  </si>
  <si>
    <t>Komprao (24/10/2025) - Compra de pão para lanche de final de semana e leite para Milk-shake</t>
  </si>
  <si>
    <t>Compra de pão para lanche de final de semana e leite para Milk-shake</t>
  </si>
  <si>
    <t>8cc382d6</t>
  </si>
  <si>
    <t>Notas_Images/1faadb7b.Foto.185758.jpg</t>
  </si>
  <si>
    <t>1757518</t>
  </si>
  <si>
    <t>a068cf14</t>
  </si>
  <si>
    <t>678eb620</t>
  </si>
  <si>
    <t>Elaine Hubl (17/10/2025) - 10 kg de morango</t>
  </si>
  <si>
    <t>10 kg de morango</t>
  </si>
  <si>
    <t>41584d26</t>
  </si>
  <si>
    <t>Notas_Images/678eb620.Foto.185900.jpg</t>
  </si>
  <si>
    <t>1744685</t>
  </si>
  <si>
    <t>20062d07</t>
  </si>
  <si>
    <t>c5fa32aa</t>
  </si>
  <si>
    <t>d2e64624</t>
  </si>
  <si>
    <t>f6966fef</t>
  </si>
  <si>
    <t>Motoboy (19/10/2025) - Pagamento de serviços de motoboy para mario dos dias 13 ate 19 de outubro</t>
  </si>
  <si>
    <t>Pagamento de serviços de motoboy para mario dos dias 13 ate 19 de outubro</t>
  </si>
  <si>
    <t>29399915</t>
  </si>
  <si>
    <t>Notas_Images/c5fa32aa.Foto.190111.jpg</t>
  </si>
  <si>
    <t>1749165</t>
  </si>
  <si>
    <t>8ff3a02a</t>
  </si>
  <si>
    <t>00f4bc12</t>
  </si>
  <si>
    <t>517bf2ee</t>
  </si>
  <si>
    <t>Elaine Hubl (20/10/2025) - 10 kg de morango</t>
  </si>
  <si>
    <t>Notas_Images/00f4bc12.Foto.190222.jpg</t>
  </si>
  <si>
    <t>79601083</t>
  </si>
  <si>
    <t>4032c280</t>
  </si>
  <si>
    <t>1750359</t>
  </si>
  <si>
    <t>0c2b2f5e</t>
  </si>
  <si>
    <t>4ce64baa</t>
  </si>
  <si>
    <t>7f471404</t>
  </si>
  <si>
    <t>Elaine Hubl (24/10/2025) - 9kg de morango</t>
  </si>
  <si>
    <t>9kg de morango</t>
  </si>
  <si>
    <t>d8c24364</t>
  </si>
  <si>
    <t>Notas_Images/0c2b2f5e.Foto.193847.jpg</t>
  </si>
  <si>
    <t>ff2a8b5c</t>
  </si>
  <si>
    <t>1756230</t>
  </si>
  <si>
    <t>bb7ecba9</t>
  </si>
  <si>
    <t>77d9de5f</t>
  </si>
  <si>
    <t>18b22185</t>
  </si>
  <si>
    <t>5cc8d8cf</t>
  </si>
  <si>
    <t>14150716</t>
  </si>
  <si>
    <t>recibo de pagamento (26/10/2025) - Pagamento de funcionário Jeniffer dos dias 21/10 ate 26/10</t>
  </si>
  <si>
    <t>872e6d95</t>
  </si>
  <si>
    <t>Pagamento de funcionário Jeniffer dos dias 21/10 ate 26/10</t>
  </si>
  <si>
    <t>30d7969e</t>
  </si>
  <si>
    <t>Notas_Images/bb7ecba9.Foto.194222.jpg</t>
  </si>
  <si>
    <t>1761972</t>
  </si>
  <si>
    <t>ITEM-1987-1</t>
  </si>
  <si>
    <t>ITEM-12a614589-1</t>
  </si>
  <si>
    <t>12a614589</t>
  </si>
  <si>
    <t>ITEM-1998-1</t>
  </si>
  <si>
    <t>ITEM-1999-1</t>
  </si>
  <si>
    <t>ITEM-11001-1</t>
  </si>
  <si>
    <t>ITEM-11002-1</t>
  </si>
  <si>
    <t>8c6db699</t>
  </si>
  <si>
    <t>ITEM-11003-1</t>
  </si>
  <si>
    <t>ITEM-11008-1</t>
  </si>
  <si>
    <t>ITEM-11009-1</t>
  </si>
  <si>
    <t>ITEM-11010-1</t>
  </si>
  <si>
    <t>ITEM-18a25d1c2-1</t>
  </si>
  <si>
    <t>18a25d1c2</t>
  </si>
  <si>
    <t>ITEM-1d9ebf329-1</t>
  </si>
  <si>
    <t>1d9ebf329</t>
  </si>
  <si>
    <t>e948d3f5</t>
  </si>
  <si>
    <t>Admissional Sabrina</t>
  </si>
  <si>
    <t>ITEM-152509255-1</t>
  </si>
  <si>
    <t>ITEM-1ffb7064c-1</t>
  </si>
  <si>
    <t>1ffb7064c</t>
  </si>
  <si>
    <t>ITEM-19d5c7278-1</t>
  </si>
  <si>
    <t>19d5c7278</t>
  </si>
  <si>
    <t>226046f5</t>
  </si>
  <si>
    <t>renovação</t>
  </si>
  <si>
    <t>49b8b6ce</t>
  </si>
  <si>
    <t>518e5e20</t>
  </si>
  <si>
    <t>d57993e1</t>
  </si>
  <si>
    <t>f91ecba1</t>
  </si>
  <si>
    <t>Instalação e materiais para ar condicionado de São Bento</t>
  </si>
  <si>
    <t>d90af36e</t>
  </si>
  <si>
    <t>b49ef6e7</t>
  </si>
  <si>
    <t>6dd73808</t>
  </si>
  <si>
    <t>a34b6a03</t>
  </si>
  <si>
    <t>b755baf7</t>
  </si>
  <si>
    <t>Cartaz campanha algodão doce</t>
  </si>
  <si>
    <t>2d09ee1d</t>
  </si>
  <si>
    <t>c5ee48eb</t>
  </si>
  <si>
    <t>0ba4b2c2</t>
  </si>
  <si>
    <t>c68332af</t>
  </si>
  <si>
    <t>Pedido 84296 nota de serviço</t>
  </si>
  <si>
    <t>9ec0e36f</t>
  </si>
  <si>
    <t>7d90acba</t>
  </si>
  <si>
    <t>Pedido 84296 carga gelada</t>
  </si>
  <si>
    <t>6600224d</t>
  </si>
  <si>
    <t>4ef7f7eb</t>
  </si>
  <si>
    <t>68cc27e5</t>
  </si>
  <si>
    <t>037ad67c</t>
  </si>
  <si>
    <t>Luminoso e placas de São Bento/ Rebrandng</t>
  </si>
  <si>
    <t>096e5c65</t>
  </si>
  <si>
    <t>cc46b127</t>
  </si>
  <si>
    <t>2e04fd60</t>
  </si>
  <si>
    <t>Pedido 84320 Nota de serviço</t>
  </si>
  <si>
    <t>a0826e74</t>
  </si>
  <si>
    <t>45945f85</t>
  </si>
  <si>
    <t>115d7086</t>
  </si>
  <si>
    <t>boleto com desc VO 904,44</t>
  </si>
  <si>
    <t>79ff321e</t>
  </si>
  <si>
    <t>d1ea8090</t>
  </si>
  <si>
    <t>51ea78fd</t>
  </si>
  <si>
    <t>43d84122</t>
  </si>
  <si>
    <t>0130b987</t>
  </si>
  <si>
    <t>b8851df1</t>
  </si>
  <si>
    <t>32405a5f</t>
  </si>
  <si>
    <t>95baebf8</t>
  </si>
  <si>
    <t>11005-A</t>
  </si>
  <si>
    <t>11006-A</t>
  </si>
  <si>
    <t>11007-A</t>
  </si>
  <si>
    <t>1afe9d345-A</t>
  </si>
  <si>
    <t>1afe9d345</t>
  </si>
  <si>
    <t>11011-A</t>
  </si>
  <si>
    <t>11017-A</t>
  </si>
  <si>
    <t>a2eeba31</t>
  </si>
  <si>
    <t>136776</t>
  </si>
  <si>
    <t>5b5bde1e</t>
  </si>
  <si>
    <t>sensor para boleador automatico</t>
  </si>
  <si>
    <t>75b16658</t>
  </si>
  <si>
    <t>3fa3504f</t>
  </si>
  <si>
    <t>50b86622</t>
  </si>
  <si>
    <t>f3ff0930</t>
  </si>
  <si>
    <t>1a24d471</t>
  </si>
  <si>
    <t>103eb93b</t>
  </si>
  <si>
    <t>1efdcc15</t>
  </si>
  <si>
    <t>67dcaf7f</t>
  </si>
  <si>
    <t>00bbbc94</t>
  </si>
  <si>
    <t>Pastel para equipe</t>
  </si>
  <si>
    <t>145ef7f31-A</t>
  </si>
  <si>
    <t>145ef7f31</t>
  </si>
  <si>
    <t>110965434-A</t>
  </si>
  <si>
    <t>6fe078fd</t>
  </si>
  <si>
    <t>15fbb516</t>
  </si>
  <si>
    <t>88f3e307</t>
  </si>
  <si>
    <t>71053158</t>
  </si>
  <si>
    <t>fdc0e1f7</t>
  </si>
  <si>
    <t>af9c0b3d</t>
  </si>
  <si>
    <t>aebc16b9</t>
  </si>
  <si>
    <t>11016-A</t>
  </si>
  <si>
    <t>135307112-A</t>
  </si>
  <si>
    <t>1d045badd-A</t>
  </si>
  <si>
    <t>1d045badd</t>
  </si>
  <si>
    <t>11025-A</t>
  </si>
  <si>
    <t>11031-A</t>
  </si>
  <si>
    <t>11032-A</t>
  </si>
  <si>
    <t>Parcela 9/10</t>
  </si>
  <si>
    <t>1a59963da-A</t>
  </si>
  <si>
    <t>1a59963da</t>
  </si>
  <si>
    <t>1b9fcd24f-A</t>
  </si>
  <si>
    <t>1b9fcd24f</t>
  </si>
  <si>
    <t>173d9aa62-A</t>
  </si>
  <si>
    <t>173d9aa62</t>
  </si>
  <si>
    <t>16838dc94-A</t>
  </si>
  <si>
    <t>16838dc94</t>
  </si>
  <si>
    <t>40ac0b1d</t>
  </si>
  <si>
    <t>e824a6ee</t>
  </si>
  <si>
    <t>f0bc06e6</t>
  </si>
  <si>
    <t>790f6a20</t>
  </si>
  <si>
    <t>1300a673</t>
  </si>
  <si>
    <t>45cd23d2</t>
  </si>
  <si>
    <t>a98fb764</t>
  </si>
  <si>
    <t>a472c1ad</t>
  </si>
  <si>
    <t>Transferência copos/tampas</t>
  </si>
  <si>
    <t>6b3f4828</t>
  </si>
  <si>
    <t>bc186f38</t>
  </si>
  <si>
    <t>25f26a17</t>
  </si>
  <si>
    <t>428c9e8e</t>
  </si>
  <si>
    <t>726244a7</t>
  </si>
  <si>
    <t>6411bb6c</t>
  </si>
  <si>
    <t>bffb91fc</t>
  </si>
  <si>
    <t>52ae1ba0</t>
  </si>
  <si>
    <t>600ff917</t>
  </si>
  <si>
    <t>006a3bb6</t>
  </si>
  <si>
    <t>aff868ce</t>
  </si>
  <si>
    <t>a7160845</t>
  </si>
  <si>
    <t>6e963b63</t>
  </si>
  <si>
    <t>91ad14ec</t>
  </si>
  <si>
    <t>7de32206</t>
  </si>
  <si>
    <t>e6f76675</t>
  </si>
  <si>
    <t>fbf1929b</t>
  </si>
  <si>
    <t>11028-A</t>
  </si>
  <si>
    <t>11029-A</t>
  </si>
  <si>
    <t>11030-A</t>
  </si>
  <si>
    <t>11038-A</t>
  </si>
  <si>
    <t>11039-A</t>
  </si>
  <si>
    <t>Freelance de SB.. já efetuei reembolso</t>
  </si>
  <si>
    <t>1257c10fd-A</t>
  </si>
  <si>
    <t>1257c10fd</t>
  </si>
  <si>
    <t>1788a7386-A</t>
  </si>
  <si>
    <t>1788a7386</t>
  </si>
  <si>
    <t>12952ed1f-A</t>
  </si>
  <si>
    <t>12952ed1f</t>
  </si>
  <si>
    <t>Pedido 86124 nota de serviço</t>
  </si>
  <si>
    <t>15c491896-A</t>
  </si>
  <si>
    <t>15c491896</t>
  </si>
  <si>
    <t>19afe8999-A</t>
  </si>
  <si>
    <t>19afe8999</t>
  </si>
  <si>
    <t>13827000a-A</t>
  </si>
  <si>
    <t>13827000a</t>
  </si>
  <si>
    <t>11f49cba</t>
  </si>
  <si>
    <t>(desconto 128,55) Pedido 86135 VO 4877,64</t>
  </si>
  <si>
    <t>37bb3f9f</t>
  </si>
  <si>
    <t>ID_Item</t>
  </si>
  <si>
    <t>dc1a87fc</t>
  </si>
  <si>
    <t>ID_Nota</t>
  </si>
  <si>
    <t>Valor Unitário</t>
  </si>
  <si>
    <t>2cca557d</t>
  </si>
  <si>
    <t>806bac35</t>
  </si>
  <si>
    <t>Pedido 86135 nota de serviço</t>
  </si>
  <si>
    <t>IT1763688961360</t>
  </si>
  <si>
    <t>4d9f9890</t>
  </si>
  <si>
    <t>7892ef73</t>
  </si>
  <si>
    <t>ACAI/ BANANA 8 KG</t>
  </si>
  <si>
    <t>3d50e0b8</t>
  </si>
  <si>
    <t>2250d551</t>
  </si>
  <si>
    <t>a28c085b</t>
  </si>
  <si>
    <t>e2e83d40</t>
  </si>
  <si>
    <t>IT1763688961458</t>
  </si>
  <si>
    <t>944e654d</t>
  </si>
  <si>
    <t>2835ef9b</t>
  </si>
  <si>
    <t>ACAI/ PISTACHE 8 KG</t>
  </si>
  <si>
    <t>Transferencia de mercadoria (creme leitinho, choco/avelã)</t>
  </si>
  <si>
    <t>17cd8187</t>
  </si>
  <si>
    <t>IT1763688961714</t>
  </si>
  <si>
    <t>18f6151b</t>
  </si>
  <si>
    <t>ACAI CREME DE KINDER 8 KG</t>
  </si>
  <si>
    <t>8c6f66d7</t>
  </si>
  <si>
    <t>2ee8c880</t>
  </si>
  <si>
    <t>IT1763688961901</t>
  </si>
  <si>
    <t>Despesas</t>
  </si>
  <si>
    <t>ACAI MOUSSE DE MARACUJA 8 KG</t>
  </si>
  <si>
    <t>f7d65308</t>
  </si>
  <si>
    <t>IT1763688962098</t>
  </si>
  <si>
    <t>692b1a9d</t>
  </si>
  <si>
    <t>ACAI LITINHO C/ CREME AVELA 8 KG</t>
  </si>
  <si>
    <t>df1c9fe2</t>
  </si>
  <si>
    <t>2bd1fbd7</t>
  </si>
  <si>
    <t>IT1763688962277</t>
  </si>
  <si>
    <t>ACAI TRADICIONAL 9,8 KG</t>
  </si>
  <si>
    <t>3394338a</t>
  </si>
  <si>
    <t>9ba4af91</t>
  </si>
  <si>
    <t>IT1763688962479</t>
  </si>
  <si>
    <t>7f47186a</t>
  </si>
  <si>
    <t>ACAI TRUFADO BRANCO 9 KG</t>
  </si>
  <si>
    <t>f9926458</t>
  </si>
  <si>
    <t>7684cc82</t>
  </si>
  <si>
    <t>IT1763689510862</t>
  </si>
  <si>
    <t>REFRI COCA COLA PET 2L</t>
  </si>
  <si>
    <t>bc95c2d1</t>
  </si>
  <si>
    <t>1UN</t>
  </si>
  <si>
    <t>IT1763689511047</t>
  </si>
  <si>
    <t>9e8ef7d6</t>
  </si>
  <si>
    <t>REFRI FANTA PET 2L LARANJA</t>
  </si>
  <si>
    <t>13 chaveiros</t>
  </si>
  <si>
    <t>11033-A</t>
  </si>
  <si>
    <t>IT1763689511378</t>
  </si>
  <si>
    <t>11034-A</t>
  </si>
  <si>
    <t>QUEIJO TIROL MUSSARELA FAT</t>
  </si>
  <si>
    <t>11036-A</t>
  </si>
  <si>
    <t>IT1763689511675</t>
  </si>
  <si>
    <t>DESQUINTO FRIG. COZ FAT 500G</t>
  </si>
  <si>
    <t>11037-A</t>
  </si>
  <si>
    <t>e03026aa</t>
  </si>
  <si>
    <t>IT1763689512000</t>
  </si>
  <si>
    <t>79fe48bc</t>
  </si>
  <si>
    <t>990e1a1e</t>
  </si>
  <si>
    <t>MORTAD. PERD. TIO FRANÇES K9</t>
  </si>
  <si>
    <t>84bb6e77</t>
  </si>
  <si>
    <t>22644254</t>
  </si>
  <si>
    <t>IT1763689512641</t>
  </si>
  <si>
    <t>46fcaeea</t>
  </si>
  <si>
    <t>CHOC GRAN HARALD CROC 1,0KG CONFEITEIRO</t>
  </si>
  <si>
    <t>2UN</t>
  </si>
  <si>
    <t>811da45e</t>
  </si>
  <si>
    <t>971fcd37</t>
  </si>
  <si>
    <t>IT1763689512944</t>
  </si>
  <si>
    <t>cb6c10e8</t>
  </si>
  <si>
    <t>5763839d</t>
  </si>
  <si>
    <t>68b5a144</t>
  </si>
  <si>
    <t>IT1763689527316</t>
  </si>
  <si>
    <t>d31a3c8e</t>
  </si>
  <si>
    <t>Banana</t>
  </si>
  <si>
    <t>2,091 KG</t>
  </si>
  <si>
    <t>ffae741a</t>
  </si>
  <si>
    <t>f69cd83e</t>
  </si>
  <si>
    <t>IT1763689527478</t>
  </si>
  <si>
    <t>de4faddf</t>
  </si>
  <si>
    <t>Manga Palmer</t>
  </si>
  <si>
    <t>1e64b3f7</t>
  </si>
  <si>
    <t>4,04 KG</t>
  </si>
  <si>
    <t>306a504d</t>
  </si>
  <si>
    <t>IT1763689527983</t>
  </si>
  <si>
    <t>THOMPSON 500G</t>
  </si>
  <si>
    <t>dad89791</t>
  </si>
  <si>
    <t>8 UN</t>
  </si>
  <si>
    <t>IT1763689528279</t>
  </si>
  <si>
    <t>0c1f51c1</t>
  </si>
  <si>
    <t>0e0723b3</t>
  </si>
  <si>
    <t>Jacaí Pérola</t>
  </si>
  <si>
    <t>5 KG</t>
  </si>
  <si>
    <t>b04df000</t>
  </si>
  <si>
    <t>PCMSO</t>
  </si>
  <si>
    <t>1f2c1f41</t>
  </si>
  <si>
    <t>IT1763689542300</t>
  </si>
  <si>
    <t>PAQUINHO</t>
  </si>
  <si>
    <t>6c4da2a1</t>
  </si>
  <si>
    <t>d7d7e966</t>
  </si>
  <si>
    <t>IT1763689542461</t>
  </si>
  <si>
    <t>0b8704bf</t>
  </si>
  <si>
    <t>9b59adcc</t>
  </si>
  <si>
    <t>FRIMESA PRESUNTO</t>
  </si>
  <si>
    <t>dd2a087c</t>
  </si>
  <si>
    <t>Pedido 87025 - nota de serviço</t>
  </si>
  <si>
    <t>c2148935</t>
  </si>
  <si>
    <t>IT1763689542764</t>
  </si>
  <si>
    <t>b9354f95</t>
  </si>
  <si>
    <t>CASA DO QUEIJO QU</t>
  </si>
  <si>
    <t>31e08b27</t>
  </si>
  <si>
    <t>IT1763689543071</t>
  </si>
  <si>
    <t>REF.COLA 2L</t>
  </si>
  <si>
    <t>6df206af</t>
  </si>
  <si>
    <t>IT1763689543360</t>
  </si>
  <si>
    <t>9ccfe7cf</t>
  </si>
  <si>
    <t>bef7e735</t>
  </si>
  <si>
    <t>ELMO ADAP.UNIVERS</t>
  </si>
  <si>
    <t>6f5b00a0</t>
  </si>
  <si>
    <t>7c1b436b</t>
  </si>
  <si>
    <t>IT1763689560382</t>
  </si>
  <si>
    <t>ÁGUA COM GÁS</t>
  </si>
  <si>
    <t>2322612f</t>
  </si>
  <si>
    <t>99222bfd</t>
  </si>
  <si>
    <t>IT1763689560539</t>
  </si>
  <si>
    <t>1e606f353-A</t>
  </si>
  <si>
    <t>1e606f353</t>
  </si>
  <si>
    <t>REFEIÇÃO QUILO</t>
  </si>
  <si>
    <t>11055-A</t>
  </si>
  <si>
    <t>IT1763689570978</t>
  </si>
  <si>
    <t>MARNITA P</t>
  </si>
  <si>
    <t>11056-A</t>
  </si>
  <si>
    <t>IT1763689582193</t>
  </si>
  <si>
    <t>11058-A</t>
  </si>
  <si>
    <t>Uva Thompson 500g</t>
  </si>
  <si>
    <t>e3130867</t>
  </si>
  <si>
    <t>7e0589c2</t>
  </si>
  <si>
    <t>IT1763689582364</t>
  </si>
  <si>
    <t>Banana Catura</t>
  </si>
  <si>
    <t>2 KG</t>
  </si>
  <si>
    <t>abdeb590</t>
  </si>
  <si>
    <t>IT1763689582662</t>
  </si>
  <si>
    <t>Goiaba Perola</t>
  </si>
  <si>
    <t>2d129dd3</t>
  </si>
  <si>
    <t>2 UN</t>
  </si>
  <si>
    <t>IT1763689582952</t>
  </si>
  <si>
    <t>21e21cf2</t>
  </si>
  <si>
    <t>Manga Tommy</t>
  </si>
  <si>
    <t>1,718 KG</t>
  </si>
  <si>
    <t>6008cf4c</t>
  </si>
  <si>
    <t>IT1763689597233</t>
  </si>
  <si>
    <t>Bokitus Frances kg</t>
  </si>
  <si>
    <t>0,085kg</t>
  </si>
  <si>
    <t>493b94f4</t>
  </si>
  <si>
    <t>79ddb57c</t>
  </si>
  <si>
    <t>IT1763689598061</t>
  </si>
  <si>
    <t>Refri Coca Cola Pet ZL</t>
  </si>
  <si>
    <t>edfeb155</t>
  </si>
  <si>
    <t>1un</t>
  </si>
  <si>
    <t>IT1763689610173</t>
  </si>
  <si>
    <t>d087da3e</t>
  </si>
  <si>
    <t>A THOMPSON 500G</t>
  </si>
  <si>
    <t>6 UN</t>
  </si>
  <si>
    <t>8f924dc7</t>
  </si>
  <si>
    <t>9cc3ef15</t>
  </si>
  <si>
    <t>IT1763689610320</t>
  </si>
  <si>
    <t>MANGA TOMMY</t>
  </si>
  <si>
    <t>3,506 KG</t>
  </si>
  <si>
    <t>c8c5e30b</t>
  </si>
  <si>
    <t>d202b582</t>
  </si>
  <si>
    <t>IT1763689610598</t>
  </si>
  <si>
    <t>f6e7f0af</t>
  </si>
  <si>
    <t>BANANA CATURRA</t>
  </si>
  <si>
    <t>3a2f255b</t>
  </si>
  <si>
    <t>2,058 KG</t>
  </si>
  <si>
    <t>b7bec9c7</t>
  </si>
  <si>
    <t>IT1763689623954</t>
  </si>
  <si>
    <t>PRESUNTO FRISESA COZ FAT PC 500G</t>
  </si>
  <si>
    <t>5b5d5bb8</t>
  </si>
  <si>
    <t>4f17a7db</t>
  </si>
  <si>
    <t>IT1763689624120</t>
  </si>
  <si>
    <t>13b2e514</t>
  </si>
  <si>
    <t>QUEIJO TIROL PRATO FAT 400G</t>
  </si>
  <si>
    <t>5923331c</t>
  </si>
  <si>
    <t>53461cd8</t>
  </si>
  <si>
    <t>11057-A</t>
  </si>
  <si>
    <t>11059-A</t>
  </si>
  <si>
    <t>1 kit copo Boobie Goods</t>
  </si>
  <si>
    <t>11061-A</t>
  </si>
  <si>
    <t>11062-A</t>
  </si>
  <si>
    <t>11063-A</t>
  </si>
  <si>
    <t>Pedido 88108 nota de serviço</t>
  </si>
  <si>
    <t>11064-A</t>
  </si>
  <si>
    <t>11065-A</t>
  </si>
  <si>
    <t>Pedido 88117 nota de serviço</t>
  </si>
  <si>
    <t>11066-A</t>
  </si>
  <si>
    <t>1d15f4e51-A</t>
  </si>
  <si>
    <t>1d15f4e51</t>
  </si>
  <si>
    <t>1dadd3d09-A</t>
  </si>
  <si>
    <t>1dadd3d09</t>
  </si>
  <si>
    <t>luely.tba@gmail.com</t>
  </si>
  <si>
    <t>e1111dd4</t>
  </si>
  <si>
    <t>1a6e5e29</t>
  </si>
  <si>
    <t>1f6f0085</t>
  </si>
  <si>
    <t>5e4ab9bc</t>
  </si>
  <si>
    <t>6db7ad29</t>
  </si>
  <si>
    <t>f4227a6b</t>
  </si>
  <si>
    <t>e911b945</t>
  </si>
  <si>
    <t>11068-A</t>
  </si>
  <si>
    <t>11076-A</t>
  </si>
  <si>
    <t>11077-A</t>
  </si>
  <si>
    <t>1aa72d745-A</t>
  </si>
  <si>
    <t>1aa72d745</t>
  </si>
  <si>
    <t>1ac4aec10-A</t>
  </si>
  <si>
    <t>1ac4aec10</t>
  </si>
  <si>
    <t>1ae1db88d-A</t>
  </si>
  <si>
    <t>1ae1db88d</t>
  </si>
  <si>
    <t>19fbdde80-A</t>
  </si>
  <si>
    <t>19fbdde80</t>
  </si>
  <si>
    <t>1fdb76297-A</t>
  </si>
  <si>
    <t>1fdb76297</t>
  </si>
  <si>
    <t>106e85b76-A</t>
  </si>
  <si>
    <t>106e85b76</t>
  </si>
  <si>
    <t>1858900f9-A</t>
  </si>
  <si>
    <t>1858900f9</t>
  </si>
  <si>
    <t>11083-A</t>
  </si>
  <si>
    <t>faaee2fd</t>
  </si>
  <si>
    <t>f5699f68</t>
  </si>
  <si>
    <t>ac3b18fa</t>
  </si>
  <si>
    <t>Festere (30/10/2025) - Balao para 1 ano de loja</t>
  </si>
  <si>
    <t>d09ee0ac</t>
  </si>
  <si>
    <t>Balao para 1 ano de loja</t>
  </si>
  <si>
    <t>Notas_Images/faaee2fd.Foto.180914.jpg</t>
  </si>
  <si>
    <t>539ed622</t>
  </si>
  <si>
    <t>a7b0329a</t>
  </si>
  <si>
    <t>1768079</t>
  </si>
  <si>
    <t>96ae49c4</t>
  </si>
  <si>
    <t>bd7470c4</t>
  </si>
  <si>
    <t>4539afd4</t>
  </si>
  <si>
    <t>Chaveiro Ritzman (30/10/2025) - Cópia para papéis 1 ano</t>
  </si>
  <si>
    <t>Cópia para papéis 1 ano</t>
  </si>
  <si>
    <t>70f5f689</t>
  </si>
  <si>
    <t>fb70f377</t>
  </si>
  <si>
    <t>Notas_Images/bd7470c4.Foto.181650.jpg</t>
  </si>
  <si>
    <t>1768080</t>
  </si>
  <si>
    <t>1ed27f0a</t>
  </si>
  <si>
    <t>0fe5dd0f</t>
  </si>
  <si>
    <t>Festere (29/10/2025) - Balao para 1 ano</t>
  </si>
  <si>
    <t>Balao para 1 ano</t>
  </si>
  <si>
    <t>7e1f6e3f</t>
  </si>
  <si>
    <t>Notas_Images/0fe5dd0f.Foto.181832.jpg</t>
  </si>
  <si>
    <t>50f1cfe6</t>
  </si>
  <si>
    <t>1766691</t>
  </si>
  <si>
    <t>68638e3d</t>
  </si>
  <si>
    <t>2072c7fa</t>
  </si>
  <si>
    <t>b51a6c7d</t>
  </si>
  <si>
    <t>Gervasio (31/10/2025) - Compra de frutas banana abacaxi manga uva</t>
  </si>
  <si>
    <t>Compra de frutas banana abacaxi manga uva</t>
  </si>
  <si>
    <t>a73ffdc3</t>
  </si>
  <si>
    <t>Notas_Images/68638e3d.Foto.182110.jpg</t>
  </si>
  <si>
    <t>541fed04</t>
  </si>
  <si>
    <t>1769857</t>
  </si>
  <si>
    <t>0ada2bb3</t>
  </si>
  <si>
    <t>e1c42092</t>
  </si>
  <si>
    <t>Sapus Fest (01/11/2025) - Elástico para clientes panos para limpeza de loja balao para decoração de 1 ano</t>
  </si>
  <si>
    <t>812bdee1</t>
  </si>
  <si>
    <t>Elástico para clientes panos para limpeza de loja balao para decoração de 1 ano</t>
  </si>
  <si>
    <t>34bc2dea</t>
  </si>
  <si>
    <t>Notas_Images/e1c42092.Foto.182815.jpg</t>
  </si>
  <si>
    <t>9ecbef4f</t>
  </si>
  <si>
    <t>1771263</t>
  </si>
  <si>
    <t>86928036</t>
  </si>
  <si>
    <t>7a9d6647</t>
  </si>
  <si>
    <t>2db8e9c6</t>
  </si>
  <si>
    <t>Komprao (31/10/2025) - Compra de lanche para final de semana</t>
  </si>
  <si>
    <t>f389931a</t>
  </si>
  <si>
    <t>e3b51501</t>
  </si>
  <si>
    <t>e47ddc81</t>
  </si>
  <si>
    <t>Notas_Images/7a9d6647.Foto.183032.jpg</t>
  </si>
  <si>
    <t>0d4263ad</t>
  </si>
  <si>
    <t>1769866</t>
  </si>
  <si>
    <t>f2b5f5d9</t>
  </si>
  <si>
    <t>171cdf42</t>
  </si>
  <si>
    <t>Chaveiro Ritzman (29/10/2025) - Impressão de papel 1 ano loja</t>
  </si>
  <si>
    <t>Impressão de papel 1 ano loja</t>
  </si>
  <si>
    <t>60a9a00c</t>
  </si>
  <si>
    <t>Notas_Images/f2b5f5d9.Foto.184043.jpg</t>
  </si>
  <si>
    <t>1766688</t>
  </si>
  <si>
    <t>8d82d50a</t>
  </si>
  <si>
    <t>fbb796ae</t>
  </si>
  <si>
    <t>7d586f7d</t>
  </si>
  <si>
    <t>Motoboy (28/10/2025) - Pagamento para motoboy mario dos dias 20 ate 26 de outubro</t>
  </si>
  <si>
    <t>56166225</t>
  </si>
  <si>
    <t>Pagamento para motoboy mario dos dias 20 ate 26 de outubro</t>
  </si>
  <si>
    <t>9063cab4</t>
  </si>
  <si>
    <t>Notas_Images/fbb796ae.Foto.184804.jpg</t>
  </si>
  <si>
    <t>f1b619db</t>
  </si>
  <si>
    <t>1765492</t>
  </si>
  <si>
    <t>57401c9e</t>
  </si>
  <si>
    <t>a69c6f56</t>
  </si>
  <si>
    <t>2baa4324</t>
  </si>
  <si>
    <t>Elaine Hubl (31/10/2025) - Compra de 9 kg de morango</t>
  </si>
  <si>
    <t>89a46608</t>
  </si>
  <si>
    <t>Compra de 9 kg de morango</t>
  </si>
  <si>
    <t>Notas_Images/a69c6f56.Foto.184935.jpg</t>
  </si>
  <si>
    <t>78dce861</t>
  </si>
  <si>
    <t>1768825</t>
  </si>
  <si>
    <t>ede64fa5</t>
  </si>
  <si>
    <t>811a9765</t>
  </si>
  <si>
    <t>2839914e</t>
  </si>
  <si>
    <t>53627fbb</t>
  </si>
  <si>
    <t>Funcionário (01/11/2025) - Pagamento de funcionária jeniffer dos dias 27/10 ate 31/10</t>
  </si>
  <si>
    <t>256e8b4a</t>
  </si>
  <si>
    <t>Pagamento de funcionária jeniffer dos dias 27/10 ate 31/10</t>
  </si>
  <si>
    <t>4cf3d75e</t>
  </si>
  <si>
    <t>Notas_Images/811a9765.Foto.185341.jpg</t>
  </si>
  <si>
    <t>ea4fc428</t>
  </si>
  <si>
    <t>8d222a6c</t>
  </si>
  <si>
    <t>1771531</t>
  </si>
  <si>
    <t>813ee3c8</t>
  </si>
  <si>
    <t>Motoboy (02/11/2025) - Pagamento de serviço de motoboy para mario dos fias 27/10 ate 2/11</t>
  </si>
  <si>
    <t>441101dd</t>
  </si>
  <si>
    <t>Pagamento de serviço de motoboy para mario dos fias 27/10 ate 2/11</t>
  </si>
  <si>
    <t>Notas_Images/813ee3c8.Foto.185553.jpg</t>
  </si>
  <si>
    <t>80dd7bff</t>
  </si>
  <si>
    <t>1774353</t>
  </si>
  <si>
    <t>Funcionários</t>
  </si>
  <si>
    <t>786af0bb</t>
  </si>
  <si>
    <t>ecdfec3b</t>
  </si>
  <si>
    <t>0cd66895</t>
  </si>
  <si>
    <t>11e8d427</t>
  </si>
  <si>
    <t>Consumos e Adiantamentos</t>
  </si>
  <si>
    <t>af224216</t>
  </si>
  <si>
    <t>488d3afd</t>
  </si>
  <si>
    <t>60122517</t>
  </si>
  <si>
    <t>4d3cad1f</t>
  </si>
  <si>
    <t>Cadastro</t>
  </si>
  <si>
    <t>1c49a8d1</t>
  </si>
  <si>
    <t>c03227ca</t>
  </si>
  <si>
    <t>d5b7220d</t>
  </si>
  <si>
    <t>ac763119</t>
  </si>
  <si>
    <t>26d728f8</t>
  </si>
  <si>
    <t>72cfe5d5</t>
  </si>
  <si>
    <t>b95923e8</t>
  </si>
  <si>
    <t>f5441366</t>
  </si>
  <si>
    <t>553b64ae</t>
  </si>
  <si>
    <t>feded955</t>
  </si>
  <si>
    <t>Parcela 10/10</t>
  </si>
  <si>
    <t>11089-A</t>
  </si>
  <si>
    <t>1c218923c-A</t>
  </si>
  <si>
    <t>1c218923c</t>
  </si>
  <si>
    <t>dabc865e</t>
  </si>
  <si>
    <t>3 parcelas pagas por Caçador + 1 parcela que vence dia 10/11</t>
  </si>
  <si>
    <t>11084-A</t>
  </si>
  <si>
    <t>11085-A</t>
  </si>
  <si>
    <t>11086-A</t>
  </si>
  <si>
    <t>Pgto de decoração para Ctbanos</t>
  </si>
  <si>
    <t>11087-A</t>
  </si>
  <si>
    <t>11088-A</t>
  </si>
  <si>
    <t>560a74b2</t>
  </si>
  <si>
    <t>Amadelli (04/11/2025) - Pedido gelado</t>
  </si>
  <si>
    <t>Notas_Images/560a74b2.Foto.121009.jpg</t>
  </si>
  <si>
    <t>11095-A</t>
  </si>
  <si>
    <t>Notas_Images/560a74b2.Foto 1.121009.jpg</t>
  </si>
  <si>
    <t>d661e114</t>
  </si>
  <si>
    <t>5b28f042</t>
  </si>
  <si>
    <t>668c41a8</t>
  </si>
  <si>
    <t>Amadelli (04/11/2025) - Cartazes the best Friday campanha 2025</t>
  </si>
  <si>
    <t>Cartazes the best Friday campanha 2025</t>
  </si>
  <si>
    <t>613deeff</t>
  </si>
  <si>
    <t>Notas_Images/d661e114.Foto.122812.jpg</t>
  </si>
  <si>
    <t>8159b4c1</t>
  </si>
  <si>
    <t>499570ff</t>
  </si>
  <si>
    <t>Amadelli (05/11/2025) - Pedido seco</t>
  </si>
  <si>
    <t>Notas_Images/8159b4c1.Foto.185257.jpg</t>
  </si>
  <si>
    <t>93c91bb7</t>
  </si>
  <si>
    <t>049c32af</t>
  </si>
  <si>
    <t>Mariselma</t>
  </si>
  <si>
    <t>8f3b4794</t>
  </si>
  <si>
    <t>e8be45f1</t>
  </si>
  <si>
    <t>3bcf9ac3</t>
  </si>
  <si>
    <t>edb4bd6c</t>
  </si>
  <si>
    <t>ad003d93</t>
  </si>
  <si>
    <t>a3173ff9</t>
  </si>
  <si>
    <t>595ecd05</t>
  </si>
  <si>
    <t>Elaine Hubl (05/11/2025) - Compra de 7 kg de morango</t>
  </si>
  <si>
    <t>2573d72b</t>
  </si>
  <si>
    <t>Compra de 7 kg de morango</t>
  </si>
  <si>
    <t>Notas_Images/595ecd05.Foto.191211.jpg</t>
  </si>
  <si>
    <t>175ad772</t>
  </si>
  <si>
    <t>1779403</t>
  </si>
  <si>
    <t>7d5f742f</t>
  </si>
  <si>
    <t>1fd255a6</t>
  </si>
  <si>
    <t>7cc84ac5</t>
  </si>
  <si>
    <t>9a77ca2a</t>
  </si>
  <si>
    <t>Mariselma (01/11/2025) - Postagem nas redes tráfego pago</t>
  </si>
  <si>
    <t>Postagem nas redes tráfego pago</t>
  </si>
  <si>
    <t>e05a5414</t>
  </si>
  <si>
    <t>82001336</t>
  </si>
  <si>
    <t>Notas_Images/1fd255a6.Foto.191819.jpg</t>
  </si>
  <si>
    <t>1771255</t>
  </si>
  <si>
    <t>840acb4e</t>
  </si>
  <si>
    <t>2722f8a6</t>
  </si>
  <si>
    <t>1acfb2a0</t>
  </si>
  <si>
    <t>Elaine Hubl (07/11/2025) - Compra de 4 kg de morango</t>
  </si>
  <si>
    <t>Compra de 4 kg de morango</t>
  </si>
  <si>
    <t>Notas_Images/2722f8a6.Foto.192253.jpg</t>
  </si>
  <si>
    <t>1782369</t>
  </si>
  <si>
    <t>029a0cee</t>
  </si>
  <si>
    <t>c32f64f5</t>
  </si>
  <si>
    <t>dd4bc135</t>
  </si>
  <si>
    <t>b4323f39</t>
  </si>
  <si>
    <t>99923bde</t>
  </si>
  <si>
    <t>5936574d</t>
  </si>
  <si>
    <t>0936ae75</t>
  </si>
  <si>
    <t>572097fd</t>
  </si>
  <si>
    <t>Gervasio (07/11/2025) - Compra de morango para loja</t>
  </si>
  <si>
    <t>Compra de morango para loja</t>
  </si>
  <si>
    <t>Notas_Images/99923bde.Foto.193252.jpg</t>
  </si>
  <si>
    <t>b903e429</t>
  </si>
  <si>
    <t>23235bf8</t>
  </si>
  <si>
    <t>1782584</t>
  </si>
  <si>
    <t>Notas_Images/99923bde.Foto 1.193252.jpg</t>
  </si>
  <si>
    <t>a4fcaf86</t>
  </si>
  <si>
    <t>b479ecc1</t>
  </si>
  <si>
    <t>2762082f</t>
  </si>
  <si>
    <t>0640d042</t>
  </si>
  <si>
    <t>Komprao (07/11/2025) - Compra de lanche para final de semana</t>
  </si>
  <si>
    <t>Notas_Images/2762082f.Foto.204855.jpg</t>
  </si>
  <si>
    <t>158ec31a</t>
  </si>
  <si>
    <t>1782869</t>
  </si>
  <si>
    <t>34479cf6</t>
  </si>
  <si>
    <t>42f3fb2c</t>
  </si>
  <si>
    <t>Komprao (07/11/2025) - Compras para loja Sabão em pedra e refrigerante para final de semana</t>
  </si>
  <si>
    <t>Compras para loja Sabão em pedra e refrigerante para final de semana</t>
  </si>
  <si>
    <t>d9ac94d3</t>
  </si>
  <si>
    <t>Notas_Images/34479cf6.Foto.205141.jpg</t>
  </si>
  <si>
    <t>1782844</t>
  </si>
  <si>
    <t>808b611b</t>
  </si>
  <si>
    <t>a3229f1d</t>
  </si>
  <si>
    <t>Gervasio (05/11/2025) - Compra de frutas abacaxi uva manga</t>
  </si>
  <si>
    <t>72655f3a</t>
  </si>
  <si>
    <t>Compra de frutas abacaxi uva manga</t>
  </si>
  <si>
    <t>Notas_Images/a3229f1d.Foto.205337.jpg</t>
  </si>
  <si>
    <t>ce6b7c34</t>
  </si>
  <si>
    <t>1779185</t>
  </si>
  <si>
    <t>f366bfc9</t>
  </si>
  <si>
    <t>6a2c467f</t>
  </si>
  <si>
    <t>5383bce6</t>
  </si>
  <si>
    <t>4ee78473</t>
  </si>
  <si>
    <t>c906bf42</t>
  </si>
  <si>
    <t>Pedido 88839 nota de serviço</t>
  </si>
  <si>
    <t>11090-A</t>
  </si>
  <si>
    <t>11091-A</t>
  </si>
  <si>
    <t>11092-A</t>
  </si>
  <si>
    <t>Pedido 92022 nota de serviço</t>
  </si>
  <si>
    <t>11093-A</t>
  </si>
  <si>
    <t>11102-A</t>
  </si>
  <si>
    <t>Pedido 92039 nota de serviço</t>
  </si>
  <si>
    <t>11103-A</t>
  </si>
  <si>
    <t>cc46f28f</t>
  </si>
  <si>
    <t>Gervasio (08/11/2025) - Compra de banana uva</t>
  </si>
  <si>
    <t>Compra de banana uva</t>
  </si>
  <si>
    <t>Notas_Images/cc46f28f.Foto.174238.jpg</t>
  </si>
  <si>
    <t>1786196</t>
  </si>
  <si>
    <t>ff42992c</t>
  </si>
  <si>
    <t>Consumo</t>
  </si>
  <si>
    <t>Komprao (09/11/2025) - Agua mineral Limpador perfumado detergente  fita isolante</t>
  </si>
  <si>
    <t>Agua mineral Limpador perfumado detergente  fita isolante</t>
  </si>
  <si>
    <t>Notas_Images/ff42992c.Foto.174644.jpg</t>
  </si>
  <si>
    <t>1786289</t>
  </si>
  <si>
    <t>Pix</t>
  </si>
  <si>
    <t>b3a5259e</t>
  </si>
  <si>
    <t>SAMAE (12/11/2025) - Água</t>
  </si>
  <si>
    <t>Notas_Images/b3a5259e.Foto.170254.jpg</t>
  </si>
  <si>
    <t>dd7b849e</t>
  </si>
  <si>
    <t>Motoboy (10/10/2025) - Pagamento de serviços de motoboy (mario motoboy)</t>
  </si>
  <si>
    <t>Pagamento de serviços de motoboy (mario motoboy)</t>
  </si>
  <si>
    <t>Notas_Images/dd7b849e.Foto.171204.jpg</t>
  </si>
  <si>
    <t>1789742</t>
  </si>
  <si>
    <t>2a2b88df</t>
  </si>
  <si>
    <t>Funcionário (10/11/2025) - Pagamento para a funcionária Jeniffer dos dias 01/11 ate dia 9/11</t>
  </si>
  <si>
    <t>Pagamento para a funcionária Jeniffer dos dias 01/11 ate dia 9/11</t>
  </si>
  <si>
    <t>Notas_Images/2a2b88df.Foto.171857.jpg</t>
  </si>
  <si>
    <t>1789744</t>
  </si>
  <si>
    <t>819fe6fb</t>
  </si>
  <si>
    <t>7447c384</t>
  </si>
  <si>
    <t>Eletricista (11/11/2025) - Serviços de eletricista de emergência dia do curto</t>
  </si>
  <si>
    <t>Serviços de eletricista de emergência dia do curto</t>
  </si>
  <si>
    <t>Notas_Images/819fe6fb.Foto.172948.jpg</t>
  </si>
  <si>
    <t>1791699</t>
  </si>
  <si>
    <t>62e483f9</t>
  </si>
  <si>
    <t>Funcionário (11/11/2025) - Pagamento que faltou para funcionária jeniffer 01/11 a 9/11</t>
  </si>
  <si>
    <t>Pagamento que faltou para funcionária jeniffer 01/11 a 9/11</t>
  </si>
  <si>
    <t>Notas_Images/62e483f9.Foto.173605.jpg</t>
  </si>
  <si>
    <t>1791722</t>
  </si>
  <si>
    <t>4d95cfc2</t>
  </si>
  <si>
    <t>Sabrina</t>
  </si>
  <si>
    <t>Consumo Líquido</t>
  </si>
  <si>
    <t>Amadelli (24/10/2025) - Pedido seco</t>
  </si>
  <si>
    <t>Notas_Images/4d95cfc2.Foto.174447.jpg</t>
  </si>
  <si>
    <t>Notas_Images/4d95cfc2.Foto 1.174447.jpg</t>
  </si>
  <si>
    <t>Notas_Images/4d95cfc2.Foto 2.174447.jpg</t>
  </si>
  <si>
    <t>d2206c99</t>
  </si>
  <si>
    <t>Elaine Hubl (12/11/2025) - 5kg de morango</t>
  </si>
  <si>
    <t>5kg de morango</t>
  </si>
  <si>
    <t>Notas_Images/d2206c99.Foto.184853.jpg</t>
  </si>
  <si>
    <t>1792834</t>
  </si>
  <si>
    <t>df65fa5e</t>
  </si>
  <si>
    <t>MANI COMERCIO DE BEBIDAS (11/11/2025) - Agua mineral e agua com gás</t>
  </si>
  <si>
    <t>Agua mineral e agua com gás</t>
  </si>
  <si>
    <t>Notas_Images/df65fa5e.Foto.204649.jpg</t>
  </si>
  <si>
    <t>1792993</t>
  </si>
  <si>
    <t>2c5900df</t>
  </si>
  <si>
    <t>Mari (13/11/2025) - Pagamento de marketing e tráfego pago para a loja</t>
  </si>
  <si>
    <t>Pagamento de marketing e tráfego pago para a loja</t>
  </si>
  <si>
    <t>Notas_Images/2c5900df.Foto.195422.jpg</t>
  </si>
  <si>
    <t>1794664</t>
  </si>
  <si>
    <t>804fa6e3</t>
  </si>
  <si>
    <t>Alfa papelaria (12/11/2025) - Compra de pasta para organização de tba da loja</t>
  </si>
  <si>
    <t>Compra de pasta para organização de tba da loja</t>
  </si>
  <si>
    <t>Notas_Images/804fa6e3.Foto.195755.jpg</t>
  </si>
  <si>
    <t>1793280</t>
  </si>
  <si>
    <t>bbb7636f</t>
  </si>
  <si>
    <t>Gervasio (14/11/2025) - Compra frutas banana abacaxi uva manga</t>
  </si>
  <si>
    <t>Compra frutas banana abacaxi uva manga</t>
  </si>
  <si>
    <t>Notas_Images/bbb7636f.Foto.211058.jpg</t>
  </si>
  <si>
    <t>1796660</t>
  </si>
  <si>
    <t>e65eb438</t>
  </si>
  <si>
    <t>Komprao (14/11/2025) - Leite para Milk-shake Sabão para limpeza da loja e lanche para final de semana</t>
  </si>
  <si>
    <t>Leite para Milk-shake Sabão para limpeza da loja e lanche para final de semana</t>
  </si>
  <si>
    <t>Notas_Images/e65eb438.Foto.211256.jpg</t>
  </si>
  <si>
    <t>1796644</t>
  </si>
  <si>
    <t>b211aab6</t>
  </si>
  <si>
    <t>Elaine Hubl (14/11/2025) - 10 kg de morango</t>
  </si>
  <si>
    <t>Notas_Images/b211aab6.Foto.211356.jpg</t>
  </si>
  <si>
    <t>1796663</t>
  </si>
  <si>
    <t>05f75454</t>
  </si>
  <si>
    <t>Duck Bebidas (14/11/2025) - Compra de refrigerante na nota está o valor de 644,97 porém nao veio 2pecs de Fanta e 2 pecs de Sprite resultando o pagamento no valor final de 565.00</t>
  </si>
  <si>
    <t>Compra de refrigerante na nota está o valor de 644,97 porém nao veio 2pecs de Fanta e 2 pecs de Sprite resultando o pagamento no valor final de 565.00</t>
  </si>
  <si>
    <t>Notas_Images/05f75454.Foto.211716.jpg</t>
  </si>
  <si>
    <t>1796182</t>
  </si>
  <si>
    <t>d345929d</t>
  </si>
  <si>
    <t>Pix reembolso declaração</t>
  </si>
  <si>
    <t>Samae</t>
  </si>
  <si>
    <t>Renata</t>
  </si>
  <si>
    <t>Empréstimo</t>
  </si>
  <si>
    <t>Transferencia de sorvetes</t>
  </si>
  <si>
    <t>smoothie</t>
  </si>
  <si>
    <t>afb6c4b4</t>
  </si>
  <si>
    <t>Aluani papelaria (17/11/2025) - Papel A4</t>
  </si>
  <si>
    <t>Papel A4</t>
  </si>
  <si>
    <t>Notas_Images/afb6c4b4.Foto.002731.jpg</t>
  </si>
  <si>
    <t>1804170</t>
  </si>
  <si>
    <t>e44fc9da</t>
  </si>
  <si>
    <t>RN Embalagens e Papelaria Ltda. (17/11/2025) - Cola quente, lápis e grampos</t>
  </si>
  <si>
    <t>Cola quente, lápis e grampos</t>
  </si>
  <si>
    <t>Notas_Images/e44fc9da.Foto.002942.jpg</t>
  </si>
  <si>
    <t>1804162</t>
  </si>
  <si>
    <t>a1f6f78e</t>
  </si>
  <si>
    <t>Sapus Fest (19/11/2025) - Artigos de natal e cascatas de Led.</t>
  </si>
  <si>
    <t>Artigos de natal e cascatas de Led.</t>
  </si>
  <si>
    <t>Notas_Images/a1f6f78e.Foto.003202.jpg</t>
  </si>
  <si>
    <t>1806962</t>
  </si>
  <si>
    <t>6eb684d8</t>
  </si>
  <si>
    <t>Motoboy (16/11/2025) - Pagamento de serviços de motoboy do dia 10 ate o dia 16 de novembro</t>
  </si>
  <si>
    <t>Joice</t>
  </si>
  <si>
    <t>Pagamento de serviços de motoboy do dia 10 ate o dia 16 de novembro</t>
  </si>
  <si>
    <t>Parcela</t>
  </si>
  <si>
    <t>Notas_Images/6eb684d8.Foto.003419.jpg</t>
  </si>
  <si>
    <t>1802015</t>
  </si>
  <si>
    <t>67efdf7f</t>
  </si>
  <si>
    <t>Elaine Hubl (17/11/2025) - Compra de mirango 9kg</t>
  </si>
  <si>
    <t>Compra de mirango 9kg</t>
  </si>
  <si>
    <t>Notas_Images/67efdf7f.Foto.003602.jpg</t>
  </si>
  <si>
    <t>1803490</t>
  </si>
  <si>
    <t>3a694304</t>
  </si>
  <si>
    <t>2226a1cc</t>
  </si>
  <si>
    <t>The Best açaí Rio Negrinho (19/11/2025) - Pagamento da freelancer Jeniffer dos dias 10/11 ao 19/11</t>
  </si>
  <si>
    <t>Pagamento da freelancer Jeniffer dos dias 10/11 ao 19/11</t>
  </si>
  <si>
    <t>Notas_Images/3a694304.Foto.003817.jpg</t>
  </si>
  <si>
    <t>1807132</t>
  </si>
  <si>
    <t>500un</t>
  </si>
  <si>
    <t>Fernando</t>
  </si>
  <si>
    <t>Jeniffer</t>
  </si>
  <si>
    <t>reembolso</t>
  </si>
  <si>
    <t>1° parcela 13°</t>
  </si>
  <si>
    <t>2° parcela 13°</t>
  </si>
  <si>
    <t>61219a16</t>
  </si>
  <si>
    <t>Amadelli (18/11/2025) - Gelado</t>
  </si>
  <si>
    <t>Notas_Images/61219a16.Foto.185420.jpg</t>
  </si>
  <si>
    <t>Notas_Images/61219a16.Foto 1.185420.jpg</t>
  </si>
  <si>
    <t>3b5e8902</t>
  </si>
  <si>
    <t>Amadelli (18/11/2025) - Gelado (nº 93024)</t>
  </si>
  <si>
    <t>Gelado (nº 93024)</t>
  </si>
  <si>
    <t>Notas_Images/3b5e8902.Foto.185518.jpg</t>
  </si>
  <si>
    <t>02c6a50b</t>
  </si>
  <si>
    <t>Gervasio (20/11/2025) - Compra de uva banana abacaxi</t>
  </si>
  <si>
    <t>Compra de uva banana abacaxi</t>
  </si>
  <si>
    <t>Notas_Images/02c6a50b.Foto.210353.jpg</t>
  </si>
  <si>
    <t>1808649</t>
  </si>
  <si>
    <t>de8c18fd</t>
  </si>
  <si>
    <t>Novo lar (20/11/2025) - Compra de luvas toucas papel higiênico papel toalha</t>
  </si>
  <si>
    <t>Compra de luvas toucas papel higiênico papel toalha</t>
  </si>
  <si>
    <t>Notas_Images/de8c18fd.Foto.211721.jpg</t>
  </si>
  <si>
    <t>1808855</t>
  </si>
  <si>
    <t>92b66653</t>
  </si>
  <si>
    <t>e2a1d487</t>
  </si>
  <si>
    <t>Pasteloco (20/11/2025) - Compra de lanche para feriado (pastel)</t>
  </si>
  <si>
    <t>Compra de lanche para feriado (pastel)</t>
  </si>
  <si>
    <t>Notas_Images/92b66653.Foto.221120.jpg</t>
  </si>
  <si>
    <t>1809113</t>
  </si>
  <si>
    <t>c735e580</t>
  </si>
  <si>
    <t>Elaine Hubl (21/11/2025) - Compra de 10kg de morango</t>
  </si>
  <si>
    <t>Notas_Images/c735e580.Foto.204804.jpg</t>
  </si>
  <si>
    <t>1811488</t>
  </si>
  <si>
    <t>55631c76</t>
  </si>
  <si>
    <t>Tuicial (12/11/2025) - Embalagem fatia de panetone</t>
  </si>
  <si>
    <t>Embalagem fatia de panetone</t>
  </si>
  <si>
    <t>Notas_Images/55631c76.Foto.210510.jpg</t>
  </si>
  <si>
    <t>c7557208</t>
  </si>
  <si>
    <t>da9d4694</t>
  </si>
  <si>
    <t>Pintor Cleiton (21/11/2025) - Pintura de natal artística junto com a limpeza do dia 20 de janeiro</t>
  </si>
  <si>
    <t>Pintura de natal artística junto com a limpeza do dia 20 de janeiro</t>
  </si>
  <si>
    <t>Notas_Images/c7557208.Foto.211830.jpg</t>
  </si>
  <si>
    <t>1811587</t>
  </si>
  <si>
    <t>Pedido 93024 Nota de serviço</t>
  </si>
  <si>
    <t>Pedido 96148 nota de serviço</t>
  </si>
  <si>
    <t>Pedido 96164 nota de serviço</t>
  </si>
  <si>
    <t>6684694d</t>
  </si>
  <si>
    <t>Koch Hipermercado (22/11/2025) - Pão francês</t>
  </si>
  <si>
    <t>Pão francês</t>
  </si>
  <si>
    <t>Notas_Images/6684694d.Foto.172623.jpg</t>
  </si>
  <si>
    <t>1813507</t>
  </si>
  <si>
    <t>0be5fd38</t>
  </si>
  <si>
    <t>Gervasio (22/11/2025) - Uva, abacaxi,banana e manga</t>
  </si>
  <si>
    <t>Uva, abacaxi,banana e manga</t>
  </si>
  <si>
    <t>Notas_Images/0be5fd38.Foto.172849.jpg</t>
  </si>
  <si>
    <t>1813522</t>
  </si>
  <si>
    <t>06b399b0</t>
  </si>
  <si>
    <t>The Best açaí Rio Negrinho (23/11/2025) - Marketing e tráfego pago instragram e Facebook</t>
  </si>
  <si>
    <t>Marketing e tráfego pago instragram e Facebook</t>
  </si>
  <si>
    <t>Notas_Images/06b399b0.Foto.173050.jpg</t>
  </si>
  <si>
    <t>1815715</t>
  </si>
  <si>
    <t>f6784217</t>
  </si>
  <si>
    <t>Amadelli (21/11/2025) - Pedido seco (nº 96164)</t>
  </si>
  <si>
    <t>Pedido seco (nº 96164)</t>
  </si>
  <si>
    <t>Notas_Images/f6784217.Foto.185806.jpg</t>
  </si>
  <si>
    <t>Notas_Images/f6784217.Foto 1.185806.jpg</t>
  </si>
  <si>
    <t>Notas_Images/f6784217.Foto 2.185806.jpg</t>
  </si>
  <si>
    <t>Notas_Images/f6784217.Foto 3.185813.jpg</t>
  </si>
  <si>
    <t>f7bf72d8</t>
  </si>
  <si>
    <t>Amadelli (05/11/2025) - Pedido seco (nº92039)</t>
  </si>
  <si>
    <t>Pedido seco (nº92039)</t>
  </si>
  <si>
    <t>Notas_Images/f7bf72d8.Foto.174824.jpg</t>
  </si>
  <si>
    <t>Notas_Images/f7bf72d8.Foto 1.174824.jpg</t>
  </si>
  <si>
    <t>7ae7c583</t>
  </si>
  <si>
    <t>Tuicial (18/11/2025) - Pedido embalagem fatia panetone (nº1163594))</t>
  </si>
  <si>
    <t>Pedido embalagem fatia panetone (nº1163594))</t>
  </si>
  <si>
    <t>Notas_Images/7ae7c583.Foto.180120.jpg</t>
  </si>
  <si>
    <t>Notas_Images/7ae7c583.Foto 1.180120.jpg</t>
  </si>
  <si>
    <t>Notas_Images/7ae7c583.Foto 2.182147.jpg</t>
  </si>
  <si>
    <t>a97f944a</t>
  </si>
  <si>
    <t>Amadelli (21/11/2025) - Pedido de panettone (nº90533)</t>
  </si>
  <si>
    <t>Pedido de panettone (nº90533)</t>
  </si>
  <si>
    <t>Notas_Images/a97f944a.Foto.180025.jpg</t>
  </si>
  <si>
    <t>Notas_Images/a97f944a.Foto 1.180025.jpg</t>
  </si>
  <si>
    <t>Notas_Images/a97f944a.Foto 2.180024.jpg</t>
  </si>
  <si>
    <t>0f9135e9</t>
  </si>
  <si>
    <t>Amadelli (21/11/2025) - Pedido de panettone, pote plástico e adesivo para potes (nº97128)</t>
  </si>
  <si>
    <t>Pedido de panettone, pote plástico e adesivo para potes (nº97128)</t>
  </si>
  <si>
    <t>Caixas</t>
  </si>
  <si>
    <t>Notas_Images/0f9135e9.Foto.180502.jpg</t>
  </si>
  <si>
    <t>Custos</t>
  </si>
  <si>
    <t>Notas_Images/0f9135e9.Foto 1.180502.jpg</t>
  </si>
  <si>
    <t>5d83b25a</t>
  </si>
  <si>
    <t>Aplicativos</t>
  </si>
  <si>
    <t>Elaine Hubl (26/11/2025) - Compra de morango 10kg</t>
  </si>
  <si>
    <t>Notas_Images/5d83b25a.Foto.183727.jpg</t>
  </si>
  <si>
    <t>1821437</t>
  </si>
  <si>
    <t>54c39abf</t>
  </si>
  <si>
    <t>Motoboy (25/11/2025) - Pagamento motoboy Mario dias 17/11 à 23/11</t>
  </si>
  <si>
    <t>Pagamento motoboy Mario dias 17/11 à 23/11</t>
  </si>
  <si>
    <t>Notas_Images/54c39abf.Foto.193557.jpg</t>
  </si>
  <si>
    <t>1819753</t>
  </si>
  <si>
    <t>Caixa Sangria</t>
  </si>
  <si>
    <t>Compra Moedas</t>
  </si>
  <si>
    <t>fb9365a4</t>
  </si>
  <si>
    <t>Cortesias</t>
  </si>
  <si>
    <t>Komprao (29/11/2025) - Lanche final de semana</t>
  </si>
  <si>
    <t>Incentivos</t>
  </si>
  <si>
    <t>Notas_Images/fb9365a4.Foto.212755.jpg</t>
  </si>
  <si>
    <t>1831445</t>
  </si>
  <si>
    <t>bc4be2b5</t>
  </si>
  <si>
    <t>Gervasio (01/12/2025) - Frutas</t>
  </si>
  <si>
    <t>Notas_Images/bc4be2b5.Foto.212845.jpg</t>
  </si>
  <si>
    <t>1833240</t>
  </si>
  <si>
    <t>2b4027db</t>
  </si>
  <si>
    <t>Gervasio (29/11/2025) - Frutas</t>
  </si>
  <si>
    <t>Notas_Images/2b4027db.Foto.213501.jpg</t>
  </si>
  <si>
    <t>1824839</t>
  </si>
  <si>
    <t>1f517780</t>
  </si>
  <si>
    <t>Elaine Hubl (28/11/2025) - 10kg morangos</t>
  </si>
  <si>
    <t>Notas_Images/1f517780.Foto.213601.jpg</t>
  </si>
  <si>
    <t>1825862</t>
  </si>
  <si>
    <t>0242772e</t>
  </si>
  <si>
    <t>Motoboy (30/11/2025) - Pagamento entregas motoboy do dia 24/11 a 30/11</t>
  </si>
  <si>
    <t>Pagamento entregas motoboy do dia 24/11 a 30/11</t>
  </si>
  <si>
    <t>Notas_Images/0242772e.Foto.213722.jpg</t>
  </si>
  <si>
    <t>1831717</t>
  </si>
  <si>
    <t>af5e2281</t>
  </si>
  <si>
    <t>Elaine Hubl (01/12/2025) - 10kg morangos</t>
  </si>
  <si>
    <t>Notas_Images/af5e2281.Foto.213817.jpg</t>
  </si>
  <si>
    <t>1833540</t>
  </si>
  <si>
    <t>Início</t>
  </si>
  <si>
    <t>f25d0350</t>
  </si>
  <si>
    <t>Amadelli (28/11/2025) - Whey e pasta de amendoim (nº96769)</t>
  </si>
  <si>
    <t>Whey e pasta de amendoim (nº96769)</t>
  </si>
  <si>
    <t>Notas_Images/f25d0350.Foto.214034.jpg</t>
  </si>
  <si>
    <t>Notas_Images/f25d0350.Foto 1.214034.jpg</t>
  </si>
  <si>
    <t>Trafego pago + recarga de celular</t>
  </si>
  <si>
    <t>Ifood</t>
  </si>
  <si>
    <t>01e6dea1</t>
  </si>
  <si>
    <t>73694b9c</t>
  </si>
  <si>
    <t>Rinemaco (03/12/2025) - Cola para cascata</t>
  </si>
  <si>
    <t>Cola para cascata</t>
  </si>
  <si>
    <t>Notas_Images/01e6dea1.Foto.194652.jpg</t>
  </si>
  <si>
    <t>1836937</t>
  </si>
  <si>
    <t>37d5ae20</t>
  </si>
  <si>
    <t>Novo lar (03/12/2025) - Compra de produtos de limpeza para varios meses</t>
  </si>
  <si>
    <t>Compra de produtos de limpeza para varios meses</t>
  </si>
  <si>
    <t>Notas_Images/37d5ae20.Foto.194944.jpg</t>
  </si>
  <si>
    <t>1837199</t>
  </si>
  <si>
    <t>b6b89387</t>
  </si>
  <si>
    <t>MANI COMERCIO DE BEBIDAS (02/12/2025) - Compra de água com e sem gás</t>
  </si>
  <si>
    <t>Compra de água com e sem gás</t>
  </si>
  <si>
    <t>Notas_Images/b6b89387.Foto.195155.jpg</t>
  </si>
  <si>
    <t>1836946</t>
  </si>
  <si>
    <t>Pedido 97128 nota de serviço</t>
  </si>
  <si>
    <t>Pedido  97128</t>
  </si>
  <si>
    <t>Entradas</t>
  </si>
  <si>
    <t>e0427090</t>
  </si>
  <si>
    <t>4ff699ee</t>
  </si>
  <si>
    <t>Monouso comércio e importação (03/12/2025) - Pedido de pote e tampa para o shake (nº3543430)</t>
  </si>
  <si>
    <t>Pedido de pote e tampa para o shake (nº3543430)</t>
  </si>
  <si>
    <t>Notas_Images/e0427090.Foto.194923.jpg</t>
  </si>
  <si>
    <t>Notas_Images/e0427090.Foto 1.194923.jpg</t>
  </si>
  <si>
    <t>fa3613fd</t>
  </si>
  <si>
    <t>Tuicial (02/12/2025) - Pedido pote papel 720 (nº1168993)</t>
  </si>
  <si>
    <t>Pedido pote papel 720 (nº1168993)</t>
  </si>
  <si>
    <t>Aiqfome</t>
  </si>
  <si>
    <t>Notas_Images/fa3613fd.Foto.195633.jpg</t>
  </si>
  <si>
    <t>Notas_Images/fa3613fd.Foto 1.195633.jpg</t>
  </si>
  <si>
    <t>Pedido 90533</t>
  </si>
  <si>
    <t>Pedido 90533 nota de serviço</t>
  </si>
  <si>
    <t>Saídas</t>
  </si>
  <si>
    <t>Outros Pagamentos</t>
  </si>
  <si>
    <t>uniforms</t>
  </si>
  <si>
    <t>Delivery Much</t>
  </si>
  <si>
    <t>3a10ed2a</t>
  </si>
  <si>
    <t>Amadelli (04/12/2025) - Pedido seco (nº1284275)</t>
  </si>
  <si>
    <t>Pedido seco (nº1284275)</t>
  </si>
  <si>
    <t>Notas_Images/3a10ed2a.Foto.173806.jpg</t>
  </si>
  <si>
    <t>7906ab1f</t>
  </si>
  <si>
    <t>Amadelli (02/12/2025) - Pedido gelado (nº98976)</t>
  </si>
  <si>
    <t>Pedido gelado (nº98976)</t>
  </si>
  <si>
    <t>Movientações das Sangrias</t>
  </si>
  <si>
    <t>Notas_Images/7906ab1f.Foto.160557.jpg</t>
  </si>
  <si>
    <t>Notas_Images/7906ab1f.Foto 1.160557.jpg</t>
  </si>
  <si>
    <t>Notas_Images/7906ab1f.Foto 2.160557.jpg</t>
  </si>
  <si>
    <t>Notas_Images/7906ab1f.Foto 3.160601.jpg</t>
  </si>
  <si>
    <t>cc276957</t>
  </si>
  <si>
    <t>Elaine Hubl (05/12/2025) - Compra de morango 15 kg</t>
  </si>
  <si>
    <t>Compra de morango 15 kg</t>
  </si>
  <si>
    <t>Notas_Images/cc276957.Foto.215329.jpg</t>
  </si>
  <si>
    <t>Aiboo</t>
  </si>
  <si>
    <t>1841202</t>
  </si>
  <si>
    <t>83f6f501</t>
  </si>
  <si>
    <t>The Best açaí Rio Negrinho (06/12/2025) - Pagamento da jeniffer do dia 20/11 até dia 06/12 com os dias da limpeza...</t>
  </si>
  <si>
    <t>Pagamento da jeniffer do dia 20/11 até dia 06/12 com os dias da limpeza...</t>
  </si>
  <si>
    <t>Notas_Images/83f6f501.Foto.215819.jpg</t>
  </si>
  <si>
    <t>1844740</t>
  </si>
  <si>
    <t>c0911c3e</t>
  </si>
  <si>
    <t>Motoboy (07/12/2025) - Pagamento Mario motoboy do dia 01/12 ao dia 07/12</t>
  </si>
  <si>
    <t>Caixa Atendimento</t>
  </si>
  <si>
    <t>Pagamento Mario motoboy do dia 01/12 ao dia 07/12</t>
  </si>
  <si>
    <t>Notas_Images/c0911c3e.Foto.220054.jpg</t>
  </si>
  <si>
    <t>1847982</t>
  </si>
  <si>
    <t>3db21d96</t>
  </si>
  <si>
    <t>Elaine Hubl (08/12/2025) - Compra de morango 10kg</t>
  </si>
  <si>
    <t>Inadimplência</t>
  </si>
  <si>
    <t>Notas_Images/3db21d96.Foto.220227.jpg</t>
  </si>
  <si>
    <t>1849851</t>
  </si>
  <si>
    <t>Pedidos 10</t>
  </si>
  <si>
    <t>5b191255</t>
  </si>
  <si>
    <t>Gervasio (06/12/2025) - Compra de abacaxi, banana, e manga.</t>
  </si>
  <si>
    <t>Compra de abacaxi, banana, e manga.</t>
  </si>
  <si>
    <t>Notas_Images/5b191255.Foto.220643.jpg</t>
  </si>
  <si>
    <t>1844311</t>
  </si>
  <si>
    <t>4cf91178</t>
  </si>
  <si>
    <t>Koch Hipermercado (06/12/2025) - Compra de lanche para fim de semana e pra loja ( Pão Mortadela Queijo) Sabão de pedra</t>
  </si>
  <si>
    <t>Compra de lanche para fim de semana e pra loja ( Pão Mortadela Queijo) Sabão de pedra</t>
  </si>
  <si>
    <t>Depositada</t>
  </si>
  <si>
    <t>Notas_Images/4cf91178.Foto.221143.jpg</t>
  </si>
  <si>
    <t>1843049</t>
  </si>
  <si>
    <t>b585eadf</t>
  </si>
  <si>
    <t>Gervasio (04/12/2025) - Compra de uva</t>
  </si>
  <si>
    <t>Notas_Images/b585eadf.Foto.221334.jpg</t>
  </si>
  <si>
    <t>1839079</t>
  </si>
  <si>
    <t>5ebbfe8a</t>
  </si>
  <si>
    <t>Valor pg em duplicidade a Altiene</t>
  </si>
  <si>
    <t>4ae91ed6</t>
  </si>
  <si>
    <t>Movimentações de Caixa</t>
  </si>
  <si>
    <t>Koch Hipermercado (09/12/2025) - Compra de chocotone</t>
  </si>
  <si>
    <t>Compra de chocotone</t>
  </si>
  <si>
    <t>Notas_Images/4ae91ed6.Foto.230804.jpg</t>
  </si>
  <si>
    <t>1851413</t>
  </si>
  <si>
    <t>3b17f934</t>
  </si>
  <si>
    <t>Novo lar (09/12/2025) - Compra de rodo de alumínio pra limpeza da loja</t>
  </si>
  <si>
    <t>Compra de rodo de alumínio pra limpeza da loja</t>
  </si>
  <si>
    <t>Notas_Images/3b17f934.Foto.231207.jpg</t>
  </si>
  <si>
    <t>1851383</t>
  </si>
  <si>
    <t>Notas_Images/3b17f934.Foto 1.231207.jpg</t>
  </si>
  <si>
    <t>5f154932</t>
  </si>
  <si>
    <t>960820d8</t>
  </si>
  <si>
    <t>Riopack (09/12/2025) - Compra de 1 caixa de guardanapo</t>
  </si>
  <si>
    <t>Compra de 1 caixa de guardanapo</t>
  </si>
  <si>
    <t>Notas_Images/5f154932.Foto.231447.jpg</t>
  </si>
  <si>
    <t>1851391</t>
  </si>
  <si>
    <t>Local da Sangria</t>
  </si>
  <si>
    <t>R$ 685,00</t>
  </si>
  <si>
    <t>PAGAMENTO PLACAS E ADESIVOS 23/12/2025 ABC DIGITAL</t>
  </si>
  <si>
    <t>Compra de Mercadorias</t>
  </si>
  <si>
    <t>5/42</t>
  </si>
  <si>
    <t>Pedido 96769 nota de serviço</t>
  </si>
  <si>
    <t>Taxa</t>
  </si>
  <si>
    <t>56947526</t>
  </si>
  <si>
    <t>Gervasio (12/12/2025) - Frutas</t>
  </si>
  <si>
    <t>Notas_Images/56947526.Foto.214620.jpg</t>
  </si>
  <si>
    <t>R$ 739,05</t>
  </si>
  <si>
    <t>1856828</t>
  </si>
  <si>
    <t>PAGAMENTO BEBIDAS 22/12/2025 MANI BEBIDAS</t>
  </si>
  <si>
    <t>1cf772f5</t>
  </si>
  <si>
    <t>Komprao (12/12/2025) - Lanche final semana</t>
  </si>
  <si>
    <t>Notas_Images/1cf772f5.Foto.214752.jpg</t>
  </si>
  <si>
    <t>1856818</t>
  </si>
  <si>
    <t>72344418</t>
  </si>
  <si>
    <t>Elaine Hubl (12/12/2025) - 10kg morangos</t>
  </si>
  <si>
    <t>Notas_Images/72344418.Foto.214934.jpg</t>
  </si>
  <si>
    <t>1856540</t>
  </si>
  <si>
    <t>0543d2c4</t>
  </si>
  <si>
    <t>SAMAE (12/12/2025) - Conta de Agua</t>
  </si>
  <si>
    <t>R$ 91,00</t>
  </si>
  <si>
    <t>Notas_Images/0543d2c4.Foto.215048.jpg</t>
  </si>
  <si>
    <t>pagamento freelance daniele das 12:30 as 19:30</t>
  </si>
  <si>
    <t>Freelancer</t>
  </si>
  <si>
    <t>e31b23ec</t>
  </si>
  <si>
    <t>pagamento freelance rafaela das 13:00 as 20:00</t>
  </si>
  <si>
    <t>Residual de pedido inicial</t>
  </si>
  <si>
    <t>R$ 19,75</t>
  </si>
  <si>
    <t>Outros - CONSUMO SABRINA</t>
  </si>
  <si>
    <t>R$ 250,00</t>
  </si>
  <si>
    <t>13°</t>
  </si>
  <si>
    <t>referende ao ID 1883074 Consumo sabrin</t>
  </si>
  <si>
    <t>Pedido 99050 nota de serviço</t>
  </si>
  <si>
    <t>Custo mensal do escritório</t>
  </si>
  <si>
    <t>R$ 57,80</t>
  </si>
  <si>
    <t>compra de banana manga e abacaxi</t>
  </si>
  <si>
    <t>Pedido 99050</t>
  </si>
  <si>
    <t>a0e36514</t>
  </si>
  <si>
    <t>70a01eca</t>
  </si>
  <si>
    <t>Motoboy Renan (14/12/2025) - Pagamento do motoboy Renan</t>
  </si>
  <si>
    <t>Pagamento do motoboy Renan</t>
  </si>
  <si>
    <t>Notas_Images/a0e36514.Foto.225707.jpg</t>
  </si>
  <si>
    <t>1861927</t>
  </si>
  <si>
    <t>9d7904e5</t>
  </si>
  <si>
    <t>R$ 500,00</t>
  </si>
  <si>
    <t>Motoboy (14/12/2025) - Pagamento do motoboy Vinícius</t>
  </si>
  <si>
    <t>Pagamento do motoboy Vinícius</t>
  </si>
  <si>
    <t>Outros - morango</t>
  </si>
  <si>
    <t>Notas_Images/9d7904e5.Foto.225820.jpg</t>
  </si>
  <si>
    <t>1861963</t>
  </si>
  <si>
    <t>f8822232</t>
  </si>
  <si>
    <t>Motoboy (14/12/2025) - Pagamento do motoboy Mário do dia 08/12 ao dia 14/12</t>
  </si>
  <si>
    <t>Pagamento do motoboy Mário do dia 08/12 ao dia 14/12</t>
  </si>
  <si>
    <t>Notas_Images/f8822232.Foto.225958.jpg</t>
  </si>
  <si>
    <t>1862181</t>
  </si>
  <si>
    <t>consumo fernando</t>
  </si>
  <si>
    <t>1be10e22</t>
  </si>
  <si>
    <t>The Best açaí Rio Negrinho (14/12/2025) - Pagamento de freelancer jeniffer do dia 08/12 ao dia 14/12</t>
  </si>
  <si>
    <t>Pagamento de freelancer jeniffer do dia 08/12 ao dia 14/12</t>
  </si>
  <si>
    <t>Notas_Images/1be10e22.Foto.230251.jpg</t>
  </si>
  <si>
    <t>ID REFERENTE 1886418 PAGAMENTO DE MORANGO 20KG VALOR 500 REAIS</t>
  </si>
  <si>
    <t>1862370</t>
  </si>
  <si>
    <t>57c7dd6d</t>
  </si>
  <si>
    <t>Elaine Hubl (15/12/2025) - Compra de 10 kilos de morango</t>
  </si>
  <si>
    <t>Compra de 10 kilos de morango</t>
  </si>
  <si>
    <t>Notas_Images/57c7dd6d.Foto.230406.jpg</t>
  </si>
  <si>
    <t>1864067</t>
  </si>
  <si>
    <t>15c4dc16</t>
  </si>
  <si>
    <t>Alfa papelaria (18/12/2025) - Impressões</t>
  </si>
  <si>
    <t>Notas_Images/15c4dc16.Foto.230945.jpg</t>
  </si>
  <si>
    <t>1869662</t>
  </si>
  <si>
    <t>Notas_Images/15c4dc16.Foto 1.230945.jpg</t>
  </si>
  <si>
    <t>aa9b1c95</t>
  </si>
  <si>
    <t>Komprao (18/12/2025) - Compra de panetone e esponja para loja</t>
  </si>
  <si>
    <t>Compra de panetone e esponja para loja</t>
  </si>
  <si>
    <t>Notas_Images/aa9b1c95.Foto.231104.jpg</t>
  </si>
  <si>
    <t>1869675</t>
  </si>
  <si>
    <t>2e8f800b</t>
  </si>
  <si>
    <t>Gervasio (18/12/2025) - Compra de uva, banana e manga pra loja</t>
  </si>
  <si>
    <t>Compra de uva, banana e manga pra loja</t>
  </si>
  <si>
    <t>Notas_Images/2e8f800b.Foto.231219.jpg</t>
  </si>
  <si>
    <t>1869367</t>
  </si>
  <si>
    <t>01fb3135</t>
  </si>
  <si>
    <t>Gervasio (15/12/2025) - Compra de manga, abacaxi e uva pra loja</t>
  </si>
  <si>
    <t>Compra de manga, abacaxi e uva pra loja</t>
  </si>
  <si>
    <t>Notas_Images/01fb3135.Foto.231335.jpg</t>
  </si>
  <si>
    <t>1864552</t>
  </si>
  <si>
    <t>de4a101b</t>
  </si>
  <si>
    <t>MANI COMERCIO DE BEBIDAS (15/12/2025) - Compra de água</t>
  </si>
  <si>
    <t>Notas_Images/de4a101b.Foto.231835.jpg</t>
  </si>
  <si>
    <t>1865644</t>
  </si>
  <si>
    <t>21b71bb1</t>
  </si>
  <si>
    <t>Amadelli (16/12/2025) - Pedido gelado número 101138</t>
  </si>
  <si>
    <t>Pedido gelado número 101138</t>
  </si>
  <si>
    <t>R$ 1.100,00</t>
  </si>
  <si>
    <t>Notas_Images/21b71bb1.Foto.232451.jpg</t>
  </si>
  <si>
    <t>Notas_Images/21b71bb1.Foto 1.232451.jpg</t>
  </si>
  <si>
    <t>Notas_Images/21b71bb1.Foto 2.232451.jpg</t>
  </si>
  <si>
    <t>Sangria</t>
  </si>
  <si>
    <t>R$ 1.500,00</t>
  </si>
  <si>
    <t>Pedido 101138 nota de serviço</t>
  </si>
  <si>
    <t>R$ 117,00</t>
  </si>
  <si>
    <t>PAGAMENTO FREELANCE DANIELE DAS 12:30 AS 21:30 26/12/2025</t>
  </si>
  <si>
    <t>R$ 12,00</t>
  </si>
  <si>
    <t>PAGAMANETO ENTREGA MOTOBOY RUAN</t>
  </si>
  <si>
    <t>Motoboy</t>
  </si>
  <si>
    <t>Conserto vazo RN / SB e combustível</t>
  </si>
  <si>
    <t>Cesta de natal</t>
  </si>
  <si>
    <t>R$ 11,32</t>
  </si>
  <si>
    <t>R$ 63,75</t>
  </si>
  <si>
    <t>Cesta</t>
  </si>
  <si>
    <t>b6c2406b</t>
  </si>
  <si>
    <t>Espumante</t>
  </si>
  <si>
    <t>Gervasio (26/12/2025) - Compra de Manga, banana,abacaxi</t>
  </si>
  <si>
    <t>Compra de Manga, banana,abacaxi</t>
  </si>
  <si>
    <t>R$ 123,00</t>
  </si>
  <si>
    <t>Notas_Images/3e2734cf.Foto.223307.jpg</t>
  </si>
  <si>
    <t>pagamento de freelancer Daniele das 13 h ate 22;30</t>
  </si>
  <si>
    <t>1886417</t>
  </si>
  <si>
    <t>18484970</t>
  </si>
  <si>
    <t>R$ 177,87</t>
  </si>
  <si>
    <t>ABC digital . Gráfica digital (23/12/2025) - Compra de placas com adesivo de krcodes e adesivos com nomes de sabores...</t>
  </si>
  <si>
    <t>Compra de placas com adesivo de krcodes e adesivos com nomes de sabores...</t>
  </si>
  <si>
    <t>compras de uvas ,mangas e banana</t>
  </si>
  <si>
    <t>Notas_Images/518e5e20.Foto.224020.jpg</t>
  </si>
  <si>
    <t>1882331</t>
  </si>
  <si>
    <t>Notas_Images/518e5e20.Foto 1.224020.jpg</t>
  </si>
  <si>
    <t>Komprao (19/12/2025) - Compra de refrigerantes pra loja, e de pão para lanche de fim de semana...</t>
  </si>
  <si>
    <t>Compra de refrigerantes pra loja, e de pão para lanche de fim de semana...</t>
  </si>
  <si>
    <t>pagamento de freelancer Mari das 13h ate as 22;30</t>
  </si>
  <si>
    <t>Notas_Images/b6274734.Foto.224443.jpg</t>
  </si>
  <si>
    <t>1872013</t>
  </si>
  <si>
    <t>Gervasio (22/12/2025) - Compra de uva</t>
  </si>
  <si>
    <t>Notas_Images/c4c0b624.Foto.224631.jpg</t>
  </si>
  <si>
    <t>1874791</t>
  </si>
  <si>
    <t>Gervasio (22/12/2025) - Compra de uva e manga</t>
  </si>
  <si>
    <t>R$ 14,47</t>
  </si>
  <si>
    <t>Compra de uva e manga</t>
  </si>
  <si>
    <t>CONSUMO FERNANDO</t>
  </si>
  <si>
    <t>Notas_Images/ccd6fba2.Foto.224752.jpg</t>
  </si>
  <si>
    <t>1880249</t>
  </si>
  <si>
    <t>R$ 311,50</t>
  </si>
  <si>
    <t>COMPRAS DE UVAS ,MANGA E ABACAXI</t>
  </si>
  <si>
    <t>Elaine Hubl (19/12/2025) - Compra  de morango</t>
  </si>
  <si>
    <t>Compra  de morango</t>
  </si>
  <si>
    <t>Notas_Images/977803d0.Foto.225026.jpg</t>
  </si>
  <si>
    <t>1871252</t>
  </si>
  <si>
    <t>The Best açaí Rio Negrinho (20/12/2025) - Pagamento de freelancer jeniffer do dia 15/12 ao dia 20/12</t>
  </si>
  <si>
    <t>Pagamento de freelancer jeniffer do dia 15/12 ao dia 20/12</t>
  </si>
  <si>
    <t>Notas_Images/6ab316f6.Foto.225205.jpg</t>
  </si>
  <si>
    <t>1874872</t>
  </si>
  <si>
    <t>R$ 170,96</t>
  </si>
  <si>
    <t>COMPRA DE LANCHES PARA SABADO E DOMINGO E PANETONE DA LOJA REFRI PARA OS FUNCIONARIO</t>
  </si>
  <si>
    <t>Motoboy Renan (21/12/2025) - Pagamento do motoboy Renan referente a 5 entregas do dia 21/12/125</t>
  </si>
  <si>
    <t>Pagamento do motoboy Renan referente a 5 entregas do dia 21/12/125</t>
  </si>
  <si>
    <t>Notas_Images/00a0759d.Foto.225351.jpg</t>
  </si>
  <si>
    <t>1877593</t>
  </si>
  <si>
    <t>COMPRA DE MORANGO 10KG</t>
  </si>
  <si>
    <t>Motoboy (21/12/2025) - Pagamento de motoboy do dia 15/12 ao dia 21/12</t>
  </si>
  <si>
    <t>Pagamento de motoboy do dia 15/12 ao dia 21/12</t>
  </si>
  <si>
    <t>Notas_Images/1a06d7ad.Foto.225623.jpg</t>
  </si>
  <si>
    <t>1879187</t>
  </si>
  <si>
    <t>Elaine Hubl (26/12/2025) - Compra de morango 20kg</t>
  </si>
  <si>
    <t>Compra de morango 20kg</t>
  </si>
  <si>
    <t>Notas_Images/89616d5c.Foto.225851.jpg</t>
  </si>
  <si>
    <t>1886418</t>
  </si>
  <si>
    <t>PAGAMENTO DE FREELANCER JOAO DAS 13;30 ATE AS 19;30</t>
  </si>
  <si>
    <t>MANI COMERCIO DE BEBIDAS (22/12/2025) - Compra de refrigerantes pra loja</t>
  </si>
  <si>
    <t>Compra de refrigerantes pra loja</t>
  </si>
  <si>
    <t>Notas_Images/3c28390d.Foto.230045.jpg</t>
  </si>
  <si>
    <t>1882340</t>
  </si>
  <si>
    <t>Amadelli (18/12/2025) - Pedido seco número 101140</t>
  </si>
  <si>
    <t>Pedido seco número 101140</t>
  </si>
  <si>
    <t>Notas_Images/4d7e9478.Foto.230726.jpg</t>
  </si>
  <si>
    <t>Notas_Images/4d7e9478.Foto 1.230726.jpg</t>
  </si>
  <si>
    <t>Notas_Images/4d7e9478.Foto 2.230726.jpg</t>
  </si>
  <si>
    <t>Motoboy (27/12/2025) - Pagamento motoboy Mario referente ao dia 22/12 á 28/12</t>
  </si>
  <si>
    <t>Pagamento motoboy Mario referente ao dia 22/12 á 28/12</t>
  </si>
  <si>
    <t>Notas_Images/8c47d9cf.Foto.203535.jpg</t>
  </si>
  <si>
    <t>PAGAMENTO DE PROPAGANDA NO INTAGRAN</t>
  </si>
  <si>
    <t>1893323</t>
  </si>
  <si>
    <t>R$ 69,36</t>
  </si>
  <si>
    <t>The Best açaí Rio Negrinho (28/12/2025) - Pagamento de propaganda Instagram</t>
  </si>
  <si>
    <t>Pagamento de propaganda Instagram</t>
  </si>
  <si>
    <t>Notas_Images/4032c280.Foto.203907.jpg</t>
  </si>
  <si>
    <t>1889859</t>
  </si>
  <si>
    <t>The Best açaí Rio Negrinho (28/12/2025) - Pagamento freelancer Jennifer do dia 21/12 ao dia 28/12</t>
  </si>
  <si>
    <t>Pagamento freelancer Jennifer do dia 21/12 ao dia 28/12</t>
  </si>
  <si>
    <t>Notas_Images/5c1cacea.Foto.204223.jpg</t>
  </si>
  <si>
    <t>1893381</t>
  </si>
  <si>
    <t>Elaine Hubl (29/12/2025) - Compra de morango 10kg</t>
  </si>
  <si>
    <t>Notas_Images/f2a6303c.Foto.204904.jpg</t>
  </si>
  <si>
    <t>1895445</t>
  </si>
  <si>
    <t>Motoboy Renan (26/12/2025) - Pagamento motoboy Renan no dia 26/12/25</t>
  </si>
  <si>
    <t>PAGAMENTO DE FREELANCER RAFAELA DAS 13;H ATE AS 22;30</t>
  </si>
  <si>
    <t>Pagamento motoboy Renan no dia 26/12/25</t>
  </si>
  <si>
    <t>Notas_Images/d343628b.Foto.205154.jpg</t>
  </si>
  <si>
    <t>1887520</t>
  </si>
  <si>
    <t>Gervasio (27/12/2025) - Compra de frutas para a loja (uva, manga e abacaxi)</t>
  </si>
  <si>
    <t>Compra de frutas para a loja (uva, manga e abacaxi)</t>
  </si>
  <si>
    <t>Notas_Images/614fde3e.Foto.205425.jpg</t>
  </si>
  <si>
    <t>1889579</t>
  </si>
  <si>
    <t>ASO Mariselma</t>
  </si>
  <si>
    <t>Komprao (26/12/2025) - Compra de lanche para final de semana e panetone</t>
  </si>
  <si>
    <t>Compra de lanche para final de semana e panetone</t>
  </si>
  <si>
    <t>PAGAMENTO ( ANDERSON ) FREELANCER DAS 13;30 ATE AS 22;30</t>
  </si>
  <si>
    <t>Notas_Images/556a28ce.Foto.154942.jpg</t>
  </si>
  <si>
    <t>1889583</t>
  </si>
  <si>
    <t>sangria feito por Renata</t>
  </si>
  <si>
    <t>Cofermaco (30/12/2025) - Compra de torneira do tanque para loja</t>
  </si>
  <si>
    <t>Notas_Images/910bc7b8.Foto.163249.jpg</t>
  </si>
  <si>
    <t>Compra de torneira do tanque para loja</t>
  </si>
  <si>
    <t>1897132</t>
  </si>
  <si>
    <t>Pedido 101140 nota de serviço</t>
  </si>
  <si>
    <t>R$ 1.140,00</t>
  </si>
  <si>
    <t>PAGAMENTO ( MARIO) MOTOBOY REFERENTE DIAS 22/12 ATE 28/12</t>
  </si>
  <si>
    <t>pagamento da freelancer carla das 13,30 ate as 22,30</t>
  </si>
  <si>
    <t>R$ 532,00</t>
  </si>
  <si>
    <t>PAGAMENTO FREELANCER JENIFFER DO DIA 21/12 ATE 28/12</t>
  </si>
  <si>
    <t>Pedido 101140</t>
  </si>
  <si>
    <t>Amadelli (30/12/2025) - Pedido gelado (nº103393)</t>
  </si>
  <si>
    <t>Notas_Images/d40ccfa9.Foto.213353.jpg</t>
  </si>
  <si>
    <t>Pedido gelado (nº103393)</t>
  </si>
  <si>
    <t>Notas_Images/d40ccfa9.Foto 1.213353.jpg</t>
  </si>
  <si>
    <t>Notas_Images/d40ccfa9.Foto 2.213353.jpg</t>
  </si>
  <si>
    <t>RN Embalagens e Papelaria Ltda. (05/01/2026) - Impressões para exame da Jeniffer</t>
  </si>
  <si>
    <t>Notas_Images/abf8df95.Foto.205416.jpg</t>
  </si>
  <si>
    <t>Impressões para exame da Jeniffer</t>
  </si>
  <si>
    <t>pagamento da freelancer lucia das 13,30 ate as 22,30</t>
  </si>
  <si>
    <t>Gervasio (05/01/2026) - Compra de abacaxi,uva,banana e manga</t>
  </si>
  <si>
    <t>Notas_Images/c1437b81.Foto.210315.jpg</t>
  </si>
  <si>
    <t>Compra de abacaxi,uva,banana e manga</t>
  </si>
  <si>
    <t>Sapus Fest (05/01/2026) - Compra de canudos e elásticos para cabelo pra loja</t>
  </si>
  <si>
    <t>Notas_Images/837a860e.Foto.210516.jpg</t>
  </si>
  <si>
    <t>Compra de canudos e elásticos para cabelo pra loja</t>
  </si>
  <si>
    <t>RN Embalagens e Papelaria Ltda. (05/01/2026) - Impressões</t>
  </si>
  <si>
    <t>Notas_Images/ecbd4393.Foto.210721.jpg</t>
  </si>
  <si>
    <t>compra de 10kg de morango</t>
  </si>
  <si>
    <t>Komprao (02/01/2026) - Compra de pão queijo e mortadela pra lanche de fim de semana e agua</t>
  </si>
  <si>
    <t>Notas_Images/547e31ae.Foto.210926.jpg</t>
  </si>
  <si>
    <t>Compra de pão queijo e mortadela pra lanche de fim de semana e agua</t>
  </si>
  <si>
    <t>R$ 52,82</t>
  </si>
  <si>
    <t>Gervasio (02/01/2026) - Compra de uva,abacaxi,banana, e manga</t>
  </si>
  <si>
    <t>Notas_Images/d66b3fff.Foto.211313.jpg</t>
  </si>
  <si>
    <t>Compra de uva,abacaxi,banana, e manga</t>
  </si>
  <si>
    <t>consumo Renata</t>
  </si>
  <si>
    <t>Elaine Hubl (02/01/2026) - Compra de 20kg de morango</t>
  </si>
  <si>
    <t>Notas_Images/d3bd3724.Foto.211445.jpg</t>
  </si>
  <si>
    <t>Compra de 20kg de morango</t>
  </si>
  <si>
    <t>The Best açaí Rio Negrinho (03/01/2026) - Pagamento da free lancer jeniffer do dia 29/12/25 ao dia 03/01/26</t>
  </si>
  <si>
    <t>Notas_Images/a729114e.Foto.211624.jpg</t>
  </si>
  <si>
    <t>Pagamento da free lancer jeniffer do dia 29/12/25 ao dia 03/01/26</t>
  </si>
  <si>
    <t>Elaine Hubl (05/01/2026) - Compra de 10 kg de morango</t>
  </si>
  <si>
    <t>Notas_Images/f96f72af.Foto.211758.jpg</t>
  </si>
  <si>
    <t>1910765</t>
  </si>
  <si>
    <t>Compra de 10 kg de morango</t>
  </si>
  <si>
    <t>Motoboy (05/01/2026) - Pagamento motoboy Mário do dia 29/12/25 ao dia 04/01/2026</t>
  </si>
  <si>
    <t>Notas_Images/2cf02972.Foto.235243.jpg</t>
  </si>
  <si>
    <t>Pagamento motoboy Mário do dia 29/12/25 ao dia 04/01/2026</t>
  </si>
  <si>
    <t>1910695</t>
  </si>
  <si>
    <t>PAGAMENTO FREELANCER REFAELA DAS 13H ATE AS 21 HORAS</t>
  </si>
  <si>
    <t>Amadelli (31/12/2025) - Pedido seco (nº103403)</t>
  </si>
  <si>
    <t>Notas_Images/2f7b3290.Foto.194018.jpg</t>
  </si>
  <si>
    <t>Pedido seco (nº103403)</t>
  </si>
  <si>
    <t>Notas_Images/2f7b3290.Foto 1.194018.jpg</t>
  </si>
  <si>
    <t>Notas_Images/2f7b3290.Foto 2.194018.jpg</t>
  </si>
  <si>
    <t>1910709</t>
  </si>
  <si>
    <t>Tuicial (29/12/2025) - Pedido de Potes 720 (nº1122789)</t>
  </si>
  <si>
    <t>Notas_Images/26faf498.Foto.194608.jpg</t>
  </si>
  <si>
    <t>Pedido de Potes 720 (nº1122789)</t>
  </si>
  <si>
    <t>Notas_Images/26faf498.Foto 1.194608.jpg</t>
  </si>
  <si>
    <t>Notas_Images/26faf498.Foto 2.194607.jpg</t>
  </si>
  <si>
    <t>MANI COMERCIO DE BEBIDAS (05/01/2026) - Compra de água com e sem gás</t>
  </si>
  <si>
    <t>Notas_Images/a33fc51e.Foto.194914.jpg</t>
  </si>
  <si>
    <t>1910738</t>
  </si>
  <si>
    <t>1902871</t>
  </si>
  <si>
    <t>Pedido 98976 nota de serviço</t>
  </si>
  <si>
    <t>PAGAMENTO FREELANCER LUCIA DAS 13;30 ATE AS 22;30</t>
  </si>
  <si>
    <t>PAGAMENTO DA FREELANCER RAFAELA DAS 13:00 ÁS 19:00</t>
  </si>
  <si>
    <t>1902022</t>
  </si>
  <si>
    <t>1902893</t>
  </si>
  <si>
    <t>6/42</t>
  </si>
  <si>
    <t>Pedido 103403 nota de serviço</t>
  </si>
  <si>
    <t>R$ 21,00</t>
  </si>
  <si>
    <t>1905374</t>
  </si>
  <si>
    <t>Estorno</t>
  </si>
  <si>
    <t>PAGAMENTO DE FREELANCER RYAN DAS 13;30 ATE AS 22;30</t>
  </si>
  <si>
    <t>1910692</t>
  </si>
  <si>
    <t>Amadelli (08/01/2026) - Compra de copos, garrafas, boné e colheres (nº104413)</t>
  </si>
  <si>
    <t>Notas_Images/29fac795.Foto.165327.jpg</t>
  </si>
  <si>
    <t>Compra de copos, garrafas, boné e colheres (nº104413)</t>
  </si>
  <si>
    <t>Notas_Images/29fac795.Foto 1.165327.jpg</t>
  </si>
  <si>
    <t>1910782</t>
  </si>
  <si>
    <t>R$ 48,36</t>
  </si>
  <si>
    <t>Residual do pedido inicial</t>
  </si>
  <si>
    <t>Pedido 103393 nota de serviço</t>
  </si>
  <si>
    <t>PAGAMENTO DE FREELANCER MARI DAS 13 H ATE AS 22;30</t>
  </si>
  <si>
    <t>1912630</t>
  </si>
  <si>
    <t>R$ 38,03</t>
  </si>
  <si>
    <t>Komprao (08/01/2026) - Compra de Sabão pedra para a loja</t>
  </si>
  <si>
    <t>Notas_Images/6502d00f.Foto.164435.jpg</t>
  </si>
  <si>
    <t>Compra de Sabão pedra para a loja</t>
  </si>
  <si>
    <t>Komprao (07/01/2026) - Compra de leite para a loja</t>
  </si>
  <si>
    <t>R$ 62,14</t>
  </si>
  <si>
    <t>Notas_Images/598827ab.Foto.164632.jpg</t>
  </si>
  <si>
    <t>Compra de leite para a loja</t>
  </si>
  <si>
    <t>COMPRA DE LANCHE PARA SABADO E DOMINGO</t>
  </si>
  <si>
    <t>Komprao (09/01/2026) - Compra de lanches para fins de semana</t>
  </si>
  <si>
    <t>Notas_Images/e50e876f.Foto.164919.jpg</t>
  </si>
  <si>
    <t>Compra de lanches para fins de semana</t>
  </si>
  <si>
    <t>Gervasio (09/01/2026) - Compra de frutas para a loja (manga e uva)</t>
  </si>
  <si>
    <t>Notas_Images/9c34b046.Foto.165537.jpg</t>
  </si>
  <si>
    <t>Compra de frutas para a loja (manga e uva)</t>
  </si>
  <si>
    <t>The Best açaí Rio Negrinho (06/01/2026) - Pagamento free-lancer Jennifer do dia 05/01/26 ate 06/01/26</t>
  </si>
  <si>
    <t>Notas_Images/c06da378.Foto.170542.jpg</t>
  </si>
  <si>
    <t>Pagamento free-lancer Jennifer do dia 05/01/26 ate 06/01/26</t>
  </si>
  <si>
    <t>Elaine Hubl (09/01/2026) - Compra de 15kg morango</t>
  </si>
  <si>
    <t>Notas_Images/8f582b19.Foto.170657.jpg</t>
  </si>
  <si>
    <t>R$ 85,00</t>
  </si>
  <si>
    <t>Compra de 15kg morango</t>
  </si>
  <si>
    <t>PAGAMENTO FREELANCER RAFAELA 12;30 AS 19H</t>
  </si>
  <si>
    <t>Motoboy (11/01/2026) - Pagamento mario motoboy do dia 05/01/26 ate 11/01/26</t>
  </si>
  <si>
    <t>Notas_Images/53487535.Foto.171058.jpg</t>
  </si>
  <si>
    <t>Pagamento mario motoboy do dia 05/01/26 ate 11/01/26</t>
  </si>
  <si>
    <t>Duck Bebidas (08/01/2026) - Compra de refrigerantes em lata, energético em lata e suco kapo para a loja</t>
  </si>
  <si>
    <t>Notas_Images/ee66ae24.Foto.175016.jpg</t>
  </si>
  <si>
    <t>Compra de refrigerantes em lata, energético em lata e suco kapo para a loja</t>
  </si>
  <si>
    <t>Notas_Images/ee66ae24.Foto 1.175016.jpg</t>
  </si>
  <si>
    <t>SAMAE (25/02/2026) - Canta de água janeiro</t>
  </si>
  <si>
    <t>Notas_Images/686a13b9.Foto.194911.jpg</t>
  </si>
  <si>
    <t>Canta de água janeiro</t>
  </si>
  <si>
    <t>R$ 9,00</t>
  </si>
  <si>
    <t>Consumo Fernando</t>
  </si>
  <si>
    <t>Tuicial (12/01/2026) - Compra de pote de papel de 720ml e tampa de pote de 720/920 padrão (número 1147588)</t>
  </si>
  <si>
    <t>Notas_Images/67acdc99.Foto.200935.jpg</t>
  </si>
  <si>
    <t>Compra de pote de papel de 720ml e tampa de pote de 720/920 padrão (número 1147588)</t>
  </si>
  <si>
    <t>Notas_Images/67acdc99.Foto 1.200935.jpg</t>
  </si>
  <si>
    <t>Notas_Images/67acdc99.Foto 2.200935.jpg</t>
  </si>
  <si>
    <t>Simples</t>
  </si>
  <si>
    <t>e24382e3</t>
  </si>
  <si>
    <t>Supera Diagnósticos LTDA (14/01/2026) - Pagamento de exame admissão funcionária Jenifer</t>
  </si>
  <si>
    <t>Notas_Images/a6582c25.Foto.171849.jpg</t>
  </si>
  <si>
    <t>Pagamento de exame admissão funcionária Jenifer</t>
  </si>
  <si>
    <t>R$ 194,14</t>
  </si>
  <si>
    <t>compra de uva, manga, abacaxi e banana</t>
  </si>
  <si>
    <t>Chaveiro Ritzman (14/01/2026) - Pagamento de impressão para a loja (devolução panetone)</t>
  </si>
  <si>
    <t>Notas_Images/5033faba.Foto.172050.jpg</t>
  </si>
  <si>
    <t>Pagamento de impressão para a loja (devolução panetone)</t>
  </si>
  <si>
    <t>R$ 816,00</t>
  </si>
  <si>
    <t>PAGAMENTO PARA MARIO MOTOBOY REFERENTE DO DIA 24/11 ATE DIA 30/11</t>
  </si>
  <si>
    <t>Gervasio (16/01/2026) - Compra de frutas para a loja (uva, banana, manga e abacaxi)</t>
  </si>
  <si>
    <t>Notas_Images/c8cd141a.Foto.173603.jpg</t>
  </si>
  <si>
    <t>Compra de frutas para a loja (uva, banana, manga e abacaxi)</t>
  </si>
  <si>
    <t>R$ 32,71</t>
  </si>
  <si>
    <t>MANI COMERCIO DE BEBIDAS (16/01/2026) - Aguas</t>
  </si>
  <si>
    <t>Notas_Images/9cc239d3.Foto.194512.jpg</t>
  </si>
  <si>
    <t>Elaine Hubl (14/01/2026) - 10kg morangos</t>
  </si>
  <si>
    <t>Notas_Images/858f84f8.Foto.194644.jpg</t>
  </si>
  <si>
    <t>Elaine Hubl (16/01/2026) - 15kg morango</t>
  </si>
  <si>
    <t>Notas_Images/3f5ae3ca.Foto.194808.jpg</t>
  </si>
  <si>
    <t>15kg morango</t>
  </si>
  <si>
    <t>Gervasio (16/01/2026) - Frutas</t>
  </si>
  <si>
    <t>Notas_Images/565f8357.Foto.194925.jpg</t>
  </si>
  <si>
    <t>R$ 206,95</t>
  </si>
  <si>
    <t>Novo lar (16/01/2026) - Copos descartáveis para as lojas</t>
  </si>
  <si>
    <t>Notas_Images/9c7487c8.Foto.195155.jpg</t>
  </si>
  <si>
    <t>Compra de frutas (uva, manga e abacaxi)</t>
  </si>
  <si>
    <t>Copos descartáveis para as lojas</t>
  </si>
  <si>
    <t>R$ 193,65</t>
  </si>
  <si>
    <t>Compra de lanche para sabado e domingo e compra de água para final de semana</t>
  </si>
  <si>
    <t>Amadelli (14/01/2026) - Secos 105691</t>
  </si>
  <si>
    <t>Notas_Images/38b44dd1.Foto.195421.jpg</t>
  </si>
  <si>
    <t>Secos 105691</t>
  </si>
  <si>
    <t>Notas_Images/38b44dd1.Foto 1.195421.jpg</t>
  </si>
  <si>
    <t>Notas_Images/38b44dd1.Foto 2.195421.jpg</t>
  </si>
  <si>
    <t>Amadelli (13/01/2026) - Gelado 105196</t>
  </si>
  <si>
    <t>Notas_Images/6b765a9a.Foto.200538.jpg</t>
  </si>
  <si>
    <t>Gelado 105196</t>
  </si>
  <si>
    <t>Amadelli (13/01/2026) - Gelados 105690</t>
  </si>
  <si>
    <t>Notas_Images/1e6d05cf.Foto.201035.jpg</t>
  </si>
  <si>
    <t>Gelados 105690</t>
  </si>
  <si>
    <t>Notas_Images/1e6d05cf.Foto 1.201035.jpg</t>
  </si>
  <si>
    <t>1919570</t>
  </si>
  <si>
    <t>R$ 23,40</t>
  </si>
  <si>
    <t>1919566</t>
  </si>
  <si>
    <t>compra de morango 20kg</t>
  </si>
  <si>
    <t>1921568</t>
  </si>
  <si>
    <t>Planalto (20/01/2026) - Embalagens</t>
  </si>
  <si>
    <t>Notas_Images/6f922a20.Foto.155827.jpg</t>
  </si>
  <si>
    <t>1919579</t>
  </si>
  <si>
    <t>Amadelli (20/01/2026) - Pedido gelado (nº107832)</t>
  </si>
  <si>
    <t>Notas_Images/0dcbe223.Foto.174723.jpg</t>
  </si>
  <si>
    <t>Pedido gelado (nº107832)</t>
  </si>
  <si>
    <t>Notas_Images/0dcbe223.Foto 1.174723.jpg</t>
  </si>
  <si>
    <t>1912748</t>
  </si>
  <si>
    <t>p/ desconto em 4x</t>
  </si>
  <si>
    <t>R$ 26,92</t>
  </si>
  <si>
    <t>Motoboy (18/01/2026) - Pagamento mario motoboy referente dia 12/01/26 ate 18/01/26</t>
  </si>
  <si>
    <t>Notas_Images/2471aa40.Foto.200352.jpg</t>
  </si>
  <si>
    <t>1919575</t>
  </si>
  <si>
    <t>Pagamento mario motoboy referente dia 12/01/26 ate 18/01/26</t>
  </si>
  <si>
    <t>Elaine Hubl (23/01/2026) - Compra de morango</t>
  </si>
  <si>
    <t>Notas_Images/31aecdbe.Foto.200545.jpg</t>
  </si>
  <si>
    <t>1925528</t>
  </si>
  <si>
    <t>ae31581c</t>
  </si>
  <si>
    <t>Ilha tintas (23/01/2026) - Compra de spray anjo uso geral, para reparo da loja</t>
  </si>
  <si>
    <t>Notas_Images/55d17b6b.Foto.200925.jpg</t>
  </si>
  <si>
    <t>Compra de spray anjo uso geral, para reparo da loja</t>
  </si>
  <si>
    <t>1919584</t>
  </si>
  <si>
    <t>bae96260</t>
  </si>
  <si>
    <t>Rede de posto norte (23/01/2026) - Pago gasolina para patrão Daniel</t>
  </si>
  <si>
    <t>Notas_Images/23c64b9d.Foto.201116.jpg</t>
  </si>
  <si>
    <t>Pago gasolina para patrão Daniel</t>
  </si>
  <si>
    <t>R$ 93,16</t>
  </si>
  <si>
    <t>Pagamento da free lancer Rafaela das 12:50 ás 20:00</t>
  </si>
  <si>
    <t>105a17fe</t>
  </si>
  <si>
    <t>Restaurante arte caseira (21/01/2026) - Pagamento de almoço Daniel</t>
  </si>
  <si>
    <t>Notas_Images/1c916566.Foto.201421.jpg</t>
  </si>
  <si>
    <t>Pagamento de almoço Daniel</t>
  </si>
  <si>
    <t>compra de morango 10kg</t>
  </si>
  <si>
    <t>Ilha tintas (21/01/2026) - Compra de material para reparo faltou loja Daniel</t>
  </si>
  <si>
    <t>Notas_Images/176f009f.Foto.201621.jpg</t>
  </si>
  <si>
    <t>Compra de material para reparo faltou loja Daniel</t>
  </si>
  <si>
    <t>Ilha tintas (21/01/2026) - Compra de desempenadeira e espátula pro inox</t>
  </si>
  <si>
    <t>Notas_Images/18c3d452.Foto.202307.jpg</t>
  </si>
  <si>
    <t>R$ 31,07</t>
  </si>
  <si>
    <t>Compra de desempenadeira e espátula pro inox</t>
  </si>
  <si>
    <t>Posto mallon (21/01/2026) - Compra de lanche Daniel</t>
  </si>
  <si>
    <t>Notas_Images/bf4c656e.Foto.203207.jpg</t>
  </si>
  <si>
    <t>Compra de lanche Daniel</t>
  </si>
  <si>
    <t>1931325</t>
  </si>
  <si>
    <t>Komprao (17/01/2026) - Compra de lanche pra final de semana, esponja pra loja e suco de abacaxi pra loja</t>
  </si>
  <si>
    <t>Notas_Images/2e6356be.Foto.203353.jpg</t>
  </si>
  <si>
    <t>Compra de lanche pra final de semana, esponja pra loja e suco de abacaxi pra loja</t>
  </si>
  <si>
    <t>R$ 13,33</t>
  </si>
  <si>
    <t>a80537e8</t>
  </si>
  <si>
    <t>1931558</t>
  </si>
  <si>
    <t>Eletrobox (21/01/2026) - Compra na eletrobox de materiais para reparo da loja</t>
  </si>
  <si>
    <t>Notas_Images/3ae23f1e.Foto.203943.jpg</t>
  </si>
  <si>
    <t>R$ 471,24</t>
  </si>
  <si>
    <t>PAGAMENTO DE JENIFFER DO DIAS 29/12 /250 ATE 03/01/26</t>
  </si>
  <si>
    <t>Compra na eletrobox de materiais para reparo da loja</t>
  </si>
  <si>
    <t>1934992</t>
  </si>
  <si>
    <t>Gervasio (19/01/2026) - Compra de frutas pra loja uva, manga, abacaxi, banana.</t>
  </si>
  <si>
    <t>Notas_Images/0c33616e.Foto.204847.jpg</t>
  </si>
  <si>
    <t>Compra de frutas pra loja uva, manga, abacaxi, banana.</t>
  </si>
  <si>
    <t>Komprao (23/01/2026) - Compra de lanche para final de semana pão francês e queijo</t>
  </si>
  <si>
    <t>Notas_Images/f3e53095.Foto.205031.jpg</t>
  </si>
  <si>
    <t>Compra de lanche para final de semana pão francês e queijo</t>
  </si>
  <si>
    <t>R$ 97,00</t>
  </si>
  <si>
    <t>1934964</t>
  </si>
  <si>
    <t>pagamento de freelancer joao das 13;30 ate as 21 horas</t>
  </si>
  <si>
    <t>1931291</t>
  </si>
  <si>
    <t>R$ 18,12</t>
  </si>
  <si>
    <t>1935438</t>
  </si>
  <si>
    <t>pagamento freelancer Rafaela das 13h ate 22;30</t>
  </si>
  <si>
    <t>1935287</t>
  </si>
  <si>
    <t>R$ 1.200,00</t>
  </si>
  <si>
    <t>MANI COMERCIO DE BEBIDAS (26/01/2026) - Compra de água para a loja</t>
  </si>
  <si>
    <t>Notas_Images/cb268001.Foto.165958.jpg</t>
  </si>
  <si>
    <t>Compra de água para a loja</t>
  </si>
  <si>
    <t>Gervasio (26/01/2026) - Compra de frutas (manga, banana, uva e abacaxi) para a loja</t>
  </si>
  <si>
    <t>Notas_Images/097f09bf.Foto.170840.jpg</t>
  </si>
  <si>
    <t>Compra de frutas (manga, banana, uva e abacaxi) para a loja</t>
  </si>
  <si>
    <t>Motoboy (25/01/2026) - Pagamento motoboy mario do dia 19/01 ate 25/01</t>
  </si>
  <si>
    <t>Notas_Images/1bd01a3b.Foto.171448.jpg</t>
  </si>
  <si>
    <t>Pagamento motoboy mario do dia 19/01 ate 25/01</t>
  </si>
  <si>
    <t>Pagamento freelancer anderson das 13:30-18:30</t>
  </si>
  <si>
    <t>R$ 26,00</t>
  </si>
  <si>
    <t>Amadelli (27/01/2026) - Pedido gelado (nº109637)</t>
  </si>
  <si>
    <t>Notas_Images/1ed6c873.Foto.115009.jpg</t>
  </si>
  <si>
    <t>Pedido gelado (nº109637)</t>
  </si>
  <si>
    <t>Notas_Images/1ed6c873.Foto 1.115009.jpg</t>
  </si>
  <si>
    <t>Notas_Images/1ed6c873.Foto 2.115009.jpg</t>
  </si>
  <si>
    <t>Elaine Hubl (29/01/2026) - Compra de 13kg morango</t>
  </si>
  <si>
    <t>Notas_Images/7fe0bba3.Foto.201231.jpg</t>
  </si>
  <si>
    <t>Pagamento freelancer Mariselma das 13:00-22:30</t>
  </si>
  <si>
    <t>Compra de 13kg morango</t>
  </si>
  <si>
    <t>Amadelli (29/01/2026) - Pedido seco (nº109642)</t>
  </si>
  <si>
    <t>Notas_Images/8b2e3a0d.Foto.180738.jpg</t>
  </si>
  <si>
    <t>Pedido seco (nº109642)</t>
  </si>
  <si>
    <t>Notas_Images/8b2e3a0d.Foto 1.180737.jpg</t>
  </si>
  <si>
    <t>Notas_Images/8b2e3a0d.Foto 2.180737.jpg</t>
  </si>
  <si>
    <t>Pagamento freelancer Rafaela das 13:00-22:30</t>
  </si>
  <si>
    <t>R$ 71,25</t>
  </si>
  <si>
    <t>compra de adesivo para cascata</t>
  </si>
  <si>
    <t>Gervasio (02/02/2026) - Compra de frutas, manga, abacaxi e uva</t>
  </si>
  <si>
    <t>Notas_Images/c6a8c716.Foto.002054.jpg</t>
  </si>
  <si>
    <t>Compra de frutas, manga, abacaxi e uva</t>
  </si>
  <si>
    <t>Komprao (31/01/2026) - Compra de lanche pra fim de semana, pão queijo e mortadela</t>
  </si>
  <si>
    <t>Notas_Images/6ba3d336.Foto.003511.jpg</t>
  </si>
  <si>
    <t>Compra de lanche pra fim de semana, pão queijo e mortadela</t>
  </si>
  <si>
    <t>Gervasio (31/01/2026) - Compra de frutas: uva, banana e manga</t>
  </si>
  <si>
    <t>Notas_Images/eca71d56.Foto.003628.jpg</t>
  </si>
  <si>
    <t>Compra de frutas: uva, banana e manga</t>
  </si>
  <si>
    <t>Komprao (28/01/2026) - Compra de inseticidas sbp pra loja</t>
  </si>
  <si>
    <t>Notas_Images/e86f7fb6.Foto.003816.jpg</t>
  </si>
  <si>
    <t>Compra de inseticidas sbp pra loja</t>
  </si>
  <si>
    <t>1941417</t>
  </si>
  <si>
    <t>91c8809b</t>
  </si>
  <si>
    <t>Marwi papelaria (28/01/2026) - Compra de borrachas, canetas, pasta, envelope e grampos pra loja</t>
  </si>
  <si>
    <t>Notas_Images/bbc74892.Foto.004146.jpg</t>
  </si>
  <si>
    <t>Compra de borrachas, canetas, pasta, envelope e grampos pra loja</t>
  </si>
  <si>
    <t>R$ 192,59</t>
  </si>
  <si>
    <t>Compra de frutas abacaxi, uva, banana e manga</t>
  </si>
  <si>
    <t>R$ 354,50</t>
  </si>
  <si>
    <t>1950056</t>
  </si>
  <si>
    <t>compra de aguas</t>
  </si>
  <si>
    <t>94fec8e7</t>
  </si>
  <si>
    <t>Máxima papelaria (28/01/2026) - Compra de envelopes pra loja</t>
  </si>
  <si>
    <t>Notas_Images/fc9fdb04.Foto.004734.jpg</t>
  </si>
  <si>
    <t>Compra de envelopes pra loja</t>
  </si>
  <si>
    <t>Motoboy (02/02/2026) - Pagamento motoboy Mario referente ao dia 26/01 até o dia 01/02</t>
  </si>
  <si>
    <t>1950369</t>
  </si>
  <si>
    <t>Notas_Images/6a50ee70.Foto.004940.jpg</t>
  </si>
  <si>
    <t>Pagamento motoboy Mario referente ao dia 26/01 até o dia 01/02</t>
  </si>
  <si>
    <t>Elaine Hubl (02/02/2026) - Compra de 10kg de morango</t>
  </si>
  <si>
    <t>Notas_Images/424f29d8.Foto.005052.jpg</t>
  </si>
  <si>
    <t>para não perder número</t>
  </si>
  <si>
    <t>R$ 37,99</t>
  </si>
  <si>
    <t>1946822</t>
  </si>
  <si>
    <t>Compra de canudos e elástico de cabelo para a loja</t>
  </si>
  <si>
    <t>Pedido 105196 pedido de gelado Frozen VO</t>
  </si>
  <si>
    <t>R$ 1.078,11</t>
  </si>
  <si>
    <t>compras de produtos para varios meses de produto de limpeza</t>
  </si>
  <si>
    <t>1946831</t>
  </si>
  <si>
    <t>1946845</t>
  </si>
  <si>
    <t>79570384</t>
  </si>
  <si>
    <t>Compra de impressão de papéis para o calendário anual</t>
  </si>
  <si>
    <t>1946820</t>
  </si>
  <si>
    <t>7/42</t>
  </si>
  <si>
    <t>Pedido 106736 etiquetas Frozen</t>
  </si>
  <si>
    <t>1937233</t>
  </si>
  <si>
    <t>R$ 34,72</t>
  </si>
  <si>
    <t>Amadelli (02/02/2026) - Pedido embalagens (nº1183095)</t>
  </si>
  <si>
    <t>Notas_Images/0a439e66.Foto.194747.jpg</t>
  </si>
  <si>
    <t>Pedido embalagens (nº1183095)</t>
  </si>
  <si>
    <t>Notas_Images/0a439e66.Foto 1.194747.jpg</t>
  </si>
  <si>
    <t>Notas_Images/0a439e66.Foto 2.194747.jpg</t>
  </si>
  <si>
    <t>R$ 3,00</t>
  </si>
  <si>
    <t>1946852</t>
  </si>
  <si>
    <t>Komprao (06/02/2026) - Lanche final de semana</t>
  </si>
  <si>
    <t>Impressão de folhas exame jennifer</t>
  </si>
  <si>
    <t>Notas_Images/38bf3906.Foto.164234.jpg</t>
  </si>
  <si>
    <t>Gervasio (06/02/2026) - Frutas</t>
  </si>
  <si>
    <t>Notas_Images/c6410d18.Foto.164323.jpg</t>
  </si>
  <si>
    <t>1943811</t>
  </si>
  <si>
    <t>Segurança Soares (06/02/2026) - Segurança</t>
  </si>
  <si>
    <t>Notas_Images/f91ecba1.Foto.164541.jpg</t>
  </si>
  <si>
    <t>Segurança</t>
  </si>
  <si>
    <t>1950575</t>
  </si>
  <si>
    <t>R$ 21,86</t>
  </si>
  <si>
    <t>Elaine Hubl (06/02/2026) - 10kg de Morangos</t>
  </si>
  <si>
    <t>Notas_Images/b1669263.Foto.164632.jpg</t>
  </si>
  <si>
    <t>7f04f269</t>
  </si>
  <si>
    <t>Daniel (06/02/2026) - Reparo da loja</t>
  </si>
  <si>
    <t>Notas_Images/aff868ce.Foto.164739.jpg</t>
  </si>
  <si>
    <t>Reparo da loja</t>
  </si>
  <si>
    <t>R$ 612,00</t>
  </si>
  <si>
    <t>PAGAMENTO DE MARIO MOTOBOY DO DIA 29/12/2025 ATE O DIA 04/01/2026</t>
  </si>
  <si>
    <t>Novo lar (05/02/2026) - Sacos,Luvas,Detergente,Papel,Papel Toalhas</t>
  </si>
  <si>
    <t>Notas_Images/a58a6a6a.Foto.164859.jpg</t>
  </si>
  <si>
    <t>Sacos,Luvas,Detergente,Papel,Papel Toalhas</t>
  </si>
  <si>
    <t>janeiro zerado</t>
  </si>
  <si>
    <t>R$ 11,20</t>
  </si>
  <si>
    <t>CONSUMO FERNADO</t>
  </si>
  <si>
    <t>1/8 comprado e dividido com cartão particular R$975</t>
  </si>
  <si>
    <t>Motoboy (09/02/2026) - Pagamento motoboy Mario referente ao dias 02/02 até 08/02</t>
  </si>
  <si>
    <t>Notas_Images/f8203eb1.Foto.180025.jpg</t>
  </si>
  <si>
    <t>Pagamento motoboy Mario referente ao dias 02/02 até 08/02</t>
  </si>
  <si>
    <t>ABC digital . Gráfica digital (09/02/2026) - Folhas adesivas com nomes do sorvetes novos</t>
  </si>
  <si>
    <t>Notas_Images/a59ff700.Foto.180456.jpg</t>
  </si>
  <si>
    <t>Folhas adesivas com nomes do sorvetes novos</t>
  </si>
  <si>
    <t>R$ 279,00</t>
  </si>
  <si>
    <t>compra de duas caixas de uva</t>
  </si>
  <si>
    <t>Elaine Hubl (09/02/2026) - Compra de 10kg de morango</t>
  </si>
  <si>
    <t>PAGAMENTO RAFAELA DAS 12;30 ATE AS 18;30</t>
  </si>
  <si>
    <t>Notas_Images/2b9a89a1.Foto.180614.jpg</t>
  </si>
  <si>
    <t>1959318</t>
  </si>
  <si>
    <t>1958595</t>
  </si>
  <si>
    <t>R$ 23,02</t>
  </si>
  <si>
    <t>1956064</t>
  </si>
  <si>
    <t>R$ 7,67</t>
  </si>
  <si>
    <t>Valor pago em duplicidade, foi pago 3x 24,15, gerando um crédito a cliente de 48,30, ela gastou na loja o valor de 18,85, gerando o crédito registrado</t>
  </si>
  <si>
    <t>53fb502d</t>
  </si>
  <si>
    <t>Alan</t>
  </si>
  <si>
    <t>Amadelli (10/02/2026) - Pedido gelado n⁰(111396)</t>
  </si>
  <si>
    <t>Notas_Images/c4e83bc0.Foto.194205.jpg</t>
  </si>
  <si>
    <t>Pedido gelado n⁰(111396)</t>
  </si>
  <si>
    <t>Notas_Images/c4e83bc0.Foto 1.194205.jpg</t>
  </si>
  <si>
    <t>R$ 23,90</t>
  </si>
  <si>
    <t>MANI COMERCIO DE BEBIDAS (10/02/2026) - Compra de agua 500ml com gas e sem gas</t>
  </si>
  <si>
    <t>Notas_Images/26edd983.Foto.195031.jpg</t>
  </si>
  <si>
    <t>Compra de agua 500ml com gas e sem gas</t>
  </si>
  <si>
    <t>Dedetizadora (12/02/2026) - Dedetização da loja</t>
  </si>
  <si>
    <t>Notas_Images/3e6cb55c.Foto.195255.jpg</t>
  </si>
  <si>
    <t>Dedetização da loja</t>
  </si>
  <si>
    <t>R$ 33,70</t>
  </si>
  <si>
    <t>Outros - consumo sabrina</t>
  </si>
  <si>
    <t>Amadelli (11/02/2026) - Pedido seco (nº111397)</t>
  </si>
  <si>
    <t>Notas_Images/e6efe335.Foto.182534.jpg</t>
  </si>
  <si>
    <t>Pedido seco (nº111397)</t>
  </si>
  <si>
    <t>Notas_Images/e6efe335.Foto 1.182534.jpg</t>
  </si>
  <si>
    <t>1964641</t>
  </si>
  <si>
    <t>Notas_Images/e6efe335.Foto 2.182534.jpg</t>
  </si>
  <si>
    <t>Embalagens delivey</t>
  </si>
  <si>
    <t>SuperPão (16/02/2026) - Compra de abacaxi para a loja</t>
  </si>
  <si>
    <t>Notas_Images/62f7abdc.Foto.164258.jpg</t>
  </si>
  <si>
    <t>Compra de abacaxi para a loja</t>
  </si>
  <si>
    <t>referente ou ID:1911446 consumo sabrina</t>
  </si>
  <si>
    <t>Elaine Hubl (16/02/2026) - Compra 10kg morango</t>
  </si>
  <si>
    <t>Notas_Images/6ec3f773.Foto.164507.jpg</t>
  </si>
  <si>
    <t>R$ 375,00</t>
  </si>
  <si>
    <t>COMPRA DE MORANGO 15KG</t>
  </si>
  <si>
    <t>RN Embalagens e Papelaria Ltda. (12/02/2026) - Compra de saquinho plástico p/delivery</t>
  </si>
  <si>
    <t>R$ 323,50</t>
  </si>
  <si>
    <t>Notas_Images/5fb852ef.Foto.165642.jpg</t>
  </si>
  <si>
    <t>Compra de saquinho plástico p/delivery</t>
  </si>
  <si>
    <t>compra de aguas para loja</t>
  </si>
  <si>
    <t>a2511641</t>
  </si>
  <si>
    <t>Luani Papelaria (12/02/2026) - Compra de saquinho plástico p/delivery</t>
  </si>
  <si>
    <t>Notas_Images/cbdb1188.Foto.165822.jpg</t>
  </si>
  <si>
    <t>Gervasio (13/02/2026) - Compra de frutas para a loja</t>
  </si>
  <si>
    <t>Notas_Images/b330ae00.Foto.170147.jpg</t>
  </si>
  <si>
    <t>Compra de frutas para a loja</t>
  </si>
  <si>
    <t>R$ 49,99</t>
  </si>
  <si>
    <r>
      <rPr>
        <rFont val="Roboto"/>
        <color rgb="FF000000"/>
        <sz val="11.0"/>
      </rPr>
      <t xml:space="preserve">Pagamento Mari, </t>
    </r>
    <r>
      <rPr>
        <rFont val="Roboto"/>
        <b/>
        <color rgb="FFFF0000"/>
        <sz val="11.0"/>
      </rPr>
      <t xml:space="preserve">referente à sobra de dinheiro do dia anterior </t>
    </r>
    <r>
      <rPr>
        <rFont val="Roboto"/>
        <color rgb="FF000000"/>
        <sz val="11.0"/>
      </rPr>
      <t>(05/01/26) que não foi pago a ela aos ID's (1910709) e (1910738)</t>
    </r>
  </si>
  <si>
    <t>Komprao (13/02/2026) - Compra de lanches para finais de semana e suco para a loja</t>
  </si>
  <si>
    <t>Notas_Images/b79edc70.Foto.170324.jpg</t>
  </si>
  <si>
    <t>Compra de lanches para finais de semana e suco para a loja</t>
  </si>
  <si>
    <t>Amadelli (21/01/2026) - Cartela de adesivos campanha frozen yogurt (nº106736)</t>
  </si>
  <si>
    <t>Notas_Images/cf60b310.Foto.171728.jpg</t>
  </si>
  <si>
    <t>Cartela de adesivos campanha frozen yogurt (nº106736)</t>
  </si>
  <si>
    <t>Notas_Images/cf60b310.Foto 1.171728.jpg</t>
  </si>
  <si>
    <t>1974144</t>
  </si>
  <si>
    <t>SAMAE (12/02/2026) - Conta de água</t>
  </si>
  <si>
    <t>Notas_Images/d454e278.Foto.173657.jpg</t>
  </si>
  <si>
    <t>R$ 197,16</t>
  </si>
  <si>
    <t>Pagamento freelancer Jennifer referente aos dias 05/01/26 até 06/01/26</t>
  </si>
  <si>
    <t>Motoboy (15/02/2026) - Pagamento motoboy mario referente ao dia 09/02 até 15/02</t>
  </si>
  <si>
    <t>Notas_Images/43f9cb4a.Foto.180529.jpg</t>
  </si>
  <si>
    <t>Pagamento motoboy mario referente ao dia 09/02 até 15/02</t>
  </si>
  <si>
    <t>1968106</t>
  </si>
  <si>
    <t>R$ 118,47</t>
  </si>
  <si>
    <t>compras de pao, queijo, presunto e sabao em pedra lanche e para sabado e domingo</t>
  </si>
  <si>
    <t>Elaine Hubl (13/02/2026) - Compra 10kg morango</t>
  </si>
  <si>
    <t>Notas_Images/f6bb3002.Foto.181726.jpg</t>
  </si>
  <si>
    <t>1968635</t>
  </si>
  <si>
    <t>Adiantamentos feitos pela Conta Corrente</t>
  </si>
  <si>
    <t>1962711</t>
  </si>
  <si>
    <t>Pagamento freelancer Rafaela</t>
  </si>
  <si>
    <t>Pedido 111396 nota de serviço</t>
  </si>
  <si>
    <t>1962321</t>
  </si>
  <si>
    <t>Transferencia Whey</t>
  </si>
  <si>
    <t>Gervasio (20/02/2026) - Compra de frutas (uva e abacaxi)</t>
  </si>
  <si>
    <t>Notas_Images/2260f541.Foto.181220.jpg</t>
  </si>
  <si>
    <t>Compra de frutas (uva e abacaxi)</t>
  </si>
  <si>
    <t>compra abacaxi banana e manga</t>
  </si>
  <si>
    <t>1962324</t>
  </si>
  <si>
    <t>R$ 24,28</t>
  </si>
  <si>
    <t>Komprao (20/02/2026) - Compra de lanche para fins de semana</t>
  </si>
  <si>
    <t>Notas_Images/89f3b873.Foto.181349.jpg</t>
  </si>
  <si>
    <t>Compra de lanche para fins de semana</t>
  </si>
  <si>
    <t>1974123</t>
  </si>
  <si>
    <t>Elaine Hubl (20/02/2026) - Compra 7kg morango</t>
  </si>
  <si>
    <t>Notas_Images/0ed04d53.Foto.181854.jpg</t>
  </si>
  <si>
    <t>Compra 7kg morango</t>
  </si>
  <si>
    <t>Bebidas duck (19/02/2026) - Compra de suco e refrigerante em lata p/loja</t>
  </si>
  <si>
    <t>Notas_Images/a9cbafd3.Foto.182528.jpg</t>
  </si>
  <si>
    <t>1974137</t>
  </si>
  <si>
    <t>Compra de suco e refrigerante em lata p/loja</t>
  </si>
  <si>
    <t>Notas_Images/a9cbafd3.Foto 1.182528.jpg</t>
  </si>
  <si>
    <t>Código Func</t>
  </si>
  <si>
    <t>R$ 1.419,81</t>
  </si>
  <si>
    <t>PAGAMENTO DA FREE JENIFFER REFERENTE DIA 20/11 ATE 06/12 COM OS DIA DE LIMPEZA</t>
  </si>
  <si>
    <t>R$ 37,24</t>
  </si>
  <si>
    <t>Pedido 109637 nota de serviço</t>
  </si>
  <si>
    <t>Pedido 109642 nota de serviço</t>
  </si>
  <si>
    <t>PAGAMENTO DE FREELANCER RAFAELA DAS 13;30 ATE AS 22;30</t>
  </si>
  <si>
    <t>Pedido 111397</t>
  </si>
  <si>
    <t>Embalagens Delivery</t>
  </si>
  <si>
    <t>R$ 41,39</t>
  </si>
  <si>
    <t>Pedido 104413 nota de serviço</t>
  </si>
  <si>
    <t>Pedido 105196 nota de serviço</t>
  </si>
  <si>
    <t>PAGAMENTO DE FREELANCER RAFAELA DAS 12;42 ATAE 18;42</t>
  </si>
  <si>
    <t>Pedido 105690 nota de serviço</t>
  </si>
  <si>
    <t>Pedido 105691 nota de serviço</t>
  </si>
  <si>
    <t>Pedido 107832 nota de serviço</t>
  </si>
  <si>
    <t>1983341</t>
  </si>
  <si>
    <t>Amadelli (24/02/2026) - Pedido gelado número (115049)</t>
  </si>
  <si>
    <t>Notas_Images/ed922eea.Foto.121834.jpg</t>
  </si>
  <si>
    <t>Pedido gelado número (115049)</t>
  </si>
  <si>
    <t>Notas_Images/ed922eea.Foto 1.121834.jpg</t>
  </si>
  <si>
    <t>1981470</t>
  </si>
  <si>
    <t>Amadelli (24/02/2026) - Pedido Páscoa 2026 número (113241)</t>
  </si>
  <si>
    <t>Notas_Images/3cc3534e.Foto.122539.jpg</t>
  </si>
  <si>
    <t>Pedido Páscoa 2026 número (113241)</t>
  </si>
  <si>
    <t>36037127</t>
  </si>
  <si>
    <t>Gervasio (25/02/2026) - Compra de uva,banana,manga pra loja</t>
  </si>
  <si>
    <t>1981196</t>
  </si>
  <si>
    <t>Notas_Images/38392107.Foto.214130.jpg</t>
  </si>
  <si>
    <t>Compra de uva,banana,manga pra loja</t>
  </si>
  <si>
    <t>Motoboy (22/02/2026) - Pagamento de motoboy Mario referente ao dia 16/02 ao dia 22/02</t>
  </si>
  <si>
    <t>Notas_Images/3d44039c.Foto.214308.jpg</t>
  </si>
  <si>
    <t>Pagamento de motoboy Mario referente ao dia 16/02 ao dia 22/02</t>
  </si>
  <si>
    <t>1981454</t>
  </si>
  <si>
    <t>R$ 41,88</t>
  </si>
  <si>
    <t>COMPRA DE UMA CAIXA DE LEITE</t>
  </si>
  <si>
    <t>Elaine Hubl (25/02/2026) - Compra de 10 kg de morango</t>
  </si>
  <si>
    <t>Notas_Images/c2f9d1b0.Foto.214431.jpg</t>
  </si>
  <si>
    <t>PAGAMENTO DA FREELANCER LETICIA DAS 13;30 ATE 22;30</t>
  </si>
  <si>
    <t>1980970</t>
  </si>
  <si>
    <t>Cofermaco (27/02/2026) - Compra de pino tipo te 3P p/tomada</t>
  </si>
  <si>
    <t>Notas_Images/792c6ff9.Foto.174325.jpg</t>
  </si>
  <si>
    <t>Compra de pino tipo te 3P p/tomada</t>
  </si>
  <si>
    <t>R$ 78,36</t>
  </si>
  <si>
    <t>COMPRA DE SAPAO EM PEDRA</t>
  </si>
  <si>
    <t>Komprao (27/02/2026) - Lanches para final de semana, e Sabão.</t>
  </si>
  <si>
    <t>Notas_Images/b82c511f.Foto.174602.jpg</t>
  </si>
  <si>
    <t>1979325</t>
  </si>
  <si>
    <t>Lanches para final de semana, e Sabão.</t>
  </si>
  <si>
    <t>Elaine Hubl (27/02/2026) - Compra de 7kg morango</t>
  </si>
  <si>
    <t>Notas_Images/d9f22d8b.Foto.175242.jpg</t>
  </si>
  <si>
    <t>Compra de 7kg morango</t>
  </si>
  <si>
    <t>MANI COMERCIO DE BEBIDAS (27/02/2026) - Compra de água para loja</t>
  </si>
  <si>
    <t>Notas_Images/81504939.Foto.175444.jpg</t>
  </si>
  <si>
    <t>Compra de água para loja</t>
  </si>
  <si>
    <t>COMPRA 15K DE MORANGO</t>
  </si>
  <si>
    <t>PAGAMENTO DE FREELANCER MARI DAS 13 ATE 22;30</t>
  </si>
  <si>
    <t>c324ca34</t>
  </si>
  <si>
    <t>Difal</t>
  </si>
  <si>
    <t>1989212</t>
  </si>
  <si>
    <t>1988946</t>
  </si>
  <si>
    <t>PAGAMENTO DE FREELANCER JENIFER DAS 15H ATE 22;30</t>
  </si>
  <si>
    <t>R$ 139,58</t>
  </si>
  <si>
    <t>8/42</t>
  </si>
  <si>
    <t>COMPRA DE UVA E MAMGA</t>
  </si>
  <si>
    <t>1989217</t>
  </si>
  <si>
    <t>Bonificação Consultoria</t>
  </si>
  <si>
    <t>Bonificação consultoria</t>
  </si>
  <si>
    <t>Adiantamento que não foi descontado do mês anterior</t>
  </si>
  <si>
    <t>R$ 952,89</t>
  </si>
  <si>
    <t>COMPRA DE BEBIBAS PARA A LOJA</t>
  </si>
  <si>
    <t>Amadelli (27/02/2026) - Pedido seco n⁰115053</t>
  </si>
  <si>
    <t>Notas_Images/007967b7.Foto.182252.jpg</t>
  </si>
  <si>
    <t>Pedido seco n⁰115053</t>
  </si>
  <si>
    <t>Notas_Images/007967b7.Foto 1.182252.jpg</t>
  </si>
  <si>
    <t>Notas_Images/007967b7.Foto 2.182252.jpg</t>
  </si>
  <si>
    <t>Amadelli (27/02/2026) - Pedido gelado  116960</t>
  </si>
  <si>
    <t>Notas_Images/2e989d3b.Foto.130419.jpg</t>
  </si>
  <si>
    <t>Pedido gelado  116960</t>
  </si>
  <si>
    <t>Notas_Images/2e989d3b.Foto 2.130419.jpg</t>
  </si>
  <si>
    <t>Elaine Hubl (04/03/2026) - Compra de 5kg de morango</t>
  </si>
  <si>
    <t>Notas_Images/d355321b.Foto.215239.jpg</t>
  </si>
  <si>
    <t>Compra de 5kg de morango</t>
  </si>
  <si>
    <t>Motoboy (01/03/2026) - Pagamento mario motoboy referente ao dia 23/02 ao dia 01/03</t>
  </si>
  <si>
    <t>R$ 1.600,00</t>
  </si>
  <si>
    <t>Notas_Images/8a20981f.Foto.215513.jpg</t>
  </si>
  <si>
    <t>Pagamento mario motoboy referente ao dia 23/02 ao dia 01/03</t>
  </si>
  <si>
    <t>SNGRIA MARI</t>
  </si>
  <si>
    <t>d212d906</t>
  </si>
  <si>
    <t>Dab rio negrinho (04/03/2026) - Compea de espátula de silicone</t>
  </si>
  <si>
    <t>PAGAMENTO DE FREELANCER LUCIA DAS 13;30 ATE AS 22;30</t>
  </si>
  <si>
    <t>Notas_Images/eae3bbae.Foto.220335.jpg</t>
  </si>
  <si>
    <t>Compea de espátula de silicone</t>
  </si>
  <si>
    <t>Minersol (04/03/2026) - Compra de espátulas de silicone e potes pea loja</t>
  </si>
  <si>
    <t>Notas_Images/aecae23e.Foto.220508.jpg</t>
  </si>
  <si>
    <t>Compra de espátulas de silicone e potes pea loja</t>
  </si>
  <si>
    <t>1993001</t>
  </si>
  <si>
    <t>Luani Papelaria (04/03/2026) - Compra de borrachas pra loja</t>
  </si>
  <si>
    <t>Notas_Images/c3f9bc31.Foto.220624.jpg</t>
  </si>
  <si>
    <t>Compra de borrachas pra loja</t>
  </si>
  <si>
    <t>1995570</t>
  </si>
  <si>
    <t>PAGAMENTO RAFAELA FREELANCER DAS 12;42 ATE 18;42</t>
  </si>
  <si>
    <t>2/2 V1166,52</t>
  </si>
  <si>
    <t>7b69837f</t>
  </si>
  <si>
    <t>Alexandre Lorena (Limpeza dos vidros da loja) (05/03/2026) - Pagamento de serviços de limpeza dos vidros da loja referente aos dias 04/02,11/02,19/02 e 26/02.</t>
  </si>
  <si>
    <t>Notas_Images/18b22185.Foto.214841.jpg</t>
  </si>
  <si>
    <t>Pagamento de serviços de limpeza dos vidros da loja referente aos dias 04/02,11/02,19/02 e 26/02.</t>
  </si>
  <si>
    <t>Gervasio (02/03/2026) - Compra de frutas manga, abacaxi, uva.</t>
  </si>
  <si>
    <t>Notas_Images/da4eb984.Foto.221625.jpg</t>
  </si>
  <si>
    <t>Compra de frutas manga, abacaxi, uva.</t>
  </si>
  <si>
    <t>R$ 22,32</t>
  </si>
  <si>
    <t>Gervasio (06/03/2026) - Compra de frutas uva, banana, abacaxi, e manga</t>
  </si>
  <si>
    <t>Notas_Images/a7967850.Foto.221826.jpg</t>
  </si>
  <si>
    <t>Compra de frutas uva, banana, abacaxi, e manga</t>
  </si>
  <si>
    <t>2004425</t>
  </si>
  <si>
    <t>Elaine Hubl (06/03/2026) - Compra de 10kg de Morangos</t>
  </si>
  <si>
    <t>Notas_Images/13b031fd.Foto.221943.jpg</t>
  </si>
  <si>
    <t>Compra de 10kg de Morangos</t>
  </si>
  <si>
    <t>Motoboy (09/03/2026) - Pagamento motoboy Mario referente ao dia 02/03 até o dia 08/03</t>
  </si>
  <si>
    <t>Notas_Images/09fa2fbd.Foto.222159.jpg</t>
  </si>
  <si>
    <t>Pagamento motoboy Mario referente ao dia 02/03 até o dia 08/03</t>
  </si>
  <si>
    <t>2004729</t>
  </si>
  <si>
    <t>R$ 917,00</t>
  </si>
  <si>
    <t>PAGAMENTO DO MARIO MOTOBY DO DIA 01/12 ATE 07/12</t>
  </si>
  <si>
    <t>R$ 105,20</t>
  </si>
  <si>
    <t>1994800</t>
  </si>
  <si>
    <t>venc março zerada</t>
  </si>
  <si>
    <t>b2c5e81b</t>
  </si>
  <si>
    <t>Presente dia das mães</t>
  </si>
  <si>
    <t>1994788</t>
  </si>
  <si>
    <t>d79b75f2</t>
  </si>
  <si>
    <t>1997063</t>
  </si>
  <si>
    <t>Komprao (07/03/2026) - Lanche final de semana</t>
  </si>
  <si>
    <t>Notas_Images/bae6d2db.Foto.000345.jpg</t>
  </si>
  <si>
    <t>R$ 2.500,00</t>
  </si>
  <si>
    <t>Saída referente ao (ID: 1921568), que é da importância da compra de lanche para finais de semana</t>
  </si>
  <si>
    <t>1996982</t>
  </si>
  <si>
    <t>2/8 comprado e dividido com cartão particular R$975</t>
  </si>
  <si>
    <t>Pagamento freelancer João das 13:33 até 18:33</t>
  </si>
  <si>
    <t>Pedido 115053 nota de serviço</t>
  </si>
  <si>
    <t>f4e62ed5</t>
  </si>
  <si>
    <t>Tag</t>
  </si>
  <si>
    <t>3a1b5754</t>
  </si>
  <si>
    <t>Tuicial Indústria Gráfica e Editora LTDA (11/03/2026) - Embalagens sacos delivery,pote papel 720ml</t>
  </si>
  <si>
    <t>Notas_Images/2994ecc1.Foto.233840.jpg</t>
  </si>
  <si>
    <t>Embalagens sacos delivery,pote papel 720ml</t>
  </si>
  <si>
    <t>Notas_Images/2994ecc1.Foto 1.233840.jpg</t>
  </si>
  <si>
    <t>2002463</t>
  </si>
  <si>
    <t>Amadelli (11/03/2026) - Pedido gelado numero 116960</t>
  </si>
  <si>
    <t>Notas_Images/834d3b07.Foto.232528.jpg</t>
  </si>
  <si>
    <t>Pedido gelado numero 116960</t>
  </si>
  <si>
    <t>Notas_Images/834d3b07.Foto 1.232528.jpg</t>
  </si>
  <si>
    <t>Pagamento freelancer Rafaela das 13:00-19:30</t>
  </si>
  <si>
    <t>1997023</t>
  </si>
  <si>
    <t>Komprao (14/03/2026) - Compra lanche final de semana pão queijo e mortadela</t>
  </si>
  <si>
    <t>Notas_Images/57c6ff2d.Foto.205320.jpg</t>
  </si>
  <si>
    <t>Compra lanche final de semana pão queijo e mortadela</t>
  </si>
  <si>
    <t>Gervasio (13/03/2026) - Compra de uva, banana, manga e abacaxi</t>
  </si>
  <si>
    <t>Notas_Images/59d2d602.Foto.205536.jpg</t>
  </si>
  <si>
    <t>Compra de uva, banana, manga e abacaxi</t>
  </si>
  <si>
    <t>Gervasio (16/03/2026) - Compra de banana, manga, abacaxi, e uva</t>
  </si>
  <si>
    <t>Notas_Images/8c495ce5.Foto.205853.jpg</t>
  </si>
  <si>
    <t>Compra de banana, manga, abacaxi, e uva</t>
  </si>
  <si>
    <t>Elaine Hubl (13/03/2026) - Compra de 8kg de morango</t>
  </si>
  <si>
    <t>Notas_Images/43b201b5.Foto.210558.jpg</t>
  </si>
  <si>
    <t>R$ 71,00</t>
  </si>
  <si>
    <t>PAGAMENTO DE FREELANCER ANDERSON DAS 13;30 ATE AS 19 HORAS</t>
  </si>
  <si>
    <t>Motoboy (16/03/2026) - Pagamento motoboy Mario referente ao dia 09/03 ate o dia 15/03</t>
  </si>
  <si>
    <t>Notas_Images/067c0ab4.Foto.210758.jpg</t>
  </si>
  <si>
    <t>Pagamento motoboy Mario referente ao dia 09/03 ate o dia 15/03</t>
  </si>
  <si>
    <t>compra morango 10kg</t>
  </si>
  <si>
    <t>Elaine Hubl (16/03/2026) - Compra de 10kg de morango</t>
  </si>
  <si>
    <t>Notas_Images/6ce93cf2.Foto.210858.jpg</t>
  </si>
  <si>
    <t>SAMAE (13/03/2026) - Conta de água mes de março</t>
  </si>
  <si>
    <t>Notas_Images/6e2be737.Foto.211056.jpg</t>
  </si>
  <si>
    <t>Conta de água mes de março</t>
  </si>
  <si>
    <t>2015150</t>
  </si>
  <si>
    <t>PAGAMENTO DE FREELANCER CARLA DAS 13H ATE AS 22;30</t>
  </si>
  <si>
    <t>Amadelli (09/03/2026) - Pedido seco número 116959</t>
  </si>
  <si>
    <t>Notas_Images/41debdcf.Foto.211946.jpg</t>
  </si>
  <si>
    <t>Pedido seco número 116959</t>
  </si>
  <si>
    <t>2013560</t>
  </si>
  <si>
    <t>R$ 45,00</t>
  </si>
  <si>
    <t>comprei um rodo de aluminio forte para a loja</t>
  </si>
  <si>
    <t>Pedido 115049 nota de serviço</t>
  </si>
  <si>
    <t>Pedido 113241 nota de serviço</t>
  </si>
  <si>
    <t>2013182</t>
  </si>
  <si>
    <t>PAGAMENTO DE FREELANCER RAFAELA DAS 13H ATE AS 22;30</t>
  </si>
  <si>
    <t>2013538</t>
  </si>
  <si>
    <t>Pedido 116959 nota de serviço</t>
  </si>
  <si>
    <t>Pedido 106736 nota de serviço</t>
  </si>
  <si>
    <t>R$ 154,00</t>
  </si>
  <si>
    <t>compra de 1000 guardanapos 1 caixa para o delivery</t>
  </si>
  <si>
    <t>Riopack (17/03/2026) - Compra de uma caixa de guardanapo pra delivery e luvas plásticas.</t>
  </si>
  <si>
    <t>Notas_Images/ca3be2fe.Foto.004108.jpg</t>
  </si>
  <si>
    <t>Compra de uma caixa de guardanapo pra delivery e luvas plásticas.</t>
  </si>
  <si>
    <t>Dab rio negrinho (17/03/2026) - Compra de papel sulfite, calculadora e placa adesivas parede.</t>
  </si>
  <si>
    <t>Notas_Images/2268d4fc.Foto.004229.jpg</t>
  </si>
  <si>
    <t>Compra de papel sulfite, calculadora e placa adesivas parede.</t>
  </si>
  <si>
    <t>Bom Bazar (17/03/2026) - Compra de 2 formas pra pétalas de chocolate</t>
  </si>
  <si>
    <t>Notas_Images/d87063c4.Foto.004350.jpg</t>
  </si>
  <si>
    <t>Compra de 2 formas pra pétalas de chocolate</t>
  </si>
  <si>
    <t>Gervasio (20/03/2026) - Compra de abacaxi e uva</t>
  </si>
  <si>
    <t>Notas_Images/87af8c21.Foto.004436.jpg</t>
  </si>
  <si>
    <t>Compra de abacaxi e uva</t>
  </si>
  <si>
    <t>R$ 49,98</t>
  </si>
  <si>
    <t>compra de 2 chocottone para a loja</t>
  </si>
  <si>
    <t>Komprao (17/03/2026) - Compra de leite integral e suco de abacaxi tang pra loja</t>
  </si>
  <si>
    <t>Notas_Images/1deed449.Foto.004556.jpg</t>
  </si>
  <si>
    <t>Compra de leite integral e suco de abacaxi tang pra loja</t>
  </si>
  <si>
    <t>R$ 1.008,00</t>
  </si>
  <si>
    <t>MANI COMERCIO DE BEBIDAS (19/03/2026) - Compra de água</t>
  </si>
  <si>
    <t>Notas_Images/e5ba8337.Foto.004711.jpg</t>
  </si>
  <si>
    <t>PAGAMENTO MARIO MOTOBOY REFERENTE DIAS 05/01/26 ATE 11/01/26</t>
  </si>
  <si>
    <t>Vale transporte (17/03/2026) - Compra de vale transporte 15</t>
  </si>
  <si>
    <t>Notas_Images/5ba860ec.Foto.004908.jpg</t>
  </si>
  <si>
    <t>Compra de vale transporte 15</t>
  </si>
  <si>
    <t>R$ 33,71</t>
  </si>
  <si>
    <t>Elaine Hubl (20/03/2026) - Compra de 15kg de morango</t>
  </si>
  <si>
    <t>Notas_Images/aedce096.Foto.005007.jpg</t>
  </si>
  <si>
    <t>Compra de 15kg de morango</t>
  </si>
  <si>
    <t>Chaleira elétrica</t>
  </si>
  <si>
    <t>Cofermaco (23/03/2026) - Compra de cano Sifão pra pia do tanque.</t>
  </si>
  <si>
    <t>Notas_Images/7756f0fd.Foto.191255.jpg</t>
  </si>
  <si>
    <t>Pagamento freelancer Rafa 12:30 ate 18:30</t>
  </si>
  <si>
    <t>Compra de cano Sifão pra pia do tanque.</t>
  </si>
  <si>
    <t>Komprao (21/03/2026) - Vo pea de lanche pra fim de semana, esponja e Sabão pra loja</t>
  </si>
  <si>
    <t>Notas_Images/85063294.Foto.191413.jpg</t>
  </si>
  <si>
    <t>Vo pea de lanche pra fim de semana, esponja e Sabão pra loja</t>
  </si>
  <si>
    <t>R$ 21,64</t>
  </si>
  <si>
    <t>Outros- consumo fernando</t>
  </si>
  <si>
    <t>Motoboy (22/03/2026) - Pagamento a Mário motoboy referente ao dias 16/03 ate o dia 22/03</t>
  </si>
  <si>
    <t>Notas_Images/50070473.Foto.191613.jpg</t>
  </si>
  <si>
    <t>Pagamento a Mário motoboy referente ao dias 16/03 ate o dia 22/03</t>
  </si>
  <si>
    <t>Bebidas duck (19/03/2026) - Compra de refrigerantes, energéticos e sucos pra loja</t>
  </si>
  <si>
    <t>Notas_Images/9ce93c94.Foto.200252.jpg</t>
  </si>
  <si>
    <t>Compra de refrigerantes, energéticos e sucos pra loja</t>
  </si>
  <si>
    <t>Notas_Images/9ce93c94.Foto 1.200252.jpg</t>
  </si>
  <si>
    <t>pagamento da free lancer Rafaela das 12:30 até 18:30</t>
  </si>
  <si>
    <t>CONSUMO FERNANDO DO ID 1852978</t>
  </si>
  <si>
    <t>Pedido 116960 nota de serviço</t>
  </si>
  <si>
    <t>Pedido 114596 nota de serviço</t>
  </si>
  <si>
    <t>Amadelli (24/03/2026) - Pedido seco número (120250)</t>
  </si>
  <si>
    <t>Notas_Images/8478f466.Foto.155315.jpg</t>
  </si>
  <si>
    <t>Pedido seco número (120250)</t>
  </si>
  <si>
    <t>Notas_Images/8478f466.Foto 1.155315.jpg</t>
  </si>
  <si>
    <t>Amadelli (24/03/2026) - Pedido gelado número (120241)</t>
  </si>
  <si>
    <t>Notas_Images/7345a256.Foto.185902.jpg</t>
  </si>
  <si>
    <t>Pedido gelado número (120241)</t>
  </si>
  <si>
    <t>R$ 12,96</t>
  </si>
  <si>
    <t>compra de morango 10k</t>
  </si>
  <si>
    <t>Notas_Images/7345a256.Foto 1.185902.jpg</t>
  </si>
  <si>
    <t>Amadelli (24/03/2026) - Pedido seco número (118938)</t>
  </si>
  <si>
    <t>Notas_Images/58bc85ae.Foto.190030.jpg</t>
  </si>
  <si>
    <t>Pedido seco número (118938)</t>
  </si>
  <si>
    <t>Elaine Hubl (25/03/2026) - Compra de 5kg de morango</t>
  </si>
  <si>
    <t>Notas_Images/184f59ff.Foto.001133.jpg</t>
  </si>
  <si>
    <t>Elaine Hubl (27/03/2026) - Compra de 10kg se morango</t>
  </si>
  <si>
    <t>Notas_Images/b21c8fa7.Foto.001140.jpg</t>
  </si>
  <si>
    <t>Compra de 10kg se morango</t>
  </si>
  <si>
    <t>R$ 27,60</t>
  </si>
  <si>
    <t>EXAME DA FUNCIONARIA JUNIFFER HEMOGRAMA</t>
  </si>
  <si>
    <t>Aluani papelaria (25/03/2026) - Compra de bobina térmica impressora e canudos plásticos</t>
  </si>
  <si>
    <t>Notas_Images/6efd6d23.Foto.001144.jpg</t>
  </si>
  <si>
    <t>Compra de bobina térmica impressora e canudos plásticos</t>
  </si>
  <si>
    <t>compra de10 kg de morango</t>
  </si>
  <si>
    <t>Gervasio (24/03/2026) - Compra de frutas uva Abacaxi banana</t>
  </si>
  <si>
    <t>Notas_Images/461640cc.Foto.001153.jpg</t>
  </si>
  <si>
    <t>Compra de frutas uva Abacaxi banana</t>
  </si>
  <si>
    <t>Komprao (27/03/2026) - Compra de lanche pra fim de semana e Sabão pra loja</t>
  </si>
  <si>
    <t>Notas_Images/ace65ca5.Foto.004815.jpg</t>
  </si>
  <si>
    <t>Compra de lanche pra fim de semana e Sabão pra loja</t>
  </si>
  <si>
    <t>R$ 2,00</t>
  </si>
  <si>
    <t>2023880</t>
  </si>
  <si>
    <t>IMPRESAO DAS FOLHAS DE DEVOLUCAO DOS PANETONES</t>
  </si>
  <si>
    <t>Gervasio (27/03/2026) - Compra de frutas uva banana manga e abacaxi</t>
  </si>
  <si>
    <t>Notas_Images/ffb4b6ba.Foto.004820.jpg</t>
  </si>
  <si>
    <t>Compra de frutas uva banana manga e abacaxi</t>
  </si>
  <si>
    <t>R$ 108,03</t>
  </si>
  <si>
    <t>compra de lanches vai dar este final de semana e semana que vem tambem 1 panetone</t>
  </si>
  <si>
    <t>MANI COMERCIO DE BEBIDAS (26/03/2026) - Compra de água</t>
  </si>
  <si>
    <t>Notas_Images/8a03bd93.Foto.004930.jpg</t>
  </si>
  <si>
    <t>2019139</t>
  </si>
  <si>
    <t>2024262</t>
  </si>
  <si>
    <t>PAGAMENTO FREELANCER RAFAELA DAS 12;30 ATE AS 18;30</t>
  </si>
  <si>
    <t>R$ 192,93</t>
  </si>
  <si>
    <t>compra de uvas ;banana abacaxi e mangas</t>
  </si>
  <si>
    <t>1/2 salario Adm Jairo 312 + ret jan 20 e fev 20</t>
  </si>
  <si>
    <t>2026894</t>
  </si>
  <si>
    <t>Sangria Sabrina</t>
  </si>
  <si>
    <t>2026892</t>
  </si>
  <si>
    <t>pagamento de freelancer joao das 13; 30 h ate as 18;30</t>
  </si>
  <si>
    <t>Transferencia gelado</t>
  </si>
  <si>
    <t>2027144</t>
  </si>
  <si>
    <t>Transferencia embalagem</t>
  </si>
  <si>
    <t>PAGAMENTO DA FREE LANCER RAFAELA DAS 12:35 ATÉ 18:35</t>
  </si>
  <si>
    <t>Dir aum salarial 230 + ret jan 230 + ret fev 230</t>
  </si>
  <si>
    <t>2027120</t>
  </si>
  <si>
    <t>R$ 1.800,00</t>
  </si>
  <si>
    <t>Utilidades miner (31/03/2026) - Compra de faca pra cortar frutas</t>
  </si>
  <si>
    <t>Notas_Images/bef189fc.Foto.213652.jpg</t>
  </si>
  <si>
    <t>Compra de faca pra cortar frutas</t>
  </si>
  <si>
    <t>Motoboy (29/03/2026) - Pagamento motoboy Mario referente ao dia 23/03 ate o dia 29/03</t>
  </si>
  <si>
    <t>Notas_Images/12629765.Foto.213836.jpg</t>
  </si>
  <si>
    <t>Pagamento motoboy Mario referente ao dia 23/03 ate o dia 29/03</t>
  </si>
  <si>
    <t>R$ 164,00</t>
  </si>
  <si>
    <t>Elaine Hubl (30/03/2026) - Compra de 7kg de morango</t>
  </si>
  <si>
    <t>Notas_Images/7b639e2b.Foto.214006.jpg</t>
  </si>
  <si>
    <t>Compra de 7kg de morango</t>
  </si>
  <si>
    <t>NL (31/03/2026) - Compra de produtos de limpeza para vários messes</t>
  </si>
  <si>
    <t>Notas_Images/fc7ae924.Foto.214339.jpg</t>
  </si>
  <si>
    <t>Compra de produtos de limpeza para vários messes</t>
  </si>
  <si>
    <t>Pro food embalagens (27/03/2026) - Compra de pote de papel de 750ml</t>
  </si>
  <si>
    <t>Notas_Images/0a9d2a1b.Foto.214959.jpg</t>
  </si>
  <si>
    <t>Compra de pote de papel de 750ml</t>
  </si>
  <si>
    <t>Notas_Images/0a9d2a1b.Foto 1.214959.jpg</t>
  </si>
  <si>
    <t>R$ 204,19</t>
  </si>
  <si>
    <t>Notas_Images/0a9d2a1b.Foto 2.222206.jpg</t>
  </si>
  <si>
    <t>compra de uvas , bananas , manga e abacaxi</t>
  </si>
  <si>
    <t>Pro food embalagens (27/03/2026) - Pedido pote 750 ml número 1254126</t>
  </si>
  <si>
    <t>Notas_Images/97cb1c4f.Foto.221236.jpg</t>
  </si>
  <si>
    <t>Pedido pote 750 ml número 1254126</t>
  </si>
  <si>
    <t>Notas_Images/97cb1c4f.Foto 1.221236.jpg</t>
  </si>
  <si>
    <t>R$ 285,00</t>
  </si>
  <si>
    <t>compra de copos para as lojas (JOICE )</t>
  </si>
  <si>
    <t>Pedido 118938 nota de serviço</t>
  </si>
  <si>
    <t>PAGAMENTO FREELNCER MARI DAS 13 ATE AS 22;30</t>
  </si>
  <si>
    <t>Pedido 120730</t>
  </si>
  <si>
    <t>Reembolso presente Pascoa</t>
  </si>
  <si>
    <t>Gervasio (02/04/2026) - Compra de uva Abacaxi e banana</t>
  </si>
  <si>
    <t>Notas_Images/22440a83.Foto.185854.jpg</t>
  </si>
  <si>
    <t>pagamento freelancer RAFAELA das 12;42 ate as 18;42</t>
  </si>
  <si>
    <t>Compra de uva Abacaxi e banana</t>
  </si>
  <si>
    <t>R$ 92,00</t>
  </si>
  <si>
    <t>Gervasio (04/04/2026) - Compra de uva Abacaxi</t>
  </si>
  <si>
    <t>Notas_Images/c093762a.Foto.190424.jpg</t>
  </si>
  <si>
    <t>Compra de uva Abacaxi</t>
  </si>
  <si>
    <t>PGAMENTO DO MOTOBY (RENAN) REFERENTE A 8 ENTREGAS 12 REAI CADA</t>
  </si>
  <si>
    <t>Komprao (04/04/2026) - Compra de Sabão neutro pra loja pão pra lanche fim de semana e banana</t>
  </si>
  <si>
    <t>Notas_Images/6722cef8.Foto.190339.jpg</t>
  </si>
  <si>
    <t>Compra de Sabão neutro pra loja pão pra lanche fim de semana e banana</t>
  </si>
  <si>
    <t>Komprao (03/04/2026) - Compra de pão queijo e mortadela pra lanche fim de semana</t>
  </si>
  <si>
    <t>Notas_Images/c24c3365.Foto.190541.jpg</t>
  </si>
  <si>
    <t>R$ 62,54</t>
  </si>
  <si>
    <t>Compra de pão queijo e mortadela pra lanche fim de semana</t>
  </si>
  <si>
    <t>compra de pao ,esponja , suco de abacaxi para a loja e Mortandela</t>
  </si>
  <si>
    <t>Chaveiro Ritzman (02/04/2026) - Impressão</t>
  </si>
  <si>
    <t>Notas_Images/7a8ae4e2.Foto.190640.jpg</t>
  </si>
  <si>
    <t>Impressão</t>
  </si>
  <si>
    <t>Elaine Hubl (01/04/2026) - Compra de 10kg de morango</t>
  </si>
  <si>
    <t>PAGAMENTO MOTOBOY ( VINICIUS ) REFERENTE A 8 ENTREGAS ( 12 CADA)</t>
  </si>
  <si>
    <t>Notas_Images/a7f63552.Foto.190748.jpg</t>
  </si>
  <si>
    <t>Amadelli (27/02/2026) - Decoração de Páscoa (pedido n⁰114596)</t>
  </si>
  <si>
    <t>Decoração de Páscoa (pedido n⁰114596)</t>
  </si>
  <si>
    <t>Alexandre Lorena (Limpeza dos vidros da loja) (03/04/2026) - Serviços de limpeza dos vidros da loja</t>
  </si>
  <si>
    <t>Notas_Images/30d7969e.Foto.190950.jpg</t>
  </si>
  <si>
    <t>Serviços de limpeza dos vidros da loja</t>
  </si>
  <si>
    <t>pagamento de freelancer joao das 13;30 ate as 17;00 horas</t>
  </si>
  <si>
    <t>Elaine Hubl (04/04/2026) - Compra de 16kg de morangos</t>
  </si>
  <si>
    <t>Notas_Images/980bbb54.Foto.191122.jpg</t>
  </si>
  <si>
    <t>2038796</t>
  </si>
  <si>
    <t>Compra de 16kg de morangos</t>
  </si>
  <si>
    <t>Motoboy (05/04/2026) - Pagamento motoboy Mario referente ao dia 30/03 até o dia 04/04.</t>
  </si>
  <si>
    <t>Notas_Images/9adba4b0.Foto.191339.jpg</t>
  </si>
  <si>
    <t>PAGAMENTO DE FREELANCER ( RAFAELA ) DAS 13;30 ATE 22;30</t>
  </si>
  <si>
    <t>Pagamento motoboy Mario referente ao dia 30/03 até o dia 04/04.</t>
  </si>
  <si>
    <t>2032848</t>
  </si>
  <si>
    <t>Motoboy (05/04/2026) - Pagamento motoboy Felipe</t>
  </si>
  <si>
    <t>pagamento de freelancer Rose das 14; 00h ate 19;00 horas</t>
  </si>
  <si>
    <t>Notas_Images/0c5fc3ba.Foto.191435.jpg</t>
  </si>
  <si>
    <t>2038822</t>
  </si>
  <si>
    <t>Pagamento motoboy Felipe</t>
  </si>
  <si>
    <t>Pro food embalagens (02/04/2026) - Pedido 1272094 tampas</t>
  </si>
  <si>
    <t>Notas_Images/9f1686a4.Foto.193949.jpg</t>
  </si>
  <si>
    <t>Pedido 1272094 tampas</t>
  </si>
  <si>
    <t>2038818</t>
  </si>
  <si>
    <t>Pro food embalagens (01/04/2026) - Pedido 1272094 copos edesivos embalagens tampas</t>
  </si>
  <si>
    <t>Notas_Images/8e9c0a3c.Foto.202839.jpg</t>
  </si>
  <si>
    <t>Pedido 1272094 copos edesivos embalagens tampas</t>
  </si>
  <si>
    <t>PAGAMENTO REELANCER (NATALIA ) DAS 13;H ATE AS 21;30</t>
  </si>
  <si>
    <t>2038811</t>
  </si>
  <si>
    <t>R$ 1.700,00</t>
  </si>
  <si>
    <t>Notas_Images/8e9c0a3c.Foto 1.202838.jpg</t>
  </si>
  <si>
    <t>Pedido 120241 nota de serviço</t>
  </si>
  <si>
    <t>Pedido 120250 nota de serviço</t>
  </si>
  <si>
    <t>2040368</t>
  </si>
  <si>
    <t>Pedido 120730 nota de serviço</t>
  </si>
  <si>
    <t>2040339</t>
  </si>
  <si>
    <t>PAGAMENTO FREELANCER REFAELA DAS 13H ATE 22;30</t>
  </si>
  <si>
    <t>2042616</t>
  </si>
  <si>
    <t>2042606</t>
  </si>
  <si>
    <t>R$ 644,00</t>
  </si>
  <si>
    <t>9/42</t>
  </si>
  <si>
    <t>PAGAMENTO MOTOBY (MARIO ) REFERENTE DIA 8/12 ATE 14/12</t>
  </si>
  <si>
    <t>PAGAMENTO MARI DAS 13;00 ATE AS 22;30</t>
  </si>
  <si>
    <t>2050186</t>
  </si>
  <si>
    <t>Férias</t>
  </si>
  <si>
    <t>Amadelli (08/04/2026) - Pedido gelado número (124195)</t>
  </si>
  <si>
    <t>Notas_Images/d4792da3.Foto.214032.jpg</t>
  </si>
  <si>
    <t>Pedido gelado número (124195)</t>
  </si>
  <si>
    <t>Notas_Images/d4792da3.Foto 1.214032.jpg</t>
  </si>
  <si>
    <t>REFERENTE A TROCA DE MOEDAS 300 ML</t>
  </si>
  <si>
    <t>Chaveiro Ritzman (07/04/2026) - 2 impressões para Renata assinar as ferias</t>
  </si>
  <si>
    <t>Notas_Images/39fde854.Foto.195833.jpg</t>
  </si>
  <si>
    <t>2 impressões para Renata assinar as ferias</t>
  </si>
  <si>
    <t>R$ 640,89</t>
  </si>
  <si>
    <t>PAGAMENTO FRELANCER ( JENIFER ) DO DIA 8/12 ATE 14/12</t>
  </si>
  <si>
    <t>MANI COMERCIO DE BEBIDAS (10/04/2026) - Compra de Aguas</t>
  </si>
  <si>
    <t>Notas_Images/a3f69394.Foto.200019.jpg</t>
  </si>
  <si>
    <t>Pagamento freelancer Rafaela das 13:00 até as 21:30</t>
  </si>
  <si>
    <t>The Best açaí Rio Negrinho (12/04/2026) - Pagamento de free-lancer da jeniffer referente aos dias 07/04 até o dia 10/04</t>
  </si>
  <si>
    <t>Notas_Images/9714e61f.Foto.214005.jpg</t>
  </si>
  <si>
    <t>Pagamento de free-lancer da jeniffer referente aos dias 07/04 até o dia 10/04</t>
  </si>
  <si>
    <t>Motoboy (12/04/2026) - Pagamento do motoboy João referente ao dia 08/04 ao dia 12/04.</t>
  </si>
  <si>
    <t>Notas_Images/8b22f2ac.Foto.214327.jpg</t>
  </si>
  <si>
    <t>Pagamento do motoboy João referente ao dia 08/04 ao dia 12/04.</t>
  </si>
  <si>
    <t>2051694</t>
  </si>
  <si>
    <t>Elaine Hubl (13/04/2026) - Compra de 8kg de morango</t>
  </si>
  <si>
    <t>Notas_Images/5f2cce3f.Foto.214437.jpg</t>
  </si>
  <si>
    <t>Pagamento freelancer Rose das 14:00 até as 22:00</t>
  </si>
  <si>
    <t>Komprao (10/04/2026) - Compra de pão queijo pra lanche de final de semana e banana e manga pra loja</t>
  </si>
  <si>
    <t>Notas_Images/9e4ec3d0.Foto.214657.jpg</t>
  </si>
  <si>
    <t>Compra de pão queijo pra lanche de final de semana e banana e manga pra loja</t>
  </si>
  <si>
    <t>Gervasio (13/04/2026) - Compra de abacaxi manga e banana</t>
  </si>
  <si>
    <t>Notas_Images/e30933ec.Foto.214910.jpg</t>
  </si>
  <si>
    <t>Compra de abacaxi manga e banana</t>
  </si>
  <si>
    <t>R$ 13,00</t>
  </si>
  <si>
    <t>SAMAE (13/04/2026) - Conta de agua mes abril</t>
  </si>
  <si>
    <t>Notas_Images/3ce12957.Foto.215735.jpg</t>
  </si>
  <si>
    <t>Conta de agua mes abril</t>
  </si>
  <si>
    <t>R$ 924,00</t>
  </si>
  <si>
    <t>Pro food embalagens (09/04/2026) - Pedido 1302910</t>
  </si>
  <si>
    <t>Pagamento motoboy Mario referente ao dia 12/01/26 até 18/01/26</t>
  </si>
  <si>
    <t>Notas_Images/5c663dee.Foto.220418.jpg</t>
  </si>
  <si>
    <t>Pedido 1302910</t>
  </si>
  <si>
    <t>Notas_Images/5c663dee.Foto 1.220418.jpg</t>
  </si>
  <si>
    <t>internet</t>
  </si>
  <si>
    <t>COMPRA DE 10KG DE MORANGO</t>
  </si>
  <si>
    <t>3/8 comprado e dividido com cartão particular R$975</t>
  </si>
  <si>
    <t>Sangria Mari</t>
  </si>
  <si>
    <t>venc abril zerada</t>
  </si>
  <si>
    <t>2059592</t>
  </si>
  <si>
    <t>R$ 199,94</t>
  </si>
  <si>
    <t>Relação de Notas de Compras não enviadas</t>
  </si>
  <si>
    <t>350b6d62</t>
  </si>
  <si>
    <t>FRUTAS GERVASIO</t>
  </si>
  <si>
    <t>kopus (10/04/2026) - Pedido 056885 tampas e copos de 500 ml</t>
  </si>
  <si>
    <t>Notas_Images/21da7c50.Foto.000818.jpg</t>
  </si>
  <si>
    <t>Pedido 056885 tampas e copos de 500 ml</t>
  </si>
  <si>
    <t>2056684</t>
  </si>
  <si>
    <t>Habite-se</t>
  </si>
  <si>
    <t>pagamento da free lancer Rafaela das 13:00 até as18:30.</t>
  </si>
  <si>
    <t>2064160</t>
  </si>
  <si>
    <t>2056332</t>
  </si>
  <si>
    <t>Amadelli (09/04/2026) - Pedido 124214</t>
  </si>
  <si>
    <t>Notas_Images/3a9ef75f.Foto.172611.jpg</t>
  </si>
  <si>
    <t>Pedido 124214</t>
  </si>
  <si>
    <t>R$ 237,10</t>
  </si>
  <si>
    <t>2064121</t>
  </si>
  <si>
    <t>Notas_Images/3a9ef75f.Foto 1.172611.jpg</t>
  </si>
  <si>
    <t>compra de agua</t>
  </si>
  <si>
    <t>Elaine Hubl (17/04/2026) - 10 kg morangos</t>
  </si>
  <si>
    <t>Notas_Images/900af75f.Foto.211904.jpg</t>
  </si>
  <si>
    <t>2064277</t>
  </si>
  <si>
    <t>R$ 176,60</t>
  </si>
  <si>
    <t>e3d9d604</t>
  </si>
  <si>
    <t>Tráfego Pago Instagram (17/04/2026) - Propaganda Instagram</t>
  </si>
  <si>
    <t>compra de uva, manga, abacaxi e banana (Gervásio)</t>
  </si>
  <si>
    <t>Notas_Images/7f471404.Foto.212054.jpg</t>
  </si>
  <si>
    <t>Propaganda Instagram</t>
  </si>
  <si>
    <t>Motoboy (19/04/2026) - Pagamento para motoboy do dia 13/04 ate 19/04</t>
  </si>
  <si>
    <t>Notas_Images/b761f351.Foto.212449.jpg</t>
  </si>
  <si>
    <t>Pagamento para motoboy do dia 13/04 ate 19/04</t>
  </si>
  <si>
    <t>R$ 11,05</t>
  </si>
  <si>
    <t>Elaine Hubl (20/04/2026) - 8kg morangos</t>
  </si>
  <si>
    <t>Notas_Images/247303ef.Foto.212538.jpg</t>
  </si>
  <si>
    <t>8kg morangos</t>
  </si>
  <si>
    <t>487a9fe2</t>
  </si>
  <si>
    <t>Pagamento de Freelancer (20/04/2026) - Pagamento free jeniffer do dia 13/05 ate 20/04</t>
  </si>
  <si>
    <t>Notas_Images/adb8c10a.Foto.212709.jpg</t>
  </si>
  <si>
    <t>Pagamento free jeniffer do dia 13/05 ate 20/04</t>
  </si>
  <si>
    <t>Komprao (17/04/2026) - Lanche final de semana</t>
  </si>
  <si>
    <t>Notas_Images/8594ddbf.Foto.212900.jpg</t>
  </si>
  <si>
    <t>pagamento da free lancer Rafaela das 13:00 até as 18:30</t>
  </si>
  <si>
    <t>R$ 163,36</t>
  </si>
  <si>
    <t>Gervasio (17/04/2026) - Frutas</t>
  </si>
  <si>
    <t>compra de uva ,banana e manga</t>
  </si>
  <si>
    <t>Notas_Images/e6dcb857.Foto.212948.jpg</t>
  </si>
  <si>
    <t>Chaveiro Ritzmann (14/04/2026) - 1 papel impresso</t>
  </si>
  <si>
    <t>Notas_Images/c1d5ee1c.Foto.213049.jpg</t>
  </si>
  <si>
    <t>1 papel impresso</t>
  </si>
  <si>
    <t>Komprao (20/04/2026) - Compra de Inseticida,Aguas,e lanche para os dias 21 e 24/04 feriados</t>
  </si>
  <si>
    <t>Notas_Images/eb995c29.Foto.214915.jpg</t>
  </si>
  <si>
    <t>Compra de Inseticida,Aguas,e lanche para os dias 21 e 24/04 feriados</t>
  </si>
  <si>
    <t>pagamento de lanche Daniel</t>
  </si>
  <si>
    <t>Luani Papelaria (20/04/2026) - Compra de grampos para grampeadores</t>
  </si>
  <si>
    <t>Notas_Images/91fe5696.Foto.215033.jpg</t>
  </si>
  <si>
    <t>R$ 5,30</t>
  </si>
  <si>
    <t>2066612</t>
  </si>
  <si>
    <t>Compra de grampos para grampeadores</t>
  </si>
  <si>
    <t>Impressões para a loja</t>
  </si>
  <si>
    <t>2066616</t>
  </si>
  <si>
    <t>R$ 48,00</t>
  </si>
  <si>
    <t>2066609</t>
  </si>
  <si>
    <t>pagamento de almoço Daniel</t>
  </si>
  <si>
    <t>R$ 77,94</t>
  </si>
  <si>
    <t>Compra de panetone e esponja para a loja</t>
  </si>
  <si>
    <t>Pedido 124195 nota de serviço</t>
  </si>
  <si>
    <t>2072127</t>
  </si>
  <si>
    <t>Pedido 124214 nota de serviço</t>
  </si>
  <si>
    <t>2066624</t>
  </si>
  <si>
    <t>Gervasio (23/04/2026) - Compra de abacaxi uva e banana</t>
  </si>
  <si>
    <t>Notas_Images/91ad14ec.Foto.170019.jpg</t>
  </si>
  <si>
    <t>Compra de abacaxi uva e banana</t>
  </si>
  <si>
    <t>2072183</t>
  </si>
  <si>
    <t>compras para reparo da loja para Daniel</t>
  </si>
  <si>
    <t>Minersol (22/04/2026) - Compra de uva manga e banana</t>
  </si>
  <si>
    <t>Notas_Images/e6b1c584.Foto.170142.jpg</t>
  </si>
  <si>
    <t>Compra de uva manga e banana</t>
  </si>
  <si>
    <t>compra de 15kg de morango</t>
  </si>
  <si>
    <t>2067087</t>
  </si>
  <si>
    <t>Cofermaco (22/04/2026) - Compra de linha de pedreiro</t>
  </si>
  <si>
    <t>Notas_Images/3808f9b5.Foto.170246.jpg</t>
  </si>
  <si>
    <t>Compra de linha de pedreiro</t>
  </si>
  <si>
    <t>2072167</t>
  </si>
  <si>
    <t>Amadelli (22/04/2026) - Pedido gelado número 127138</t>
  </si>
  <si>
    <t>Notas_Images/716efe30.Foto.170607.jpg</t>
  </si>
  <si>
    <t>Pedido gelado número 127138</t>
  </si>
  <si>
    <t>R$ 201,00</t>
  </si>
  <si>
    <t>Notas_Images/716efe30.Foto 1.170607.jpg</t>
  </si>
  <si>
    <t>compra de desempenadeira, espatula para reparo da loja Daniel</t>
  </si>
  <si>
    <t>Amadelli (22/04/2026) - Pedido gelado acai light numero 126467</t>
  </si>
  <si>
    <t>Notas_Images/c9f609f9.Foto.170831.jpg</t>
  </si>
  <si>
    <t>Pedido gelado acai light numero 126467</t>
  </si>
  <si>
    <t>SANGRIA ( MARI )</t>
  </si>
  <si>
    <t>2080120</t>
  </si>
  <si>
    <t>Amadelli (22/04/2026) - Suporte de bola pedido número 125414</t>
  </si>
  <si>
    <t>Notas_Images/2135ed3c.Foto.170946.jpg</t>
  </si>
  <si>
    <t>Suporte de bola pedido número 125414</t>
  </si>
  <si>
    <t>2074386</t>
  </si>
  <si>
    <t>MANI COMERCIO DE BEBIDAS (23/04/2026) - Compra de água pra loja</t>
  </si>
  <si>
    <t>Notas_Images/6c490151.Foto.171322.jpg</t>
  </si>
  <si>
    <t>Compra de água pra loja</t>
  </si>
  <si>
    <t>R$ 171,30</t>
  </si>
  <si>
    <t>compra na Eletrobox de materiais para reparos da loja Daniel</t>
  </si>
  <si>
    <t>Novo lar (23/04/2026) - Compra de papel toalha e papel higiênico para loja</t>
  </si>
  <si>
    <t>Notas_Images/e8ff3e9b.Foto.193628.jpg</t>
  </si>
  <si>
    <t>2078520</t>
  </si>
  <si>
    <t>Compra de papel toalha e papel higiênico para loja</t>
  </si>
  <si>
    <t>R$ 119,13</t>
  </si>
  <si>
    <t>COMPRA DE ( PAO ) E RERIGERATE PARA VENDA DA LOJA</t>
  </si>
  <si>
    <t>Elaine Hubl (24/04/2026) - Compra de morango 12kg de morango</t>
  </si>
  <si>
    <t>Notas_Images/7970d115.Foto.193812.jpg</t>
  </si>
  <si>
    <t>Compra de morango 12kg de morango</t>
  </si>
  <si>
    <t>2078194</t>
  </si>
  <si>
    <t>Komprao (24/04/2026) - Compra de pão pra sexta sabado e domingo e queijo</t>
  </si>
  <si>
    <t>Notas_Images/202a78e2.Foto.193947.jpg</t>
  </si>
  <si>
    <t>Compra de pão pra sexta sabado e domingo e queijo</t>
  </si>
  <si>
    <t>Pagamento freelancer Rafaela das 13:00 até 18:30</t>
  </si>
  <si>
    <t>PAGAMENTO FREELANCER RAFAELA DAS 13H AS 20H</t>
  </si>
  <si>
    <t>R$ 37,74</t>
  </si>
  <si>
    <t>Retirada de dois copos de 300ml de troca de cédulas para a loja</t>
  </si>
  <si>
    <t>Pedido 127139</t>
  </si>
  <si>
    <t>R$ 71,50</t>
  </si>
  <si>
    <t>pagamento de fre lancer joão das 13:30 ás 19:00. 20/12</t>
  </si>
  <si>
    <t>Motoboy (26/04/2026) - Pagamento do motoboy João referente ao dia 20/04 até o dia 26/04</t>
  </si>
  <si>
    <t>Notas_Images/c4890818.Foto.165852.jpg</t>
  </si>
  <si>
    <t>Pagamento do motoboy João referente ao dia 20/04 até o dia 26/04</t>
  </si>
  <si>
    <t>Amadelli (20/04/2026) - Pedido seco 127139</t>
  </si>
  <si>
    <t>Notas_Images/ea623f78.Foto.171254.jpg</t>
  </si>
  <si>
    <t>Pedido seco 127139</t>
  </si>
  <si>
    <t>R$ 52,00</t>
  </si>
  <si>
    <t>Pagamento freelancer rafaela das 12:41 até 16:41</t>
  </si>
  <si>
    <t>Vale transporte (28/04/2026) - Compra de 40 passes transtusa para Sabrina (vale transporte)</t>
  </si>
  <si>
    <t>Notas_Images/611bfaae.Foto.183911.jpg</t>
  </si>
  <si>
    <t>Compra de 40 passes transtusa para Sabrina (vale transporte)</t>
  </si>
  <si>
    <t>078d581a</t>
  </si>
  <si>
    <t>Brustolin máquinas e equipamentos (25/04/2026) - Compra de freezer vertical</t>
  </si>
  <si>
    <t>Notas_Images/1add2660.Foto.223547.jpg</t>
  </si>
  <si>
    <t>Compra de freezer vertical</t>
  </si>
  <si>
    <t>R$ 137,64</t>
  </si>
  <si>
    <t>COMPRA DE UVA ,BANANA,ABACAXI E MANGA</t>
  </si>
  <si>
    <t>compra de morango 15kg</t>
  </si>
  <si>
    <t>2083957</t>
  </si>
  <si>
    <t>Elaine Hubl (30/04/2026) - 5kg morangos</t>
  </si>
  <si>
    <t>Notas_Images/46047a6d.Foto.185750.jpg</t>
  </si>
  <si>
    <t>R$ 200,00</t>
  </si>
  <si>
    <t>pago gasolina para (DANIEL PATRAO )</t>
  </si>
  <si>
    <t>2087731</t>
  </si>
  <si>
    <t>Komprao (01/05/2026) - 1kg Banana</t>
  </si>
  <si>
    <t>Notas_Images/95b7760e.Foto.185901.jpg</t>
  </si>
  <si>
    <t>1kg Banana</t>
  </si>
  <si>
    <t>Komprao (02/05/2026) - Lanche final de semana  Pao e Queijo</t>
  </si>
  <si>
    <t>Notas_Images/58874ae2.Foto.190010.jpg</t>
  </si>
  <si>
    <t>Lanche final de semana  Pao e Queijo</t>
  </si>
  <si>
    <t>2083551</t>
  </si>
  <si>
    <t>Komprao (01/05/2026) - Compra de lanche final de semana Pao e Queijo</t>
  </si>
  <si>
    <t>Notas_Images/d9850318.Foto.190230.jpg</t>
  </si>
  <si>
    <t>Compra de lanche final de semana Pao e Queijo</t>
  </si>
  <si>
    <t>R$ 25,00</t>
  </si>
  <si>
    <t>R$ 528,85</t>
  </si>
  <si>
    <t>2081689</t>
  </si>
  <si>
    <t>COMPRA SPRAY PARA REPARO DA LOJA</t>
  </si>
  <si>
    <t>PAGAMENTO DA FREELANCER JENIFFER DO DIA 15/12 ATE 20/12</t>
  </si>
  <si>
    <t>Motoboy (03/05/2026) - Pagamento De Entregas Motoboy Antônio do dia 27/04 a 03/05</t>
  </si>
  <si>
    <t>Notas_Images/acea3bb1.Foto.190402.jpg</t>
  </si>
  <si>
    <t>Pagamento De Entregas Motoboy Antônio do dia 27/04 a 03/05</t>
  </si>
  <si>
    <t>2087735</t>
  </si>
  <si>
    <t>708180db</t>
  </si>
  <si>
    <t>Gasolina (04/05/2026) - Abastecimento de gasolina do Daniel (venho fazer reparos na loja )</t>
  </si>
  <si>
    <t>Notas_Images/afaa7316.Foto.215453.jpg</t>
  </si>
  <si>
    <t>Abastecimento de gasolina do Daniel (venho fazer reparos na loja )</t>
  </si>
  <si>
    <t>Pedido 125414 nota de serviço</t>
  </si>
  <si>
    <t>2087746</t>
  </si>
  <si>
    <t>Pagamento freelancer Rafaela das 12:41 até 16:41</t>
  </si>
  <si>
    <t>Pedido 126467 nota de serviço</t>
  </si>
  <si>
    <t>Pedido 127138 nota de serviço</t>
  </si>
  <si>
    <t>PAGAMENTO FREELANCER CARLA DAS 13 H ATE AS 22;30</t>
  </si>
  <si>
    <t>2087751</t>
  </si>
  <si>
    <t>Pedido 127139 nota de serviço</t>
  </si>
  <si>
    <t>R$ 49,33</t>
  </si>
  <si>
    <t>compra de lanche para final de semana</t>
  </si>
  <si>
    <t>10/42</t>
  </si>
  <si>
    <t>PAGAMENTO FREELANCER RAFAELA DAS 13 H ATE 22;30</t>
  </si>
  <si>
    <t>Komprao (05/05/2026) - Compra de banana</t>
  </si>
  <si>
    <t>Notas_Images/7aac70e9.Foto.184353.jpg</t>
  </si>
  <si>
    <t>R$ 59,00</t>
  </si>
  <si>
    <t>Pagamento freelancer João das 13:27 até 18:00</t>
  </si>
  <si>
    <t>91d2a624</t>
  </si>
  <si>
    <t>Pizzaria express Benne (30/04/2026) - Compra de pizzas pra comemoração do dia do trabalhador.</t>
  </si>
  <si>
    <t>Notas_Images/a4fb875d.Foto.184649.jpg</t>
  </si>
  <si>
    <t>Compra de pizzas pra comemoração do dia do trabalhador.</t>
  </si>
  <si>
    <t>Amadelli (05/05/2026) - Pedido gelado número 129303</t>
  </si>
  <si>
    <t>Notas_Images/1e7d248b.Foto.203159.jpg</t>
  </si>
  <si>
    <t>Pedido gelado número 129303</t>
  </si>
  <si>
    <t>R$ 57,00</t>
  </si>
  <si>
    <t>PAGAMENTO DA FREELANCER JENIFFER DO DIA 15/12 ATE DIA 20/12</t>
  </si>
  <si>
    <t>Amadelli (05/05/2026) - Pedido gelado número 122872</t>
  </si>
  <si>
    <t>Notas_Images/a515a7a3.Foto.203645.jpg</t>
  </si>
  <si>
    <t>Pedido gelado número 122872</t>
  </si>
  <si>
    <t>Pagamento freelancer rafaela das 13:29 até 19:00</t>
  </si>
  <si>
    <t>Amadelli (05/05/2026) - Pedido gelado número 129977</t>
  </si>
  <si>
    <t>Notas_Images/efdf9ef3.Foto.204106.jpg</t>
  </si>
  <si>
    <t>Pedido gelado número 129977</t>
  </si>
  <si>
    <t>Notas_Images/efdf9ef3.Foto 1.204106.jpg</t>
  </si>
  <si>
    <t>ff952347</t>
  </si>
  <si>
    <t>Tampa freezer</t>
  </si>
  <si>
    <t>R$ 60,00</t>
  </si>
  <si>
    <t>Pagamento motoboy Renan referente ao dia 21/12/25 com 5 entregas (12,00 cada)</t>
  </si>
  <si>
    <t>Gervasio (11/05/2026) - Compra de uva Thompson, banana, abacaxi pérola e manga</t>
  </si>
  <si>
    <t>Notas_Images/85cff097.Foto.200417.jpg</t>
  </si>
  <si>
    <t>Compra de uva Thompson, banana, abacaxi pérola e manga</t>
  </si>
  <si>
    <t>PAGAMENTO DE FREELANCER CARLA DAS 13 ATE AS 22;30</t>
  </si>
  <si>
    <t>ABC digital . Gráfica digital (23/04/2026) - Tres conjunto de bolas e cartaz da copo para as lojas de Rio Negrinho, São Bento do Sul e Mafra</t>
  </si>
  <si>
    <t>Notas_Images/0b21ddff.Foto.200833.jpg</t>
  </si>
  <si>
    <t>Tres conjunto de bolas e cartaz da copo para as lojas de Rio Negrinho, São Bento do Sul e Mafra</t>
  </si>
  <si>
    <t>The Best açaí Rio Negrinho (10/05/2026) - Pagamento de free-lancer da Jeniffer do dia 27/04 até o dia 08/05</t>
  </si>
  <si>
    <t>Notas_Images/6246bb43.Foto.201047.jpg</t>
  </si>
  <si>
    <t>Pagamento de free-lancer da Jeniffer do dia 27/04 até o dia 08/05</t>
  </si>
  <si>
    <t>pagamento da free lancer Carla</t>
  </si>
  <si>
    <t>Motoboy (10/05/2026) - Pagamento motoboy João Vitor referente ao dia 04/05 até o dia 10/05</t>
  </si>
  <si>
    <t>Notas_Images/9d0edd63.Foto.201340.jpg</t>
  </si>
  <si>
    <t>Pagamento motoboy João Vitor referente ao dia 04/05 até o dia 10/05</t>
  </si>
  <si>
    <t>PAGAMENTO RAFAELA FREELANCER DAS 13;30 ATE AS 22;30</t>
  </si>
  <si>
    <t>Elaine Hubl (11/05/2026) - Compra de 5kg de morango</t>
  </si>
  <si>
    <t>Notas_Images/5a9b6ab4.Foto.204137.jpg</t>
  </si>
  <si>
    <t>R$ 2.800,00</t>
  </si>
  <si>
    <t>pagamento da free lancer Rafalela</t>
  </si>
  <si>
    <t>2097952</t>
  </si>
  <si>
    <t>2094154</t>
  </si>
  <si>
    <t>2097904</t>
  </si>
  <si>
    <t>4/8 comprado e dividido com cartão particular R$975</t>
  </si>
  <si>
    <t>R$ 972,00</t>
  </si>
  <si>
    <t>PAGAMENTO MARIO MOTOBOY DO DIA 15/12 ATE 21/12</t>
  </si>
  <si>
    <t>Férias 8/05 a 16/06 Mariselma (30 dias)</t>
  </si>
  <si>
    <t>adiant</t>
  </si>
  <si>
    <t>2097909</t>
  </si>
  <si>
    <t>Amadelli (07/05/2026) - Pedido seco 130470</t>
  </si>
  <si>
    <t>R$ 684,00</t>
  </si>
  <si>
    <t>Notas_Images/4a3f6bf0.Foto.182545.jpg</t>
  </si>
  <si>
    <t>Pedido seco 130470</t>
  </si>
  <si>
    <t>PAGAMENTO DE MARIO MOTOBOY REFERENTE DIA 19/01/ 26 ATE 25/01/26</t>
  </si>
  <si>
    <t>Elaine Hubl (15/05/2026) - Compra de 3kg Morangos (28 reais o kilo)</t>
  </si>
  <si>
    <t>Notas_Images/de4fb607.Foto.222506.jpg</t>
  </si>
  <si>
    <t>Compra de 3kg Morangos (28 reais o kilo)</t>
  </si>
  <si>
    <t>R$ 1.050,00</t>
  </si>
  <si>
    <t>Tráfego Pago Instagram (16/05/2026) - Tráfego pago instagram e pães  dessa semana e semana passada</t>
  </si>
  <si>
    <t>Notas_Images/ff2a8b5c.Foto.222715.jpg</t>
  </si>
  <si>
    <t>Tráfego pago instagram e pães  dessa semana e semana passada</t>
  </si>
  <si>
    <t>Komprao (16/05/2026) - Mortadela e Queijo para final de semana</t>
  </si>
  <si>
    <t>Notas_Images/d2f687ef.Foto.222912.jpg</t>
  </si>
  <si>
    <t>Mortadela e Queijo para final de semana</t>
  </si>
  <si>
    <t>Pedido 129977 nota de serviço</t>
  </si>
  <si>
    <t>Pedido 129303 nota de serviço</t>
  </si>
  <si>
    <t>PAGAMENTO DA REELANCER RAFAELA DAS 13H ATE 18;30</t>
  </si>
  <si>
    <t>Pedido 130470 nota de serviço</t>
  </si>
  <si>
    <t>Pedido 122872 confirmado com o financeiro</t>
  </si>
  <si>
    <t>venc maio zerado</t>
  </si>
  <si>
    <t>Gervasio (21/05/2026) - Compra de abacaxi uva manga e banana</t>
  </si>
  <si>
    <t>R$ 151,33</t>
  </si>
  <si>
    <t>Notas_Images/8b5d0c9e.Foto.190813.jpg</t>
  </si>
  <si>
    <t>Compra de abacaxi uva manga e banana</t>
  </si>
  <si>
    <t>Pagamento Uvas Gervasio 151,33 22/12/2025</t>
  </si>
  <si>
    <t>Motoboy (17/05/2026) - Pagamento motoboy do dia 11/05 ao dia 17/05.</t>
  </si>
  <si>
    <t>Notas_Images/8b9f67fa.Foto.191015.jpg</t>
  </si>
  <si>
    <t>Pagamento motoboy do dia 11/05 ao dia 17/05.</t>
  </si>
  <si>
    <t>Elaine Hubl (20/05/2026) - Compra de 5kg de morango</t>
  </si>
  <si>
    <t>Notas_Images/3a5b18af.Foto.191157.jpg</t>
  </si>
  <si>
    <t>Amadelli (20/05/2026) - Pedido gelado número 132623</t>
  </si>
  <si>
    <t>Notas_Images/df3d56bb.Foto.191422.jpg</t>
  </si>
  <si>
    <t>Pedido gelado número 132623</t>
  </si>
  <si>
    <t>R$ 72,00</t>
  </si>
  <si>
    <t>pagamento freelancer Daniela 14h as 20h</t>
  </si>
  <si>
    <t>Amadelli (20/05/2026) - Pedido kits festa número 122060</t>
  </si>
  <si>
    <t>Notas_Images/5691db92.Foto.191755.jpg</t>
  </si>
  <si>
    <t>Pedido kits festa número 122060</t>
  </si>
  <si>
    <t>2102353</t>
  </si>
  <si>
    <t>2106476</t>
  </si>
  <si>
    <t>2106077</t>
  </si>
  <si>
    <t>2103416</t>
  </si>
  <si>
    <t>Pedido 132623 nota de serviço</t>
  </si>
  <si>
    <t>2102404</t>
  </si>
  <si>
    <t>Komprao (22/05/2026) - Compra de lanche pra fim de semana, pão, queijo e presunto</t>
  </si>
  <si>
    <t>Notas_Images/883579ae.Foto.182532.jpg</t>
  </si>
  <si>
    <t>Compra de lanche pra fim de semana, pão, queijo e presunto</t>
  </si>
  <si>
    <t>Motoboy (24/05/2026) - Pagamento do motoboy João Vitor referente ao dia 18/05 ate o dia 24/05</t>
  </si>
  <si>
    <t>Notas_Images/c42c7906.Foto.182733.jpg</t>
  </si>
  <si>
    <t>Pagamento do motoboy João Vitor referente ao dia 18/05 ate o dia 24/05</t>
  </si>
  <si>
    <t>2100045</t>
  </si>
  <si>
    <t>92dee3cc</t>
  </si>
  <si>
    <t>Chaveiro (28/05/2026) - Impressões</t>
  </si>
  <si>
    <t>Notas_Images/d00192a5.Foto.211227.jpg</t>
  </si>
  <si>
    <t>2104395</t>
  </si>
  <si>
    <t>Gervasio (26/05/2026) - Compra de uva, manga, abacaxi e banana</t>
  </si>
  <si>
    <t>Notas_Images/854ba96b.Foto.211334.jpg</t>
  </si>
  <si>
    <t>Compra de uva, manga, abacaxi e banana</t>
  </si>
  <si>
    <t>Daniel (27/05/2026) - Compra de fechadura da porta do banheiro masculino (Daniel)</t>
  </si>
  <si>
    <t>Notas_Images/08ab43bd.Foto.211542.jpg</t>
  </si>
  <si>
    <t>Compra de fechadura da porta do banheiro masculino (Daniel)</t>
  </si>
  <si>
    <t>2106483</t>
  </si>
  <si>
    <t>Elaine Hubl (29/05/2026) - Compra de 5 kg de morango</t>
  </si>
  <si>
    <t>Notas_Images/eeffbe45.Foto.211654.jpg</t>
  </si>
  <si>
    <t>Compra de 5 kg de morango</t>
  </si>
  <si>
    <t>2108583</t>
  </si>
  <si>
    <t>ABC digital . Gráfica digital (29/05/2026) - Compra de 2 cartazes light e casquinha para loja de mafra. + adesivos light + adesivos copa</t>
  </si>
  <si>
    <t>Notas_Images/513666c8.Foto.213408.jpg</t>
  </si>
  <si>
    <t>Compra de 2 cartazes light e casquinha para loja de mafra. + adesivos light + adesivos copa</t>
  </si>
  <si>
    <t>ABC digital . Gráfica digital (29/05/2026) - Para Loja de São Bento do Sul Compra de 2 cartazes light e casquinha +adesivos light + adesivos copa.</t>
  </si>
  <si>
    <t>Notas_Images/dc6dbcb5.Foto.213539.jpg</t>
  </si>
  <si>
    <t>Para Loja de São Bento do Sul Compra de 2 cartazes light e casquinha +adesivos light + adesivos copa.</t>
  </si>
  <si>
    <t>2109772</t>
  </si>
  <si>
    <t>ABC digital . Gráfica digital (29/05/2026) - Compra de 4 cartazes light, bites, casquinha, petit gateau + adesivos ligth +adesivos copa + adesivos horário para loja Rio Negrinho.</t>
  </si>
  <si>
    <t>Notas_Images/4990206f.Foto.213853.jpg</t>
  </si>
  <si>
    <t>Compra de 4 cartazes light, bites, casquinha, petit gateau + adesivos ligth +adesivos copa + adesivos horário para loja Rio Negrinho.</t>
  </si>
  <si>
    <t>Komprao (29/05/2026) - Compra de pão, queijo e presunto pra fim de semana , e banana, abacaxi e uva</t>
  </si>
  <si>
    <t>Notas_Images/3ea982ac.Foto.214047.jpg</t>
  </si>
  <si>
    <t>Compra de pão, queijo e presunto pra fim de semana , e banana, abacaxi e uva</t>
  </si>
  <si>
    <t>fa0b586c</t>
  </si>
  <si>
    <t>Nicopel Embalagens LTDA (25/05/2026) - Potes copa do mundo e embalagens, waffle e Petit Gâteau</t>
  </si>
  <si>
    <t>Notas_Images/518e76a7.Foto.214357.jpg</t>
  </si>
  <si>
    <t>Potes copa do mundo e embalagens, waffle e Petit Gâteau</t>
  </si>
  <si>
    <t>Posto M7 (01/06/2026) - Pagamento de gasolina pra Daniel referente a reparos na loja</t>
  </si>
  <si>
    <t>Notas de Compras_Images/2df7dd77.Foto.232838.jpg</t>
  </si>
  <si>
    <t>Pagamento de gasolina pra Daniel referente a reparos na loja</t>
  </si>
  <si>
    <t>2202153</t>
  </si>
  <si>
    <t>Cofermaco (01/06/2026) - Compra de Sifão e engate para reparo da pia do banheiro masculino</t>
  </si>
  <si>
    <t>Notas de Compras_Images/ffcfa349.Foto.233031.jpg</t>
  </si>
  <si>
    <t>Compra de Sifão e engate para reparo da pia do banheiro masculino</t>
  </si>
  <si>
    <t>2202178</t>
  </si>
  <si>
    <t>Motoboy (01/06/2026) - Pagamento do motoboy João referente a duas entregas dia 30/05</t>
  </si>
  <si>
    <t>Notas de Compras_Images/7e61d5c9.Foto.233223.jpg</t>
  </si>
  <si>
    <t>Pagamento do motoboy João referente a duas entregas dia 30/05</t>
  </si>
  <si>
    <t>2205130</t>
  </si>
  <si>
    <t>Motoboy (01/06/2026) - Pagamento motoboy Ronaldo do dia 25/05 ate dia 30/05</t>
  </si>
  <si>
    <t>Notas de Compras_Images/096f762c.Foto.233337.jpg</t>
  </si>
  <si>
    <t>Pagamento motoboy Ronaldo do dia 25/05 ate dia 30/05</t>
  </si>
  <si>
    <t>2206743</t>
  </si>
  <si>
    <t>Elaine Hubl (04/06/2026) - 5kg morangos</t>
  </si>
  <si>
    <t>Notas de Compras_Images/369feb29.Foto.194758.jpg</t>
  </si>
  <si>
    <t>2209246</t>
  </si>
  <si>
    <t>Gervasio (04/06/2026) - Frutas</t>
  </si>
  <si>
    <t>Notas de Compras_Images/f6966fef.Foto.194844.jpg</t>
  </si>
  <si>
    <t>2207699</t>
  </si>
  <si>
    <t>Elaine Hubl (07/06/2026) - Compra ee 3kg de morango</t>
  </si>
  <si>
    <t>Notas de Compras_Images/f2c616a0.Foto.162912.jpg</t>
  </si>
  <si>
    <t>Compra ee 3kg de morango</t>
  </si>
  <si>
    <t>2212765</t>
  </si>
  <si>
    <t>Gervasio (07/06/2026) - Compra de banana, uva e manga 🥭</t>
  </si>
  <si>
    <t>Notas de Compras_Images/ebabb39d.Foto.163109.jpg</t>
  </si>
  <si>
    <t>Compra de banana, uva e manga 🥭</t>
  </si>
  <si>
    <t>2212866</t>
  </si>
  <si>
    <t>Komprao (07/06/2026) - Compra de pão queijo e mortadela pra lanche final de semana e leite</t>
  </si>
  <si>
    <t>Notas de Compras_Images/ada5b863.Foto.163229.jpg</t>
  </si>
  <si>
    <t>Compra de pão queijo e mortadela pra lanche final de semana e leite</t>
  </si>
  <si>
    <t>2214680</t>
  </si>
  <si>
    <t>Motoboy (09/06/2026) - Pagamento do dia 31/05 a 07/06 para motoboy Joao</t>
  </si>
  <si>
    <t>Notas de Compras_Images/d1ea8090.Foto.174718.jpg</t>
  </si>
  <si>
    <t>Pagamento do dia 31/05 a 07/06 para motoboy Joao</t>
  </si>
  <si>
    <t>2217317</t>
  </si>
  <si>
    <t>Elaine Hubl (08/06/2026) - 8kg morangos</t>
  </si>
  <si>
    <t>Notas de Compras_Images/cc46b127.Foto.174918.jpg</t>
  </si>
  <si>
    <t>2218713</t>
  </si>
  <si>
    <t>Gervasio (08/06/2026) - Compra de frutas</t>
  </si>
  <si>
    <t>Notas de Compras_Images/1098ae8d.Foto.175100.jpg</t>
  </si>
  <si>
    <t>2218717</t>
  </si>
  <si>
    <t>SAMAE (09/06/2026) - Conta de Agua</t>
  </si>
  <si>
    <t>Notas de Compras_Images/43d84122.Foto.175220.jpg</t>
  </si>
  <si>
    <t>2112967</t>
  </si>
  <si>
    <t>Pedido 122060 nota de serviço</t>
  </si>
  <si>
    <t>2117330</t>
  </si>
  <si>
    <t>2122112</t>
  </si>
  <si>
    <t>11/42</t>
  </si>
  <si>
    <t>2122436</t>
  </si>
  <si>
    <t>2123977</t>
  </si>
  <si>
    <t>5/8 comprado e dividido com cartão particular R$975</t>
  </si>
  <si>
    <t>1b49f1a1</t>
  </si>
  <si>
    <t>CONSERTO 2 MAQUINAS DE WAFFER</t>
  </si>
  <si>
    <t>2121514</t>
  </si>
  <si>
    <t>manutenção</t>
  </si>
  <si>
    <t>Referente ao acordo dos feriados</t>
  </si>
  <si>
    <t>2123504</t>
  </si>
  <si>
    <t>ad</t>
  </si>
  <si>
    <t>Gervasio (12/06/2026) - Compra de 10 abacaxi</t>
  </si>
  <si>
    <t>Notas de Compras_Images/aa419762.Foto.165507.jpg</t>
  </si>
  <si>
    <t>Compra de 10 abacaxi</t>
  </si>
  <si>
    <t>2224067</t>
  </si>
  <si>
    <t>Elaine Hubl (13/06/2026) - 9kg de morangos</t>
  </si>
  <si>
    <t>Notas de Compras_Images/3a68db1c.Foto.165637.jpg</t>
  </si>
  <si>
    <t>9kg de morangos</t>
  </si>
  <si>
    <t>2224070</t>
  </si>
  <si>
    <t>58585308</t>
  </si>
  <si>
    <t>ferreira e ferreira comercio de equipamentos (02/06/2026) - Maquina de casquinha</t>
  </si>
  <si>
    <t>Notas de Compras_Images/b49ef6e7.Foto.170726.jpg</t>
  </si>
  <si>
    <t>Maquina de casquinha</t>
  </si>
  <si>
    <t>0cd97d23</t>
  </si>
  <si>
    <t>Thieme Haus Padaria (13/06/2026) - Compra de pães para sabado e domingo</t>
  </si>
  <si>
    <t>Notas de Compras_Images/70d7a351.Foto.192347.jpg</t>
  </si>
  <si>
    <t>Compra de pães para sabado e domingo</t>
  </si>
  <si>
    <t>2225491</t>
  </si>
  <si>
    <t>Manutenção</t>
  </si>
  <si>
    <t>Amadelli (16/06/2026) - Pedido Gelado</t>
  </si>
  <si>
    <t>Notas de Compras_Images/136776.Foto.170743.jpg</t>
  </si>
  <si>
    <t>Notas de Compras_Images/136776.Foto1.170743.jpg</t>
  </si>
  <si>
    <t>Notas de Compras_Images/136776.Foto2.170743.jpg</t>
  </si>
  <si>
    <t>Amadelli (18/06/2026) - Pedido gelado</t>
  </si>
  <si>
    <t>Notas de Compras_Images/50b86622.Foto.171015.jpg</t>
  </si>
  <si>
    <t>Notas de Compras_Images/50b86622.Foto1.171015.jpg</t>
  </si>
  <si>
    <t>Amadelli (18/06/2026) - Waffles</t>
  </si>
  <si>
    <t>Notas de Compras_Images/103eb93b.Foto.171256.jpg</t>
  </si>
  <si>
    <t>Waffles</t>
  </si>
  <si>
    <t>Notas de Compras_Images/103eb93b.Foto1.171256.jpg</t>
  </si>
  <si>
    <t>Rescisório</t>
  </si>
  <si>
    <t>Rescisão</t>
  </si>
  <si>
    <t>Komprao (19/06/2026) - Compra de pães queijo e presunto para sábado e domingo</t>
  </si>
  <si>
    <t>Notas de Compras_Images/bd430db6.Foto.203523.jpg</t>
  </si>
  <si>
    <t>Compra de pães queijo e presunto para sábado e domingo</t>
  </si>
  <si>
    <t>2233773</t>
  </si>
  <si>
    <t>Gervasio (18/06/2026) - Compra de mangas e banana</t>
  </si>
  <si>
    <t>Notas de Compras_Images/af9c0b3d.Foto.203648.jpg</t>
  </si>
  <si>
    <t>Compra de mangas e banana</t>
  </si>
  <si>
    <t>2232380</t>
  </si>
  <si>
    <t>2130209</t>
  </si>
  <si>
    <t>Transferencia</t>
  </si>
  <si>
    <t>2130607</t>
  </si>
  <si>
    <t>Transferencia secos e gelado</t>
  </si>
  <si>
    <t>2136010</t>
  </si>
  <si>
    <t>2137513</t>
  </si>
  <si>
    <t>Pedido 136779 nota de serviço</t>
  </si>
  <si>
    <t>2138092</t>
  </si>
  <si>
    <t>2130611</t>
  </si>
  <si>
    <t>Pedido 133588</t>
  </si>
  <si>
    <t>Pedido 136779</t>
  </si>
  <si>
    <t>2130253</t>
  </si>
  <si>
    <t>Gervasio (22/06/2026) - Compra de 1 abacaxi e bananas</t>
  </si>
  <si>
    <t>Notas de Compras_Images/25f26a17.Foto.201527.jpg</t>
  </si>
  <si>
    <t>Compra de 1 abacaxi e bananas</t>
  </si>
  <si>
    <t>2238581</t>
  </si>
  <si>
    <t>2125490</t>
  </si>
  <si>
    <t>Komprao (22/06/2026) - Compra de Manteiga para massa de casquinha</t>
  </si>
  <si>
    <t>Notas de Compras_Images/6411bb6c.Foto.201636.jpg</t>
  </si>
  <si>
    <t>Compra de Manteiga para massa de casquinha</t>
  </si>
  <si>
    <t>2238582</t>
  </si>
  <si>
    <t>2138179</t>
  </si>
  <si>
    <t>ABC digital . Gráfica digital (22/06/2026) - 2 cartaz de waffle</t>
  </si>
  <si>
    <t>Notas de Compras_Images/600ff917.Foto.201754.jpg</t>
  </si>
  <si>
    <t>2 cartaz de waffle</t>
  </si>
  <si>
    <t>2238578</t>
  </si>
  <si>
    <t>Motoboy (14/06/2026) - Pagamento de entregas do motoboy João 08/06 a 14/06</t>
  </si>
  <si>
    <t>Notas de Compras_Images/e824a6ee.Foto.201908.jpg</t>
  </si>
  <si>
    <t>Pagamento de entregas do motoboy João 08/06 a 14/06</t>
  </si>
  <si>
    <t>2138182</t>
  </si>
  <si>
    <t>2227461</t>
  </si>
  <si>
    <t>Amadelli (15/06/2026) - Base Cascao</t>
  </si>
  <si>
    <t>Notas de Compras_Images/790f6a20.Foto.203021.jpg</t>
  </si>
  <si>
    <t>Base Cascao</t>
  </si>
  <si>
    <t>Amadelli (16/06/2026) - Pedido gelado</t>
  </si>
  <si>
    <t>Notas de Compras_Images/a98fb764.Foto.204749.jpg</t>
  </si>
  <si>
    <t>Notas de Compras_Images/a98fb764.Foto1.205300.jpg</t>
  </si>
  <si>
    <t>Amadelli (23/06/2026) - Secos</t>
  </si>
  <si>
    <t>Notas de Compras_Images/e6f76675.Foto.163245.jpg</t>
  </si>
  <si>
    <t>Secos</t>
  </si>
  <si>
    <t>Pedido 136776 nota de serviço</t>
  </si>
  <si>
    <t>2144557</t>
  </si>
  <si>
    <t>Pedido 133588 nota de serviço</t>
  </si>
  <si>
    <t>Pedido 131062 nota de serviço</t>
  </si>
  <si>
    <t>2142431</t>
  </si>
  <si>
    <t>Pedido 133058 nota de serviço</t>
  </si>
  <si>
    <t>Pedido 131062</t>
  </si>
  <si>
    <t>2142427</t>
  </si>
  <si>
    <t>Pedido 133058</t>
  </si>
  <si>
    <t>Notas de Compras_Images/37bb3f9f.Foto.183629.jpg</t>
  </si>
  <si>
    <t>Notas de Compras_Images/806bac35.Foto.183759.jpg</t>
  </si>
  <si>
    <t>b2dded61</t>
  </si>
  <si>
    <t>bombazar (25/06/2026) - Compra de spray desmoldante</t>
  </si>
  <si>
    <t>Notas de Compras_Images/2250d551.Foto.184526.jpg</t>
  </si>
  <si>
    <t>Compra de spray desmoldante</t>
  </si>
  <si>
    <t>2241757</t>
  </si>
  <si>
    <t>Supermercado Mariental Ltda ME (26/06/2026) - Compra de itens para o lanche do fim de semana</t>
  </si>
  <si>
    <t>Notas de Compras_Images/944e654d.Foto.184710.jpg</t>
  </si>
  <si>
    <t>Compra de itens para o lanche do fim de semana</t>
  </si>
  <si>
    <t>2242921</t>
  </si>
  <si>
    <t>Gervasio (29/06/2026) - Compra de frutas</t>
  </si>
  <si>
    <t>Notas de Compras_Images/7684cc82.Foto.184828.jpg</t>
  </si>
  <si>
    <t>2145391</t>
  </si>
  <si>
    <t>2247540</t>
  </si>
  <si>
    <t>Elaine Hubl (26/06/2026) - Compra de 4kg de morango</t>
  </si>
  <si>
    <t>Notas de Compras_Images/2bd1fbd7.Foto.184952.jpg</t>
  </si>
  <si>
    <t>Compra de 4kg de morango</t>
  </si>
  <si>
    <t>2242904</t>
  </si>
  <si>
    <t>2149886</t>
  </si>
  <si>
    <t>Motoboy (28/06/2026) - Pagamento do motoboy João dos dias 22/06 ate o dia 28/06</t>
  </si>
  <si>
    <t>Notas de Compras_Images/9ba4af91.Foto.185410.jpg</t>
  </si>
  <si>
    <t>Pagamento do motoboy João dos dias 22/06 ate o dia 28/06</t>
  </si>
  <si>
    <t>2246144</t>
  </si>
  <si>
    <t>2148087</t>
  </si>
  <si>
    <t>Chaveiro Ritzman (30/06/2026) - Impressão dos documentos admissionais da Summer</t>
  </si>
  <si>
    <t>Notas de Compras_Images/d7b00bdc.Foto.185943.jpg</t>
  </si>
  <si>
    <t>Impressão dos documentos admissionais da Summer</t>
  </si>
  <si>
    <t>2248925</t>
  </si>
  <si>
    <t>2145652</t>
  </si>
  <si>
    <t>Amadelli (15/06/2026) - Secos</t>
  </si>
  <si>
    <t>Notas de Compras_Images/79fe48bc.Foto.162958.jpg</t>
  </si>
  <si>
    <t>Komprao (05/07/2026) - Sabão em pedra</t>
  </si>
  <si>
    <t>Notas de Compras_Images/7c1b436b.Foto.203633.jpg</t>
  </si>
  <si>
    <t>Sabão em pedra</t>
  </si>
  <si>
    <t>2256336</t>
  </si>
  <si>
    <t>Komprao (03/07/2026) - Lanche final de semana</t>
  </si>
  <si>
    <t>Notas de Compras_Images/9b59adcc.Foto.203742.jpg</t>
  </si>
  <si>
    <t>2254777</t>
  </si>
  <si>
    <t>Notas de Compras_Images/b9354f95.Foto.203838.jpg</t>
  </si>
  <si>
    <t>2254774</t>
  </si>
  <si>
    <t>Gervasio (02/07/2026) - Abacaxi,Uva,Manga,Banana</t>
  </si>
  <si>
    <t>Notas de Compras_Images/1e64b3f7.Foto.203944.jpg</t>
  </si>
  <si>
    <t>Abacaxi,Uva,Manga,Banana</t>
  </si>
  <si>
    <t>2251923</t>
  </si>
  <si>
    <t>Dab rio negrinho (02/07/2026) - Pote para armazenar as casquinhas</t>
  </si>
  <si>
    <t>Notas de Compras_Images/1f2c1f41.Foto.204054.jpg</t>
  </si>
  <si>
    <t>Pote para armazenar as casquinhas</t>
  </si>
  <si>
    <t>2251920</t>
  </si>
  <si>
    <t>Minersol (01/07/2026) - Pote pequeno para armazenar casquinhas</t>
  </si>
  <si>
    <t>Notas de Compras_Images/5763839d.Foto.204205.jpg</t>
  </si>
  <si>
    <t>Pote pequeno para armazenar casquinhas</t>
  </si>
  <si>
    <t>2250955</t>
  </si>
  <si>
    <t>9b337058</t>
  </si>
  <si>
    <t>Laboratório exame (01/07/2026) - Pagamento de exame admicional Summer Brigoni</t>
  </si>
  <si>
    <t>2150955</t>
  </si>
  <si>
    <t>Notas de Compras_Images/d31a3c8e.Foto.204423.jpg</t>
  </si>
  <si>
    <t>Pagamento de exame admicional Summer Brigoni</t>
  </si>
  <si>
    <t>2250328</t>
  </si>
  <si>
    <t>Elaine Hubl (01/07/2026) - 5kg de Morangos</t>
  </si>
  <si>
    <t>Notas de Compras_Images/f69cd83e.Foto.204630.jpg</t>
  </si>
  <si>
    <t>5kg de Morangos</t>
  </si>
  <si>
    <t>2250629</t>
  </si>
  <si>
    <t>Vale transporte (02/07/2026) - Compra de 50 unidades de vale transporte para a funcionária Sabrina Fragoso</t>
  </si>
  <si>
    <t>2153841</t>
  </si>
  <si>
    <t>Notas de Compras_Images/d7d7e966.Foto.204751.jpg</t>
  </si>
  <si>
    <t>Compra de 50 unidades de vale transporte para a funcionária Sabrina Fragoso</t>
  </si>
  <si>
    <t>2251935</t>
  </si>
  <si>
    <t>Elaine Hubl (03/07/2026) - 4kg morangos</t>
  </si>
  <si>
    <t>Notas de Compras_Images/bef7e735.Foto.204850.jpg</t>
  </si>
  <si>
    <t>2253245</t>
  </si>
  <si>
    <t>Motoboy (05/07/2026) - Pagamento motoboy de entregas delivery do dia 29/06 ate o dia 05/07</t>
  </si>
  <si>
    <t>Notas de Compras_Images/99222bfd.Foto.205115.jpg</t>
  </si>
  <si>
    <t>Pagamento motoboy de entregas delivery do dia 29/06 ate o dia 05/07</t>
  </si>
  <si>
    <t>2256923</t>
  </si>
  <si>
    <t>SAMAE (25/06/2026) - Conta de Agua</t>
  </si>
  <si>
    <t>Notas de Compras_Images/46fcaeea.Foto.205339.jpg</t>
  </si>
  <si>
    <t>Tráfego Pago Instagram (27/06/2026) - Tráfego pago</t>
  </si>
  <si>
    <t>Notas de Compras_Images/971fcd37.Foto.210247.jpg</t>
  </si>
  <si>
    <t>Tráfego pago</t>
  </si>
  <si>
    <t>2254808</t>
  </si>
  <si>
    <t>Pedido 137514 nota de serviço</t>
  </si>
  <si>
    <t>Amadelli (07/07/2026) - Pedido Gelado</t>
  </si>
  <si>
    <t>Notas de Compras_Images/7e0589c2.Foto.172622.jpg</t>
  </si>
  <si>
    <t>Elaine Hubl (10/07/2026) - 3kg de morangos</t>
  </si>
  <si>
    <t>Notas de Compras_Images/9cc3ef15.Foto.180632.jpg</t>
  </si>
  <si>
    <t>3kg de morangos</t>
  </si>
  <si>
    <t>2157194</t>
  </si>
  <si>
    <t>2264699</t>
  </si>
  <si>
    <t>Motoboy (12/07/2026) - Pagamento de entregas Motoboy João do dia 06/07 ate 12/07</t>
  </si>
  <si>
    <t>Notas de Compras_Images/3a2f255b.Foto.180739.jpg</t>
  </si>
  <si>
    <t>Pagamento de entregas Motoboy João do dia 06/07 ate 12/07</t>
  </si>
  <si>
    <t>nicolasmartinshenrique@gmail.com</t>
  </si>
  <si>
    <t>2158643</t>
  </si>
  <si>
    <t>2268434</t>
  </si>
  <si>
    <t>Elaine Hubl (13/07/2026) - 3kg morangos</t>
  </si>
  <si>
    <t>Notas de Compras_Images/994827ba.Foto.180836.jpg</t>
  </si>
  <si>
    <t>2269852</t>
  </si>
  <si>
    <t>2160849</t>
  </si>
  <si>
    <t>Komprao (10/07/2026) - Pães para final de semana</t>
  </si>
  <si>
    <t>Notas de Compras_Images/d202b582.Foto.180938.jpg</t>
  </si>
  <si>
    <t>Pães para final de semana</t>
  </si>
  <si>
    <t>2268291</t>
  </si>
  <si>
    <t>2157915</t>
  </si>
  <si>
    <t>Komprao (09/07/2026) - Refrigerantes e Aguas para loja</t>
  </si>
  <si>
    <t>Notas de Compras_Images/6008cf4c.Foto.181039.jpg</t>
  </si>
  <si>
    <t>Refrigerantes e Aguas para loja</t>
  </si>
  <si>
    <t>2262744</t>
  </si>
  <si>
    <t>Gervasio (13/07/2026) - Abacaxi,Uvas,Bananas para loja</t>
  </si>
  <si>
    <t>Notas de Compras_Images/4f17a7db.Foto.181141.jpg</t>
  </si>
  <si>
    <t>2163651</t>
  </si>
  <si>
    <t>Abacaxi,Uvas,Bananas para loja</t>
  </si>
  <si>
    <t>2262740</t>
  </si>
  <si>
    <t>Gervasio (13/07/2026) - Compra de Uvas</t>
  </si>
  <si>
    <t>Notas de Compras_Images/0dcd7c12.Foto.205106.jpg</t>
  </si>
  <si>
    <t>Compra de Uvas</t>
  </si>
  <si>
    <t>2270213</t>
  </si>
  <si>
    <t>2165106</t>
  </si>
  <si>
    <t>Amadelli (08/07/2026) - Pedido Secos</t>
  </si>
  <si>
    <t>Notas de Compras_Images/f4227a6b.Foto.194041.jpg</t>
  </si>
  <si>
    <t>9a594159</t>
  </si>
  <si>
    <t>sonia Corta vento (14/07/2026) - 1 corta vento, 2 moletom</t>
  </si>
  <si>
    <t>Notas de Compras_Images/1a6e5e29.Foto.195548.jpg</t>
  </si>
  <si>
    <t>1 corta vento, 2 moletom</t>
  </si>
  <si>
    <t>Tráfego Pago Instagram (14/07/2026) - Propaganda feito no instagram</t>
  </si>
  <si>
    <t>Notas de Compras_Images/5619ad11.Foto.205540.jpg</t>
  </si>
  <si>
    <t>Propaganda feito no instagram</t>
  </si>
  <si>
    <t>2271634</t>
  </si>
  <si>
    <t>12/42 VT 1886,71, saldo de R$421,37</t>
  </si>
  <si>
    <t>6/8 comprado e dividido com cartão particular R$975</t>
  </si>
  <si>
    <t>Func Summer</t>
  </si>
  <si>
    <t xml:space="preserve"> (15/07/2026) - adian</t>
  </si>
  <si>
    <t>adian</t>
  </si>
  <si>
    <t>2166271</t>
  </si>
  <si>
    <t>2156938</t>
  </si>
  <si>
    <t>Pedido 138668</t>
  </si>
  <si>
    <t>Pedido 138668 nota de serviço</t>
  </si>
  <si>
    <t>Pedido 138671</t>
  </si>
  <si>
    <t>Pedido 138671 nota de serviço</t>
  </si>
  <si>
    <t>Pedido 138943</t>
  </si>
  <si>
    <t>Pedido 138943 nota de serviço</t>
  </si>
  <si>
    <t>VT 1886,70 parc 12/42, pago R$1465,34 dia 14/07</t>
  </si>
  <si>
    <t>Komprao (21/07/2026) - Compra de refrigerante, agua, manga, abacaxi, banana</t>
  </si>
  <si>
    <t>Notas de Compras_Images/8d222a6c.Foto.175458.jpg</t>
  </si>
  <si>
    <t>Compra de refrigerante, agua, manga, abacaxi, banana</t>
  </si>
  <si>
    <t>2176223</t>
  </si>
  <si>
    <t>2285667</t>
  </si>
  <si>
    <t>Amadelli (08/07/2026) - Pedido seco</t>
  </si>
  <si>
    <t>Notas de Compras_Images/ac3b18fa.Foto.180543.jpg</t>
  </si>
  <si>
    <t>2168075</t>
  </si>
  <si>
    <t>Koch Hipermercado (19/07/2026) - Compra de abacaxi e manga</t>
  </si>
  <si>
    <t>Notas de Compras_Images/2baa4324.Foto.180754.jpg</t>
  </si>
  <si>
    <t>Compra de abacaxi e manga</t>
  </si>
  <si>
    <t>2281002</t>
  </si>
  <si>
    <t>2174807</t>
  </si>
  <si>
    <t>Koch Hipermercado (17/07/2026) - Compras de frutas e bebidas</t>
  </si>
  <si>
    <t>Notas de Compras_Images/fb70f377.Foto.180926.jpg</t>
  </si>
  <si>
    <t>Compras de frutas e bebidas</t>
  </si>
  <si>
    <t>2276540</t>
  </si>
  <si>
    <t>2175064</t>
  </si>
  <si>
    <t>Koch Hipermercado (16/07/2026) - Compra de abacaxi e manga</t>
  </si>
  <si>
    <t>Notas de Compras_Images/a7b0329a.Foto.181103.jpg</t>
  </si>
  <si>
    <t>2274855</t>
  </si>
  <si>
    <t>Elaine Hubl (17/07/2026) - Compra de 5kg de morango</t>
  </si>
  <si>
    <t>Notas de Compras_Images/56166225.Foto.181248.jpg</t>
  </si>
  <si>
    <t>2176100</t>
  </si>
  <si>
    <t>2276536</t>
  </si>
  <si>
    <t>Alexandre Lorena (Limpeza dos vidros da loja) (18/07/2026) - Limpeza de vidros</t>
  </si>
  <si>
    <t>Notas de Compras_Images/f1b619db.Foto.181412.jpg</t>
  </si>
  <si>
    <t>Limpeza de vidros</t>
  </si>
  <si>
    <t>2278800</t>
  </si>
  <si>
    <t>Motoboy (19/07/2026) - Entregas do dia 13/07 a 19/07 motoboy João</t>
  </si>
  <si>
    <t>Notas de Compras_Images/2839914e.Foto.181648.jpg</t>
  </si>
  <si>
    <t>Entregas do dia 13/07 a 19/07 motoboy João</t>
  </si>
  <si>
    <t>2281584</t>
  </si>
  <si>
    <t>Elaine Hubl (20/07/2026) - Compra de morango 5kg</t>
  </si>
  <si>
    <t>Notas de Compras_Images/4cf3d75e.Foto.181822.jpg</t>
  </si>
  <si>
    <t>Compra de morango 5kg</t>
  </si>
  <si>
    <t>2283911</t>
  </si>
  <si>
    <t>Amadelli (21/07/2026) - Pedido gelado</t>
  </si>
  <si>
    <t>Notas de Compras_Images/c03227ca.Foto.200902.jpg</t>
  </si>
  <si>
    <t>Notas de Compras_Images/c03227ca.Foto1.200902.jpg</t>
  </si>
  <si>
    <t>Amadelli (21/07/2026) - Pedido seco</t>
  </si>
  <si>
    <t>Notas de Compras_Images/72cfe5d5.Foto.201029.jpg</t>
  </si>
  <si>
    <t>Notas de Compras_Images/72cfe5d5.Foto1.201030.jpg</t>
  </si>
  <si>
    <t>Elaine Hubl (24/07/2026) - 4kgs de morango</t>
  </si>
  <si>
    <t>Notas de Compras_Images/a7af63da.Foto.201216.jpg</t>
  </si>
  <si>
    <t>4kgs de morango</t>
  </si>
  <si>
    <t>2289671</t>
  </si>
  <si>
    <t>Elaine Hubl (22/07/2026) - Compra de 5 kg de morango</t>
  </si>
  <si>
    <t>Notas de Compras_Images/553b64ae.Foto.201351.jpg</t>
  </si>
  <si>
    <t>2286778</t>
  </si>
  <si>
    <t>Notas de Compras_Images/60122517.Foto.202114.jpg</t>
  </si>
  <si>
    <t>2181129</t>
  </si>
  <si>
    <t>2182856</t>
  </si>
  <si>
    <t>Novo lar (28/07/2026) - Compra de produtos de limpeza, papel higiênico e papel toalha</t>
  </si>
  <si>
    <t>Notas de Compras_Images/82001336.Foto.181919.jpg</t>
  </si>
  <si>
    <t>Compra de produtos de limpeza, papel higiênico e papel toalha</t>
  </si>
  <si>
    <t>2298296</t>
  </si>
  <si>
    <t>2182807</t>
  </si>
  <si>
    <t>Motoboy (26/07/2026) - Pagamento motoboy João do dia 20/07 ao dia 26/07</t>
  </si>
  <si>
    <t>Notas de Compras_Images/7d5f742f.Foto.182216.jpg</t>
  </si>
  <si>
    <t>Pagamento motoboy João do dia 20/07 ao dia 26/07</t>
  </si>
  <si>
    <t>2294255</t>
  </si>
  <si>
    <t>Elaine Hubl (27/07/2026) - Compra de 4kg de morango</t>
  </si>
  <si>
    <t>Notas de Compras_Images/9a77ca2a.Foto.182401.jpg</t>
  </si>
  <si>
    <t>2296179</t>
  </si>
  <si>
    <t>89ba46bf</t>
  </si>
  <si>
    <t>Free kauã (28/07/2026) - Pagamento Kauã dias 22/07 ate 28/07</t>
  </si>
  <si>
    <t>Notas de Compras_Images/23235bf8.Foto.182556.jpg</t>
  </si>
  <si>
    <t>Pagamento Kauã dias 22/07 ate 28/07</t>
  </si>
  <si>
    <t>2297652</t>
  </si>
  <si>
    <t>Koch Hipermercado (28/07/2026) - Compra de frutas. Uva, banana e abacaxi</t>
  </si>
  <si>
    <t>Notas de Compras_Images/b479ecc1.Foto.183058.jpg</t>
  </si>
  <si>
    <t>Compra de frutas. Uva, banana e abacaxi</t>
  </si>
  <si>
    <t>2298387</t>
  </si>
  <si>
    <t>Koch Hipermercado (24/07/2026) - Compra de frutas e itens para o lanche do fim de semana</t>
  </si>
  <si>
    <t>Notas de Compras_Images/668c41a8.Foto.183243.jpg</t>
  </si>
  <si>
    <t>Compra de frutas e itens para o lanche do fim de semana</t>
  </si>
  <si>
    <t>2290100</t>
  </si>
  <si>
    <t>Minersol (29/07/2026) - Compra de manteiga</t>
  </si>
  <si>
    <t>Notas de Compras_Images/be9a4b48.Foto.183455.jpg</t>
  </si>
  <si>
    <t>Compra de manteiga</t>
  </si>
  <si>
    <t>2299523</t>
  </si>
  <si>
    <t>Bombazar (29/07/2026) - Compra de desmoldante</t>
  </si>
  <si>
    <t>Notas de Compras_Images/eba7891b.Foto.193604.jpg</t>
  </si>
  <si>
    <t>Compra de desmoldante</t>
  </si>
  <si>
    <t>2299592</t>
  </si>
  <si>
    <t>Elaine Hubl (29/07/2026) - Compra de 5kg de morango</t>
  </si>
  <si>
    <t>Notas de Compras_Images/5def218e.Foto.193720.jpg</t>
  </si>
  <si>
    <t>2299625</t>
  </si>
  <si>
    <t>MANI COMERCIO DE BEBIDAS (29/07/2026) - Compra de bebidas</t>
  </si>
  <si>
    <t>Notas de Compras_Images/d621335c.Foto.203714.jpg</t>
  </si>
  <si>
    <t>2299826</t>
  </si>
  <si>
    <t>Chaveiro Ritzmann (30/07/2026) - Xerox/impressão</t>
  </si>
  <si>
    <t>Notas de Compras_Images/2eec6826.Foto.211521.jpg</t>
  </si>
  <si>
    <t>Xerox/impressão</t>
  </si>
  <si>
    <t>2301500</t>
  </si>
  <si>
    <t>2190120</t>
  </si>
  <si>
    <t>2184811</t>
  </si>
  <si>
    <t>2188890</t>
  </si>
  <si>
    <t>2191353</t>
  </si>
  <si>
    <t>2194188</t>
  </si>
  <si>
    <t>2199998</t>
  </si>
  <si>
    <t>2197058</t>
  </si>
  <si>
    <t>2198682</t>
  </si>
  <si>
    <t>2201180</t>
  </si>
  <si>
    <t>2201216</t>
  </si>
  <si>
    <t>2201214</t>
  </si>
  <si>
    <t>2201207</t>
  </si>
  <si>
    <t>2201194</t>
  </si>
  <si>
    <t>R$ 33,46</t>
  </si>
  <si>
    <t>Pagamento freelancer rafaela das 07:37 até 10:37 para limpeza da loja</t>
  </si>
  <si>
    <t>R$ 70,50</t>
  </si>
  <si>
    <t>Pagamento freelancer Cesar das 13:02 até 18:30</t>
  </si>
  <si>
    <t>PAGAMENTO DE FREELANCER RAFAELA DAS 13 ATE AS18;30</t>
  </si>
  <si>
    <t>Pagamento freelancer Rafaela das 12:30 até 18:30</t>
  </si>
  <si>
    <t>R$ 11,70</t>
  </si>
  <si>
    <t>R$ 6,42</t>
  </si>
  <si>
    <t>R$ 11,25</t>
  </si>
  <si>
    <t>R$ 207,39</t>
  </si>
  <si>
    <t>Frutas Gervasio</t>
  </si>
  <si>
    <t>R$ 119,40</t>
  </si>
  <si>
    <t>Compra de lanche para fins de semana e sabão em pedra</t>
  </si>
  <si>
    <t>R$ 199,50</t>
  </si>
  <si>
    <t>Pagamento freelancer Rafaela das 12:30 até 16:30</t>
  </si>
  <si>
    <t>referente ao id 1958677 Consumo sabrina</t>
  </si>
  <si>
    <t>pagamento freelancer Cesar das 13h as 18;30</t>
  </si>
  <si>
    <t>R$ 133,00</t>
  </si>
  <si>
    <t>Compra de água sem gás para a loja</t>
  </si>
  <si>
    <t>R$ 37,11</t>
  </si>
  <si>
    <t>Pagamento freelancer rafaela das 12:30 até 18:00</t>
  </si>
  <si>
    <t>Pagamento freelancer João das 13:38 até 17:30</t>
  </si>
  <si>
    <t>PAGAMENTO DE FREELANCER JOÂO DAS 13,38 ATE AS 17,35</t>
  </si>
  <si>
    <t>R$ 12,33</t>
  </si>
  <si>
    <t>ERRO DUPLICADO REFERENTE ID 2029853</t>
  </si>
  <si>
    <t>PAGAMENTO DE FREELANCER MARI ADS 13H ATE AS 22;30</t>
  </si>
  <si>
    <t>R$ 34,34</t>
  </si>
  <si>
    <t>Pagamento freelancer Rafaela das 14h até as 22:30h</t>
  </si>
  <si>
    <t>Pagamento de freelancer Carla das 13h até as 22:30h</t>
  </si>
  <si>
    <t>R$ 31,95</t>
  </si>
  <si>
    <t>R$ 642,00</t>
  </si>
  <si>
    <t>Pagamento Mario motoboy referente ao 23/02 ao dia 01/03</t>
  </si>
  <si>
    <t>R$ 2,39</t>
  </si>
  <si>
    <t>R$ 750,00</t>
  </si>
  <si>
    <t>pagamento da freelancer Rafaela das 12:30 até 18:00</t>
  </si>
  <si>
    <t>Consumo sabrina</t>
  </si>
  <si>
    <t>pagamento do freelancer César das 13:30 até as 20:00</t>
  </si>
  <si>
    <t>Pagamento do freelancer César das 13:00 até as 17:00.</t>
  </si>
  <si>
    <t>Pagamento da freelancer Rafaela das 12:30 até as 18:30.</t>
  </si>
  <si>
    <t>R$ 33,00</t>
  </si>
  <si>
    <t>Compra de utensílios na papelaria para a loja</t>
  </si>
  <si>
    <t>Pagamento de freelancer César das 13:00 até as 17:00.</t>
  </si>
  <si>
    <t>R$ 19,60</t>
  </si>
  <si>
    <t>Compra de envelopes (referente a 56 uni.) para a loja</t>
  </si>
  <si>
    <t>Pagamento da freelancer Rafaela das 12:30 até 18:30.</t>
  </si>
  <si>
    <t>Compra de 5kg de morangos</t>
  </si>
  <si>
    <t>R$ 4,60</t>
  </si>
  <si>
    <t>compra de borrachas para loja</t>
  </si>
  <si>
    <t>Pagamento freelancer Rafaela das 13:00 até 17:00</t>
  </si>
  <si>
    <t>R$ 56,48</t>
  </si>
  <si>
    <t>Compra de espatulas de silicone e potes para loja</t>
  </si>
  <si>
    <t>compra de espátula de silicone</t>
  </si>
  <si>
    <t>R$ 57,55</t>
  </si>
  <si>
    <t>sangria</t>
  </si>
  <si>
    <t>R$ 188,60</t>
  </si>
  <si>
    <t>compra de uva , manga e abacaxi</t>
  </si>
  <si>
    <t>PAGO ALEXABDRE DE SERVIÇO DE LIMPEZA DOS VIDROS DA LOJA REVERENTE AS DIAS 4/02 11/02 19/02 26/02 MES DE FEVEREIRO</t>
  </si>
  <si>
    <t>R$ 44,97</t>
  </si>
  <si>
    <t>Compra de inseticida para a loja</t>
  </si>
  <si>
    <t>Pagamento do freelancer César das 13:00 até 18:30</t>
  </si>
  <si>
    <t>Pagamento da freelancer Rafaela das 07:58 até 10:58 e das 12:30 até 18:30.</t>
  </si>
  <si>
    <t>R$ 325,00</t>
  </si>
  <si>
    <t>R$ 197,34</t>
  </si>
  <si>
    <t>COMPRA DE UVA ABACAXI BANANA E MANGA</t>
  </si>
  <si>
    <t>Pagamento de freelancer da Rafaela das 12:30 até 18:30.</t>
  </si>
  <si>
    <t>consumo fernamdo</t>
  </si>
  <si>
    <t>Pagamento do freelancer César das 13:00 até 18:30.</t>
  </si>
  <si>
    <t>R$ 39,75</t>
  </si>
  <si>
    <t>R$ 40,00</t>
  </si>
  <si>
    <t>PAGAMENTO DE FREELANCER CESAR DAS 13H ATE AS 16H</t>
  </si>
  <si>
    <t>R$ 33,34</t>
  </si>
  <si>
    <t>PAGAMENTO DE FREELANCER JOÂO DAS 13;30 ATE AS 20;30</t>
  </si>
  <si>
    <t>PAGAMENTO DE FREELANCER MARGARETE DAS 16H ATE AS 22;30</t>
  </si>
  <si>
    <t>R$ 44,41</t>
  </si>
  <si>
    <t>Pagamento da freelancer Margarete das 13:00 até as 19:00.</t>
  </si>
  <si>
    <t>Pagamento da freelancer Carla das 13:00 até as 22:00.</t>
  </si>
  <si>
    <t>Pagamento da freelancer Rafaela das 13:00 até 22:30</t>
  </si>
  <si>
    <t>R$ 65,31</t>
  </si>
  <si>
    <t>lanche para sabado e domingo</t>
  </si>
  <si>
    <t>R$ 786,00</t>
  </si>
  <si>
    <t>Pagamento do motoboy Mário referente ao dia 02/03 até o dia 08/03.</t>
  </si>
  <si>
    <t>R$ 143,54</t>
  </si>
  <si>
    <t>compra de uva ; manga e banana</t>
  </si>
  <si>
    <t>R$ 70,99</t>
  </si>
  <si>
    <t>Retirado 4 de copos de 300 ml referente a troca de cédulas Fernanda.</t>
  </si>
  <si>
    <t>Pagamento do freelancer César das 13:00 até as 18:30.</t>
  </si>
  <si>
    <t>PAGAMENTO DE FREELANCER RAFAELA DAS 14H ATE 22;30H</t>
  </si>
  <si>
    <t>Pagamento da freelancer Rafaela das 12:45 até as 18:30.</t>
  </si>
  <si>
    <t>Consumo Sabrina.</t>
  </si>
  <si>
    <t>Pagamento de freelancer César das 13:00 até as 17:00</t>
  </si>
  <si>
    <t>referente a uma nota de compra de lanche que faltou no dinheiro no Sábado 07/03 R$48,91.</t>
  </si>
  <si>
    <t>R$ 70,07</t>
  </si>
  <si>
    <t>Referente a retirada de 4 copos 300ml por troca de moedas na loja</t>
  </si>
  <si>
    <t>R$ 12,08</t>
  </si>
  <si>
    <t>R$ 44,78</t>
  </si>
  <si>
    <t>Consumo Mari</t>
  </si>
  <si>
    <t>R$ 38,97</t>
  </si>
  <si>
    <t>R$ 22,14</t>
  </si>
  <si>
    <t>pagamento freelancer Rafaela 12;30 as 16;30</t>
  </si>
  <si>
    <t>Pagamento freelancer Carla das 13:00 até 22:30</t>
  </si>
  <si>
    <t>Pagamento do freelancer César das 13:00 até as 18:30</t>
  </si>
  <si>
    <t>Pagamento freelancer Rafaela das 13:59 até 22:30</t>
  </si>
  <si>
    <t>R$ 8,93</t>
  </si>
  <si>
    <t>compra de 8kg morango</t>
  </si>
  <si>
    <t>R$ 936,00</t>
  </si>
  <si>
    <t>pagamento motoboy Mario referente ao dia 26/01 ao dia 01/02</t>
  </si>
  <si>
    <t>R$ 194,15</t>
  </si>
  <si>
    <t>COMPRA DE UVAS, MANGAS, ABACAXI E BANANA</t>
  </si>
  <si>
    <t>pagamento freelancer rafaela das 8;10 as 11;10 e 12;30 as 18;30</t>
  </si>
  <si>
    <t>COMPRA DE 10 KG DE MORANGO</t>
  </si>
  <si>
    <t>pagamento freelancer cesar das 13h as 18;30</t>
  </si>
  <si>
    <t>R$ 67,99</t>
  </si>
  <si>
    <t>R$ 187,49</t>
  </si>
  <si>
    <t>COMPRA DE FRUTAS, MANGA, ABACAXI, UVA.</t>
  </si>
  <si>
    <t>R$ 69,00</t>
  </si>
  <si>
    <t>PAGAMENTO FREELANCER CESAR DAS 13H ATE AS 18 H</t>
  </si>
  <si>
    <t>PAGAMENTO DA FREELANCER RAFAELA DAS 12:30 ATÉ AS 18:30.</t>
  </si>
  <si>
    <t>PAGAMENTO DE FREELANCERDA DAS 13H ATE AS 21H</t>
  </si>
  <si>
    <t>PAGAMENTO DE FREELANCE CARLA DAS 13 H ATE AS 22;30</t>
  </si>
  <si>
    <t>pagamento freelancer Rafaela das 12;30 as 17;30</t>
  </si>
  <si>
    <t>R$ 77,75</t>
  </si>
  <si>
    <t>R$ 16,48</t>
  </si>
  <si>
    <t>R$ 27,93</t>
  </si>
  <si>
    <t>Pagamento da freelancer Carla das 13:00 até 22:00.</t>
  </si>
  <si>
    <t>Pagamento da freelancer Rafaela das 13:00 até 22:30.</t>
  </si>
  <si>
    <t>R$ 886,50</t>
  </si>
  <si>
    <t>compra de saco lixo, luvas para os funcionários, detergente, papel higiênico, papel toalha e copos descartáveis para clientes</t>
  </si>
  <si>
    <t>Pagamento do motoboy Mário referente ao dia 09/03 até o dia 15/03.</t>
  </si>
  <si>
    <t>R$ 207,13</t>
  </si>
  <si>
    <t>Compra de frutas banana, manga, abacaxi, e uva</t>
  </si>
  <si>
    <t>Compra de 10kg de morango.</t>
  </si>
  <si>
    <t>R$ 150,00</t>
  </si>
  <si>
    <t>pago reparo da loja para o Daniel</t>
  </si>
  <si>
    <t>Pagamento de freelancer César das 13:00 até as 18:00.</t>
  </si>
  <si>
    <t>R$ 55,00</t>
  </si>
  <si>
    <t>pago visita e troca de bateria do alarme de seguranca</t>
  </si>
  <si>
    <t>Pagamento freelancer Jeniffer das 12:30 até as 16:30.</t>
  </si>
  <si>
    <t>R$ 42,00</t>
  </si>
  <si>
    <t>compra de 2 formas para pétalas de chocolate.</t>
  </si>
  <si>
    <t>R$ 236,12</t>
  </si>
  <si>
    <t>R$ 211,00</t>
  </si>
  <si>
    <t>compra de uva, manga, banana, e abacaxi</t>
  </si>
  <si>
    <t>compra de 1 caixa de guardanapo e luvas plásticas para os clientes.</t>
  </si>
  <si>
    <t>R$ 52,79</t>
  </si>
  <si>
    <t>Compra de um masso de folha sulfite, uma calculadora e uma placa adesiva para parede, para loja.</t>
  </si>
  <si>
    <t>R$ 105,70</t>
  </si>
  <si>
    <t>compra de lanche e dois sabao para a loja</t>
  </si>
  <si>
    <t>R$ 59,80</t>
  </si>
  <si>
    <t>pagamento de freelancer João das 13:45 até as 17:45</t>
  </si>
  <si>
    <t>referente ao ID:2066624 Compra de suco de abacaxi e leite integral.</t>
  </si>
  <si>
    <t>pagamento de freeelancer Rafaela das 14h ate as 18h</t>
  </si>
  <si>
    <t>pagamento de freelancer CARLA 13;30 as 22;30</t>
  </si>
  <si>
    <t>Pagamento de freelancer Jeniffer das 12:30 ate as 16:30.</t>
  </si>
  <si>
    <t>sangria MARI</t>
  </si>
  <si>
    <t>compra de 15 vale transporte</t>
  </si>
  <si>
    <t>Pagamento freelancer carla das 13:30 até 22:30</t>
  </si>
  <si>
    <t>Pagamento freelancer rafaela das 14:00 até 22:30</t>
  </si>
  <si>
    <t>Pagamento de freelancer Jeniffer das 12:40 até as 16:30</t>
  </si>
  <si>
    <t>R$ 7,00</t>
  </si>
  <si>
    <t>pagamento de folha adesiva do sorvete do novo</t>
  </si>
  <si>
    <t>pagamento freelancer rafaela 12;30 as 18;30</t>
  </si>
  <si>
    <t>R$ 29,19</t>
  </si>
  <si>
    <t>pagamento frelancer jenifer 12;30 as 16;30</t>
  </si>
  <si>
    <t>R$ 188,74</t>
  </si>
  <si>
    <t>Compra de abacaxi e uva.</t>
  </si>
  <si>
    <t>R$ 1.032,00</t>
  </si>
  <si>
    <t>PAGAMENTO DE MARIO MOTOBY REFERENTE DIA 02/02 ATE 08/02</t>
  </si>
  <si>
    <t>Compra de 15kg de morangos</t>
  </si>
  <si>
    <t>PAGAMENTO 10K DE MORANGO</t>
  </si>
  <si>
    <t>R$ 221,60</t>
  </si>
  <si>
    <t>Compra de água (Mani)</t>
  </si>
  <si>
    <t>PAGAMENTO FREE RAFAELA DAS 12;30 ATE 18;30</t>
  </si>
  <si>
    <t>Pagamento de freelancer César das 13:00 até 18:30.</t>
  </si>
  <si>
    <t>Pagamento de freelancer Jeniffer 12:30 até 16:30.</t>
  </si>
  <si>
    <t>R$ 23,00</t>
  </si>
  <si>
    <t>Pagamento referente a embalagem de coca cola retornável para lanche.</t>
  </si>
  <si>
    <t>PAGO PARA ALMOCO DE DANIEL</t>
  </si>
  <si>
    <t>R$ 130,11</t>
  </si>
  <si>
    <t>Compra de lanche para fim de semana, sabão e esponja para loja.</t>
  </si>
  <si>
    <t>Pagamento de freelancer Mari das 13:00 até 22:30.</t>
  </si>
  <si>
    <t>Pagamento de freelancer César das 13:00 até 17:00.</t>
  </si>
  <si>
    <t>R$ 18,85</t>
  </si>
  <si>
    <t>RETIRADA DE ( ADIAJNYE ESTORILLO ) REFERE A UN PAGAMENTO DUPLICADO JA RESOLVIDO</t>
  </si>
  <si>
    <t>Estorno Cliente</t>
  </si>
  <si>
    <t>Pagamento de freelancer Carla das 13:00 até 22:30.</t>
  </si>
  <si>
    <t>consumo Fernando</t>
  </si>
  <si>
    <t>PAGAMENTO DE FREELANCER (YOHONA ) DAS 13;30 ATE AS 19;30</t>
  </si>
  <si>
    <t>PAGAMENTO DE FREELANCER ( FERNANDA ) DAS 13;30 ATE AS 19;30</t>
  </si>
  <si>
    <t>pagamento da freelancer Rafaela as 12:30 até as 18:30</t>
  </si>
  <si>
    <t>PAGAMENTO DE FREELANCER ( CARLA ) DAS 13;H ATE 19;30</t>
  </si>
  <si>
    <t>R$ 2.000,00</t>
  </si>
  <si>
    <t>PAGAMENTO DE FREELANCER (RAFAELA ) DAS 13H ATE AS 22;30</t>
  </si>
  <si>
    <t>R$ 308,00</t>
  </si>
  <si>
    <t>COMPRA DE AGUAS</t>
  </si>
  <si>
    <t>REFERENTE ID 2078101 FICOU ATE AS 22;30 SO AJUSTANDO O ERRO</t>
  </si>
  <si>
    <t>R$ 1.607,25</t>
  </si>
  <si>
    <t>COMPRA DE BEBIDAS PARA A LOJA</t>
  </si>
  <si>
    <t>PAGAMENTO DE FREELANCER RAFAELA DAS 12;30 ATE AS 18;30</t>
  </si>
  <si>
    <t>R$ 678,00</t>
  </si>
  <si>
    <t>PAGAMENTO DO MOTOBOY REFERENTE DIAS 16/03 ATE 22/03</t>
  </si>
  <si>
    <t>R$ 6,75</t>
  </si>
  <si>
    <t>Compra de cano sifão para pia do tanque.</t>
  </si>
  <si>
    <t>Pagamento de freelancer da Jeniffer das 12:30 até 16:30.</t>
  </si>
  <si>
    <t>pago a dedetização da loja</t>
  </si>
  <si>
    <t>R$ 22,00</t>
  </si>
  <si>
    <t>COMPA DE PLASTICO PARA AS COLHERES DO DELIVRE</t>
  </si>
  <si>
    <t>R$ 195,05</t>
  </si>
  <si>
    <t>Compra de frutas para loja, uva, abacaxi, e banana.</t>
  </si>
  <si>
    <t>R$ 22,50</t>
  </si>
  <si>
    <t>COM´PRA DE PLASTICO PARA COLHERES DO DELIVERY</t>
  </si>
  <si>
    <t>sangria mari</t>
  </si>
  <si>
    <t>pagamento da freelancer Rafaela das 12:30 até as 18:30.</t>
  </si>
  <si>
    <t>Pagamento da freelancer Rafaela das 12:30 até 18:00.</t>
  </si>
  <si>
    <t>Pago a dedetização da loja referente ao ID:1994679 erro.</t>
  </si>
  <si>
    <t>Pagamento de freelancer Jeniffer das 12:30 até 16:30.</t>
  </si>
  <si>
    <t>R$ 74,50</t>
  </si>
  <si>
    <t>Compra de bobina térmica p/ impressora e canudos plásticos</t>
  </si>
  <si>
    <t>compra de 5kg de morangos Elaine</t>
  </si>
  <si>
    <t>PAGAMENTO DE RAFAELA DAS 12;30 ATE AS 18;30</t>
  </si>
  <si>
    <t>Pagamento de freelancer Jeniffer das 12:40 até 16:30.</t>
  </si>
  <si>
    <t>R$ 45,04</t>
  </si>
  <si>
    <t>COMPRA DE PÃO ,SUCO DE ABACAXI E QUEIJO</t>
  </si>
  <si>
    <t>Pagamento de freelancer César das 13:08 até 17:00.</t>
  </si>
  <si>
    <t>R$ 164,16</t>
  </si>
  <si>
    <t>compra frutas, banana, uva e manga pra loja.</t>
  </si>
  <si>
    <t>PAGAMENTO DE FREELANCER RAFAELA DAS 13H ATE 22;30</t>
  </si>
  <si>
    <t>PAGO PARA O MARIO MOTOBOY REVERENTE ERRO . ESQUCERAM DE ENVIAR O REFREGERANTE DO CLIENTE</t>
  </si>
  <si>
    <t>PAGAMENTO DE FREELANCE MARI DAS 13H ATE AS 22;30</t>
  </si>
  <si>
    <t>R$ 864,00</t>
  </si>
  <si>
    <t>PAGAMENTO MARIO MOTOBOY REFERENTE DIA 9/02 ATE 15/02</t>
  </si>
  <si>
    <t>R$ 28,17</t>
  </si>
  <si>
    <t>Compra de 10kg morango</t>
  </si>
  <si>
    <t>PAGAMENTO DE FREELANCER MARI 18;30 ATE AS 22;30</t>
  </si>
  <si>
    <t>pagamento da freelancer Rafaela das 12:30 até as 18:30</t>
  </si>
  <si>
    <t>R$ 8,18</t>
  </si>
  <si>
    <t>R$ 24,40</t>
  </si>
  <si>
    <t>R$ 392,20</t>
  </si>
  <si>
    <t>compra de refrigerante para a loja</t>
  </si>
  <si>
    <t>R$ 35,17</t>
  </si>
  <si>
    <t>compra de lanche para sabado e domingo</t>
  </si>
  <si>
    <t>R$ 145,76</t>
  </si>
  <si>
    <t>compra de uva e abacaxi</t>
  </si>
  <si>
    <t>Pagamento freelancer Mariselma das 13:00 até 22:30</t>
  </si>
  <si>
    <t>PAGAMENTO DE FREELANCER ISABELLA DAS 13;30H ATE AS 18H</t>
  </si>
  <si>
    <t>PAGAMENTO DE FREELANCER CARLA DAS 13H ATE AS 20;30</t>
  </si>
  <si>
    <t>R$ 608,00</t>
  </si>
  <si>
    <t>PAGAMENTO DE MARIO MOTOBOY REFERENTE DIAS 16/02 ATE 22/03</t>
  </si>
  <si>
    <t>Pagamento freelancer joão das 14:00 até 18:00</t>
  </si>
  <si>
    <t>R$ 155,50</t>
  </si>
  <si>
    <t>Pagamento freelancer Cesar das 13:00 até 17:00</t>
  </si>
  <si>
    <t>compra de 10kg morangos Elaine</t>
  </si>
  <si>
    <t>Pagamento de freelancer Jeniffer das 12:45 até 16:30.</t>
  </si>
  <si>
    <t>R$ 13,46</t>
  </si>
  <si>
    <t>R$ 43,40</t>
  </si>
  <si>
    <t>R$ 103,20</t>
  </si>
  <si>
    <t>Compra de lanche para fim de semana e sabão pra loja.</t>
  </si>
  <si>
    <t>R$ 208,74</t>
  </si>
  <si>
    <t>Compra de uva, banana, manga e abacaxi.</t>
  </si>
  <si>
    <t>Compra de água (MANI).</t>
  </si>
  <si>
    <t>PAGAMENTO DE FREELANCER RAFAELA DAS 14H ATE AS 22;30</t>
  </si>
  <si>
    <t>R$ 54,00</t>
  </si>
  <si>
    <t>PAGAMENTO DE FREELANCER 13H ATE 17;15H</t>
  </si>
  <si>
    <t>PAGAMENTO DE FREELANCER YOHANA DAS 14H ATE AS 22;30</t>
  </si>
  <si>
    <t>PAGAMENTO FREELANCER YOHANA DAS 14H ATE AS 20H</t>
  </si>
  <si>
    <t>PAGAMENTO DE FREELANCER RAFAELA DAS 14H ATE AS 20;30 H</t>
  </si>
  <si>
    <t>PAGAMENTO DE FREELANCER MARI DAS 13H ATE 22;30</t>
  </si>
  <si>
    <t>PAGAMENTO FREELANCER CARLA DAS 13H ATE 22 H</t>
  </si>
  <si>
    <t>PAGAMENTO MARIO MOTOBOY REFERENTE AO DIA 23/03 AO DIA 29/03.</t>
  </si>
  <si>
    <t>Pagamento de freelancer César das13:00 até 18:30.</t>
  </si>
  <si>
    <t>Pagamento de freelancer Jeniffer das 12:40 até 18:30.</t>
  </si>
  <si>
    <t>R$ 24,91</t>
  </si>
  <si>
    <t>REFERENTE AO ID:2096729 CONSUMO SABRINA</t>
  </si>
  <si>
    <t>R$ 583,72</t>
  </si>
  <si>
    <t>Compra de produtos de limpeza para vários messes.</t>
  </si>
  <si>
    <t>Venho por meio deste informar que a funcionária Jeniffer relatou a perda de R$ 100,00 na via pública, valor este do caixa da loja.</t>
  </si>
  <si>
    <t>R$ 10,75</t>
  </si>
  <si>
    <t>compra de faca para cortar frutas.</t>
  </si>
  <si>
    <t>Pagamento da freelancer Rafaela das 12:30 até 17:30.</t>
  </si>
  <si>
    <t>R$ 74,47</t>
  </si>
  <si>
    <t>consumo Jeniffer</t>
  </si>
  <si>
    <t>Pagamento de freelancer Jeniffer das 12:40 até 16:30</t>
  </si>
  <si>
    <t>R$ 14,72</t>
  </si>
  <si>
    <t>R$ 209,65</t>
  </si>
  <si>
    <t>compra de frutas Gervasio</t>
  </si>
  <si>
    <t>Pagamento Freelancer Rafaela 12;30 as 18;30</t>
  </si>
  <si>
    <t>Pagamento Fleelancer Jenifer 12;30 as 16;30</t>
  </si>
  <si>
    <t>2 impressoes</t>
  </si>
  <si>
    <t>R$ 67,16</t>
  </si>
  <si>
    <t>COMPRA DE LANCHE PRA FIM DE SEMANA PÃO P/ SEXTA FEIRA , MORTADELA E QUEIJO P/ SEXTA SÁBADO E DOMINGO.</t>
  </si>
  <si>
    <t>PAGAMENTO DA FREELANCER YOHANA DAS 14:00 ATÉ 19:00.</t>
  </si>
  <si>
    <t>PAGAMENTO DE SERVIÇO DE LIMPEZA DOS VIDROS DA LOJA.</t>
  </si>
  <si>
    <t>PAGAMENTO DA FREELANCER RAFAELA DAS 13:00 ATÁ 21:30.</t>
  </si>
  <si>
    <t>PAGAMENTO DO FREELANCER CÉSAR DAS 13:00 ATÉ 22:30.</t>
  </si>
  <si>
    <t>R$ 68,98</t>
  </si>
  <si>
    <t>COMPRA DE PÃO PRA LANCHE SÁBADO E DOMINGO, MAIONESE, BANANA E SABÃO P/ LOJA.</t>
  </si>
  <si>
    <t>R$ 175,76</t>
  </si>
  <si>
    <t>COMPRA DE UVA E ABACAXI PRA LOJA.</t>
  </si>
  <si>
    <t>R$ 400,00</t>
  </si>
  <si>
    <t>COMPRA DE 16KG DE MORANGO.</t>
  </si>
  <si>
    <t>PAGAMENTO DE FREELANCER CÉSAR DAS 13:00 ATÉ 17:00.</t>
  </si>
  <si>
    <t>PAGAMENTO DA FREELANCER YOHANA DAS 14:00 ATÉ AS 19:00.</t>
  </si>
  <si>
    <t>R$ 187,00</t>
  </si>
  <si>
    <t>PAGAMENTO DA FREELANCER RAFAELA DAS 09:30 ATÉ 12:30 E DAS 13:00 ATÉ 22:30.</t>
  </si>
  <si>
    <t>R$ 438,00</t>
  </si>
  <si>
    <t>PAGAMENTO PARA MOTOBOY REFERENTE DIA 30/03 ATE DIA 04/04</t>
  </si>
  <si>
    <t>R$ 105,00</t>
  </si>
  <si>
    <t>PAGAMENTO DE FREELANCER YOHONA DAS 14H ATE AS 21H</t>
  </si>
  <si>
    <t>PAGAMENTO FREELANCER FERNANDA DAS 14H ATE AS 22;30</t>
  </si>
  <si>
    <t>PAGAMENTO DE RAFAELA FREELANCER DAS 13;30 ATE AS 22;30</t>
  </si>
  <si>
    <t>R$ 96,00</t>
  </si>
  <si>
    <t>PAGAMENTO MOTOBOY FELIPE REFERENTE DIA DE HOJE 05/04/26 APENAS ESTE DIA</t>
  </si>
  <si>
    <t>R$ 16,90</t>
  </si>
  <si>
    <t>Retirada de 1 copo de 300 ml referente a troca de moedas.</t>
  </si>
  <si>
    <t>PAGAMENTO DA FREELANCER RAFAELA DAS 12:30 ATÉR 18:30.</t>
  </si>
  <si>
    <t>PARA IMPRESSÕES</t>
  </si>
  <si>
    <t>R$ 58,00</t>
  </si>
  <si>
    <t>PAGAMENTO DA FREELANCER FERNANDA DAS 14:00 ATÉ 18:30.</t>
  </si>
  <si>
    <t>R$ 9,56</t>
  </si>
  <si>
    <t>Retirada de um copo de 300 ml referente a troca de moedas</t>
  </si>
  <si>
    <t>R$ 58,50</t>
  </si>
  <si>
    <t>PAGAMENTO DE FREELANCER RAFAELA DAS 12:30 ATÉ 17:00.</t>
  </si>
  <si>
    <t>R$ 126,30</t>
  </si>
  <si>
    <t>COMPRA DE AGUAS REFERENTE AO ID 2117330</t>
  </si>
  <si>
    <t>SANGRIA SABRINA</t>
  </si>
  <si>
    <t>PAGAMENTO FREELANCER RAFAELA 8;30 AS11;30 E 12;30 AS 17H</t>
  </si>
  <si>
    <t>PAGAMENTO DE FREELANCER RAFAELA DAS 13H ATE AS 20;30</t>
  </si>
  <si>
    <t>PAGAMENTO DE FREELANCER FERNANDA DS 14;H ATE AS 16;30</t>
  </si>
  <si>
    <t>PAGAMENTO DE FRELANCER CARLA DAS 13H ATE AS 22;30</t>
  </si>
  <si>
    <t>R$ 56,86</t>
  </si>
  <si>
    <t>RETIRADADE 3 COPOS DE 300 ML REFERENTE A TROCO DE MOEDAS KÉSSIA</t>
  </si>
  <si>
    <t>R$ 68,35</t>
  </si>
  <si>
    <t>COMPRA DE LANCHE PÃO QUEIJO PRA FIM DE SEMANA E BANANA E MANGA PRA LOJA.</t>
  </si>
  <si>
    <t>R$ 126,00</t>
  </si>
  <si>
    <t>PAGAMENTO DE MARIO REFERENTE AO DIA 7/04 TERÇA FEIRA</t>
  </si>
  <si>
    <t>R$ 143,00</t>
  </si>
  <si>
    <t>PAGAMENTO DE FREELANCER MARI DAS 13:00 ATÉ 22:30.</t>
  </si>
  <si>
    <t>PAGAMENTO DE FREELANCER CARLA DAS 13:00 ATÉ 22:00.</t>
  </si>
  <si>
    <t>R$ 197,00</t>
  </si>
  <si>
    <t>PAGAMENTO DA FREELANCER JENIFFER DO DIA 07/04 ATÉ O DIA 10/04 HORÁRIO DA TARDE.</t>
  </si>
  <si>
    <t>R$ 318,00</t>
  </si>
  <si>
    <t>PAGAMENTO DO MOTOBOY JOÃO REFERENTE AO DIA 08/04 ATÉ O DIA 12/04.</t>
  </si>
  <si>
    <t>R$ 76,18</t>
  </si>
  <si>
    <t>COMPRA DE ABACAXI MANGA E BANANA.</t>
  </si>
  <si>
    <t>COMPRA DDE 8 KG DE MORANGO</t>
  </si>
  <si>
    <t>PAGAMENTO DE FREELANCER FERNANDA DAS 13:00 ATÉ 18:30.</t>
  </si>
  <si>
    <t>PAGAMENTO DA FREELANCER RAFAELA DAS 12:30 ATÉ 17:00.</t>
  </si>
  <si>
    <t>IMPRESSÃO</t>
  </si>
  <si>
    <t>R$ 11,57</t>
  </si>
  <si>
    <t>R$ 71,83</t>
  </si>
  <si>
    <t>retirada de 4 copos de 300ml referente a troca de cedulas</t>
  </si>
  <si>
    <t>Pagamento freelancer Fernanda das 13h as 18;30</t>
  </si>
  <si>
    <t>pagamento freelancer Rafaela das 16;30 as 22;30</t>
  </si>
  <si>
    <t>R$ 86,00</t>
  </si>
  <si>
    <t>PAGAMENTO FREELANCER FERNANDA DAS 15;50 AS 22;30</t>
  </si>
  <si>
    <t>R$ 210,00</t>
  </si>
  <si>
    <t>compra de frutas</t>
  </si>
  <si>
    <t>R$ 22,76</t>
  </si>
  <si>
    <t>pago propaganda Instagram</t>
  </si>
  <si>
    <t>R$ 45,51</t>
  </si>
  <si>
    <t>compra de lanche Sabado e domingo</t>
  </si>
  <si>
    <t>PAGAMENTO DE FREELANCER FERNANDA DAS 16:00 ATÉ AS 22:30.</t>
  </si>
  <si>
    <t>pagamento de freelancer Rodrigo das 14 h ate as 18;30</t>
  </si>
  <si>
    <t>PAGAMENTO FREELANCER MARI DAS 13H ATE AS 22;30</t>
  </si>
  <si>
    <t>R$ 11,95</t>
  </si>
  <si>
    <t>R$ 68,94</t>
  </si>
  <si>
    <t>RETIRADA DE 4 COPOS DE 300ML REFERENTE A TROCA DE CEDULAS PARA A LOJA</t>
  </si>
  <si>
    <t>PAGAMENTO FREELANCER RODRIGO DAS 14 H ATE AS 19 H</t>
  </si>
  <si>
    <t>PAGAMENTO DE FREELANCER YOHANA DAS 14 H ATE AS 21H</t>
  </si>
  <si>
    <t>PAGAMENTO DE CARLA FREELANCER DAS 13H ATE AS 22H</t>
  </si>
  <si>
    <t>PAGAMENTO DE FREELANCER FERNANDA DAS 13H ATE AS 22;30H</t>
  </si>
  <si>
    <t>R$ 1.250,00</t>
  </si>
  <si>
    <t>R$ 396,00</t>
  </si>
  <si>
    <t>PAGAMENTO PARA MOTOBOY REFERENTE DIAS 13/04 ATE 19/04</t>
  </si>
  <si>
    <t>compra de morango 8 kg</t>
  </si>
  <si>
    <t>R$ 207,00</t>
  </si>
  <si>
    <t>PAGAMENTO DE JENIFFER REFERENTE A FREELANCER DO DIA 13/04 ATÉ O DIA 20/04.</t>
  </si>
  <si>
    <t>R$ 246,05</t>
  </si>
  <si>
    <t>COMPRA DE LANCHE PARA OS DIAS 21 E 24\04 KOMPRAO</t>
  </si>
  <si>
    <t>R$ 22,20</t>
  </si>
  <si>
    <t>GRAMPO PARA GRAMPEADOR</t>
  </si>
  <si>
    <t>COMPRA DE AGUAS,INSETICIDA E LANCHE PARA OS DIAS 21 E 24\04 REFERENTE AO ID 2138179</t>
  </si>
  <si>
    <t>PAGAMENTO DE FREELACER CÉSAR DAS 14:00 ATÉ 19:00.</t>
  </si>
  <si>
    <t>R$ 14,22</t>
  </si>
  <si>
    <t>PAGAMENTO FREELANCER FERNANDA DAS 16H AS 22;30</t>
  </si>
  <si>
    <t>PAGAMENTO DE FREELANCER RODRIGO DAS 14H ATE AS 16,30</t>
  </si>
  <si>
    <t>PAGAMENTO DE FREELANCER YOHONA DS 14H ATE AS 17H</t>
  </si>
  <si>
    <t>PAGAMENTO DE FREELANCER FERNANDA DAS 13H ATE AS 22;30</t>
  </si>
  <si>
    <t>PAGAMENTO DE FREELANCER SABRINA DAS 13H ATE 22;30</t>
  </si>
  <si>
    <t>R$ 13,02</t>
  </si>
  <si>
    <t>compra de linha para a loja</t>
  </si>
  <si>
    <t>R$ 78,73</t>
  </si>
  <si>
    <t>compra de uva; banana e manga</t>
  </si>
  <si>
    <t>PAGAMENTO FREELANCER FERNANDA DAS 16;30 AS 22;30</t>
  </si>
  <si>
    <t>PAGAMENTO DA FREELANCER YOHANA DAS 18:00 ATÉ AS 22:30.</t>
  </si>
  <si>
    <t>R$ 180,00</t>
  </si>
  <si>
    <t>COMPRA DE ABACAXI,UVA E BANANA PRA LOJA</t>
  </si>
  <si>
    <t>R$ 259,30</t>
  </si>
  <si>
    <t>COMPRA DE ÁGUA PRA LOJA (MANI)</t>
  </si>
  <si>
    <t>R$ 41,69</t>
  </si>
  <si>
    <t>COMPRA DE LANCHE PARA HOJE ,SABADO E DOMINGO</t>
  </si>
  <si>
    <t>PAGAMENTO FREELANCER YOHANA DAS 14;30 AS 18;30</t>
  </si>
  <si>
    <t>PAGAMENTO FREELANCER MARGARETE DAS 14;30 AS 18;30</t>
  </si>
  <si>
    <t>PAGAMENTO FREELANCER MARI 13H AS 22;30</t>
  </si>
  <si>
    <t>R$ 300,00</t>
  </si>
  <si>
    <t>COMPRA DE MORANGO 12KG</t>
  </si>
  <si>
    <t>PAGAMENTO DE FREELANCER DAS 14;30 ATE AS 19;30</t>
  </si>
  <si>
    <t>REFERENTE A ID 214818 NOME DA FREELANCER MARGARETE</t>
  </si>
  <si>
    <t>PAGAMENTO DEV FREE YOHANA DAS 14;30 ATE AS 20H</t>
  </si>
  <si>
    <t>PAGAMENTO DE FRE RAFAELA DAS 13H ATE AS 22;30</t>
  </si>
  <si>
    <t>R$ 273,00</t>
  </si>
  <si>
    <t>COMPRA DE PAPEL TOALHA E PAPEL HIGIENICO PRA LOJA.</t>
  </si>
  <si>
    <t>R$ 35,85</t>
  </si>
  <si>
    <t>CONSUMO JENIFFER</t>
  </si>
  <si>
    <t>R$ 50,95</t>
  </si>
  <si>
    <t>R$ 588,00</t>
  </si>
  <si>
    <t>PAGAMENTO DO MOTOBOY JOÃO REFERENTE AOS DIAS 20/04 ATÉ O DIA 26/04.</t>
  </si>
  <si>
    <t>R$ 102,00</t>
  </si>
  <si>
    <t>PAGAMENTO DE FREELANCER DA JENIFFER DOS DIAS 22 E 23 DE ABRIL DO HORÁRIO DAS 12:30 ATÉ AS 16:30.</t>
  </si>
  <si>
    <t>compra de 40 vales transportes para Sabrina Fragoso</t>
  </si>
  <si>
    <t>R$ 117,99</t>
  </si>
  <si>
    <t>COMPRA DE PIZZA PARA CAFÉ DO DIA DO TRABALHADOR.</t>
  </si>
  <si>
    <t>5KG MORANGOS ELAINE</t>
  </si>
  <si>
    <t>R$ 20,91</t>
  </si>
  <si>
    <t>compra de pâo ,queijo para sexta feriado lanche</t>
  </si>
  <si>
    <t>R$ 5,44</t>
  </si>
  <si>
    <t>compra de banana</t>
  </si>
  <si>
    <t>PAGAMENTO DE FREELANCE RAFAELA DAS 13H ATE AS 22;30H</t>
  </si>
  <si>
    <t>PAGAMENTO DE FREELANCER YOHANA DAS 13H ATE AS 22;30</t>
  </si>
  <si>
    <t>R$ 28,43</t>
  </si>
  <si>
    <t>COMPRA DE PÃO E QUEIJO PRA SÁBADO E DOMINGO.</t>
  </si>
  <si>
    <t>PAGAMENTO DA FREELANCER CARLA DAS 13:00 ATÉ ASD 18:00.</t>
  </si>
  <si>
    <t>PAGAMENTO FREELANCER RAFAELA DAS 13H AS 22;30</t>
  </si>
  <si>
    <t>PAGAMENTO FREELANCER MARI DAS 13H AS 22;30</t>
  </si>
  <si>
    <t>PAGAMENTO MOTOBOY ANTONIO ALEXANDRE DA SILVA DO DIA 27/04 ATE 03/05</t>
  </si>
  <si>
    <t>Abastecimento de gasolina do Daniel (venho fazer reparos na loja)</t>
  </si>
  <si>
    <t>R$ 19,25</t>
  </si>
  <si>
    <t>R$ 6,96</t>
  </si>
  <si>
    <t>R$ 332,00</t>
  </si>
  <si>
    <t>COMPRA DE 3 KIT BOLA E CARTAZ DA COPA PARA AS LOJAS RIO NEGRINHO ,MAFRA E SAO BENTO</t>
  </si>
  <si>
    <t>R$ 21,01</t>
  </si>
  <si>
    <t>R$ 26,11</t>
  </si>
  <si>
    <t>R$ 128,00</t>
  </si>
  <si>
    <t>PAGAMENTO DE FREELANCER MARI DAS 13H ATE AS 21;30</t>
  </si>
  <si>
    <t>R$ 359,00</t>
  </si>
  <si>
    <t>PAGAMENTO DE JENIFFER FREELANCER DO DIA 27/04 ATE DIA 8/05</t>
  </si>
  <si>
    <t>R$ 378,00</t>
  </si>
  <si>
    <t>PAGAMENTO A JOÂO VITOR MOTOBOY REFERENTE DIA 4/05 ATE 10/05</t>
  </si>
  <si>
    <t>compra de 5 kg de morango</t>
  </si>
  <si>
    <t>R$ 75,29</t>
  </si>
  <si>
    <t>compra de banana abacaxi e manga</t>
  </si>
  <si>
    <t>R$ 17,36</t>
  </si>
  <si>
    <t>R$ 45,23</t>
  </si>
  <si>
    <t>R$ 25,41</t>
  </si>
  <si>
    <t>CONSUMO RENATA</t>
  </si>
  <si>
    <t>COMPRA DE 3KG DE MORANGO</t>
  </si>
  <si>
    <t>R$ 13,71</t>
  </si>
  <si>
    <t>R$ 22,58</t>
  </si>
  <si>
    <t>R$ 50,38</t>
  </si>
  <si>
    <t>PAGO OS TRAFEGO DO INTRAGRAN E PÂES DESSA SEMANA E SEMANA PASADA !</t>
  </si>
  <si>
    <t>R$ 22,90</t>
  </si>
  <si>
    <t>R$ 174,00</t>
  </si>
  <si>
    <t>PAGAMENTO DO MOTOBOY REFERENTE DIAS 11/05 ATE 17/05</t>
  </si>
  <si>
    <t>R$ 11,02</t>
  </si>
  <si>
    <t>R$ 17,74</t>
  </si>
  <si>
    <t>referente ao id 2186309 Consumo jeniffer</t>
  </si>
  <si>
    <t>CONSUMO MARI</t>
  </si>
  <si>
    <t>R$ 40,38</t>
  </si>
  <si>
    <t>R$ 19,88</t>
  </si>
  <si>
    <t>R$ 19,50</t>
  </si>
  <si>
    <t>5KG DE MORANGOS ELAINE HUEBL</t>
  </si>
  <si>
    <t>R$ 7,30</t>
  </si>
  <si>
    <t>R$ 51,92</t>
  </si>
  <si>
    <t>COMPRA DE ABACAXI UVA MANGA BANANA.</t>
  </si>
  <si>
    <t>R$ 25,92</t>
  </si>
  <si>
    <t>compra de pao queijo e presunto para final de semana</t>
  </si>
  <si>
    <t>PAGAMENTO DE FREELANCER SABRINA DAS 13:00 ATÉ 19:00.</t>
  </si>
  <si>
    <t>R$ 348,00</t>
  </si>
  <si>
    <t>PAGAMENTO REFERENTE A MOTOBOY DO DIA 18/05 ATE 24/05</t>
  </si>
  <si>
    <t>R$ 21,51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</si>
</sst>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R$&quot;\ #,##0.00"/>
    <numFmt numFmtId="165" formatCode="d/m/yyyy"/>
    <numFmt numFmtId="166" formatCode="dd/mm/yyyy hh:mm:ss"/>
    <numFmt numFmtId="167" formatCode="&quot;R$&quot;#,##0.00"/>
    <numFmt numFmtId="168" formatCode="dd/mm/yyyy"/>
    <numFmt numFmtId="169" formatCode="d/m/yy"/>
    <numFmt numFmtId="170" formatCode="[$R$ -416]#,##0.00"/>
    <numFmt numFmtId="171" formatCode="d/m"/>
    <numFmt numFmtId="172" formatCode="dd/mm"/>
    <numFmt numFmtId="173" formatCode="dd/MM/yyyy"/>
  </numFmts>
  <fonts count="33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b/>
      <color theme="1"/>
      <name val="Arial"/>
    </font>
    <font>
      <sz val="11.0"/>
      <color rgb="FF000000"/>
      <name val="Roboto"/>
    </font>
    <font>
      <color rgb="FFFFFDFC"/>
      <name val="Ambit"/>
    </font>
    <font>
      <sz val="12.0"/>
      <color rgb="FF000000"/>
      <name val="Arial"/>
    </font>
    <font>
      <b/>
      <sz val="12.0"/>
      <color theme="1"/>
      <name val="Calibri"/>
    </font>
    <font>
      <b/>
      <sz val="18.0"/>
      <color theme="1"/>
      <name val="Calibri"/>
    </font>
    <font/>
    <font>
      <b/>
      <sz val="17.0"/>
      <color theme="1"/>
      <name val="Calibri"/>
    </font>
    <font>
      <b/>
      <sz val="14.0"/>
      <color theme="1"/>
      <name val="Calibri"/>
    </font>
    <font>
      <b/>
      <color theme="1"/>
      <name val="Calibri"/>
    </font>
    <font>
      <sz val="11.0"/>
      <color theme="1"/>
      <name val="Calibri"/>
    </font>
    <font>
      <b/>
      <sz val="12.0"/>
      <color rgb="FF000000"/>
      <name val="Calibri"/>
    </font>
    <font>
      <b/>
      <sz val="10.0"/>
      <color theme="1"/>
      <name val="Calibri"/>
    </font>
    <font>
      <sz val="12.0"/>
      <color theme="1"/>
      <name val="Calibri"/>
    </font>
    <font>
      <b/>
      <sz val="14.0"/>
      <color rgb="FF000000"/>
      <name val="Calibri"/>
    </font>
    <font>
      <b/>
      <sz val="10.0"/>
      <color theme="1"/>
      <name val="Arial"/>
      <scheme val="minor"/>
    </font>
    <font>
      <sz val="12.0"/>
      <color rgb="FF000000"/>
      <name val="Calibri"/>
    </font>
    <font>
      <b/>
      <sz val="13.0"/>
      <color theme="1"/>
      <name val="Calibri"/>
    </font>
    <font>
      <b/>
      <color theme="1"/>
      <name val="Arial"/>
      <scheme val="minor"/>
    </font>
    <font>
      <color rgb="FF000000"/>
      <name val="Roboto"/>
    </font>
    <font>
      <b/>
      <sz val="10.0"/>
      <color rgb="FF000000"/>
      <name val="&quot;Google Sans Mono&quot;"/>
    </font>
    <font>
      <sz val="9.0"/>
      <color rgb="FF434343"/>
      <name val="&quot;Google Sans Mono&quot;"/>
    </font>
    <font>
      <b/>
      <sz val="14.0"/>
      <color theme="1"/>
      <name val="Roboto"/>
    </font>
    <font>
      <b/>
      <sz val="11.0"/>
      <color theme="1"/>
      <name val="Roboto"/>
    </font>
    <font>
      <b/>
      <sz val="12.0"/>
      <color theme="1"/>
      <name val="Roboto"/>
    </font>
    <font>
      <b/>
      <color theme="1"/>
      <name val="Roboto"/>
    </font>
    <font>
      <b/>
      <color rgb="FF434343"/>
      <name val="Roboto"/>
    </font>
    <font>
      <sz val="11.0"/>
      <color rgb="FFFF0000"/>
      <name val="Roboto"/>
    </font>
    <font>
      <sz val="11.0"/>
      <color rgb="FFFF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BBC04"/>
        <bgColor rgb="FFFBBC04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AFAFA"/>
        <bgColor rgb="FFFAFAFA"/>
      </patternFill>
    </fill>
    <fill>
      <patternFill patternType="solid">
        <fgColor rgb="FF434343"/>
        <bgColor rgb="FF434343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57">
    <border/>
    <border>
      <left style="thick">
        <color rgb="FF000000"/>
      </left>
    </border>
    <border>
      <bottom style="thin">
        <color rgb="FFF0F0F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ck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</borders>
  <cellStyleXfs count="1">
    <xf borderId="0" fillId="0" fontId="0" numFmtId="0" applyAlignment="1" applyFont="1"/>
  </cellStyleXfs>
  <cellXfs count="30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2" numFmtId="0" xfId="0" applyAlignment="1" applyFill="1" applyFont="1">
      <alignment vertical="bottom"/>
    </xf>
    <xf borderId="0" fillId="4" fontId="3" numFmtId="0" xfId="0" applyAlignment="1" applyFill="1" applyFont="1">
      <alignment readingOrder="0"/>
    </xf>
    <xf borderId="0" fillId="3" fontId="2" numFmtId="164" xfId="0" applyAlignment="1" applyFont="1" applyNumberFormat="1">
      <alignment horizontal="center" vertical="bottom"/>
    </xf>
    <xf borderId="1" fillId="5" fontId="1" numFmtId="0" xfId="0" applyAlignment="1" applyBorder="1" applyFill="1" applyFont="1">
      <alignment vertical="bottom"/>
    </xf>
    <xf borderId="0" fillId="5" fontId="1" numFmtId="0" xfId="0" applyAlignment="1" applyFont="1">
      <alignment vertical="bottom"/>
    </xf>
    <xf borderId="0" fillId="5" fontId="4" numFmtId="0" xfId="0" applyAlignment="1" applyFont="1">
      <alignment horizontal="center" vertical="bottom"/>
    </xf>
    <xf borderId="0" fillId="5" fontId="2" numFmtId="164" xfId="0" applyAlignment="1" applyFont="1" applyNumberFormat="1">
      <alignment horizontal="center" vertical="bottom"/>
    </xf>
    <xf borderId="0" fillId="4" fontId="3" numFmtId="0" xfId="0" applyFont="1"/>
    <xf borderId="0" fillId="5" fontId="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2" fillId="0" fontId="5" numFmtId="0" xfId="0" applyAlignment="1" applyBorder="1" applyFont="1">
      <alignment horizontal="left" readingOrder="0" shrinkToFit="0" wrapText="1"/>
    </xf>
    <xf borderId="2" fillId="0" fontId="5" numFmtId="166" xfId="0" applyAlignment="1" applyBorder="1" applyFont="1" applyNumberFormat="1">
      <alignment horizontal="left" readingOrder="0" shrinkToFit="0" wrapText="1"/>
    </xf>
    <xf borderId="0" fillId="0" fontId="3" numFmtId="167" xfId="0" applyAlignment="1" applyFont="1" applyNumberFormat="1">
      <alignment readingOrder="0"/>
    </xf>
    <xf borderId="2" fillId="0" fontId="5" numFmtId="0" xfId="0" applyAlignment="1" applyBorder="1" applyFont="1">
      <alignment horizontal="left" shrinkToFit="0" wrapText="1"/>
    </xf>
    <xf borderId="0" fillId="0" fontId="3" numFmtId="4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9" xfId="0" applyAlignment="1" applyFont="1" applyNumberFormat="1">
      <alignment readingOrder="0"/>
    </xf>
    <xf borderId="2" fillId="6" fontId="5" numFmtId="0" xfId="0" applyAlignment="1" applyBorder="1" applyFill="1" applyFont="1">
      <alignment horizontal="left" shrinkToFit="0" wrapText="1"/>
    </xf>
    <xf borderId="0" fillId="0" fontId="3" numFmtId="14" xfId="0" applyAlignment="1" applyFont="1" applyNumberFormat="1">
      <alignment readingOrder="0"/>
    </xf>
    <xf borderId="0" fillId="0" fontId="6" numFmtId="0" xfId="0" applyAlignment="1" applyFont="1">
      <alignment readingOrder="0" shrinkToFit="0" wrapText="0"/>
    </xf>
    <xf borderId="0" fillId="0" fontId="7" numFmtId="0" xfId="0" applyFont="1"/>
    <xf borderId="0" fillId="0" fontId="5" numFmtId="166" xfId="0" applyAlignment="1" applyFont="1" applyNumberForma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shrinkToFit="0" wrapText="1"/>
    </xf>
    <xf borderId="0" fillId="2" fontId="1" numFmtId="0" xfId="0" applyAlignment="1" applyFont="1">
      <alignment vertical="bottom"/>
    </xf>
    <xf borderId="0" fillId="7" fontId="8" numFmtId="164" xfId="0" applyAlignment="1" applyFill="1" applyFont="1" applyNumberFormat="1">
      <alignment horizontal="center" vertical="bottom"/>
    </xf>
    <xf borderId="0" fillId="7" fontId="3" numFmtId="0" xfId="0" applyFont="1"/>
    <xf borderId="0" fillId="7" fontId="3" numFmtId="0" xfId="0" applyFont="1"/>
    <xf borderId="3" fillId="8" fontId="9" numFmtId="164" xfId="0" applyAlignment="1" applyBorder="1" applyFill="1" applyFont="1" applyNumberFormat="1">
      <alignment horizontal="center" readingOrder="0" vertical="bottom"/>
    </xf>
    <xf borderId="4" fillId="0" fontId="10" numFmtId="0" xfId="0" applyBorder="1" applyFont="1"/>
    <xf borderId="5" fillId="0" fontId="10" numFmtId="0" xfId="0" applyBorder="1" applyFont="1"/>
    <xf borderId="3" fillId="8" fontId="11" numFmtId="0" xfId="0" applyAlignment="1" applyBorder="1" applyFont="1">
      <alignment horizontal="center" readingOrder="0"/>
    </xf>
    <xf borderId="6" fillId="9" fontId="12" numFmtId="0" xfId="0" applyAlignment="1" applyBorder="1" applyFill="1" applyFont="1">
      <alignment horizontal="center" readingOrder="0"/>
    </xf>
    <xf borderId="7" fillId="0" fontId="10" numFmtId="0" xfId="0" applyBorder="1" applyFont="1"/>
    <xf borderId="8" fillId="9" fontId="12" numFmtId="164" xfId="0" applyAlignment="1" applyBorder="1" applyFont="1" applyNumberFormat="1">
      <alignment horizontal="center" vertical="bottom"/>
    </xf>
    <xf borderId="9" fillId="9" fontId="12" numFmtId="164" xfId="0" applyAlignment="1" applyBorder="1" applyFont="1" applyNumberFormat="1">
      <alignment horizontal="center" vertical="bottom"/>
    </xf>
    <xf borderId="10" fillId="0" fontId="10" numFmtId="0" xfId="0" applyBorder="1" applyFont="1"/>
    <xf borderId="0" fillId="7" fontId="12" numFmtId="0" xfId="0" applyAlignment="1" applyFont="1">
      <alignment horizontal="center" vertical="bottom"/>
    </xf>
    <xf borderId="3" fillId="9" fontId="12" numFmtId="164" xfId="0" applyAlignment="1" applyBorder="1" applyFont="1" applyNumberFormat="1">
      <alignment horizontal="center" vertical="bottom"/>
    </xf>
    <xf borderId="4" fillId="7" fontId="12" numFmtId="164" xfId="0" applyAlignment="1" applyBorder="1" applyFont="1" applyNumberFormat="1">
      <alignment horizontal="center" vertical="bottom"/>
    </xf>
    <xf borderId="4" fillId="9" fontId="12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readingOrder="0"/>
    </xf>
    <xf borderId="11" fillId="10" fontId="13" numFmtId="0" xfId="0" applyAlignment="1" applyBorder="1" applyFill="1" applyFont="1">
      <alignment readingOrder="0"/>
    </xf>
    <xf borderId="0" fillId="6" fontId="2" numFmtId="164" xfId="0" applyAlignment="1" applyFont="1" applyNumberFormat="1">
      <alignment horizontal="left" vertical="bottom"/>
    </xf>
    <xf borderId="11" fillId="6" fontId="14" numFmtId="170" xfId="0" applyAlignment="1" applyBorder="1" applyFont="1" applyNumberFormat="1">
      <alignment horizontal="right" vertical="bottom"/>
    </xf>
    <xf borderId="12" fillId="6" fontId="2" numFmtId="164" xfId="0" applyAlignment="1" applyBorder="1" applyFont="1" applyNumberFormat="1">
      <alignment horizontal="left" vertical="bottom"/>
    </xf>
    <xf borderId="13" fillId="6" fontId="14" numFmtId="170" xfId="0" applyAlignment="1" applyBorder="1" applyFont="1" applyNumberFormat="1">
      <alignment horizontal="right" vertical="bottom"/>
    </xf>
    <xf borderId="1" fillId="6" fontId="8" numFmtId="0" xfId="0" applyAlignment="1" applyBorder="1" applyFont="1">
      <alignment vertical="bottom"/>
    </xf>
    <xf borderId="0" fillId="6" fontId="8" numFmtId="0" xfId="0" applyAlignment="1" applyFont="1">
      <alignment vertical="bottom"/>
    </xf>
    <xf borderId="13" fillId="6" fontId="8" numFmtId="0" xfId="0" applyAlignment="1" applyBorder="1" applyFont="1">
      <alignment vertical="bottom"/>
    </xf>
    <xf borderId="0" fillId="7" fontId="8" numFmtId="0" xfId="0" applyAlignment="1" applyFont="1">
      <alignment vertical="bottom"/>
    </xf>
    <xf borderId="0" fillId="10" fontId="15" numFmtId="0" xfId="0" applyFont="1"/>
    <xf borderId="13" fillId="10" fontId="15" numFmtId="0" xfId="0" applyBorder="1" applyFont="1"/>
    <xf borderId="1" fillId="6" fontId="14" numFmtId="166" xfId="0" applyAlignment="1" applyBorder="1" applyFont="1" applyNumberFormat="1">
      <alignment horizontal="left" vertical="bottom"/>
    </xf>
    <xf borderId="0" fillId="6" fontId="14" numFmtId="0" xfId="0" applyAlignment="1" applyFont="1">
      <alignment horizontal="left" vertical="bottom"/>
    </xf>
    <xf borderId="13" fillId="6" fontId="14" numFmtId="0" xfId="0" applyAlignment="1" applyBorder="1" applyFont="1">
      <alignment horizontal="left" vertical="bottom"/>
    </xf>
    <xf borderId="0" fillId="7" fontId="14" numFmtId="0" xfId="0" applyAlignment="1" applyFont="1">
      <alignment vertical="bottom"/>
    </xf>
    <xf borderId="12" fillId="6" fontId="2" numFmtId="0" xfId="0" applyAlignment="1" applyBorder="1" applyFont="1">
      <alignment horizontal="left" vertical="bottom"/>
    </xf>
    <xf borderId="14" fillId="6" fontId="8" numFmtId="164" xfId="0" applyAlignment="1" applyBorder="1" applyFont="1" applyNumberFormat="1">
      <alignment horizontal="center" vertical="bottom"/>
    </xf>
    <xf borderId="15" fillId="0" fontId="10" numFmtId="0" xfId="0" applyBorder="1" applyFont="1"/>
    <xf borderId="16" fillId="6" fontId="8" numFmtId="164" xfId="0" applyAlignment="1" applyBorder="1" applyFont="1" applyNumberFormat="1">
      <alignment horizontal="center" vertical="bottom"/>
    </xf>
    <xf borderId="0" fillId="0" fontId="3" numFmtId="171" xfId="0" applyAlignment="1" applyFont="1" applyNumberFormat="1">
      <alignment readingOrder="0"/>
    </xf>
    <xf borderId="17" fillId="0" fontId="10" numFmtId="0" xfId="0" applyBorder="1" applyFont="1"/>
    <xf borderId="0" fillId="7" fontId="8" numFmtId="0" xfId="0" applyAlignment="1" applyFont="1">
      <alignment horizontal="center" vertical="bottom"/>
    </xf>
    <xf borderId="0" fillId="6" fontId="16" numFmtId="164" xfId="0" applyAlignment="1" applyFont="1" applyNumberFormat="1">
      <alignment vertical="bottom"/>
    </xf>
    <xf borderId="11" fillId="6" fontId="17" numFmtId="0" xfId="0" applyAlignment="1" applyBorder="1" applyFont="1">
      <alignment readingOrder="0" vertical="bottom"/>
    </xf>
    <xf borderId="12" fillId="6" fontId="16" numFmtId="164" xfId="0" applyAlignment="1" applyBorder="1" applyFont="1" applyNumberFormat="1">
      <alignment vertical="bottom"/>
    </xf>
    <xf borderId="11" fillId="6" fontId="17" numFmtId="171" xfId="0" applyAlignment="1" applyBorder="1" applyFont="1" applyNumberFormat="1">
      <alignment vertical="bottom"/>
    </xf>
    <xf borderId="11" fillId="6" fontId="17" numFmtId="171" xfId="0" applyAlignment="1" applyBorder="1" applyFont="1" applyNumberFormat="1">
      <alignment readingOrder="0" vertical="bottom"/>
    </xf>
    <xf borderId="13" fillId="6" fontId="17" numFmtId="164" xfId="0" applyAlignment="1" applyBorder="1" applyFont="1" applyNumberFormat="1">
      <alignment vertical="bottom"/>
    </xf>
    <xf borderId="0" fillId="7" fontId="17" numFmtId="0" xfId="0" applyAlignment="1" applyFont="1">
      <alignment vertical="bottom"/>
    </xf>
    <xf borderId="18" fillId="6" fontId="16" numFmtId="164" xfId="0" applyAlignment="1" applyBorder="1" applyFont="1" applyNumberFormat="1">
      <alignment vertical="bottom"/>
    </xf>
    <xf borderId="19" fillId="6" fontId="17" numFmtId="164" xfId="0" applyAlignment="1" applyBorder="1" applyFont="1" applyNumberFormat="1">
      <alignment readingOrder="0" vertical="bottom"/>
    </xf>
    <xf borderId="20" fillId="6" fontId="16" numFmtId="164" xfId="0" applyAlignment="1" applyBorder="1" applyFont="1" applyNumberFormat="1">
      <alignment vertical="bottom"/>
    </xf>
    <xf borderId="19" fillId="6" fontId="17" numFmtId="164" xfId="0" applyAlignment="1" applyBorder="1" applyFont="1" applyNumberFormat="1">
      <alignment vertical="bottom"/>
    </xf>
    <xf borderId="21" fillId="6" fontId="17" numFmtId="164" xfId="0" applyAlignment="1" applyBorder="1" applyFont="1" applyNumberFormat="1">
      <alignment vertical="bottom"/>
    </xf>
    <xf borderId="22" fillId="9" fontId="12" numFmtId="164" xfId="0" applyAlignment="1" applyBorder="1" applyFont="1" applyNumberFormat="1">
      <alignment horizontal="center" vertical="bottom"/>
    </xf>
    <xf borderId="23" fillId="0" fontId="10" numFmtId="0" xfId="0" applyBorder="1" applyFont="1"/>
    <xf borderId="24" fillId="9" fontId="12" numFmtId="164" xfId="0" applyAlignment="1" applyBorder="1" applyFont="1" applyNumberFormat="1">
      <alignment horizontal="center" vertical="bottom"/>
    </xf>
    <xf borderId="25" fillId="0" fontId="10" numFmtId="0" xfId="0" applyBorder="1" applyFont="1"/>
    <xf borderId="0" fillId="6" fontId="14" numFmtId="0" xfId="0" applyAlignment="1" applyFont="1">
      <alignment horizontal="left" vertical="bottom"/>
    </xf>
    <xf borderId="13" fillId="6" fontId="14" numFmtId="0" xfId="0" applyAlignment="1" applyBorder="1" applyFont="1">
      <alignment horizontal="left" vertical="bottom"/>
    </xf>
    <xf borderId="0" fillId="7" fontId="14" numFmtId="0" xfId="0" applyAlignment="1" applyFont="1">
      <alignment vertical="bottom"/>
    </xf>
    <xf borderId="1" fillId="10" fontId="14" numFmtId="0" xfId="0" applyAlignment="1" applyBorder="1" applyFont="1">
      <alignment readingOrder="0" vertical="bottom"/>
    </xf>
    <xf borderId="11" fillId="10" fontId="2" numFmtId="0" xfId="0" applyAlignment="1" applyBorder="1" applyFont="1">
      <alignment readingOrder="0" vertical="bottom"/>
    </xf>
    <xf borderId="0" fillId="6" fontId="16" numFmtId="164" xfId="0" applyAlignment="1" applyFont="1" applyNumberFormat="1">
      <alignment horizontal="left" vertical="bottom"/>
    </xf>
    <xf borderId="11" fillId="6" fontId="17" numFmtId="170" xfId="0" applyAlignment="1" applyBorder="1" applyFont="1" applyNumberFormat="1">
      <alignment horizontal="right" vertical="bottom"/>
    </xf>
    <xf borderId="12" fillId="6" fontId="16" numFmtId="164" xfId="0" applyAlignment="1" applyBorder="1" applyFont="1" applyNumberFormat="1">
      <alignment horizontal="left" vertical="bottom"/>
    </xf>
    <xf borderId="13" fillId="6" fontId="17" numFmtId="170" xfId="0" applyAlignment="1" applyBorder="1" applyFont="1" applyNumberFormat="1">
      <alignment horizontal="right" vertical="bottom"/>
    </xf>
    <xf borderId="1" fillId="6" fontId="1" numFmtId="0" xfId="0" applyAlignment="1" applyBorder="1" applyFont="1">
      <alignment horizontal="left" vertical="bottom"/>
    </xf>
    <xf borderId="0" fillId="6" fontId="1" numFmtId="0" xfId="0" applyAlignment="1" applyFont="1">
      <alignment horizontal="left" vertical="bottom"/>
    </xf>
    <xf borderId="13" fillId="6" fontId="1" numFmtId="0" xfId="0" applyAlignment="1" applyBorder="1" applyFont="1">
      <alignment horizontal="left" vertical="bottom"/>
    </xf>
    <xf borderId="0" fillId="7" fontId="1" numFmtId="0" xfId="0" applyAlignment="1" applyFont="1">
      <alignment vertical="bottom"/>
    </xf>
    <xf borderId="1" fillId="10" fontId="14" numFmtId="0" xfId="0" applyAlignment="1" applyBorder="1" applyFont="1">
      <alignment vertical="bottom"/>
    </xf>
    <xf borderId="11" fillId="10" fontId="2" numFmtId="0" xfId="0" applyAlignment="1" applyBorder="1" applyFont="1">
      <alignment vertical="bottom"/>
    </xf>
    <xf borderId="12" fillId="6" fontId="16" numFmtId="0" xfId="0" applyAlignment="1" applyBorder="1" applyFont="1">
      <alignment horizontal="left" vertical="bottom"/>
    </xf>
    <xf borderId="26" fillId="10" fontId="14" numFmtId="0" xfId="0" applyAlignment="1" applyBorder="1" applyFont="1">
      <alignment vertical="bottom"/>
    </xf>
    <xf borderId="27" fillId="10" fontId="2" numFmtId="0" xfId="0" applyAlignment="1" applyBorder="1" applyFont="1">
      <alignment vertical="bottom"/>
    </xf>
    <xf borderId="28" fillId="6" fontId="16" numFmtId="164" xfId="0" applyAlignment="1" applyBorder="1" applyFont="1" applyNumberFormat="1">
      <alignment vertical="bottom"/>
    </xf>
    <xf borderId="27" fillId="6" fontId="17" numFmtId="164" xfId="0" applyAlignment="1" applyBorder="1" applyFont="1" applyNumberFormat="1">
      <alignment readingOrder="0" vertical="bottom"/>
    </xf>
    <xf borderId="29" fillId="6" fontId="16" numFmtId="164" xfId="0" applyAlignment="1" applyBorder="1" applyFont="1" applyNumberFormat="1">
      <alignment vertical="bottom"/>
    </xf>
    <xf borderId="27" fillId="6" fontId="17" numFmtId="164" xfId="0" applyAlignment="1" applyBorder="1" applyFont="1" applyNumberFormat="1">
      <alignment vertical="bottom"/>
    </xf>
    <xf borderId="30" fillId="6" fontId="17" numFmtId="164" xfId="0" applyAlignment="1" applyBorder="1" applyFont="1" applyNumberFormat="1">
      <alignment vertical="bottom"/>
    </xf>
    <xf borderId="0" fillId="7" fontId="11" numFmtId="0" xfId="0" applyAlignment="1" applyFont="1">
      <alignment horizontal="center" readingOrder="0" vertical="bottom"/>
    </xf>
    <xf borderId="31" fillId="8" fontId="3" numFmtId="0" xfId="0" applyBorder="1" applyFont="1"/>
    <xf borderId="32" fillId="0" fontId="10" numFmtId="0" xfId="0" applyBorder="1" applyFont="1"/>
    <xf borderId="33" fillId="8" fontId="11" numFmtId="0" xfId="0" applyAlignment="1" applyBorder="1" applyFont="1">
      <alignment horizontal="center" readingOrder="0" vertical="bottom"/>
    </xf>
    <xf borderId="34" fillId="0" fontId="10" numFmtId="0" xfId="0" applyBorder="1" applyFont="1"/>
    <xf borderId="35" fillId="0" fontId="10" numFmtId="0" xfId="0" applyBorder="1" applyFont="1"/>
    <xf borderId="1" fillId="6" fontId="1" numFmtId="0" xfId="0" applyAlignment="1" applyBorder="1" applyFont="1">
      <alignment horizontal="left" vertical="bottom"/>
    </xf>
    <xf borderId="0" fillId="6" fontId="1" numFmtId="0" xfId="0" applyAlignment="1" applyFont="1">
      <alignment horizontal="left" vertical="bottom"/>
    </xf>
    <xf borderId="0" fillId="7" fontId="1" numFmtId="0" xfId="0" applyAlignment="1" applyFont="1">
      <alignment vertical="bottom"/>
    </xf>
    <xf borderId="13" fillId="6" fontId="1" numFmtId="0" xfId="0" applyAlignment="1" applyBorder="1" applyFont="1">
      <alignment horizontal="left" vertical="bottom"/>
    </xf>
    <xf borderId="36" fillId="9" fontId="12" numFmtId="164" xfId="0" applyAlignment="1" applyBorder="1" applyFont="1" applyNumberFormat="1">
      <alignment horizontal="center" vertical="bottom"/>
    </xf>
    <xf borderId="37" fillId="0" fontId="10" numFmtId="0" xfId="0" applyBorder="1" applyFont="1"/>
    <xf borderId="38" fillId="0" fontId="10" numFmtId="0" xfId="0" applyBorder="1" applyFont="1"/>
    <xf borderId="39" fillId="9" fontId="12" numFmtId="164" xfId="0" applyAlignment="1" applyBorder="1" applyFont="1" applyNumberFormat="1">
      <alignment horizontal="center" readingOrder="0" vertical="bottom"/>
    </xf>
    <xf borderId="40" fillId="9" fontId="18" numFmtId="170" xfId="0" applyBorder="1" applyFont="1" applyNumberFormat="1"/>
    <xf borderId="41" fillId="9" fontId="12" numFmtId="164" xfId="0" applyAlignment="1" applyBorder="1" applyFont="1" applyNumberFormat="1">
      <alignment horizontal="center" vertical="bottom"/>
    </xf>
    <xf borderId="42" fillId="9" fontId="12" numFmtId="16" xfId="0" applyAlignment="1" applyBorder="1" applyFont="1" applyNumberFormat="1">
      <alignment horizontal="center" vertical="bottom"/>
    </xf>
    <xf borderId="36" fillId="9" fontId="12" numFmtId="164" xfId="0" applyAlignment="1" applyBorder="1" applyFont="1" applyNumberFormat="1">
      <alignment horizontal="center" readingOrder="0" vertical="bottom"/>
    </xf>
    <xf borderId="1" fillId="10" fontId="1" numFmtId="0" xfId="0" applyAlignment="1" applyBorder="1" applyFont="1">
      <alignment horizontal="left" vertical="bottom"/>
    </xf>
    <xf borderId="0" fillId="10" fontId="1" numFmtId="0" xfId="0" applyAlignment="1" applyFont="1">
      <alignment horizontal="left" vertical="bottom"/>
    </xf>
    <xf borderId="34" fillId="7" fontId="12" numFmtId="164" xfId="0" applyAlignment="1" applyBorder="1" applyFont="1" applyNumberFormat="1">
      <alignment horizontal="center" vertical="bottom"/>
    </xf>
    <xf borderId="34" fillId="9" fontId="12" numFmtId="164" xfId="0" applyAlignment="1" applyBorder="1" applyFont="1" applyNumberFormat="1">
      <alignment horizontal="center" vertical="bottom"/>
    </xf>
    <xf borderId="43" fillId="0" fontId="10" numFmtId="0" xfId="0" applyBorder="1" applyFont="1"/>
    <xf borderId="0" fillId="7" fontId="3" numFmtId="0" xfId="0" applyAlignment="1" applyFont="1">
      <alignment horizontal="left" readingOrder="0"/>
    </xf>
    <xf borderId="44" fillId="6" fontId="16" numFmtId="164" xfId="0" applyAlignment="1" applyBorder="1" applyFont="1" applyNumberFormat="1">
      <alignment horizontal="left" vertical="bottom"/>
    </xf>
    <xf borderId="45" fillId="6" fontId="17" numFmtId="170" xfId="0" applyAlignment="1" applyBorder="1" applyFont="1" applyNumberFormat="1">
      <alignment horizontal="right" vertical="bottom"/>
    </xf>
    <xf borderId="11" fillId="6" fontId="17" numFmtId="170" xfId="0" applyAlignment="1" applyBorder="1" applyFont="1" applyNumberFormat="1">
      <alignment readingOrder="0"/>
    </xf>
    <xf borderId="0" fillId="6" fontId="19" numFmtId="0" xfId="0" applyAlignment="1" applyFont="1">
      <alignment readingOrder="0"/>
    </xf>
    <xf borderId="45" fillId="6" fontId="17" numFmtId="170" xfId="0" applyAlignment="1" applyBorder="1" applyFont="1" applyNumberFormat="1">
      <alignment readingOrder="0"/>
    </xf>
    <xf borderId="46" fillId="6" fontId="17" numFmtId="164" xfId="0" applyAlignment="1" applyBorder="1" applyFont="1" applyNumberFormat="1">
      <alignment horizontal="center" vertical="bottom"/>
    </xf>
    <xf borderId="47" fillId="6" fontId="17" numFmtId="170" xfId="0" applyAlignment="1" applyBorder="1" applyFont="1" applyNumberFormat="1">
      <alignment horizontal="center" vertical="bottom"/>
    </xf>
    <xf borderId="44" fillId="6" fontId="16" numFmtId="164" xfId="0" applyAlignment="1" applyBorder="1" applyFont="1" applyNumberFormat="1">
      <alignment horizontal="left" readingOrder="0" vertical="bottom"/>
    </xf>
    <xf borderId="45" fillId="6" fontId="17" numFmtId="170" xfId="0" applyAlignment="1" applyBorder="1" applyFont="1" applyNumberFormat="1">
      <alignment horizontal="left" vertical="bottom"/>
    </xf>
    <xf borderId="1" fillId="11" fontId="1" numFmtId="0" xfId="0" applyAlignment="1" applyBorder="1" applyFill="1" applyFont="1">
      <alignment horizontal="left" vertical="bottom"/>
    </xf>
    <xf borderId="0" fillId="11" fontId="1" numFmtId="0" xfId="0" applyAlignment="1" applyFont="1">
      <alignment horizontal="left" vertical="bottom"/>
    </xf>
    <xf borderId="0" fillId="7" fontId="14" numFmtId="164" xfId="0" applyAlignment="1" applyFont="1" applyNumberFormat="1">
      <alignment horizontal="left" vertical="bottom"/>
    </xf>
    <xf borderId="46" fillId="6" fontId="17" numFmtId="164" xfId="0" applyAlignment="1" applyBorder="1" applyFont="1" applyNumberFormat="1">
      <alignment vertical="bottom"/>
    </xf>
    <xf borderId="47" fillId="6" fontId="17" numFmtId="16" xfId="0" applyAlignment="1" applyBorder="1" applyFont="1" applyNumberFormat="1">
      <alignment vertical="bottom"/>
    </xf>
    <xf borderId="44" fillId="6" fontId="16" numFmtId="0" xfId="0" applyAlignment="1" applyBorder="1" applyFont="1">
      <alignment horizontal="left" vertical="bottom"/>
    </xf>
    <xf borderId="23" fillId="6" fontId="17" numFmtId="170" xfId="0" applyAlignment="1" applyBorder="1" applyFont="1" applyNumberFormat="1">
      <alignment horizontal="right" vertical="bottom"/>
    </xf>
    <xf borderId="24" fillId="6" fontId="16" numFmtId="164" xfId="0" applyAlignment="1" applyBorder="1" applyFont="1" applyNumberFormat="1">
      <alignment horizontal="left" readingOrder="0" vertical="bottom"/>
    </xf>
    <xf borderId="48" fillId="6" fontId="17" numFmtId="170" xfId="0" applyAlignment="1" applyBorder="1" applyFont="1" applyNumberFormat="1">
      <alignment horizontal="right" vertical="bottom"/>
    </xf>
    <xf borderId="49" fillId="9" fontId="12" numFmtId="164" xfId="0" applyAlignment="1" applyBorder="1" applyFont="1" applyNumberFormat="1">
      <alignment horizontal="center" readingOrder="0" vertical="center"/>
    </xf>
    <xf borderId="50" fillId="0" fontId="10" numFmtId="0" xfId="0" applyBorder="1" applyFont="1"/>
    <xf borderId="0" fillId="7" fontId="2" numFmtId="170" xfId="0" applyAlignment="1" applyFont="1" applyNumberFormat="1">
      <alignment horizontal="center" readingOrder="0" vertical="center"/>
    </xf>
    <xf borderId="51" fillId="6" fontId="8" numFmtId="164" xfId="0" applyAlignment="1" applyBorder="1" applyFont="1" applyNumberFormat="1">
      <alignment horizontal="center" vertical="bottom"/>
    </xf>
    <xf borderId="52" fillId="0" fontId="10" numFmtId="0" xfId="0" applyBorder="1" applyFont="1"/>
    <xf borderId="12" fillId="6" fontId="16" numFmtId="164" xfId="0" applyAlignment="1" applyBorder="1" applyFont="1" applyNumberFormat="1">
      <alignment horizontal="center" readingOrder="0" vertical="bottom"/>
    </xf>
    <xf borderId="45" fillId="0" fontId="10" numFmtId="0" xfId="0" applyBorder="1" applyFont="1"/>
    <xf borderId="18" fillId="10" fontId="20" numFmtId="164" xfId="0" applyAlignment="1" applyBorder="1" applyFont="1" applyNumberFormat="1">
      <alignment horizontal="center"/>
    </xf>
    <xf borderId="53" fillId="0" fontId="10" numFmtId="0" xfId="0" applyBorder="1" applyFont="1"/>
    <xf borderId="0" fillId="7" fontId="2" numFmtId="170" xfId="0" applyAlignment="1" applyFont="1" applyNumberFormat="1">
      <alignment horizontal="center" vertical="center"/>
    </xf>
    <xf borderId="44" fillId="6" fontId="16" numFmtId="164" xfId="0" applyAlignment="1" applyBorder="1" applyFont="1" applyNumberFormat="1">
      <alignment vertical="bottom"/>
    </xf>
    <xf borderId="45" fillId="6" fontId="17" numFmtId="164" xfId="0" applyAlignment="1" applyBorder="1" applyFont="1" applyNumberFormat="1">
      <alignment vertical="bottom"/>
    </xf>
    <xf borderId="0" fillId="6" fontId="14" numFmtId="166" xfId="0" applyAlignment="1" applyFont="1" applyNumberFormat="1">
      <alignment horizontal="left" vertical="bottom"/>
    </xf>
    <xf borderId="45" fillId="6" fontId="17" numFmtId="170" xfId="0" applyAlignment="1" applyBorder="1" applyFont="1" applyNumberFormat="1">
      <alignment horizontal="right" vertical="bottom"/>
    </xf>
    <xf borderId="44" fillId="9" fontId="12" numFmtId="164" xfId="0" applyAlignment="1" applyBorder="1" applyFont="1" applyNumberFormat="1">
      <alignment horizontal="center" readingOrder="0" vertical="bottom"/>
    </xf>
    <xf borderId="54" fillId="6" fontId="16" numFmtId="164" xfId="0" applyAlignment="1" applyBorder="1" applyFont="1" applyNumberFormat="1">
      <alignment vertical="bottom"/>
    </xf>
    <xf borderId="53" fillId="6" fontId="17" numFmtId="164" xfId="0" applyAlignment="1" applyBorder="1" applyFont="1" applyNumberFormat="1">
      <alignment vertical="bottom"/>
    </xf>
    <xf borderId="20" fillId="6" fontId="16" numFmtId="164" xfId="0" applyAlignment="1" applyBorder="1" applyFont="1" applyNumberFormat="1">
      <alignment horizontal="left" readingOrder="0" vertical="bottom"/>
    </xf>
    <xf borderId="53" fillId="6" fontId="17" numFmtId="170" xfId="0" applyAlignment="1" applyBorder="1" applyFont="1" applyNumberFormat="1">
      <alignment horizontal="right" vertical="bottom"/>
    </xf>
    <xf borderId="54" fillId="6" fontId="16" numFmtId="164" xfId="0" applyAlignment="1" applyBorder="1" applyFont="1" applyNumberFormat="1">
      <alignment horizontal="left" vertical="bottom"/>
    </xf>
    <xf borderId="53" fillId="6" fontId="17" numFmtId="170" xfId="0" applyAlignment="1" applyBorder="1" applyFont="1" applyNumberFormat="1">
      <alignment horizontal="left" vertical="bottom"/>
    </xf>
    <xf borderId="0" fillId="7" fontId="2" numFmtId="164" xfId="0" applyAlignment="1" applyFont="1" applyNumberFormat="1">
      <alignment readingOrder="0" vertical="bottom"/>
    </xf>
    <xf borderId="0" fillId="7" fontId="2" numFmtId="0" xfId="0" applyAlignment="1" applyFont="1">
      <alignment readingOrder="0" vertical="bottom"/>
    </xf>
    <xf borderId="0" fillId="7" fontId="2" numFmtId="164" xfId="0" applyAlignment="1" applyFont="1" applyNumberFormat="1">
      <alignment horizontal="center" vertical="bottom"/>
    </xf>
    <xf borderId="0" fillId="7" fontId="2" numFmtId="0" xfId="0" applyAlignment="1" applyFont="1">
      <alignment horizontal="center" vertical="bottom"/>
    </xf>
    <xf borderId="0" fillId="7" fontId="21" numFmtId="164" xfId="0" applyAlignment="1" applyFont="1" applyNumberFormat="1">
      <alignment horizontal="center" readingOrder="0" vertical="bottom"/>
    </xf>
    <xf borderId="31" fillId="8" fontId="21" numFmtId="164" xfId="0" applyAlignment="1" applyBorder="1" applyFont="1" applyNumberFormat="1">
      <alignment horizontal="center" readingOrder="0" vertical="bottom"/>
    </xf>
    <xf borderId="55" fillId="0" fontId="10" numFmtId="0" xfId="0" applyBorder="1" applyFont="1"/>
    <xf borderId="0" fillId="7" fontId="2" numFmtId="0" xfId="0" applyAlignment="1" applyFont="1">
      <alignment readingOrder="0"/>
    </xf>
    <xf borderId="44" fillId="9" fontId="2" numFmtId="0" xfId="0" applyAlignment="1" applyBorder="1" applyFont="1">
      <alignment readingOrder="0"/>
    </xf>
    <xf borderId="0" fillId="9" fontId="2" numFmtId="164" xfId="0" applyAlignment="1" applyFont="1" applyNumberFormat="1">
      <alignment horizontal="center" readingOrder="0" vertical="bottom"/>
    </xf>
    <xf borderId="0" fillId="9" fontId="2" numFmtId="164" xfId="0" applyAlignment="1" applyFont="1" applyNumberFormat="1">
      <alignment horizontal="center" vertical="bottom"/>
    </xf>
    <xf borderId="0" fillId="9" fontId="3" numFmtId="0" xfId="0" applyFont="1"/>
    <xf borderId="0" fillId="9" fontId="22" numFmtId="0" xfId="0" applyAlignment="1" applyFont="1">
      <alignment horizontal="center" readingOrder="0"/>
    </xf>
    <xf borderId="44" fillId="9" fontId="2" numFmtId="164" xfId="0" applyAlignment="1" applyBorder="1" applyFont="1" applyNumberFormat="1">
      <alignment horizontal="center" readingOrder="0" vertical="bottom"/>
    </xf>
    <xf borderId="0" fillId="9" fontId="2" numFmtId="0" xfId="0" applyAlignment="1" applyFont="1">
      <alignment horizontal="center" vertical="bottom"/>
    </xf>
    <xf borderId="0" fillId="7" fontId="5" numFmtId="0" xfId="0" applyAlignment="1" applyFont="1">
      <alignment horizontal="left" readingOrder="0" shrinkToFit="0" wrapText="1"/>
    </xf>
    <xf borderId="2" fillId="0" fontId="5" numFmtId="164" xfId="0" applyAlignment="1" applyBorder="1" applyFont="1" applyNumberFormat="1">
      <alignment horizontal="left" readingOrder="0" shrinkToFit="0" wrapText="1"/>
    </xf>
    <xf borderId="2" fillId="0" fontId="5" numFmtId="4" xfId="0" applyAlignment="1" applyBorder="1" applyFont="1" applyNumberFormat="1">
      <alignment horizontal="left" readingOrder="0" shrinkToFit="0" wrapText="1"/>
    </xf>
    <xf borderId="2" fillId="0" fontId="5" numFmtId="164" xfId="0" applyAlignment="1" applyBorder="1" applyFont="1" applyNumberFormat="1">
      <alignment horizontal="left" shrinkToFit="0" wrapText="1"/>
    </xf>
    <xf borderId="0" fillId="11" fontId="23" numFmtId="164" xfId="0" applyAlignment="1" applyFont="1" applyNumberFormat="1">
      <alignment horizontal="left" shrinkToFit="0" wrapText="0"/>
    </xf>
    <xf borderId="0" fillId="11" fontId="14" numFmtId="164" xfId="0" applyAlignment="1" applyFont="1" applyNumberFormat="1">
      <alignment readingOrder="0" vertical="bottom"/>
    </xf>
    <xf borderId="44" fillId="10" fontId="24" numFmtId="0" xfId="0" applyAlignment="1" applyBorder="1" applyFont="1">
      <alignment horizontal="center"/>
    </xf>
    <xf borderId="0" fillId="12" fontId="1" numFmtId="0" xfId="0" applyAlignment="1" applyFill="1" applyFont="1">
      <alignment vertical="bottom"/>
    </xf>
    <xf borderId="0" fillId="7" fontId="25" numFmtId="0" xfId="0" applyFont="1"/>
    <xf borderId="0" fillId="0" fontId="23" numFmtId="164" xfId="0" applyAlignment="1" applyFont="1" applyNumberFormat="1">
      <alignment horizontal="left" shrinkToFit="0" wrapText="0"/>
    </xf>
    <xf borderId="0" fillId="0" fontId="14" numFmtId="164" xfId="0" applyAlignment="1" applyFont="1" applyNumberFormat="1">
      <alignment readingOrder="0" vertical="bottom"/>
    </xf>
    <xf borderId="0" fillId="10" fontId="1" numFmtId="0" xfId="0" applyAlignment="1" applyFont="1">
      <alignment vertical="bottom"/>
    </xf>
    <xf borderId="0" fillId="13" fontId="1" numFmtId="0" xfId="0" applyAlignment="1" applyFill="1" applyFont="1">
      <alignment vertical="bottom"/>
    </xf>
    <xf borderId="0" fillId="10" fontId="4" numFmtId="0" xfId="0" applyAlignment="1" applyFont="1">
      <alignment vertical="bottom"/>
    </xf>
    <xf borderId="2" fillId="6" fontId="5" numFmtId="164" xfId="0" applyAlignment="1" applyBorder="1" applyFont="1" applyNumberFormat="1">
      <alignment horizontal="left" shrinkToFit="0" wrapText="1"/>
    </xf>
    <xf borderId="0" fillId="3" fontId="1" numFmtId="0" xfId="0" applyAlignment="1" applyFont="1">
      <alignment vertical="bottom"/>
    </xf>
    <xf borderId="0" fillId="0" fontId="14" numFmtId="164" xfId="0" applyAlignment="1" applyFont="1" applyNumberFormat="1">
      <alignment vertical="bottom"/>
    </xf>
    <xf borderId="0" fillId="14" fontId="4" numFmtId="0" xfId="0" applyAlignment="1" applyFill="1" applyFont="1">
      <alignment vertical="bottom"/>
    </xf>
    <xf borderId="0" fillId="0" fontId="14" numFmtId="164" xfId="0" applyFont="1" applyNumberFormat="1"/>
    <xf borderId="56" fillId="9" fontId="12" numFmtId="164" xfId="0" applyAlignment="1" applyBorder="1" applyFont="1" applyNumberFormat="1">
      <alignment horizontal="center" vertical="bottom"/>
    </xf>
    <xf borderId="0" fillId="6" fontId="1" numFmtId="166" xfId="0" applyAlignment="1" applyFont="1" applyNumberFormat="1">
      <alignment horizontal="left" vertical="bottom"/>
    </xf>
    <xf borderId="1" fillId="6" fontId="1" numFmtId="0" xfId="0" applyAlignment="1" applyBorder="1" applyFont="1">
      <alignment horizontal="left" readingOrder="0" vertical="bottom"/>
    </xf>
    <xf borderId="0" fillId="6" fontId="1" numFmtId="14" xfId="0" applyAlignment="1" applyFont="1" applyNumberFormat="1">
      <alignment horizontal="left" readingOrder="0" vertical="bottom"/>
    </xf>
    <xf borderId="0" fillId="6" fontId="1" numFmtId="0" xfId="0" applyAlignment="1" applyFont="1">
      <alignment horizontal="left" readingOrder="0" vertical="bottom"/>
    </xf>
    <xf borderId="0" fillId="6" fontId="1" numFmtId="0" xfId="0" applyAlignment="1" applyFont="1">
      <alignment horizontal="left" readingOrder="0" vertical="bottom"/>
    </xf>
    <xf borderId="1" fillId="0" fontId="3" numFmtId="0" xfId="0" applyBorder="1" applyFont="1"/>
    <xf borderId="0" fillId="0" fontId="3" numFmtId="0" xfId="0" applyFont="1"/>
    <xf borderId="13" fillId="0" fontId="3" numFmtId="0" xfId="0" applyBorder="1" applyFont="1"/>
    <xf borderId="26" fillId="0" fontId="3" numFmtId="0" xfId="0" applyBorder="1" applyFont="1"/>
    <xf borderId="28" fillId="0" fontId="3" numFmtId="0" xfId="0" applyBorder="1" applyFont="1"/>
    <xf borderId="28" fillId="7" fontId="1" numFmtId="0" xfId="0" applyAlignment="1" applyBorder="1" applyFont="1">
      <alignment vertical="bottom"/>
    </xf>
    <xf borderId="30" fillId="0" fontId="3" numFmtId="0" xfId="0" applyBorder="1" applyFont="1"/>
    <xf borderId="16" fillId="8" fontId="26" numFmtId="0" xfId="0" applyAlignment="1" applyBorder="1" applyFont="1">
      <alignment horizontal="center" vertical="bottom"/>
    </xf>
    <xf borderId="14" fillId="0" fontId="10" numFmtId="0" xfId="0" applyBorder="1" applyFont="1"/>
    <xf borderId="12" fillId="0" fontId="10" numFmtId="0" xfId="0" applyBorder="1" applyFont="1"/>
    <xf borderId="11" fillId="0" fontId="10" numFmtId="0" xfId="0" applyBorder="1" applyFont="1"/>
    <xf borderId="12" fillId="9" fontId="27" numFmtId="0" xfId="0" applyAlignment="1" applyBorder="1" applyFont="1">
      <alignment vertical="bottom"/>
    </xf>
    <xf borderId="0" fillId="9" fontId="27" numFmtId="0" xfId="0" applyAlignment="1" applyFont="1">
      <alignment vertical="bottom"/>
    </xf>
    <xf borderId="0" fillId="9" fontId="27" numFmtId="0" xfId="0" applyAlignment="1" applyFont="1">
      <alignment horizontal="center" vertical="bottom"/>
    </xf>
    <xf borderId="12" fillId="6" fontId="1" numFmtId="0" xfId="0" applyAlignment="1" applyBorder="1" applyFont="1">
      <alignment horizontal="left" readingOrder="0" vertical="bottom"/>
    </xf>
    <xf borderId="0" fillId="13" fontId="1" numFmtId="0" xfId="0" applyAlignment="1" applyFont="1">
      <alignment horizontal="center" vertical="bottom"/>
    </xf>
    <xf borderId="11" fillId="13" fontId="1" numFmtId="0" xfId="0" applyAlignment="1" applyBorder="1" applyFont="1">
      <alignment vertical="bottom"/>
    </xf>
    <xf borderId="0" fillId="10" fontId="1" numFmtId="0" xfId="0" applyAlignment="1" applyFont="1">
      <alignment horizontal="center" vertical="bottom"/>
    </xf>
    <xf borderId="0" fillId="13" fontId="1" numFmtId="0" xfId="0" applyAlignment="1" applyFont="1">
      <alignment horizontal="center" vertical="bottom"/>
    </xf>
    <xf borderId="0" fillId="10" fontId="1" numFmtId="0" xfId="0" applyAlignment="1" applyFont="1">
      <alignment horizontal="center" vertical="bottom"/>
    </xf>
    <xf borderId="12" fillId="10" fontId="1" numFmtId="0" xfId="0" applyAlignment="1" applyBorder="1" applyFont="1">
      <alignment horizontal="center" readingOrder="0" vertical="bottom"/>
    </xf>
    <xf borderId="0" fillId="10" fontId="1" numFmtId="14" xfId="0" applyAlignment="1" applyFont="1" applyNumberFormat="1">
      <alignment horizontal="center" readingOrder="0" vertical="bottom"/>
    </xf>
    <xf borderId="0" fillId="10" fontId="1" numFmtId="0" xfId="0" applyAlignment="1" applyFont="1">
      <alignment horizontal="center" readingOrder="0" vertical="bottom"/>
    </xf>
    <xf borderId="0" fillId="10" fontId="1" numFmtId="170" xfId="0" applyAlignment="1" applyFont="1" applyNumberFormat="1">
      <alignment horizontal="center" readingOrder="0" vertical="bottom"/>
    </xf>
    <xf borderId="12" fillId="13" fontId="1" numFmtId="0" xfId="0" applyAlignment="1" applyBorder="1" applyFont="1">
      <alignment horizontal="center" vertical="bottom"/>
    </xf>
    <xf borderId="0" fillId="13" fontId="1" numFmtId="14" xfId="0" applyAlignment="1" applyFont="1" applyNumberFormat="1">
      <alignment horizontal="center" vertical="bottom"/>
    </xf>
    <xf borderId="0" fillId="13" fontId="1" numFmtId="170" xfId="0" applyAlignment="1" applyFont="1" applyNumberFormat="1">
      <alignment horizontal="center" vertical="bottom"/>
    </xf>
    <xf borderId="12" fillId="10" fontId="1" numFmtId="0" xfId="0" applyAlignment="1" applyBorder="1" applyFont="1">
      <alignment horizontal="center" vertical="bottom"/>
    </xf>
    <xf borderId="0" fillId="10" fontId="1" numFmtId="14" xfId="0" applyAlignment="1" applyFont="1" applyNumberFormat="1">
      <alignment horizontal="center" vertical="bottom"/>
    </xf>
    <xf borderId="0" fillId="10" fontId="1" numFmtId="170" xfId="0" applyAlignment="1" applyFont="1" applyNumberFormat="1">
      <alignment horizontal="center" vertical="bottom"/>
    </xf>
    <xf borderId="0" fillId="0" fontId="5" numFmtId="164" xfId="0" applyAlignment="1" applyFont="1" applyNumberFormat="1">
      <alignment horizontal="left" shrinkToFit="0" wrapText="1"/>
    </xf>
    <xf borderId="11" fillId="10" fontId="1" numFmtId="0" xfId="0" applyAlignment="1" applyBorder="1" applyFont="1">
      <alignment vertical="bottom"/>
    </xf>
    <xf borderId="12" fillId="6" fontId="1" numFmtId="0" xfId="0" applyAlignment="1" applyBorder="1" applyFont="1">
      <alignment horizontal="center" vertical="bottom"/>
    </xf>
    <xf borderId="0" fillId="6" fontId="1" numFmtId="0" xfId="0" applyAlignment="1" applyFont="1">
      <alignment horizontal="center" vertical="bottom"/>
    </xf>
    <xf borderId="0" fillId="6" fontId="1" numFmtId="170" xfId="0" applyAlignment="1" applyFont="1" applyNumberFormat="1">
      <alignment horizontal="center" vertical="bottom"/>
    </xf>
    <xf borderId="24" fillId="6" fontId="1" numFmtId="0" xfId="0" applyAlignment="1" applyBorder="1" applyFont="1">
      <alignment horizontal="center" vertical="bottom"/>
    </xf>
    <xf borderId="22" fillId="6" fontId="1" numFmtId="0" xfId="0" applyAlignment="1" applyBorder="1" applyFont="1">
      <alignment horizontal="center" vertical="bottom"/>
    </xf>
    <xf borderId="22" fillId="6" fontId="1" numFmtId="170" xfId="0" applyAlignment="1" applyBorder="1" applyFont="1" applyNumberFormat="1">
      <alignment horizontal="center" vertical="bottom"/>
    </xf>
    <xf borderId="23" fillId="10" fontId="1" numFmtId="0" xfId="0" applyAlignment="1" applyBorder="1" applyFont="1">
      <alignment vertical="bottom"/>
    </xf>
    <xf borderId="0" fillId="8" fontId="28" numFmtId="170" xfId="0" applyAlignment="1" applyFont="1" applyNumberFormat="1">
      <alignment horizontal="center" vertical="bottom"/>
    </xf>
    <xf borderId="0" fillId="9" fontId="29" numFmtId="0" xfId="0" applyAlignment="1" applyFont="1">
      <alignment horizontal="center" vertical="bottom"/>
    </xf>
    <xf borderId="0" fillId="9" fontId="29" numFmtId="170" xfId="0" applyAlignment="1" applyFont="1" applyNumberFormat="1">
      <alignment horizontal="center" vertical="bottom"/>
    </xf>
    <xf borderId="0" fillId="9" fontId="30" numFmtId="0" xfId="0" applyAlignment="1" applyFont="1">
      <alignment horizontal="center" vertical="bottom"/>
    </xf>
    <xf borderId="0" fillId="13" fontId="4" numFmtId="0" xfId="0" applyAlignment="1" applyFont="1">
      <alignment horizontal="center" vertical="bottom"/>
    </xf>
    <xf borderId="0" fillId="13" fontId="4" numFmtId="166" xfId="0" applyAlignment="1" applyFont="1" applyNumberFormat="1">
      <alignment horizontal="right" vertical="bottom"/>
    </xf>
    <xf borderId="0" fillId="13" fontId="4" numFmtId="170" xfId="0" applyAlignment="1" applyFont="1" applyNumberFormat="1">
      <alignment horizontal="center" vertical="bottom"/>
    </xf>
    <xf borderId="0" fillId="13" fontId="4" numFmtId="0" xfId="0" applyAlignment="1" applyFont="1">
      <alignment horizontal="center" readingOrder="0" vertical="bottom"/>
    </xf>
    <xf borderId="0" fillId="10" fontId="4" numFmtId="0" xfId="0" applyAlignment="1" applyFont="1">
      <alignment horizontal="center" vertical="bottom"/>
    </xf>
    <xf borderId="0" fillId="10" fontId="4" numFmtId="166" xfId="0" applyAlignment="1" applyFont="1" applyNumberFormat="1">
      <alignment horizontal="right" vertical="bottom"/>
    </xf>
    <xf borderId="0" fillId="10" fontId="4" numFmtId="170" xfId="0" applyAlignment="1" applyFont="1" applyNumberFormat="1">
      <alignment horizontal="center" vertical="bottom"/>
    </xf>
    <xf borderId="0" fillId="0" fontId="3" numFmtId="172" xfId="0" applyAlignment="1" applyFont="1" applyNumberFormat="1">
      <alignment readingOrder="0"/>
    </xf>
    <xf borderId="0" fillId="10" fontId="4" numFmtId="0" xfId="0" applyAlignment="1" applyFont="1">
      <alignment horizontal="right" vertical="bottom"/>
    </xf>
    <xf borderId="0" fillId="13" fontId="4" numFmtId="0" xfId="0" applyAlignment="1" applyFont="1">
      <alignment horizontal="right" vertical="bottom"/>
    </xf>
    <xf borderId="0" fillId="10" fontId="4" numFmtId="14" xfId="0" applyAlignment="1" applyFont="1" applyNumberFormat="1">
      <alignment horizontal="center" vertical="bottom"/>
    </xf>
    <xf borderId="0" fillId="10" fontId="4" numFmtId="1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2" fillId="0" fontId="5" numFmtId="168" xfId="0" applyAlignment="1" applyBorder="1" applyFont="1" applyNumberFormat="1">
      <alignment horizontal="left" readingOrder="0" shrinkToFit="0" wrapText="1"/>
    </xf>
    <xf borderId="44" fillId="0" fontId="5" numFmtId="0" xfId="0" applyAlignment="1" applyBorder="1" applyFont="1">
      <alignment horizontal="left" readingOrder="0" shrinkToFit="0" wrapText="1"/>
    </xf>
    <xf borderId="0" fillId="0" fontId="5" numFmtId="166" xfId="0" applyAlignment="1" applyFont="1" applyNumberFormat="1">
      <alignment horizontal="left" readingOrder="0" shrinkToFit="0" wrapText="1"/>
    </xf>
    <xf borderId="0" fillId="0" fontId="5" numFmtId="164" xfId="0" applyAlignment="1" applyFont="1" applyNumberFormat="1">
      <alignment horizontal="left" readingOrder="0" shrinkToFit="0" wrapText="1"/>
    </xf>
    <xf borderId="0" fillId="0" fontId="5" numFmtId="4" xfId="0" applyAlignment="1" applyFont="1" applyNumberFormat="1">
      <alignment horizontal="left" readingOrder="0" shrinkToFit="0" wrapText="1"/>
    </xf>
    <xf borderId="0" fillId="0" fontId="5" numFmtId="164" xfId="0" applyAlignment="1" applyFont="1" applyNumberFormat="1">
      <alignment horizontal="left" shrinkToFit="0" wrapText="1"/>
    </xf>
    <xf borderId="0" fillId="0" fontId="5" numFmtId="164" xfId="0" applyAlignment="1" applyFont="1" applyNumberFormat="1">
      <alignment horizontal="left" readingOrder="0" shrinkToFit="0" wrapText="0"/>
    </xf>
    <xf borderId="0" fillId="0" fontId="5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readingOrder="0" shrinkToFit="0" wrapText="1"/>
    </xf>
    <xf borderId="0" fillId="6" fontId="5" numFmtId="164" xfId="0" applyAlignment="1" applyFont="1" applyNumberFormat="1">
      <alignment horizontal="left" shrinkToFit="0" wrapText="1"/>
    </xf>
    <xf borderId="2" fillId="0" fontId="5" numFmtId="0" xfId="0" applyAlignment="1" applyBorder="1" applyFont="1">
      <alignment horizontal="left" readingOrder="0" shrinkToFit="0" vertical="bottom" wrapText="1"/>
    </xf>
    <xf borderId="2" fillId="0" fontId="5" numFmtId="166" xfId="0" applyAlignment="1" applyBorder="1" applyFont="1" applyNumberFormat="1">
      <alignment horizontal="left" readingOrder="0" shrinkToFit="0" vertical="bottom" wrapText="1"/>
    </xf>
    <xf borderId="2" fillId="0" fontId="5" numFmtId="164" xfId="0" applyAlignment="1" applyBorder="1" applyFont="1" applyNumberFormat="1">
      <alignment horizontal="left" readingOrder="0" shrinkToFit="0" vertical="bottom" wrapText="1"/>
    </xf>
    <xf borderId="2" fillId="0" fontId="5" numFmtId="4" xfId="0" applyAlignment="1" applyBorder="1" applyFont="1" applyNumberFormat="1">
      <alignment horizontal="left" readingOrder="0" shrinkToFit="0" vertical="bottom" wrapText="1"/>
    </xf>
    <xf borderId="2" fillId="0" fontId="31" numFmtId="164" xfId="0" applyAlignment="1" applyBorder="1" applyFont="1" applyNumberFormat="1">
      <alignment horizontal="left" readingOrder="0" shrinkToFit="0" vertical="bottom" wrapText="1"/>
    </xf>
    <xf borderId="2" fillId="15" fontId="5" numFmtId="164" xfId="0" applyAlignment="1" applyBorder="1" applyFill="1" applyFont="1" applyNumberFormat="1">
      <alignment horizontal="left" readingOrder="0" shrinkToFit="0" wrapText="1"/>
    </xf>
    <xf borderId="2" fillId="15" fontId="5" numFmtId="164" xfId="0" applyAlignment="1" applyBorder="1" applyFont="1" applyNumberFormat="1">
      <alignment horizontal="left" readingOrder="0" shrinkToFit="0" wrapText="1"/>
    </xf>
    <xf borderId="0" fillId="0" fontId="3" numFmtId="0" xfId="0" applyAlignment="1" applyFont="1">
      <alignment shrinkToFit="0" wrapText="0"/>
    </xf>
    <xf borderId="44" fillId="0" fontId="3" numFmtId="0" xfId="0" applyBorder="1" applyFont="1"/>
    <xf borderId="0" fillId="10" fontId="14" numFmtId="173" xfId="0" applyAlignment="1" applyFont="1" applyNumberFormat="1">
      <alignment horizontal="center"/>
    </xf>
    <xf borderId="44" fillId="10" fontId="3" numFmtId="0" xfId="0" applyBorder="1" applyFont="1"/>
    <xf borderId="0" fillId="0" fontId="32" numFmtId="4" xfId="0" applyFont="1" applyNumberFormat="1"/>
    <xf borderId="0" fillId="0" fontId="14" numFmtId="164" xfId="0" applyAlignment="1" applyFont="1" applyNumberFormat="1">
      <alignment shrinkToFit="0" wrapText="0"/>
    </xf>
    <xf borderId="0" fillId="13" fontId="4" numFmtId="0" xfId="0" applyAlignment="1" applyFont="1">
      <alignment horizontal="left" readingOrder="0" vertical="bottom"/>
    </xf>
    <xf borderId="0" fillId="10" fontId="4" numFmtId="0" xfId="0" applyAlignment="1" applyFont="1">
      <alignment horizontal="left" vertical="bottom"/>
    </xf>
    <xf borderId="0" fillId="13" fontId="4" numFmtId="0" xfId="0" applyAlignment="1" applyFont="1">
      <alignment horizontal="left" vertical="bottom"/>
    </xf>
    <xf borderId="54" fillId="10" fontId="3" numFmtId="0" xfId="0" applyBorder="1" applyFont="1"/>
    <xf borderId="18" fillId="10" fontId="14" numFmtId="173" xfId="0" applyAlignment="1" applyBorder="1" applyFont="1" applyNumberFormat="1">
      <alignment horizontal="center"/>
    </xf>
    <xf borderId="18" fillId="0" fontId="14" numFmtId="164" xfId="0" applyBorder="1" applyFont="1" applyNumberFormat="1"/>
    <xf borderId="18" fillId="0" fontId="32" numFmtId="4" xfId="0" applyBorder="1" applyFont="1" applyNumberFormat="1"/>
    <xf borderId="18" fillId="0" fontId="14" numFmtId="164" xfId="0" applyAlignment="1" applyBorder="1" applyFont="1" applyNumberFormat="1">
      <alignment shrinkToFit="0" wrapText="0"/>
    </xf>
    <xf borderId="18" fillId="0" fontId="14" numFmtId="164" xfId="0" applyAlignment="1" applyBorder="1" applyFont="1" applyNumberFormat="1">
      <alignment vertical="bottom"/>
    </xf>
    <xf borderId="0" fillId="10" fontId="3" numFmtId="0" xfId="0" applyFont="1"/>
    <xf borderId="1" fillId="6" fontId="1" numFmtId="166" xfId="0" applyAlignment="1" applyBorder="1" applyFont="1" applyNumberFormat="1">
      <alignment horizontal="left" vertical="bottom"/>
    </xf>
    <xf borderId="1" fillId="6" fontId="1" numFmtId="166" xfId="0" applyAlignment="1" applyBorder="1" applyFont="1" applyNumberFormat="1">
      <alignment horizontal="left" readingOrder="0" vertical="bottom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70">
    <tableStyle count="3" pivot="0" name="DEZEMBRO 2025-style">
      <tableStyleElement dxfId="1" type="headerRow"/>
      <tableStyleElement dxfId="2" type="firstRowStripe"/>
      <tableStyleElement dxfId="3" type="secondRowStripe"/>
    </tableStyle>
    <tableStyle count="3" pivot="0" name="DEZEMBRO 2025-style 2">
      <tableStyleElement dxfId="1" type="headerRow"/>
      <tableStyleElement dxfId="2" type="firstRowStripe"/>
      <tableStyleElement dxfId="3" type="secondRowStripe"/>
    </tableStyle>
    <tableStyle count="3" pivot="0" name="DEZEMBRO 2025-style 3">
      <tableStyleElement dxfId="1" type="headerRow"/>
      <tableStyleElement dxfId="2" type="firstRowStripe"/>
      <tableStyleElement dxfId="3" type="secondRowStripe"/>
    </tableStyle>
    <tableStyle count="3" pivot="0" name="DEZEMBRO 2025-style 4">
      <tableStyleElement dxfId="1" type="headerRow"/>
      <tableStyleElement dxfId="2" type="firstRowStripe"/>
      <tableStyleElement dxfId="3" type="secondRowStripe"/>
    </tableStyle>
    <tableStyle count="3" pivot="0" name="DEZEMBRO 2025-style 5">
      <tableStyleElement dxfId="4" type="headerRow"/>
      <tableStyleElement dxfId="2" type="firstRowStripe"/>
      <tableStyleElement dxfId="3" type="secondRowStripe"/>
    </tableStyle>
    <tableStyle count="3" pivot="0" name="DEZEMBRO 2025-style 6">
      <tableStyleElement dxfId="1" type="headerRow"/>
      <tableStyleElement dxfId="2" type="firstRowStripe"/>
      <tableStyleElement dxfId="3" type="secondRowStripe"/>
    </tableStyle>
    <tableStyle count="3" pivot="0" name="DEZEMBRO 2025-style 7">
      <tableStyleElement dxfId="1" type="headerRow"/>
      <tableStyleElement dxfId="2" type="firstRowStripe"/>
      <tableStyleElement dxfId="3" type="secondRowStripe"/>
    </tableStyle>
    <tableStyle count="3" pivot="0" name="DEZEMBRO 2025-style 8">
      <tableStyleElement dxfId="1" type="headerRow"/>
      <tableStyleElement dxfId="2" type="firstRowStripe"/>
      <tableStyleElement dxfId="3" type="secondRowStripe"/>
    </tableStyle>
    <tableStyle count="3" pivot="0" name="DEZEMBRO 2025-style 9">
      <tableStyleElement dxfId="1" type="headerRow"/>
      <tableStyleElement dxfId="2" type="firstRowStripe"/>
      <tableStyleElement dxfId="3" type="secondRowStripe"/>
    </tableStyle>
    <tableStyle count="3" pivot="0" name="DEZEMBRO 2025-style 10">
      <tableStyleElement dxfId="3" type="headerRow"/>
      <tableStyleElement dxfId="2" type="firstRowStripe"/>
      <tableStyleElement dxfId="3" type="secondRowStripe"/>
    </tableStyle>
    <tableStyle count="3" pivot="0" name="JANEIRO 2026-style">
      <tableStyleElement dxfId="1" type="headerRow"/>
      <tableStyleElement dxfId="2" type="firstRowStripe"/>
      <tableStyleElement dxfId="3" type="secondRowStripe"/>
    </tableStyle>
    <tableStyle count="3" pivot="0" name="JANEIRO 2026-style 2">
      <tableStyleElement dxfId="1" type="headerRow"/>
      <tableStyleElement dxfId="2" type="firstRowStripe"/>
      <tableStyleElement dxfId="3" type="secondRowStripe"/>
    </tableStyle>
    <tableStyle count="3" pivot="0" name="JANEIRO 2026-style 3">
      <tableStyleElement dxfId="1" type="headerRow"/>
      <tableStyleElement dxfId="2" type="firstRowStripe"/>
      <tableStyleElement dxfId="3" type="secondRowStripe"/>
    </tableStyle>
    <tableStyle count="3" pivot="0" name="JANEIRO 2026-style 4">
      <tableStyleElement dxfId="1" type="headerRow"/>
      <tableStyleElement dxfId="2" type="firstRowStripe"/>
      <tableStyleElement dxfId="3" type="secondRowStripe"/>
    </tableStyle>
    <tableStyle count="3" pivot="0" name="JANEIRO 2026-style 5">
      <tableStyleElement dxfId="4" type="headerRow"/>
      <tableStyleElement dxfId="2" type="firstRowStripe"/>
      <tableStyleElement dxfId="3" type="secondRowStripe"/>
    </tableStyle>
    <tableStyle count="3" pivot="0" name="JANEIRO 2026-style 6">
      <tableStyleElement dxfId="1" type="headerRow"/>
      <tableStyleElement dxfId="2" type="firstRowStripe"/>
      <tableStyleElement dxfId="3" type="secondRowStripe"/>
    </tableStyle>
    <tableStyle count="3" pivot="0" name="JANEIRO 2026-style 7">
      <tableStyleElement dxfId="1" type="headerRow"/>
      <tableStyleElement dxfId="2" type="firstRowStripe"/>
      <tableStyleElement dxfId="3" type="secondRowStripe"/>
    </tableStyle>
    <tableStyle count="3" pivot="0" name="JANEIRO 2026-style 8">
      <tableStyleElement dxfId="1" type="headerRow"/>
      <tableStyleElement dxfId="2" type="firstRowStripe"/>
      <tableStyleElement dxfId="3" type="secondRowStripe"/>
    </tableStyle>
    <tableStyle count="3" pivot="0" name="JANEIRO 2026-style 9">
      <tableStyleElement dxfId="1" type="headerRow"/>
      <tableStyleElement dxfId="2" type="firstRowStripe"/>
      <tableStyleElement dxfId="3" type="secondRowStripe"/>
    </tableStyle>
    <tableStyle count="3" pivot="0" name="JANEIRO 2026-style 10">
      <tableStyleElement dxfId="3" type="headerRow"/>
      <tableStyleElement dxfId="2" type="firstRowStripe"/>
      <tableStyleElement dxfId="3" type="secondRowStripe"/>
    </tableStyle>
    <tableStyle count="3" pivot="0" name="FEVEREIRO 2026-style">
      <tableStyleElement dxfId="1" type="headerRow"/>
      <tableStyleElement dxfId="2" type="firstRowStripe"/>
      <tableStyleElement dxfId="3" type="secondRowStripe"/>
    </tableStyle>
    <tableStyle count="3" pivot="0" name="FEVEREIRO 2026-style 2">
      <tableStyleElement dxfId="1" type="headerRow"/>
      <tableStyleElement dxfId="2" type="firstRowStripe"/>
      <tableStyleElement dxfId="3" type="secondRowStripe"/>
    </tableStyle>
    <tableStyle count="3" pivot="0" name="FEVEREIRO 2026-style 3">
      <tableStyleElement dxfId="1" type="headerRow"/>
      <tableStyleElement dxfId="2" type="firstRowStripe"/>
      <tableStyleElement dxfId="3" type="secondRowStripe"/>
    </tableStyle>
    <tableStyle count="3" pivot="0" name="FEVEREIRO 2026-style 4">
      <tableStyleElement dxfId="1" type="headerRow"/>
      <tableStyleElement dxfId="2" type="firstRowStripe"/>
      <tableStyleElement dxfId="3" type="secondRowStripe"/>
    </tableStyle>
    <tableStyle count="3" pivot="0" name="FEVEREIRO 2026-style 5">
      <tableStyleElement dxfId="4" type="headerRow"/>
      <tableStyleElement dxfId="2" type="firstRowStripe"/>
      <tableStyleElement dxfId="3" type="secondRowStripe"/>
    </tableStyle>
    <tableStyle count="3" pivot="0" name="FEVEREIRO 2026-style 6">
      <tableStyleElement dxfId="1" type="headerRow"/>
      <tableStyleElement dxfId="2" type="firstRowStripe"/>
      <tableStyleElement dxfId="3" type="secondRowStripe"/>
    </tableStyle>
    <tableStyle count="3" pivot="0" name="FEVEREIRO 2026-style 7">
      <tableStyleElement dxfId="1" type="headerRow"/>
      <tableStyleElement dxfId="2" type="firstRowStripe"/>
      <tableStyleElement dxfId="3" type="secondRowStripe"/>
    </tableStyle>
    <tableStyle count="3" pivot="0" name="FEVEREIRO 2026-style 8">
      <tableStyleElement dxfId="1" type="headerRow"/>
      <tableStyleElement dxfId="2" type="firstRowStripe"/>
      <tableStyleElement dxfId="3" type="secondRowStripe"/>
    </tableStyle>
    <tableStyle count="3" pivot="0" name="FEVEREIRO 2026-style 9">
      <tableStyleElement dxfId="1" type="headerRow"/>
      <tableStyleElement dxfId="2" type="firstRowStripe"/>
      <tableStyleElement dxfId="3" type="secondRowStripe"/>
    </tableStyle>
    <tableStyle count="3" pivot="0" name="FEVEREIRO 2026-style 10">
      <tableStyleElement dxfId="3" type="headerRow"/>
      <tableStyleElement dxfId="2" type="firstRowStripe"/>
      <tableStyleElement dxfId="3" type="secondRowStripe"/>
    </tableStyle>
    <tableStyle count="3" pivot="0" name="MARÇO 2026-style">
      <tableStyleElement dxfId="1" type="headerRow"/>
      <tableStyleElement dxfId="2" type="firstRowStripe"/>
      <tableStyleElement dxfId="3" type="secondRowStripe"/>
    </tableStyle>
    <tableStyle count="3" pivot="0" name="MARÇO 2026-style 2">
      <tableStyleElement dxfId="1" type="headerRow"/>
      <tableStyleElement dxfId="2" type="firstRowStripe"/>
      <tableStyleElement dxfId="3" type="secondRowStripe"/>
    </tableStyle>
    <tableStyle count="3" pivot="0" name="MARÇO 2026-style 3">
      <tableStyleElement dxfId="1" type="headerRow"/>
      <tableStyleElement dxfId="2" type="firstRowStripe"/>
      <tableStyleElement dxfId="3" type="secondRowStripe"/>
    </tableStyle>
    <tableStyle count="3" pivot="0" name="MARÇO 2026-style 4">
      <tableStyleElement dxfId="1" type="headerRow"/>
      <tableStyleElement dxfId="2" type="firstRowStripe"/>
      <tableStyleElement dxfId="3" type="secondRowStripe"/>
    </tableStyle>
    <tableStyle count="3" pivot="0" name="MARÇO 2026-style 5">
      <tableStyleElement dxfId="4" type="headerRow"/>
      <tableStyleElement dxfId="2" type="firstRowStripe"/>
      <tableStyleElement dxfId="3" type="secondRowStripe"/>
    </tableStyle>
    <tableStyle count="3" pivot="0" name="MARÇO 2026-style 6">
      <tableStyleElement dxfId="1" type="headerRow"/>
      <tableStyleElement dxfId="2" type="firstRowStripe"/>
      <tableStyleElement dxfId="3" type="secondRowStripe"/>
    </tableStyle>
    <tableStyle count="3" pivot="0" name="MARÇO 2026-style 7">
      <tableStyleElement dxfId="1" type="headerRow"/>
      <tableStyleElement dxfId="2" type="firstRowStripe"/>
      <tableStyleElement dxfId="3" type="secondRowStripe"/>
    </tableStyle>
    <tableStyle count="3" pivot="0" name="MARÇO 2026-style 8">
      <tableStyleElement dxfId="1" type="headerRow"/>
      <tableStyleElement dxfId="2" type="firstRowStripe"/>
      <tableStyleElement dxfId="3" type="secondRowStripe"/>
    </tableStyle>
    <tableStyle count="3" pivot="0" name="MARÇO 2026-style 9">
      <tableStyleElement dxfId="1" type="headerRow"/>
      <tableStyleElement dxfId="2" type="firstRowStripe"/>
      <tableStyleElement dxfId="3" type="secondRowStripe"/>
    </tableStyle>
    <tableStyle count="3" pivot="0" name="MARÇO 2026-style 10">
      <tableStyleElement dxfId="3" type="headerRow"/>
      <tableStyleElement dxfId="2" type="firstRowStripe"/>
      <tableStyleElement dxfId="3" type="secondRowStripe"/>
    </tableStyle>
    <tableStyle count="3" pivot="0" name="ABRIL 2026-style">
      <tableStyleElement dxfId="1" type="headerRow"/>
      <tableStyleElement dxfId="2" type="firstRowStripe"/>
      <tableStyleElement dxfId="3" type="secondRowStripe"/>
    </tableStyle>
    <tableStyle count="3" pivot="0" name="ABRIL 2026-style 2">
      <tableStyleElement dxfId="1" type="headerRow"/>
      <tableStyleElement dxfId="2" type="firstRowStripe"/>
      <tableStyleElement dxfId="3" type="secondRowStripe"/>
    </tableStyle>
    <tableStyle count="3" pivot="0" name="ABRIL 2026-style 3">
      <tableStyleElement dxfId="1" type="headerRow"/>
      <tableStyleElement dxfId="2" type="firstRowStripe"/>
      <tableStyleElement dxfId="3" type="secondRowStripe"/>
    </tableStyle>
    <tableStyle count="3" pivot="0" name="ABRIL 2026-style 4">
      <tableStyleElement dxfId="1" type="headerRow"/>
      <tableStyleElement dxfId="2" type="firstRowStripe"/>
      <tableStyleElement dxfId="3" type="secondRowStripe"/>
    </tableStyle>
    <tableStyle count="3" pivot="0" name="ABRIL 2026-style 5">
      <tableStyleElement dxfId="4" type="headerRow"/>
      <tableStyleElement dxfId="2" type="firstRowStripe"/>
      <tableStyleElement dxfId="3" type="secondRowStripe"/>
    </tableStyle>
    <tableStyle count="3" pivot="0" name="ABRIL 2026-style 6">
      <tableStyleElement dxfId="1" type="headerRow"/>
      <tableStyleElement dxfId="2" type="firstRowStripe"/>
      <tableStyleElement dxfId="3" type="secondRowStripe"/>
    </tableStyle>
    <tableStyle count="3" pivot="0" name="ABRIL 2026-style 7">
      <tableStyleElement dxfId="1" type="headerRow"/>
      <tableStyleElement dxfId="2" type="firstRowStripe"/>
      <tableStyleElement dxfId="3" type="secondRowStripe"/>
    </tableStyle>
    <tableStyle count="3" pivot="0" name="ABRIL 2026-style 8">
      <tableStyleElement dxfId="1" type="headerRow"/>
      <tableStyleElement dxfId="2" type="firstRowStripe"/>
      <tableStyleElement dxfId="3" type="secondRowStripe"/>
    </tableStyle>
    <tableStyle count="3" pivot="0" name="ABRIL 2026-style 9">
      <tableStyleElement dxfId="1" type="headerRow"/>
      <tableStyleElement dxfId="2" type="firstRowStripe"/>
      <tableStyleElement dxfId="3" type="secondRowStripe"/>
    </tableStyle>
    <tableStyle count="3" pivot="0" name="ABRIL 2026-style 10">
      <tableStyleElement dxfId="3" type="headerRow"/>
      <tableStyleElement dxfId="2" type="firstRowStripe"/>
      <tableStyleElement dxfId="3" type="secondRowStripe"/>
    </tableStyle>
    <tableStyle count="3" pivot="0" name="MAIO 2026-style">
      <tableStyleElement dxfId="1" type="headerRow"/>
      <tableStyleElement dxfId="2" type="firstRowStripe"/>
      <tableStyleElement dxfId="3" type="secondRowStripe"/>
    </tableStyle>
    <tableStyle count="3" pivot="0" name="MAIO 2026-style 2">
      <tableStyleElement dxfId="1" type="headerRow"/>
      <tableStyleElement dxfId="2" type="firstRowStripe"/>
      <tableStyleElement dxfId="3" type="secondRowStripe"/>
    </tableStyle>
    <tableStyle count="3" pivot="0" name="MAIO 2026-style 3">
      <tableStyleElement dxfId="1" type="headerRow"/>
      <tableStyleElement dxfId="2" type="firstRowStripe"/>
      <tableStyleElement dxfId="3" type="secondRowStripe"/>
    </tableStyle>
    <tableStyle count="3" pivot="0" name="MAIO 2026-style 4">
      <tableStyleElement dxfId="1" type="headerRow"/>
      <tableStyleElement dxfId="2" type="firstRowStripe"/>
      <tableStyleElement dxfId="3" type="secondRowStripe"/>
    </tableStyle>
    <tableStyle count="3" pivot="0" name="MAIO 2026-style 5">
      <tableStyleElement dxfId="4" type="headerRow"/>
      <tableStyleElement dxfId="2" type="firstRowStripe"/>
      <tableStyleElement dxfId="3" type="secondRowStripe"/>
    </tableStyle>
    <tableStyle count="3" pivot="0" name="MAIO 2026-style 6">
      <tableStyleElement dxfId="1" type="headerRow"/>
      <tableStyleElement dxfId="2" type="firstRowStripe"/>
      <tableStyleElement dxfId="3" type="secondRowStripe"/>
    </tableStyle>
    <tableStyle count="3" pivot="0" name="MAIO 2026-style 7">
      <tableStyleElement dxfId="1" type="headerRow"/>
      <tableStyleElement dxfId="2" type="firstRowStripe"/>
      <tableStyleElement dxfId="3" type="secondRowStripe"/>
    </tableStyle>
    <tableStyle count="3" pivot="0" name="MAIO 2026-style 8">
      <tableStyleElement dxfId="1" type="headerRow"/>
      <tableStyleElement dxfId="2" type="firstRowStripe"/>
      <tableStyleElement dxfId="3" type="secondRowStripe"/>
    </tableStyle>
    <tableStyle count="3" pivot="0" name="MAIO 2026-style 9">
      <tableStyleElement dxfId="1" type="headerRow"/>
      <tableStyleElement dxfId="2" type="firstRowStripe"/>
      <tableStyleElement dxfId="3" type="secondRowStripe"/>
    </tableStyle>
    <tableStyle count="3" pivot="0" name="MAIO 2026-style 10">
      <tableStyleElement dxfId="3" type="headerRow"/>
      <tableStyleElement dxfId="2" type="firstRowStripe"/>
      <tableStyleElement dxfId="3" type="secondRowStripe"/>
    </tableStyle>
    <tableStyle count="3" pivot="0" name="JUNHO 2026-style">
      <tableStyleElement dxfId="1" type="headerRow"/>
      <tableStyleElement dxfId="2" type="firstRowStripe"/>
      <tableStyleElement dxfId="3" type="secondRowStripe"/>
    </tableStyle>
    <tableStyle count="3" pivot="0" name="JUNHO 2026-style 2">
      <tableStyleElement dxfId="1" type="headerRow"/>
      <tableStyleElement dxfId="2" type="firstRowStripe"/>
      <tableStyleElement dxfId="3" type="secondRowStripe"/>
    </tableStyle>
    <tableStyle count="3" pivot="0" name="JUNHO 2026-style 3">
      <tableStyleElement dxfId="1" type="headerRow"/>
      <tableStyleElement dxfId="2" type="firstRowStripe"/>
      <tableStyleElement dxfId="3" type="secondRowStripe"/>
    </tableStyle>
    <tableStyle count="3" pivot="0" name="JUNHO 2026-style 4">
      <tableStyleElement dxfId="1" type="headerRow"/>
      <tableStyleElement dxfId="2" type="firstRowStripe"/>
      <tableStyleElement dxfId="3" type="secondRowStripe"/>
    </tableStyle>
    <tableStyle count="3" pivot="0" name="JUNHO 2026-style 5">
      <tableStyleElement dxfId="4" type="headerRow"/>
      <tableStyleElement dxfId="2" type="firstRowStripe"/>
      <tableStyleElement dxfId="3" type="secondRowStripe"/>
    </tableStyle>
    <tableStyle count="3" pivot="0" name="JUNHO 2026-style 6">
      <tableStyleElement dxfId="1" type="headerRow"/>
      <tableStyleElement dxfId="2" type="firstRowStripe"/>
      <tableStyleElement dxfId="3" type="secondRowStripe"/>
    </tableStyle>
    <tableStyle count="3" pivot="0" name="JUNHO 2026-style 7">
      <tableStyleElement dxfId="1" type="headerRow"/>
      <tableStyleElement dxfId="2" type="firstRowStripe"/>
      <tableStyleElement dxfId="3" type="secondRowStripe"/>
    </tableStyle>
    <tableStyle count="3" pivot="0" name="JUNHO 2026-style 8">
      <tableStyleElement dxfId="1" type="headerRow"/>
      <tableStyleElement dxfId="2" type="firstRowStripe"/>
      <tableStyleElement dxfId="3" type="secondRowStripe"/>
    </tableStyle>
    <tableStyle count="3" pivot="0" name="JUNHO 2026-style 9">
      <tableStyleElement dxfId="1" type="headerRow"/>
      <tableStyleElement dxfId="2" type="firstRowStripe"/>
      <tableStyleElement dxfId="3" type="secondRowStripe"/>
    </tableStyle>
    <tableStyle count="3" pivot="0" name="JUNHO 2026-style 10">
      <tableStyleElement dxfId="3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O4:R18" displayName="Table_1" name="Table_1" id="1">
  <tableColumns count="4">
    <tableColumn name="Data" id="1"/>
    <tableColumn name="Valor " id="2"/>
    <tableColumn name="Tipo" id="3"/>
    <tableColumn name="Funcionário" id="4"/>
  </tableColumns>
  <tableStyleInfo name="DEZEMBRO 2025-style" showColumnStripes="0" showFirstColumn="1" showLastColumn="1" showRowStripes="1"/>
</table>
</file>

<file path=xl/tables/table2.xml><?xml version="1.0" encoding="utf-8"?>
<table xmlns="http://schemas.openxmlformats.org/spreadsheetml/2006/main" ref="T4:W18" displayName="Table_2" name="Table_2" id="2">
  <tableColumns count="4">
    <tableColumn name="Data" id="1"/>
    <tableColumn name="Valor " id="2"/>
    <tableColumn name="Tipo" id="3"/>
    <tableColumn name="Funcionário" id="4"/>
  </tableColumns>
  <tableStyleInfo name="DEZEMBRO 2025-style 2" showColumnStripes="0" showFirstColumn="1" showLastColumn="1" showRowStripes="1"/>
</table>
</file>

<file path=xl/tables/table3.xml><?xml version="1.0" encoding="utf-8"?>
<table xmlns="http://schemas.openxmlformats.org/spreadsheetml/2006/main" headerRowCount="0" ref="O20:R34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DEZEMBRO 2025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T20:W34" displayName="Table_4" name="Table_4" id="4">
  <tableColumns count="4">
    <tableColumn name="Data" id="1"/>
    <tableColumn name="Valor " id="2"/>
    <tableColumn name="Tipo" id="3"/>
    <tableColumn name="Funcionário" id="4"/>
  </tableColumns>
  <tableStyleInfo name="DEZEMBRO 2025-style 4" showColumnStripes="0" showFirstColumn="1" showLastColumn="1" showRowStripes="1"/>
</table>
</file>

<file path=xl/tables/table5.xml><?xml version="1.0" encoding="utf-8"?>
<table xmlns="http://schemas.openxmlformats.org/spreadsheetml/2006/main" headerRowCount="0" ref="B29:M507" displayName="Table_5" name="Table_5" id="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DEZEMBRO 2025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O49:R63" displayName="Table_6" name="Table_6" id="6">
  <tableColumns count="4">
    <tableColumn name="Data" id="1"/>
    <tableColumn name="Valor " id="2"/>
    <tableColumn name="Tipo" id="3"/>
    <tableColumn name="Funcionário" id="4"/>
  </tableColumns>
  <tableStyleInfo name="DEZEMBRO 2025-style 6" showColumnStripes="0" showFirstColumn="1" showLastColumn="1" showRowStripes="1"/>
</table>
</file>

<file path=xl/tables/table7.xml><?xml version="1.0" encoding="utf-8"?>
<table xmlns="http://schemas.openxmlformats.org/spreadsheetml/2006/main" ref="T49:W63" displayName="Table_7" name="Table_7" id="7">
  <tableColumns count="4">
    <tableColumn name="Data" id="1"/>
    <tableColumn name="Valor " id="2"/>
    <tableColumn name="Tipo" id="3"/>
    <tableColumn name="Funcionário" id="4"/>
  </tableColumns>
  <tableStyleInfo name="DEZEMBRO 2025-style 7" showColumnStripes="0" showFirstColumn="1" showLastColumn="1" showRowStripes="1"/>
</table>
</file>

<file path=xl/tables/table8.xml><?xml version="1.0" encoding="utf-8"?>
<table xmlns="http://schemas.openxmlformats.org/spreadsheetml/2006/main" ref="O69:R88" displayName="Table_8" name="Table_8" id="8">
  <tableColumns count="4">
    <tableColumn name="Data" id="1"/>
    <tableColumn name="Valor " id="2"/>
    <tableColumn name="Tipo" id="3"/>
    <tableColumn name="Funcionário" id="4"/>
  </tableColumns>
  <tableStyleInfo name="DEZEMBRO 2025-style 8" showColumnStripes="0" showFirstColumn="1" showLastColumn="1" showRowStripes="1"/>
</table>
</file>

<file path=xl/tables/table9.xml><?xml version="1.0" encoding="utf-8"?>
<table xmlns="http://schemas.openxmlformats.org/spreadsheetml/2006/main" ref="T69:W88" displayName="Table_9" name="Table_9" id="9">
  <tableColumns count="4">
    <tableColumn name="Data" id="1"/>
    <tableColumn name="Valor " id="2"/>
    <tableColumn name="Tipo" id="3"/>
    <tableColumn name="Funcionário" id="4"/>
  </tableColumns>
  <tableStyleInfo name="DEZEMBRO 2025-style 9" showColumnStripes="0" showFirstColumn="1" showLastColumn="1" showRowStripes="1"/>
</table>
</file>

<file path=xl/tables/table10.xml><?xml version="1.0" encoding="utf-8"?>
<table xmlns="http://schemas.openxmlformats.org/spreadsheetml/2006/main" headerRowCount="0" ref="O96:T138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EZEMBRO 2025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O4:R18" displayName="Table_11" name="Table_11" id="11">
  <tableColumns count="4">
    <tableColumn name="Data" id="1"/>
    <tableColumn name="Valor " id="2"/>
    <tableColumn name="Tipo" id="3"/>
    <tableColumn name="Funcionário" id="4"/>
  </tableColumns>
  <tableStyleInfo name="JANEIRO 2026-style" showColumnStripes="0" showFirstColumn="1" showLastColumn="1" showRowStripes="1"/>
</table>
</file>

<file path=xl/tables/table12.xml><?xml version="1.0" encoding="utf-8"?>
<table xmlns="http://schemas.openxmlformats.org/spreadsheetml/2006/main" ref="T4:W18" displayName="Table_12" name="Table_12" id="12">
  <tableColumns count="4">
    <tableColumn name="Data" id="1"/>
    <tableColumn name="Valor " id="2"/>
    <tableColumn name="Tipo" id="3"/>
    <tableColumn name="Funcionário" id="4"/>
  </tableColumns>
  <tableStyleInfo name="JANEIRO 2026-style 2" showColumnStripes="0" showFirstColumn="1" showLastColumn="1" showRowStripes="1"/>
</table>
</file>

<file path=xl/tables/table13.xml><?xml version="1.0" encoding="utf-8"?>
<table xmlns="http://schemas.openxmlformats.org/spreadsheetml/2006/main" headerRowCount="0" ref="O20:R34" displayName="Table_13" name="Table_13" id="13">
  <tableColumns count="4">
    <tableColumn name="Column1" id="1"/>
    <tableColumn name="Column2" id="2"/>
    <tableColumn name="Column3" id="3"/>
    <tableColumn name="Column4" id="4"/>
  </tableColumns>
  <tableStyleInfo name="JANEIRO 202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ref="T20:W34" displayName="Table_14" name="Table_14" id="14">
  <tableColumns count="4">
    <tableColumn name="Data" id="1"/>
    <tableColumn name="Valor " id="2"/>
    <tableColumn name="Tipo" id="3"/>
    <tableColumn name="Funcionário" id="4"/>
  </tableColumns>
  <tableStyleInfo name="JANEIRO 2026-style 4" showColumnStripes="0" showFirstColumn="1" showLastColumn="1" showRowStripes="1"/>
</table>
</file>

<file path=xl/tables/table15.xml><?xml version="1.0" encoding="utf-8"?>
<table xmlns="http://schemas.openxmlformats.org/spreadsheetml/2006/main" headerRowCount="0" ref="B29:M507" displayName="Table_15" name="Table_15" id="1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JANEIRO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ref="O49:R63" displayName="Table_16" name="Table_16" id="16">
  <tableColumns count="4">
    <tableColumn name="Data" id="1"/>
    <tableColumn name="Valor " id="2"/>
    <tableColumn name="Tipo" id="3"/>
    <tableColumn name="Funcionário" id="4"/>
  </tableColumns>
  <tableStyleInfo name="JANEIRO 2026-style 6" showColumnStripes="0" showFirstColumn="1" showLastColumn="1" showRowStripes="1"/>
</table>
</file>

<file path=xl/tables/table17.xml><?xml version="1.0" encoding="utf-8"?>
<table xmlns="http://schemas.openxmlformats.org/spreadsheetml/2006/main" ref="T49:W63" displayName="Table_17" name="Table_17" id="17">
  <tableColumns count="4">
    <tableColumn name="Data" id="1"/>
    <tableColumn name="Valor " id="2"/>
    <tableColumn name="Tipo" id="3"/>
    <tableColumn name="Funcionário" id="4"/>
  </tableColumns>
  <tableStyleInfo name="JANEIRO 2026-style 7" showColumnStripes="0" showFirstColumn="1" showLastColumn="1" showRowStripes="1"/>
</table>
</file>

<file path=xl/tables/table18.xml><?xml version="1.0" encoding="utf-8"?>
<table xmlns="http://schemas.openxmlformats.org/spreadsheetml/2006/main" ref="O69:R88" displayName="Table_18" name="Table_18" id="18">
  <tableColumns count="4">
    <tableColumn name="Data" id="1"/>
    <tableColumn name="Valor " id="2"/>
    <tableColumn name="Tipo" id="3"/>
    <tableColumn name="Funcionário" id="4"/>
  </tableColumns>
  <tableStyleInfo name="JANEIRO 2026-style 8" showColumnStripes="0" showFirstColumn="1" showLastColumn="1" showRowStripes="1"/>
</table>
</file>

<file path=xl/tables/table19.xml><?xml version="1.0" encoding="utf-8"?>
<table xmlns="http://schemas.openxmlformats.org/spreadsheetml/2006/main" ref="T69:W88" displayName="Table_19" name="Table_19" id="19">
  <tableColumns count="4">
    <tableColumn name="Data" id="1"/>
    <tableColumn name="Valor " id="2"/>
    <tableColumn name="Tipo" id="3"/>
    <tableColumn name="Funcionário" id="4"/>
  </tableColumns>
  <tableStyleInfo name="JANEIRO 2026-style 9" showColumnStripes="0" showFirstColumn="1" showLastColumn="1" showRowStripes="1"/>
</table>
</file>

<file path=xl/tables/table20.xml><?xml version="1.0" encoding="utf-8"?>
<table xmlns="http://schemas.openxmlformats.org/spreadsheetml/2006/main" headerRowCount="0" ref="O96:T138" displayName="Table_20" name="Table_20" id="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ANEIRO 2026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ref="O4:R18" displayName="Table_21" name="Table_21" id="21">
  <tableColumns count="4">
    <tableColumn name="Data" id="1"/>
    <tableColumn name="Valor " id="2"/>
    <tableColumn name="Tipo" id="3"/>
    <tableColumn name="Funcionário" id="4"/>
  </tableColumns>
  <tableStyleInfo name="FEVEREIRO 2026-style" showColumnStripes="0" showFirstColumn="1" showLastColumn="1" showRowStripes="1"/>
</table>
</file>

<file path=xl/tables/table22.xml><?xml version="1.0" encoding="utf-8"?>
<table xmlns="http://schemas.openxmlformats.org/spreadsheetml/2006/main" ref="T4:W18" displayName="Table_22" name="Table_22" id="22">
  <tableColumns count="4">
    <tableColumn name="Data" id="1"/>
    <tableColumn name="Valor " id="2"/>
    <tableColumn name="Tipo" id="3"/>
    <tableColumn name="Funcionário" id="4"/>
  </tableColumns>
  <tableStyleInfo name="FEVEREIRO 2026-style 2" showColumnStripes="0" showFirstColumn="1" showLastColumn="1" showRowStripes="1"/>
</table>
</file>

<file path=xl/tables/table23.xml><?xml version="1.0" encoding="utf-8"?>
<table xmlns="http://schemas.openxmlformats.org/spreadsheetml/2006/main" headerRowCount="0" ref="O20:R34" displayName="Table_23" name="Table_23" id="23">
  <tableColumns count="4">
    <tableColumn name="Column1" id="1"/>
    <tableColumn name="Column2" id="2"/>
    <tableColumn name="Column3" id="3"/>
    <tableColumn name="Column4" id="4"/>
  </tableColumns>
  <tableStyleInfo name="FEVEREIRO 202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ref="T20:W34" displayName="Table_24" name="Table_24" id="24">
  <tableColumns count="4">
    <tableColumn name="Data" id="1"/>
    <tableColumn name="Valor " id="2"/>
    <tableColumn name="Tipo" id="3"/>
    <tableColumn name="Funcionário" id="4"/>
  </tableColumns>
  <tableStyleInfo name="FEVEREIRO 2026-style 4" showColumnStripes="0" showFirstColumn="1" showLastColumn="1" showRowStripes="1"/>
</table>
</file>

<file path=xl/tables/table25.xml><?xml version="1.0" encoding="utf-8"?>
<table xmlns="http://schemas.openxmlformats.org/spreadsheetml/2006/main" headerRowCount="0" ref="B29:M507" displayName="Table_25" name="Table_25" id="2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EVEREIRO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ref="O49:R63" displayName="Table_26" name="Table_26" id="26">
  <tableColumns count="4">
    <tableColumn name="Data" id="1"/>
    <tableColumn name="Valor " id="2"/>
    <tableColumn name="Tipo" id="3"/>
    <tableColumn name="Funcionário" id="4"/>
  </tableColumns>
  <tableStyleInfo name="FEVEREIRO 2026-style 6" showColumnStripes="0" showFirstColumn="1" showLastColumn="1" showRowStripes="1"/>
</table>
</file>

<file path=xl/tables/table27.xml><?xml version="1.0" encoding="utf-8"?>
<table xmlns="http://schemas.openxmlformats.org/spreadsheetml/2006/main" ref="T49:W63" displayName="Table_27" name="Table_27" id="27">
  <tableColumns count="4">
    <tableColumn name="Data" id="1"/>
    <tableColumn name="Valor " id="2"/>
    <tableColumn name="Tipo" id="3"/>
    <tableColumn name="Funcionário" id="4"/>
  </tableColumns>
  <tableStyleInfo name="FEVEREIRO 2026-style 7" showColumnStripes="0" showFirstColumn="1" showLastColumn="1" showRowStripes="1"/>
</table>
</file>

<file path=xl/tables/table28.xml><?xml version="1.0" encoding="utf-8"?>
<table xmlns="http://schemas.openxmlformats.org/spreadsheetml/2006/main" ref="O69:R88" displayName="Table_28" name="Table_28" id="28">
  <tableColumns count="4">
    <tableColumn name="Data" id="1"/>
    <tableColumn name="Valor " id="2"/>
    <tableColumn name="Tipo" id="3"/>
    <tableColumn name="Funcionário" id="4"/>
  </tableColumns>
  <tableStyleInfo name="FEVEREIRO 2026-style 8" showColumnStripes="0" showFirstColumn="1" showLastColumn="1" showRowStripes="1"/>
</table>
</file>

<file path=xl/tables/table29.xml><?xml version="1.0" encoding="utf-8"?>
<table xmlns="http://schemas.openxmlformats.org/spreadsheetml/2006/main" ref="T69:W88" displayName="Table_29" name="Table_29" id="29">
  <tableColumns count="4">
    <tableColumn name="Data" id="1"/>
    <tableColumn name="Valor " id="2"/>
    <tableColumn name="Tipo" id="3"/>
    <tableColumn name="Funcionário" id="4"/>
  </tableColumns>
  <tableStyleInfo name="FEVEREIRO 2026-style 9" showColumnStripes="0" showFirstColumn="1" showLastColumn="1" showRowStripes="1"/>
</table>
</file>

<file path=xl/tables/table30.xml><?xml version="1.0" encoding="utf-8"?>
<table xmlns="http://schemas.openxmlformats.org/spreadsheetml/2006/main" headerRowCount="0" ref="O96:T138" displayName="Table_30" name="Table_30" id="3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EVEREIRO 2026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ref="O4:R18" displayName="Table_31" name="Table_31" id="31">
  <tableColumns count="4">
    <tableColumn name="Data" id="1"/>
    <tableColumn name="Valor " id="2"/>
    <tableColumn name="Tipo" id="3"/>
    <tableColumn name="Funcionário" id="4"/>
  </tableColumns>
  <tableStyleInfo name="MARÇO 2026-style" showColumnStripes="0" showFirstColumn="1" showLastColumn="1" showRowStripes="1"/>
</table>
</file>

<file path=xl/tables/table32.xml><?xml version="1.0" encoding="utf-8"?>
<table xmlns="http://schemas.openxmlformats.org/spreadsheetml/2006/main" ref="T4:W18" displayName="Table_32" name="Table_32" id="32">
  <tableColumns count="4">
    <tableColumn name="Data" id="1"/>
    <tableColumn name="Valor " id="2"/>
    <tableColumn name="Tipo" id="3"/>
    <tableColumn name="Funcionário" id="4"/>
  </tableColumns>
  <tableStyleInfo name="MARÇO 2026-style 2" showColumnStripes="0" showFirstColumn="1" showLastColumn="1" showRowStripes="1"/>
</table>
</file>

<file path=xl/tables/table33.xml><?xml version="1.0" encoding="utf-8"?>
<table xmlns="http://schemas.openxmlformats.org/spreadsheetml/2006/main" headerRowCount="0" ref="O20:R34" displayName="Table_33" name="Table_33" id="33">
  <tableColumns count="4">
    <tableColumn name="Column1" id="1"/>
    <tableColumn name="Column2" id="2"/>
    <tableColumn name="Column3" id="3"/>
    <tableColumn name="Column4" id="4"/>
  </tableColumns>
  <tableStyleInfo name="MARÇO 202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ref="T20:W34" displayName="Table_34" name="Table_34" id="34">
  <tableColumns count="4">
    <tableColumn name="Data" id="1"/>
    <tableColumn name="Valor " id="2"/>
    <tableColumn name="Tipo" id="3"/>
    <tableColumn name="Funcionário" id="4"/>
  </tableColumns>
  <tableStyleInfo name="MARÇO 2026-style 4" showColumnStripes="0" showFirstColumn="1" showLastColumn="1" showRowStripes="1"/>
</table>
</file>

<file path=xl/tables/table35.xml><?xml version="1.0" encoding="utf-8"?>
<table xmlns="http://schemas.openxmlformats.org/spreadsheetml/2006/main" headerRowCount="0" ref="B29:M507" displayName="Table_35" name="Table_35" id="3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ARÇO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ref="O49:R63" displayName="Table_36" name="Table_36" id="36">
  <tableColumns count="4">
    <tableColumn name="Data" id="1"/>
    <tableColumn name="Valor " id="2"/>
    <tableColumn name="Tipo" id="3"/>
    <tableColumn name="Funcionário" id="4"/>
  </tableColumns>
  <tableStyleInfo name="MARÇO 2026-style 6" showColumnStripes="0" showFirstColumn="1" showLastColumn="1" showRowStripes="1"/>
</table>
</file>

<file path=xl/tables/table37.xml><?xml version="1.0" encoding="utf-8"?>
<table xmlns="http://schemas.openxmlformats.org/spreadsheetml/2006/main" ref="T49:W63" displayName="Table_37" name="Table_37" id="37">
  <tableColumns count="4">
    <tableColumn name="Data" id="1"/>
    <tableColumn name="Valor " id="2"/>
    <tableColumn name="Tipo" id="3"/>
    <tableColumn name="Funcionário" id="4"/>
  </tableColumns>
  <tableStyleInfo name="MARÇO 2026-style 7" showColumnStripes="0" showFirstColumn="1" showLastColumn="1" showRowStripes="1"/>
</table>
</file>

<file path=xl/tables/table38.xml><?xml version="1.0" encoding="utf-8"?>
<table xmlns="http://schemas.openxmlformats.org/spreadsheetml/2006/main" ref="O69:R88" displayName="Table_38" name="Table_38" id="38">
  <tableColumns count="4">
    <tableColumn name="Data" id="1"/>
    <tableColumn name="Valor " id="2"/>
    <tableColumn name="Tipo" id="3"/>
    <tableColumn name="Funcionário" id="4"/>
  </tableColumns>
  <tableStyleInfo name="MARÇO 2026-style 8" showColumnStripes="0" showFirstColumn="1" showLastColumn="1" showRowStripes="1"/>
</table>
</file>

<file path=xl/tables/table39.xml><?xml version="1.0" encoding="utf-8"?>
<table xmlns="http://schemas.openxmlformats.org/spreadsheetml/2006/main" ref="T69:W88" displayName="Table_39" name="Table_39" id="39">
  <tableColumns count="4">
    <tableColumn name="Data" id="1"/>
    <tableColumn name="Valor " id="2"/>
    <tableColumn name="Tipo" id="3"/>
    <tableColumn name="Funcionário" id="4"/>
  </tableColumns>
  <tableStyleInfo name="MARÇO 2026-style 9" showColumnStripes="0" showFirstColumn="1" showLastColumn="1" showRowStripes="1"/>
</table>
</file>

<file path=xl/tables/table40.xml><?xml version="1.0" encoding="utf-8"?>
<table xmlns="http://schemas.openxmlformats.org/spreadsheetml/2006/main" headerRowCount="0" ref="O96:T138" displayName="Table_40" name="Table_40" id="4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RÇO 2026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ref="O4:R18" displayName="Table_41" name="Table_41" id="41">
  <tableColumns count="4">
    <tableColumn name="Data" id="1"/>
    <tableColumn name="Valor " id="2"/>
    <tableColumn name="Tipo" id="3"/>
    <tableColumn name="Funcionário" id="4"/>
  </tableColumns>
  <tableStyleInfo name="ABRIL 2026-style" showColumnStripes="0" showFirstColumn="1" showLastColumn="1" showRowStripes="1"/>
</table>
</file>

<file path=xl/tables/table42.xml><?xml version="1.0" encoding="utf-8"?>
<table xmlns="http://schemas.openxmlformats.org/spreadsheetml/2006/main" ref="T4:W18" displayName="Table_42" name="Table_42" id="42">
  <tableColumns count="4">
    <tableColumn name="Data" id="1"/>
    <tableColumn name="Valor " id="2"/>
    <tableColumn name="Tipo" id="3"/>
    <tableColumn name="Funcionário" id="4"/>
  </tableColumns>
  <tableStyleInfo name="ABRIL 2026-style 2" showColumnStripes="0" showFirstColumn="1" showLastColumn="1" showRowStripes="1"/>
</table>
</file>

<file path=xl/tables/table43.xml><?xml version="1.0" encoding="utf-8"?>
<table xmlns="http://schemas.openxmlformats.org/spreadsheetml/2006/main" headerRowCount="0" ref="O20:R34" displayName="Table_43" name="Table_43" id="43">
  <tableColumns count="4">
    <tableColumn name="Column1" id="1"/>
    <tableColumn name="Column2" id="2"/>
    <tableColumn name="Column3" id="3"/>
    <tableColumn name="Column4" id="4"/>
  </tableColumns>
  <tableStyleInfo name="ABRIL 202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ref="T20:W34" displayName="Table_44" name="Table_44" id="44">
  <tableColumns count="4">
    <tableColumn name="Data" id="1"/>
    <tableColumn name="Valor " id="2"/>
    <tableColumn name="Tipo" id="3"/>
    <tableColumn name="Funcionário" id="4"/>
  </tableColumns>
  <tableStyleInfo name="ABRIL 2026-style 4" showColumnStripes="0" showFirstColumn="1" showLastColumn="1" showRowStripes="1"/>
</table>
</file>

<file path=xl/tables/table45.xml><?xml version="1.0" encoding="utf-8"?>
<table xmlns="http://schemas.openxmlformats.org/spreadsheetml/2006/main" headerRowCount="0" ref="B29:M507" displayName="Table_45" name="Table_45" id="4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BRIL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6.xml><?xml version="1.0" encoding="utf-8"?>
<table xmlns="http://schemas.openxmlformats.org/spreadsheetml/2006/main" ref="O49:R63" displayName="Table_46" name="Table_46" id="46">
  <tableColumns count="4">
    <tableColumn name="Data" id="1"/>
    <tableColumn name="Valor " id="2"/>
    <tableColumn name="Tipo" id="3"/>
    <tableColumn name="Funcionário" id="4"/>
  </tableColumns>
  <tableStyleInfo name="ABRIL 2026-style 6" showColumnStripes="0" showFirstColumn="1" showLastColumn="1" showRowStripes="1"/>
</table>
</file>

<file path=xl/tables/table47.xml><?xml version="1.0" encoding="utf-8"?>
<table xmlns="http://schemas.openxmlformats.org/spreadsheetml/2006/main" ref="T49:W63" displayName="Table_47" name="Table_47" id="47">
  <tableColumns count="4">
    <tableColumn name="Data" id="1"/>
    <tableColumn name="Valor " id="2"/>
    <tableColumn name="Tipo" id="3"/>
    <tableColumn name="Funcionário" id="4"/>
  </tableColumns>
  <tableStyleInfo name="ABRIL 2026-style 7" showColumnStripes="0" showFirstColumn="1" showLastColumn="1" showRowStripes="1"/>
</table>
</file>

<file path=xl/tables/table48.xml><?xml version="1.0" encoding="utf-8"?>
<table xmlns="http://schemas.openxmlformats.org/spreadsheetml/2006/main" ref="O69:R88" displayName="Table_48" name="Table_48" id="48">
  <tableColumns count="4">
    <tableColumn name="Data" id="1"/>
    <tableColumn name="Valor " id="2"/>
    <tableColumn name="Tipo" id="3"/>
    <tableColumn name="Funcionário" id="4"/>
  </tableColumns>
  <tableStyleInfo name="ABRIL 2026-style 8" showColumnStripes="0" showFirstColumn="1" showLastColumn="1" showRowStripes="1"/>
</table>
</file>

<file path=xl/tables/table49.xml><?xml version="1.0" encoding="utf-8"?>
<table xmlns="http://schemas.openxmlformats.org/spreadsheetml/2006/main" ref="T69:W88" displayName="Table_49" name="Table_49" id="49">
  <tableColumns count="4">
    <tableColumn name="Data" id="1"/>
    <tableColumn name="Valor " id="2"/>
    <tableColumn name="Tipo" id="3"/>
    <tableColumn name="Funcionário" id="4"/>
  </tableColumns>
  <tableStyleInfo name="ABRIL 2026-style 9" showColumnStripes="0" showFirstColumn="1" showLastColumn="1" showRowStripes="1"/>
</table>
</file>

<file path=xl/tables/table50.xml><?xml version="1.0" encoding="utf-8"?>
<table xmlns="http://schemas.openxmlformats.org/spreadsheetml/2006/main" headerRowCount="0" ref="O96:T138" displayName="Table_50" name="Table_50" id="5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BRIL 2026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1.xml><?xml version="1.0" encoding="utf-8"?>
<table xmlns="http://schemas.openxmlformats.org/spreadsheetml/2006/main" ref="O4:R18" displayName="Table_51" name="Table_51" id="51">
  <tableColumns count="4">
    <tableColumn name="Data" id="1"/>
    <tableColumn name="Valor " id="2"/>
    <tableColumn name="Tipo" id="3"/>
    <tableColumn name="Funcionário" id="4"/>
  </tableColumns>
  <tableStyleInfo name="MAIO 2026-style" showColumnStripes="0" showFirstColumn="1" showLastColumn="1" showRowStripes="1"/>
</table>
</file>

<file path=xl/tables/table52.xml><?xml version="1.0" encoding="utf-8"?>
<table xmlns="http://schemas.openxmlformats.org/spreadsheetml/2006/main" ref="T4:W18" displayName="Table_52" name="Table_52" id="52">
  <tableColumns count="4">
    <tableColumn name="Data" id="1"/>
    <tableColumn name="Valor " id="2"/>
    <tableColumn name="Tipo" id="3"/>
    <tableColumn name="Funcionário" id="4"/>
  </tableColumns>
  <tableStyleInfo name="MAIO 2026-style 2" showColumnStripes="0" showFirstColumn="1" showLastColumn="1" showRowStripes="1"/>
</table>
</file>

<file path=xl/tables/table53.xml><?xml version="1.0" encoding="utf-8"?>
<table xmlns="http://schemas.openxmlformats.org/spreadsheetml/2006/main" headerRowCount="0" ref="O20:R34" displayName="Table_53" name="Table_53" id="53">
  <tableColumns count="4">
    <tableColumn name="Column1" id="1"/>
    <tableColumn name="Column2" id="2"/>
    <tableColumn name="Column3" id="3"/>
    <tableColumn name="Column4" id="4"/>
  </tableColumns>
  <tableStyleInfo name="MAIO 202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4.xml><?xml version="1.0" encoding="utf-8"?>
<table xmlns="http://schemas.openxmlformats.org/spreadsheetml/2006/main" ref="T20:W34" displayName="Table_54" name="Table_54" id="54">
  <tableColumns count="4">
    <tableColumn name="Data" id="1"/>
    <tableColumn name="Valor " id="2"/>
    <tableColumn name="Tipo" id="3"/>
    <tableColumn name="Funcionário" id="4"/>
  </tableColumns>
  <tableStyleInfo name="MAIO 2026-style 4" showColumnStripes="0" showFirstColumn="1" showLastColumn="1" showRowStripes="1"/>
</table>
</file>

<file path=xl/tables/table55.xml><?xml version="1.0" encoding="utf-8"?>
<table xmlns="http://schemas.openxmlformats.org/spreadsheetml/2006/main" headerRowCount="0" ref="B29:M507" displayName="Table_55" name="Table_55" id="5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AIO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6.xml><?xml version="1.0" encoding="utf-8"?>
<table xmlns="http://schemas.openxmlformats.org/spreadsheetml/2006/main" ref="O49:R63" displayName="Table_56" name="Table_56" id="56">
  <tableColumns count="4">
    <tableColumn name="Data" id="1"/>
    <tableColumn name="Valor " id="2"/>
    <tableColumn name="Tipo" id="3"/>
    <tableColumn name="Funcionário" id="4"/>
  </tableColumns>
  <tableStyleInfo name="MAIO 2026-style 6" showColumnStripes="0" showFirstColumn="1" showLastColumn="1" showRowStripes="1"/>
</table>
</file>

<file path=xl/tables/table57.xml><?xml version="1.0" encoding="utf-8"?>
<table xmlns="http://schemas.openxmlformats.org/spreadsheetml/2006/main" ref="T49:W63" displayName="Table_57" name="Table_57" id="57">
  <tableColumns count="4">
    <tableColumn name="Data" id="1"/>
    <tableColumn name="Valor " id="2"/>
    <tableColumn name="Tipo" id="3"/>
    <tableColumn name="Funcionário" id="4"/>
  </tableColumns>
  <tableStyleInfo name="MAIO 2026-style 7" showColumnStripes="0" showFirstColumn="1" showLastColumn="1" showRowStripes="1"/>
</table>
</file>

<file path=xl/tables/table58.xml><?xml version="1.0" encoding="utf-8"?>
<table xmlns="http://schemas.openxmlformats.org/spreadsheetml/2006/main" ref="O69:R88" displayName="Table_58" name="Table_58" id="58">
  <tableColumns count="4">
    <tableColumn name="Data" id="1"/>
    <tableColumn name="Valor " id="2"/>
    <tableColumn name="Tipo" id="3"/>
    <tableColumn name="Funcionário" id="4"/>
  </tableColumns>
  <tableStyleInfo name="MAIO 2026-style 8" showColumnStripes="0" showFirstColumn="1" showLastColumn="1" showRowStripes="1"/>
</table>
</file>

<file path=xl/tables/table59.xml><?xml version="1.0" encoding="utf-8"?>
<table xmlns="http://schemas.openxmlformats.org/spreadsheetml/2006/main" ref="T69:W88" displayName="Table_59" name="Table_59" id="59">
  <tableColumns count="4">
    <tableColumn name="Data" id="1"/>
    <tableColumn name="Valor " id="2"/>
    <tableColumn name="Tipo" id="3"/>
    <tableColumn name="Funcionário" id="4"/>
  </tableColumns>
  <tableStyleInfo name="MAIO 2026-style 9" showColumnStripes="0" showFirstColumn="1" showLastColumn="1" showRowStripes="1"/>
</table>
</file>

<file path=xl/tables/table60.xml><?xml version="1.0" encoding="utf-8"?>
<table xmlns="http://schemas.openxmlformats.org/spreadsheetml/2006/main" headerRowCount="0" ref="O96:T138" displayName="Table_60" name="Table_60" id="6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IO 2026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1.xml><?xml version="1.0" encoding="utf-8"?>
<table xmlns="http://schemas.openxmlformats.org/spreadsheetml/2006/main" ref="O4:R18" displayName="Table_61" name="Table_61" id="61">
  <tableColumns count="4">
    <tableColumn name="Data" id="1"/>
    <tableColumn name="Valor " id="2"/>
    <tableColumn name="Tipo" id="3"/>
    <tableColumn name="Funcionário" id="4"/>
  </tableColumns>
  <tableStyleInfo name="JUNHO 2026-style" showColumnStripes="0" showFirstColumn="1" showLastColumn="1" showRowStripes="1"/>
</table>
</file>

<file path=xl/tables/table62.xml><?xml version="1.0" encoding="utf-8"?>
<table xmlns="http://schemas.openxmlformats.org/spreadsheetml/2006/main" ref="T4:W18" displayName="Table_62" name="Table_62" id="62">
  <tableColumns count="4">
    <tableColumn name="Data" id="1"/>
    <tableColumn name="Valor " id="2"/>
    <tableColumn name="Tipo" id="3"/>
    <tableColumn name="Funcionário" id="4"/>
  </tableColumns>
  <tableStyleInfo name="JUNHO 2026-style 2" showColumnStripes="0" showFirstColumn="1" showLastColumn="1" showRowStripes="1"/>
</table>
</file>

<file path=xl/tables/table63.xml><?xml version="1.0" encoding="utf-8"?>
<table xmlns="http://schemas.openxmlformats.org/spreadsheetml/2006/main" headerRowCount="0" ref="O20:R34" displayName="Table_63" name="Table_63" id="63">
  <tableColumns count="4">
    <tableColumn name="Column1" id="1"/>
    <tableColumn name="Column2" id="2"/>
    <tableColumn name="Column3" id="3"/>
    <tableColumn name="Column4" id="4"/>
  </tableColumns>
  <tableStyleInfo name="JUNHO 202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4.xml><?xml version="1.0" encoding="utf-8"?>
<table xmlns="http://schemas.openxmlformats.org/spreadsheetml/2006/main" ref="T20:W34" displayName="Table_64" name="Table_64" id="64">
  <tableColumns count="4">
    <tableColumn name="Data" id="1"/>
    <tableColumn name="Valor " id="2"/>
    <tableColumn name="Tipo" id="3"/>
    <tableColumn name="Funcionário" id="4"/>
  </tableColumns>
  <tableStyleInfo name="JUNHO 2026-style 4" showColumnStripes="0" showFirstColumn="1" showLastColumn="1" showRowStripes="1"/>
</table>
</file>

<file path=xl/tables/table65.xml><?xml version="1.0" encoding="utf-8"?>
<table xmlns="http://schemas.openxmlformats.org/spreadsheetml/2006/main" headerRowCount="0" ref="B29:M507" displayName="Table_65" name="Table_65" id="6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JUNHO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6.xml><?xml version="1.0" encoding="utf-8"?>
<table xmlns="http://schemas.openxmlformats.org/spreadsheetml/2006/main" ref="O49:R63" displayName="Table_66" name="Table_66" id="66">
  <tableColumns count="4">
    <tableColumn name="Data" id="1"/>
    <tableColumn name="Valor " id="2"/>
    <tableColumn name="Tipo" id="3"/>
    <tableColumn name="Funcionário" id="4"/>
  </tableColumns>
  <tableStyleInfo name="JUNHO 2026-style 6" showColumnStripes="0" showFirstColumn="1" showLastColumn="1" showRowStripes="1"/>
</table>
</file>

<file path=xl/tables/table67.xml><?xml version="1.0" encoding="utf-8"?>
<table xmlns="http://schemas.openxmlformats.org/spreadsheetml/2006/main" ref="T49:W63" displayName="Table_67" name="Table_67" id="67">
  <tableColumns count="4">
    <tableColumn name="Data" id="1"/>
    <tableColumn name="Valor " id="2"/>
    <tableColumn name="Tipo" id="3"/>
    <tableColumn name="Funcionário" id="4"/>
  </tableColumns>
  <tableStyleInfo name="JUNHO 2026-style 7" showColumnStripes="0" showFirstColumn="1" showLastColumn="1" showRowStripes="1"/>
</table>
</file>

<file path=xl/tables/table68.xml><?xml version="1.0" encoding="utf-8"?>
<table xmlns="http://schemas.openxmlformats.org/spreadsheetml/2006/main" ref="O69:R88" displayName="Table_68" name="Table_68" id="68">
  <tableColumns count="4">
    <tableColumn name="Data" id="1"/>
    <tableColumn name="Valor " id="2"/>
    <tableColumn name="Tipo" id="3"/>
    <tableColumn name="Funcionário" id="4"/>
  </tableColumns>
  <tableStyleInfo name="JUNHO 2026-style 8" showColumnStripes="0" showFirstColumn="1" showLastColumn="1" showRowStripes="1"/>
</table>
</file>

<file path=xl/tables/table69.xml><?xml version="1.0" encoding="utf-8"?>
<table xmlns="http://schemas.openxmlformats.org/spreadsheetml/2006/main" ref="T69:W88" displayName="Table_69" name="Table_69" id="69">
  <tableColumns count="4">
    <tableColumn name="Data" id="1"/>
    <tableColumn name="Valor " id="2"/>
    <tableColumn name="Tipo" id="3"/>
    <tableColumn name="Funcionário" id="4"/>
  </tableColumns>
  <tableStyleInfo name="JUNHO 2026-style 9" showColumnStripes="0" showFirstColumn="1" showLastColumn="1" showRowStripes="1"/>
</table>
</file>

<file path=xl/tables/table70.xml><?xml version="1.0" encoding="utf-8"?>
<table xmlns="http://schemas.openxmlformats.org/spreadsheetml/2006/main" headerRowCount="0" ref="O96:T138" displayName="Table_70" name="Table_70" id="7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UNHO 2026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20" Type="http://schemas.openxmlformats.org/officeDocument/2006/relationships/table" Target="../tables/table19.xml"/><Relationship Id="rId21" Type="http://schemas.openxmlformats.org/officeDocument/2006/relationships/table" Target="../tables/table20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15" Type="http://schemas.openxmlformats.org/officeDocument/2006/relationships/table" Target="../tables/table14.xml"/><Relationship Id="rId14" Type="http://schemas.openxmlformats.org/officeDocument/2006/relationships/table" Target="../tables/table13.xml"/><Relationship Id="rId17" Type="http://schemas.openxmlformats.org/officeDocument/2006/relationships/table" Target="../tables/table16.xml"/><Relationship Id="rId16" Type="http://schemas.openxmlformats.org/officeDocument/2006/relationships/table" Target="../tables/table15.xml"/><Relationship Id="rId19" Type="http://schemas.openxmlformats.org/officeDocument/2006/relationships/table" Target="../tables/table18.xml"/><Relationship Id="rId18" Type="http://schemas.openxmlformats.org/officeDocument/2006/relationships/table" Target="../tables/table1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20" Type="http://schemas.openxmlformats.org/officeDocument/2006/relationships/table" Target="../tables/table29.xml"/><Relationship Id="rId21" Type="http://schemas.openxmlformats.org/officeDocument/2006/relationships/table" Target="../tables/table30.xml"/><Relationship Id="rId13" Type="http://schemas.openxmlformats.org/officeDocument/2006/relationships/table" Target="../tables/table22.xml"/><Relationship Id="rId12" Type="http://schemas.openxmlformats.org/officeDocument/2006/relationships/table" Target="../tables/table21.xml"/><Relationship Id="rId15" Type="http://schemas.openxmlformats.org/officeDocument/2006/relationships/table" Target="../tables/table24.xml"/><Relationship Id="rId14" Type="http://schemas.openxmlformats.org/officeDocument/2006/relationships/table" Target="../tables/table23.xml"/><Relationship Id="rId17" Type="http://schemas.openxmlformats.org/officeDocument/2006/relationships/table" Target="../tables/table26.xml"/><Relationship Id="rId16" Type="http://schemas.openxmlformats.org/officeDocument/2006/relationships/table" Target="../tables/table25.xml"/><Relationship Id="rId19" Type="http://schemas.openxmlformats.org/officeDocument/2006/relationships/table" Target="../tables/table28.xml"/><Relationship Id="rId18" Type="http://schemas.openxmlformats.org/officeDocument/2006/relationships/table" Target="../tables/table2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20" Type="http://schemas.openxmlformats.org/officeDocument/2006/relationships/table" Target="../tables/table39.xml"/><Relationship Id="rId21" Type="http://schemas.openxmlformats.org/officeDocument/2006/relationships/table" Target="../tables/table40.xml"/><Relationship Id="rId13" Type="http://schemas.openxmlformats.org/officeDocument/2006/relationships/table" Target="../tables/table32.xml"/><Relationship Id="rId12" Type="http://schemas.openxmlformats.org/officeDocument/2006/relationships/table" Target="../tables/table31.xml"/><Relationship Id="rId15" Type="http://schemas.openxmlformats.org/officeDocument/2006/relationships/table" Target="../tables/table34.xml"/><Relationship Id="rId14" Type="http://schemas.openxmlformats.org/officeDocument/2006/relationships/table" Target="../tables/table33.xml"/><Relationship Id="rId17" Type="http://schemas.openxmlformats.org/officeDocument/2006/relationships/table" Target="../tables/table36.xml"/><Relationship Id="rId16" Type="http://schemas.openxmlformats.org/officeDocument/2006/relationships/table" Target="../tables/table35.xml"/><Relationship Id="rId19" Type="http://schemas.openxmlformats.org/officeDocument/2006/relationships/table" Target="../tables/table38.xml"/><Relationship Id="rId18" Type="http://schemas.openxmlformats.org/officeDocument/2006/relationships/table" Target="../tables/table3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20" Type="http://schemas.openxmlformats.org/officeDocument/2006/relationships/table" Target="../tables/table49.xml"/><Relationship Id="rId21" Type="http://schemas.openxmlformats.org/officeDocument/2006/relationships/table" Target="../tables/table50.xml"/><Relationship Id="rId13" Type="http://schemas.openxmlformats.org/officeDocument/2006/relationships/table" Target="../tables/table42.xml"/><Relationship Id="rId12" Type="http://schemas.openxmlformats.org/officeDocument/2006/relationships/table" Target="../tables/table41.xml"/><Relationship Id="rId15" Type="http://schemas.openxmlformats.org/officeDocument/2006/relationships/table" Target="../tables/table44.xml"/><Relationship Id="rId14" Type="http://schemas.openxmlformats.org/officeDocument/2006/relationships/table" Target="../tables/table43.xml"/><Relationship Id="rId17" Type="http://schemas.openxmlformats.org/officeDocument/2006/relationships/table" Target="../tables/table46.xml"/><Relationship Id="rId16" Type="http://schemas.openxmlformats.org/officeDocument/2006/relationships/table" Target="../tables/table45.xml"/><Relationship Id="rId19" Type="http://schemas.openxmlformats.org/officeDocument/2006/relationships/table" Target="../tables/table48.xml"/><Relationship Id="rId18" Type="http://schemas.openxmlformats.org/officeDocument/2006/relationships/table" Target="../tables/table4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20" Type="http://schemas.openxmlformats.org/officeDocument/2006/relationships/table" Target="../tables/table59.xml"/><Relationship Id="rId21" Type="http://schemas.openxmlformats.org/officeDocument/2006/relationships/table" Target="../tables/table60.xml"/><Relationship Id="rId13" Type="http://schemas.openxmlformats.org/officeDocument/2006/relationships/table" Target="../tables/table52.xml"/><Relationship Id="rId12" Type="http://schemas.openxmlformats.org/officeDocument/2006/relationships/table" Target="../tables/table51.xml"/><Relationship Id="rId15" Type="http://schemas.openxmlformats.org/officeDocument/2006/relationships/table" Target="../tables/table54.xml"/><Relationship Id="rId14" Type="http://schemas.openxmlformats.org/officeDocument/2006/relationships/table" Target="../tables/table53.xml"/><Relationship Id="rId17" Type="http://schemas.openxmlformats.org/officeDocument/2006/relationships/table" Target="../tables/table56.xml"/><Relationship Id="rId16" Type="http://schemas.openxmlformats.org/officeDocument/2006/relationships/table" Target="../tables/table55.xml"/><Relationship Id="rId19" Type="http://schemas.openxmlformats.org/officeDocument/2006/relationships/table" Target="../tables/table58.xml"/><Relationship Id="rId18" Type="http://schemas.openxmlformats.org/officeDocument/2006/relationships/table" Target="../tables/table5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20" Type="http://schemas.openxmlformats.org/officeDocument/2006/relationships/table" Target="../tables/table69.xml"/><Relationship Id="rId21" Type="http://schemas.openxmlformats.org/officeDocument/2006/relationships/table" Target="../tables/table70.xml"/><Relationship Id="rId13" Type="http://schemas.openxmlformats.org/officeDocument/2006/relationships/table" Target="../tables/table62.xml"/><Relationship Id="rId12" Type="http://schemas.openxmlformats.org/officeDocument/2006/relationships/table" Target="../tables/table61.xml"/><Relationship Id="rId15" Type="http://schemas.openxmlformats.org/officeDocument/2006/relationships/table" Target="../tables/table64.xml"/><Relationship Id="rId14" Type="http://schemas.openxmlformats.org/officeDocument/2006/relationships/table" Target="../tables/table63.xml"/><Relationship Id="rId17" Type="http://schemas.openxmlformats.org/officeDocument/2006/relationships/table" Target="../tables/table66.xml"/><Relationship Id="rId16" Type="http://schemas.openxmlformats.org/officeDocument/2006/relationships/table" Target="../tables/table65.xml"/><Relationship Id="rId19" Type="http://schemas.openxmlformats.org/officeDocument/2006/relationships/table" Target="../tables/table68.xml"/><Relationship Id="rId18" Type="http://schemas.openxmlformats.org/officeDocument/2006/relationships/table" Target="../tables/table6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5" width="16.5"/>
    <col customWidth="1" min="6" max="6" width="42.5"/>
    <col customWidth="1" hidden="1" min="7" max="26" width="16.5"/>
  </cols>
  <sheetData>
    <row r="1">
      <c r="A1" s="2" t="s">
        <v>1</v>
      </c>
      <c r="B1" s="4" t="s">
        <v>10</v>
      </c>
      <c r="C1" s="4" t="s">
        <v>18</v>
      </c>
      <c r="D1" s="4" t="s">
        <v>21</v>
      </c>
      <c r="E1" s="4" t="s">
        <v>24</v>
      </c>
      <c r="F1" s="4" t="s">
        <v>6</v>
      </c>
      <c r="G1" s="5" t="s">
        <v>34</v>
      </c>
      <c r="H1" s="6" t="s">
        <v>43</v>
      </c>
      <c r="I1" s="7" t="s">
        <v>47</v>
      </c>
      <c r="J1" s="8" t="s">
        <v>52</v>
      </c>
      <c r="K1" s="8" t="s">
        <v>38</v>
      </c>
      <c r="L1" s="8" t="s">
        <v>57</v>
      </c>
      <c r="M1" s="10" t="s">
        <v>5</v>
      </c>
      <c r="N1" s="6" t="s">
        <v>55</v>
      </c>
      <c r="O1" s="6" t="s">
        <v>2</v>
      </c>
      <c r="P1" s="6" t="s">
        <v>68</v>
      </c>
      <c r="Q1" s="6" t="s">
        <v>70</v>
      </c>
      <c r="R1" s="6" t="s">
        <v>26</v>
      </c>
      <c r="S1" s="6" t="s">
        <v>36</v>
      </c>
      <c r="T1" s="6" t="s">
        <v>75</v>
      </c>
      <c r="U1" s="6" t="s">
        <v>77</v>
      </c>
      <c r="V1" s="6" t="s">
        <v>80</v>
      </c>
      <c r="W1" s="6" t="s">
        <v>82</v>
      </c>
      <c r="X1" s="6" t="s">
        <v>83</v>
      </c>
    </row>
    <row r="2" hidden="1">
      <c r="A2" s="13">
        <v>2196923.0</v>
      </c>
      <c r="B2" s="14">
        <v>46168.72487268518</v>
      </c>
      <c r="C2" s="13" t="s">
        <v>97</v>
      </c>
      <c r="D2" s="13" t="s">
        <v>101</v>
      </c>
      <c r="E2" s="16"/>
      <c r="F2" s="13" t="s">
        <v>109</v>
      </c>
      <c r="G2" s="11">
        <v>16.9</v>
      </c>
      <c r="I2" s="11" t="b">
        <v>0</v>
      </c>
      <c r="J2" s="11" t="s">
        <v>112</v>
      </c>
      <c r="K2" s="11" t="s">
        <v>113</v>
      </c>
      <c r="N2" s="11" t="b">
        <v>1</v>
      </c>
      <c r="O2" s="11" t="s">
        <v>78</v>
      </c>
      <c r="R2" s="11" t="s">
        <v>115</v>
      </c>
    </row>
    <row r="3" hidden="1">
      <c r="A3" s="13">
        <v>2196992.0</v>
      </c>
      <c r="B3" s="14">
        <v>46168.7491087963</v>
      </c>
      <c r="C3" s="13" t="s">
        <v>97</v>
      </c>
      <c r="D3" s="13" t="s">
        <v>123</v>
      </c>
      <c r="E3" s="16"/>
      <c r="F3" s="13" t="s">
        <v>124</v>
      </c>
      <c r="G3" s="11">
        <v>13.58</v>
      </c>
      <c r="I3" s="11" t="b">
        <v>0</v>
      </c>
      <c r="J3" s="11" t="s">
        <v>112</v>
      </c>
      <c r="K3" s="11" t="s">
        <v>126</v>
      </c>
      <c r="N3" s="11" t="b">
        <v>1</v>
      </c>
      <c r="O3" s="11" t="s">
        <v>78</v>
      </c>
      <c r="R3" s="11" t="s">
        <v>129</v>
      </c>
    </row>
    <row r="4" hidden="1">
      <c r="A4" s="13">
        <v>2197058.0</v>
      </c>
      <c r="B4" s="14">
        <v>46168.76887731482</v>
      </c>
      <c r="C4" s="13" t="s">
        <v>97</v>
      </c>
      <c r="D4" s="13" t="s">
        <v>133</v>
      </c>
      <c r="E4" s="16"/>
      <c r="F4" s="13" t="s">
        <v>134</v>
      </c>
      <c r="G4" s="11">
        <v>59.66</v>
      </c>
      <c r="I4" s="11" t="b">
        <v>0</v>
      </c>
      <c r="J4" s="11" t="s">
        <v>136</v>
      </c>
      <c r="M4" s="11" t="s">
        <v>137</v>
      </c>
      <c r="N4" s="11" t="b">
        <v>1</v>
      </c>
      <c r="O4" s="11" t="s">
        <v>78</v>
      </c>
      <c r="R4" s="11" t="s">
        <v>138</v>
      </c>
    </row>
    <row r="5" hidden="1">
      <c r="A5" s="13">
        <v>2197066.0</v>
      </c>
      <c r="B5" s="14">
        <v>46168.7719212963</v>
      </c>
      <c r="C5" s="13" t="s">
        <v>97</v>
      </c>
      <c r="D5" s="13" t="s">
        <v>141</v>
      </c>
      <c r="E5" s="16"/>
      <c r="F5" s="13" t="s">
        <v>143</v>
      </c>
      <c r="G5" s="11">
        <v>12.78</v>
      </c>
      <c r="I5" s="11" t="b">
        <v>0</v>
      </c>
      <c r="J5" s="11" t="s">
        <v>112</v>
      </c>
      <c r="K5" s="11" t="s">
        <v>145</v>
      </c>
      <c r="N5" s="11" t="b">
        <v>1</v>
      </c>
      <c r="O5" s="11" t="s">
        <v>78</v>
      </c>
      <c r="R5" s="11" t="s">
        <v>146</v>
      </c>
    </row>
    <row r="6" hidden="1">
      <c r="A6" s="13">
        <v>2197258.0</v>
      </c>
      <c r="B6" s="14">
        <v>46168.86792824074</v>
      </c>
      <c r="C6" s="13" t="s">
        <v>97</v>
      </c>
      <c r="D6" s="13" t="s">
        <v>150</v>
      </c>
      <c r="E6" s="16"/>
      <c r="F6" s="13" t="s">
        <v>151</v>
      </c>
      <c r="G6" s="11">
        <v>72.82</v>
      </c>
      <c r="I6" s="11" t="b">
        <v>0</v>
      </c>
      <c r="J6" s="11" t="s">
        <v>112</v>
      </c>
      <c r="K6" s="11" t="s">
        <v>126</v>
      </c>
      <c r="N6" s="11" t="b">
        <v>1</v>
      </c>
      <c r="O6" s="11" t="s">
        <v>78</v>
      </c>
      <c r="R6" s="11" t="s">
        <v>153</v>
      </c>
    </row>
    <row r="7" hidden="1">
      <c r="A7" s="13">
        <v>2198152.0</v>
      </c>
      <c r="B7" s="14">
        <v>46169.67042824074</v>
      </c>
      <c r="C7" s="13" t="s">
        <v>97</v>
      </c>
      <c r="D7" s="13" t="s">
        <v>156</v>
      </c>
      <c r="E7" s="16"/>
      <c r="F7" s="13" t="s">
        <v>157</v>
      </c>
      <c r="G7" s="11">
        <v>14.29</v>
      </c>
      <c r="I7" s="11" t="b">
        <v>0</v>
      </c>
      <c r="J7" s="11" t="s">
        <v>112</v>
      </c>
      <c r="K7" s="11" t="s">
        <v>113</v>
      </c>
      <c r="N7" s="11" t="b">
        <v>1</v>
      </c>
      <c r="O7" s="11" t="s">
        <v>78</v>
      </c>
      <c r="R7" s="11" t="s">
        <v>159</v>
      </c>
    </row>
    <row r="8" hidden="1">
      <c r="A8" s="13">
        <v>2198157.0</v>
      </c>
      <c r="B8" s="14">
        <v>46169.67167824074</v>
      </c>
      <c r="C8" s="13" t="s">
        <v>97</v>
      </c>
      <c r="D8" s="13" t="s">
        <v>163</v>
      </c>
      <c r="E8" s="16"/>
      <c r="F8" s="13" t="s">
        <v>165</v>
      </c>
      <c r="G8" s="11">
        <v>0.01</v>
      </c>
      <c r="I8" s="11" t="b">
        <v>0</v>
      </c>
      <c r="J8" s="11" t="s">
        <v>112</v>
      </c>
      <c r="K8" s="11" t="s">
        <v>113</v>
      </c>
      <c r="N8" s="11" t="b">
        <v>1</v>
      </c>
      <c r="O8" s="11" t="s">
        <v>78</v>
      </c>
      <c r="R8" s="11" t="s">
        <v>167</v>
      </c>
    </row>
    <row r="9" hidden="1">
      <c r="A9" s="13">
        <v>2198446.0</v>
      </c>
      <c r="B9" s="14">
        <v>46169.76696759259</v>
      </c>
      <c r="C9" s="13" t="s">
        <v>97</v>
      </c>
      <c r="D9" s="13" t="s">
        <v>170</v>
      </c>
      <c r="E9" s="16"/>
      <c r="F9" s="13" t="s">
        <v>151</v>
      </c>
      <c r="G9" s="11">
        <v>10.17</v>
      </c>
      <c r="I9" s="11" t="b">
        <v>0</v>
      </c>
      <c r="J9" s="11" t="s">
        <v>112</v>
      </c>
      <c r="K9" s="11" t="s">
        <v>126</v>
      </c>
      <c r="N9" s="11" t="b">
        <v>1</v>
      </c>
      <c r="O9" s="11" t="s">
        <v>78</v>
      </c>
      <c r="R9" s="11" t="s">
        <v>173</v>
      </c>
    </row>
    <row r="10" hidden="1">
      <c r="A10" s="13">
        <v>2198643.0</v>
      </c>
      <c r="B10" s="14">
        <v>46169.867372685185</v>
      </c>
      <c r="C10" s="13" t="s">
        <v>97</v>
      </c>
      <c r="D10" s="13" t="s">
        <v>175</v>
      </c>
      <c r="E10" s="16"/>
      <c r="F10" s="13" t="s">
        <v>151</v>
      </c>
      <c r="G10" s="11">
        <v>13.6</v>
      </c>
      <c r="I10" s="11" t="b">
        <v>0</v>
      </c>
      <c r="J10" s="11" t="s">
        <v>112</v>
      </c>
      <c r="K10" s="11" t="s">
        <v>126</v>
      </c>
      <c r="N10" s="11" t="b">
        <v>1</v>
      </c>
      <c r="O10" s="11" t="s">
        <v>78</v>
      </c>
      <c r="R10" s="11" t="s">
        <v>184</v>
      </c>
    </row>
    <row r="11" hidden="1">
      <c r="A11" s="13">
        <v>2198682.0</v>
      </c>
      <c r="B11" s="14">
        <v>46169.88270833333</v>
      </c>
      <c r="C11" s="13" t="s">
        <v>97</v>
      </c>
      <c r="D11" s="13" t="s">
        <v>191</v>
      </c>
      <c r="E11" s="16"/>
      <c r="F11" s="13" t="s">
        <v>193</v>
      </c>
      <c r="G11" s="11">
        <v>43.35</v>
      </c>
      <c r="I11" s="11" t="b">
        <v>0</v>
      </c>
      <c r="J11" s="11" t="s">
        <v>136</v>
      </c>
      <c r="M11" s="11" t="s">
        <v>199</v>
      </c>
      <c r="N11" s="11" t="b">
        <v>1</v>
      </c>
      <c r="O11" s="11" t="s">
        <v>78</v>
      </c>
      <c r="R11" s="11" t="s">
        <v>202</v>
      </c>
    </row>
    <row r="12" hidden="1">
      <c r="A12" s="13">
        <v>2199486.0</v>
      </c>
      <c r="B12" s="14">
        <v>46170.664814814816</v>
      </c>
      <c r="C12" s="13" t="s">
        <v>204</v>
      </c>
      <c r="D12" s="13" t="s">
        <v>206</v>
      </c>
      <c r="E12" s="22"/>
      <c r="F12" s="13" t="s">
        <v>212</v>
      </c>
      <c r="G12" s="11">
        <v>10.57</v>
      </c>
      <c r="I12" s="11" t="b">
        <v>1</v>
      </c>
      <c r="J12" s="11" t="s">
        <v>223</v>
      </c>
      <c r="K12" s="11" t="s">
        <v>225</v>
      </c>
      <c r="N12" s="11" t="b">
        <v>1</v>
      </c>
      <c r="O12" s="11" t="s">
        <v>78</v>
      </c>
      <c r="R12" s="11" t="s">
        <v>227</v>
      </c>
    </row>
    <row r="13" hidden="1">
      <c r="A13" s="13">
        <v>2199583.0</v>
      </c>
      <c r="B13" s="14">
        <v>46170.69662037037</v>
      </c>
      <c r="C13" s="13" t="s">
        <v>97</v>
      </c>
      <c r="D13" s="13" t="s">
        <v>233</v>
      </c>
      <c r="E13" s="16"/>
      <c r="F13" s="13" t="s">
        <v>109</v>
      </c>
      <c r="G13" s="11">
        <v>15.2</v>
      </c>
      <c r="I13" s="11" t="b">
        <v>0</v>
      </c>
      <c r="J13" s="11" t="s">
        <v>112</v>
      </c>
      <c r="K13" s="11" t="s">
        <v>113</v>
      </c>
      <c r="N13" s="11" t="b">
        <v>1</v>
      </c>
      <c r="O13" s="11" t="s">
        <v>78</v>
      </c>
      <c r="R13" s="11" t="s">
        <v>239</v>
      </c>
    </row>
    <row r="14" hidden="1">
      <c r="A14" s="13">
        <v>2199829.0</v>
      </c>
      <c r="B14" s="14">
        <v>46170.788668981484</v>
      </c>
      <c r="C14" s="13" t="s">
        <v>97</v>
      </c>
      <c r="D14" s="13" t="s">
        <v>243</v>
      </c>
      <c r="E14" s="16"/>
      <c r="F14" s="13" t="s">
        <v>151</v>
      </c>
      <c r="G14" s="11">
        <v>8.66</v>
      </c>
      <c r="I14" s="11" t="b">
        <v>0</v>
      </c>
      <c r="J14" s="11" t="s">
        <v>112</v>
      </c>
      <c r="K14" s="11" t="s">
        <v>126</v>
      </c>
      <c r="N14" s="11" t="b">
        <v>1</v>
      </c>
      <c r="O14" s="11" t="s">
        <v>78</v>
      </c>
      <c r="R14" s="11" t="s">
        <v>252</v>
      </c>
    </row>
    <row r="15" hidden="1">
      <c r="A15" s="13">
        <v>2199998.0</v>
      </c>
      <c r="B15" s="14">
        <v>46170.866122685184</v>
      </c>
      <c r="C15" s="13" t="s">
        <v>97</v>
      </c>
      <c r="D15" s="13" t="s">
        <v>262</v>
      </c>
      <c r="E15" s="16"/>
      <c r="F15" s="13" t="s">
        <v>263</v>
      </c>
      <c r="G15" s="11">
        <v>4.0</v>
      </c>
      <c r="I15" s="11" t="b">
        <v>0</v>
      </c>
      <c r="J15" s="11" t="s">
        <v>136</v>
      </c>
      <c r="M15" s="11" t="s">
        <v>266</v>
      </c>
      <c r="N15" s="11" t="b">
        <v>1</v>
      </c>
      <c r="O15" s="11" t="s">
        <v>78</v>
      </c>
      <c r="R15" s="11" t="s">
        <v>269</v>
      </c>
    </row>
    <row r="16" hidden="1">
      <c r="A16" s="13">
        <v>2200042.0</v>
      </c>
      <c r="B16" s="14">
        <v>46170.88107638889</v>
      </c>
      <c r="C16" s="13" t="s">
        <v>97</v>
      </c>
      <c r="D16" s="13" t="s">
        <v>206</v>
      </c>
      <c r="E16" s="16"/>
      <c r="F16" s="13" t="s">
        <v>273</v>
      </c>
      <c r="G16" s="11">
        <v>8.46</v>
      </c>
      <c r="I16" s="11" t="b">
        <v>0</v>
      </c>
      <c r="J16" s="11" t="s">
        <v>112</v>
      </c>
      <c r="K16" s="11" t="s">
        <v>225</v>
      </c>
      <c r="N16" s="11" t="b">
        <v>1</v>
      </c>
      <c r="O16" s="11" t="s">
        <v>78</v>
      </c>
      <c r="R16" s="11" t="s">
        <v>278</v>
      </c>
    </row>
    <row r="17" hidden="1">
      <c r="A17" s="13">
        <v>2200972.0</v>
      </c>
      <c r="B17" s="14">
        <v>46171.68236111111</v>
      </c>
      <c r="C17" s="13" t="s">
        <v>97</v>
      </c>
      <c r="D17" s="13" t="s">
        <v>281</v>
      </c>
      <c r="E17" s="16"/>
      <c r="F17" s="13" t="s">
        <v>282</v>
      </c>
      <c r="G17" s="11">
        <v>15.92</v>
      </c>
      <c r="I17" s="11" t="b">
        <v>0</v>
      </c>
      <c r="J17" s="11" t="s">
        <v>112</v>
      </c>
      <c r="K17" s="11" t="s">
        <v>126</v>
      </c>
      <c r="N17" s="11" t="b">
        <v>1</v>
      </c>
      <c r="O17" s="11" t="s">
        <v>78</v>
      </c>
      <c r="R17" s="11" t="s">
        <v>284</v>
      </c>
    </row>
    <row r="18" hidden="1">
      <c r="A18" s="13">
        <v>2201180.0</v>
      </c>
      <c r="B18" s="14">
        <v>46171.75644675926</v>
      </c>
      <c r="C18" s="13" t="s">
        <v>97</v>
      </c>
      <c r="D18" s="13" t="s">
        <v>290</v>
      </c>
      <c r="E18" s="16"/>
      <c r="F18" s="13" t="s">
        <v>292</v>
      </c>
      <c r="G18" s="11">
        <v>140.0</v>
      </c>
      <c r="I18" s="11" t="b">
        <v>0</v>
      </c>
      <c r="J18" s="11" t="s">
        <v>136</v>
      </c>
      <c r="M18" s="11" t="s">
        <v>293</v>
      </c>
      <c r="N18" s="11" t="b">
        <v>1</v>
      </c>
      <c r="O18" s="11" t="s">
        <v>78</v>
      </c>
      <c r="R18" s="11" t="s">
        <v>295</v>
      </c>
    </row>
    <row r="19" hidden="1">
      <c r="A19" s="13">
        <v>2201194.0</v>
      </c>
      <c r="B19" s="14">
        <v>46171.76315972222</v>
      </c>
      <c r="C19" s="13" t="s">
        <v>97</v>
      </c>
      <c r="D19" s="13" t="s">
        <v>298</v>
      </c>
      <c r="E19" s="16"/>
      <c r="F19" s="13" t="s">
        <v>301</v>
      </c>
      <c r="G19" s="11">
        <v>87.22</v>
      </c>
      <c r="I19" s="11" t="b">
        <v>0</v>
      </c>
      <c r="J19" s="11" t="s">
        <v>136</v>
      </c>
      <c r="M19" s="11" t="s">
        <v>303</v>
      </c>
      <c r="N19" s="11" t="b">
        <v>1</v>
      </c>
      <c r="O19" s="11" t="s">
        <v>78</v>
      </c>
      <c r="R19" s="11" t="s">
        <v>304</v>
      </c>
    </row>
    <row r="20" hidden="1">
      <c r="A20" s="13">
        <v>2201207.0</v>
      </c>
      <c r="B20" s="14">
        <v>46171.76900462963</v>
      </c>
      <c r="C20" s="13" t="s">
        <v>97</v>
      </c>
      <c r="D20" s="13" t="s">
        <v>306</v>
      </c>
      <c r="E20" s="16"/>
      <c r="F20" s="13" t="s">
        <v>308</v>
      </c>
      <c r="G20" s="11">
        <v>56.0</v>
      </c>
      <c r="I20" s="11" t="b">
        <v>0</v>
      </c>
      <c r="J20" s="11" t="s">
        <v>136</v>
      </c>
      <c r="M20" s="11" t="s">
        <v>312</v>
      </c>
      <c r="N20" s="11" t="b">
        <v>1</v>
      </c>
      <c r="O20" s="11" t="s">
        <v>78</v>
      </c>
      <c r="R20" s="11" t="s">
        <v>314</v>
      </c>
    </row>
    <row r="21" hidden="1">
      <c r="A21" s="13">
        <v>2201214.0</v>
      </c>
      <c r="B21" s="14">
        <v>46171.77125</v>
      </c>
      <c r="C21" s="13" t="s">
        <v>97</v>
      </c>
      <c r="D21" s="13" t="s">
        <v>317</v>
      </c>
      <c r="E21" s="16"/>
      <c r="F21" s="13" t="s">
        <v>319</v>
      </c>
      <c r="G21" s="11">
        <v>32.0</v>
      </c>
      <c r="I21" s="11" t="b">
        <v>0</v>
      </c>
      <c r="J21" s="11" t="s">
        <v>136</v>
      </c>
      <c r="M21" s="11" t="s">
        <v>320</v>
      </c>
      <c r="N21" s="11" t="b">
        <v>1</v>
      </c>
      <c r="O21" s="11" t="s">
        <v>78</v>
      </c>
      <c r="R21" s="11" t="s">
        <v>324</v>
      </c>
    </row>
    <row r="22" hidden="1">
      <c r="A22" s="13">
        <v>2201216.0</v>
      </c>
      <c r="B22" s="14">
        <v>46171.77230324074</v>
      </c>
      <c r="C22" s="13" t="s">
        <v>97</v>
      </c>
      <c r="D22" s="13" t="s">
        <v>317</v>
      </c>
      <c r="E22" s="22"/>
      <c r="F22" s="13" t="s">
        <v>328</v>
      </c>
      <c r="G22" s="11">
        <v>32.0</v>
      </c>
      <c r="I22" s="11" t="b">
        <v>0</v>
      </c>
      <c r="J22" s="11" t="s">
        <v>136</v>
      </c>
      <c r="M22" s="11" t="s">
        <v>330</v>
      </c>
      <c r="N22" s="11" t="b">
        <v>1</v>
      </c>
      <c r="O22" s="11" t="s">
        <v>78</v>
      </c>
      <c r="R22" s="11" t="s">
        <v>324</v>
      </c>
    </row>
    <row r="23" hidden="1">
      <c r="A23" s="13">
        <v>2201361.0</v>
      </c>
      <c r="B23" s="14">
        <v>46171.83896990741</v>
      </c>
      <c r="C23" s="13" t="s">
        <v>97</v>
      </c>
      <c r="D23" s="13" t="s">
        <v>333</v>
      </c>
      <c r="E23" s="16"/>
      <c r="F23" s="13" t="s">
        <v>151</v>
      </c>
      <c r="G23" s="11">
        <v>38.22</v>
      </c>
      <c r="I23" s="11" t="b">
        <v>0</v>
      </c>
      <c r="J23" s="11" t="s">
        <v>112</v>
      </c>
      <c r="K23" s="11" t="s">
        <v>126</v>
      </c>
      <c r="N23" s="11" t="b">
        <v>1</v>
      </c>
      <c r="O23" s="11" t="s">
        <v>78</v>
      </c>
      <c r="R23" s="11" t="s">
        <v>338</v>
      </c>
    </row>
    <row r="24" hidden="1">
      <c r="A24" s="13">
        <v>2202153.0</v>
      </c>
      <c r="B24" s="14">
        <v>46172.59386574074</v>
      </c>
      <c r="C24" s="13" t="s">
        <v>97</v>
      </c>
      <c r="D24" s="13" t="s">
        <v>343</v>
      </c>
      <c r="E24" s="16"/>
      <c r="F24" s="13" t="s">
        <v>345</v>
      </c>
      <c r="G24" s="11">
        <v>50.0</v>
      </c>
      <c r="I24" s="11" t="b">
        <v>0</v>
      </c>
      <c r="J24" s="11" t="s">
        <v>136</v>
      </c>
      <c r="M24" s="11" t="s">
        <v>347</v>
      </c>
      <c r="N24" s="11" t="b">
        <v>1</v>
      </c>
      <c r="O24" s="11" t="s">
        <v>78</v>
      </c>
      <c r="R24" s="11" t="s">
        <v>349</v>
      </c>
    </row>
    <row r="25" hidden="1">
      <c r="A25" s="13">
        <v>2202178.0</v>
      </c>
      <c r="B25" s="14">
        <v>46172.602800925924</v>
      </c>
      <c r="C25" s="13" t="s">
        <v>97</v>
      </c>
      <c r="D25" s="13" t="s">
        <v>351</v>
      </c>
      <c r="E25" s="16"/>
      <c r="F25" s="13" t="s">
        <v>353</v>
      </c>
      <c r="G25" s="11">
        <v>15.25</v>
      </c>
      <c r="I25" s="11" t="b">
        <v>0</v>
      </c>
      <c r="J25" s="11" t="s">
        <v>136</v>
      </c>
      <c r="M25" s="11" t="s">
        <v>357</v>
      </c>
      <c r="N25" s="11" t="b">
        <v>1</v>
      </c>
      <c r="O25" s="11" t="s">
        <v>78</v>
      </c>
      <c r="R25" s="11" t="s">
        <v>359</v>
      </c>
    </row>
    <row r="26" hidden="1">
      <c r="A26" s="13">
        <v>2205080.0</v>
      </c>
      <c r="B26" s="14">
        <v>46173.86902777778</v>
      </c>
      <c r="C26" s="13" t="s">
        <v>97</v>
      </c>
      <c r="D26" s="13" t="s">
        <v>362</v>
      </c>
      <c r="E26" s="16"/>
      <c r="F26" s="13" t="s">
        <v>364</v>
      </c>
      <c r="G26" s="11">
        <v>127.5</v>
      </c>
      <c r="I26" s="11" t="b">
        <v>0</v>
      </c>
      <c r="J26" s="11" t="s">
        <v>366</v>
      </c>
      <c r="N26" s="11" t="b">
        <v>1</v>
      </c>
      <c r="O26" s="11" t="s">
        <v>78</v>
      </c>
      <c r="R26" s="11" t="s">
        <v>367</v>
      </c>
    </row>
    <row r="27" hidden="1">
      <c r="A27" s="13">
        <v>2205130.0</v>
      </c>
      <c r="B27" s="14">
        <v>46173.87590277778</v>
      </c>
      <c r="C27" s="13" t="s">
        <v>97</v>
      </c>
      <c r="D27" s="13" t="s">
        <v>370</v>
      </c>
      <c r="E27" s="16"/>
      <c r="F27" s="13" t="s">
        <v>371</v>
      </c>
      <c r="G27" s="11">
        <v>24.0</v>
      </c>
      <c r="I27" s="11" t="b">
        <v>0</v>
      </c>
      <c r="J27" s="11" t="s">
        <v>373</v>
      </c>
      <c r="M27" s="11" t="s">
        <v>375</v>
      </c>
      <c r="N27" s="11" t="b">
        <v>1</v>
      </c>
      <c r="O27" s="11" t="s">
        <v>78</v>
      </c>
      <c r="R27" s="11" t="s">
        <v>378</v>
      </c>
    </row>
    <row r="28" hidden="1">
      <c r="A28" s="13">
        <v>2206743.0</v>
      </c>
      <c r="B28" s="14">
        <v>46174.74456018519</v>
      </c>
      <c r="C28" s="13" t="s">
        <v>97</v>
      </c>
      <c r="D28" s="13" t="s">
        <v>381</v>
      </c>
      <c r="E28" s="16"/>
      <c r="F28" s="13" t="s">
        <v>382</v>
      </c>
      <c r="G28" s="11">
        <v>192.0</v>
      </c>
      <c r="I28" s="11" t="b">
        <v>0</v>
      </c>
      <c r="J28" s="11" t="s">
        <v>373</v>
      </c>
      <c r="M28" s="11" t="s">
        <v>383</v>
      </c>
      <c r="N28" s="11" t="b">
        <v>1</v>
      </c>
      <c r="O28" s="11" t="s">
        <v>78</v>
      </c>
      <c r="R28" s="11" t="s">
        <v>388</v>
      </c>
    </row>
    <row r="29" hidden="1">
      <c r="A29" s="13">
        <v>2206816.0</v>
      </c>
      <c r="B29" s="14">
        <v>46174.76375</v>
      </c>
      <c r="C29" s="13" t="s">
        <v>97</v>
      </c>
      <c r="D29" s="13" t="s">
        <v>390</v>
      </c>
      <c r="E29" s="16"/>
      <c r="F29" s="13" t="s">
        <v>394</v>
      </c>
      <c r="G29" s="11">
        <v>1300.0</v>
      </c>
      <c r="I29" s="11" t="b">
        <v>0</v>
      </c>
      <c r="J29" s="11" t="s">
        <v>396</v>
      </c>
      <c r="K29" s="11" t="s">
        <v>113</v>
      </c>
      <c r="N29" s="11" t="b">
        <v>1</v>
      </c>
      <c r="O29" s="11" t="s">
        <v>78</v>
      </c>
      <c r="R29" s="11" t="s">
        <v>398</v>
      </c>
    </row>
    <row r="30" hidden="1">
      <c r="A30" s="13">
        <v>2206966.0</v>
      </c>
      <c r="B30" s="14">
        <v>46174.83568287037</v>
      </c>
      <c r="C30" s="13" t="s">
        <v>97</v>
      </c>
      <c r="D30" s="13" t="s">
        <v>402</v>
      </c>
      <c r="E30" s="16"/>
      <c r="F30" s="13" t="s">
        <v>403</v>
      </c>
      <c r="G30" s="11">
        <v>39.0</v>
      </c>
      <c r="I30" s="11" t="b">
        <v>0</v>
      </c>
      <c r="J30" s="11" t="s">
        <v>366</v>
      </c>
      <c r="N30" s="11" t="b">
        <v>1</v>
      </c>
      <c r="O30" s="11" t="s">
        <v>78</v>
      </c>
      <c r="R30" s="11" t="s">
        <v>408</v>
      </c>
    </row>
    <row r="31" hidden="1">
      <c r="A31" s="13">
        <v>2207699.0</v>
      </c>
      <c r="B31" s="14">
        <v>46175.55295138889</v>
      </c>
      <c r="C31" s="13" t="s">
        <v>97</v>
      </c>
      <c r="D31" s="13" t="s">
        <v>414</v>
      </c>
      <c r="E31" s="16"/>
      <c r="F31" s="13" t="s">
        <v>416</v>
      </c>
      <c r="G31" s="11">
        <v>58.65</v>
      </c>
      <c r="I31" s="11" t="b">
        <v>0</v>
      </c>
      <c r="J31" s="11" t="s">
        <v>136</v>
      </c>
      <c r="N31" s="11" t="b">
        <v>1</v>
      </c>
      <c r="O31" s="11" t="s">
        <v>78</v>
      </c>
      <c r="R31" s="11" t="s">
        <v>420</v>
      </c>
    </row>
    <row r="32" hidden="1">
      <c r="A32" s="13">
        <v>2208226.0</v>
      </c>
      <c r="B32" s="14">
        <v>46175.77363425926</v>
      </c>
      <c r="C32" s="13" t="s">
        <v>97</v>
      </c>
      <c r="D32" s="13" t="s">
        <v>422</v>
      </c>
      <c r="E32" s="16"/>
      <c r="F32" s="13" t="s">
        <v>424</v>
      </c>
      <c r="G32" s="11">
        <v>9.96</v>
      </c>
      <c r="I32" s="11" t="b">
        <v>0</v>
      </c>
      <c r="J32" s="11" t="s">
        <v>112</v>
      </c>
      <c r="K32" s="11" t="s">
        <v>145</v>
      </c>
      <c r="N32" s="11" t="b">
        <v>1</v>
      </c>
      <c r="O32" s="11" t="s">
        <v>78</v>
      </c>
      <c r="R32" s="11" t="s">
        <v>431</v>
      </c>
    </row>
    <row r="33" hidden="1">
      <c r="A33" s="13">
        <v>2208376.0</v>
      </c>
      <c r="B33" s="14">
        <v>46175.84600694444</v>
      </c>
      <c r="C33" s="13" t="s">
        <v>97</v>
      </c>
      <c r="D33" s="13" t="s">
        <v>402</v>
      </c>
      <c r="E33" s="22"/>
      <c r="F33" s="13" t="s">
        <v>436</v>
      </c>
      <c r="G33" s="11">
        <v>39.0</v>
      </c>
      <c r="I33" s="11" t="b">
        <v>0</v>
      </c>
      <c r="J33" s="11" t="s">
        <v>366</v>
      </c>
      <c r="N33" s="11" t="b">
        <v>1</v>
      </c>
      <c r="O33" s="11" t="s">
        <v>78</v>
      </c>
      <c r="R33" s="11" t="s">
        <v>440</v>
      </c>
    </row>
    <row r="34" hidden="1">
      <c r="A34" s="13">
        <v>2209246.0</v>
      </c>
      <c r="B34" s="14">
        <v>46176.644849537035</v>
      </c>
      <c r="C34" s="13" t="s">
        <v>97</v>
      </c>
      <c r="D34" s="13" t="s">
        <v>290</v>
      </c>
      <c r="E34" s="22"/>
      <c r="F34" s="13" t="s">
        <v>444</v>
      </c>
      <c r="G34" s="11">
        <v>140.0</v>
      </c>
      <c r="I34" s="11" t="b">
        <v>0</v>
      </c>
      <c r="J34" s="11" t="s">
        <v>136</v>
      </c>
      <c r="M34" s="11" t="s">
        <v>448</v>
      </c>
      <c r="N34" s="11" t="b">
        <v>1</v>
      </c>
      <c r="O34" s="11" t="s">
        <v>78</v>
      </c>
      <c r="R34" s="11" t="s">
        <v>452</v>
      </c>
    </row>
    <row r="35" hidden="1">
      <c r="A35" s="13">
        <v>2209821.0</v>
      </c>
      <c r="B35" s="14">
        <v>46176.85346064815</v>
      </c>
      <c r="C35" s="13" t="s">
        <v>97</v>
      </c>
      <c r="D35" s="13" t="s">
        <v>402</v>
      </c>
      <c r="E35" s="16"/>
      <c r="F35" s="13" t="s">
        <v>436</v>
      </c>
      <c r="G35" s="11">
        <v>39.0</v>
      </c>
      <c r="I35" s="11" t="b">
        <v>0</v>
      </c>
      <c r="J35" s="11" t="s">
        <v>366</v>
      </c>
      <c r="N35" s="11" t="b">
        <v>1</v>
      </c>
      <c r="O35" s="11" t="s">
        <v>78</v>
      </c>
      <c r="R35" s="11" t="s">
        <v>458</v>
      </c>
    </row>
    <row r="36" hidden="1">
      <c r="A36" s="13">
        <v>2212662.0</v>
      </c>
      <c r="B36" s="14">
        <v>46178.64753472222</v>
      </c>
      <c r="C36" s="13" t="s">
        <v>97</v>
      </c>
      <c r="D36" s="13" t="s">
        <v>462</v>
      </c>
      <c r="E36" s="16"/>
      <c r="F36" s="13" t="s">
        <v>464</v>
      </c>
      <c r="G36" s="11">
        <v>0.0</v>
      </c>
      <c r="I36" s="11" t="b">
        <v>0</v>
      </c>
      <c r="J36" s="11" t="s">
        <v>223</v>
      </c>
      <c r="N36" s="11" t="b">
        <v>1</v>
      </c>
      <c r="O36" s="11" t="s">
        <v>78</v>
      </c>
      <c r="R36" s="11" t="s">
        <v>468</v>
      </c>
    </row>
    <row r="37" hidden="1">
      <c r="A37" s="13">
        <v>2212765.0</v>
      </c>
      <c r="B37" s="14">
        <v>46178.67283564815</v>
      </c>
      <c r="C37" s="13" t="s">
        <v>97</v>
      </c>
      <c r="D37" s="13" t="s">
        <v>473</v>
      </c>
      <c r="E37" s="16"/>
      <c r="F37" s="13" t="s">
        <v>475</v>
      </c>
      <c r="G37" s="11">
        <v>84.0</v>
      </c>
      <c r="I37" s="11" t="b">
        <v>0</v>
      </c>
      <c r="J37" s="11" t="s">
        <v>136</v>
      </c>
      <c r="M37" s="11" t="s">
        <v>478</v>
      </c>
      <c r="N37" s="11" t="b">
        <v>1</v>
      </c>
      <c r="O37" s="11" t="s">
        <v>78</v>
      </c>
      <c r="R37" s="11" t="s">
        <v>482</v>
      </c>
    </row>
    <row r="38" hidden="1">
      <c r="A38" s="13">
        <v>2212866.0</v>
      </c>
      <c r="B38" s="14">
        <v>46178.69497685185</v>
      </c>
      <c r="C38" s="13" t="s">
        <v>97</v>
      </c>
      <c r="D38" s="13" t="s">
        <v>485</v>
      </c>
      <c r="E38" s="16"/>
      <c r="F38" s="13" t="s">
        <v>489</v>
      </c>
      <c r="G38" s="11">
        <v>70.6</v>
      </c>
      <c r="I38" s="11" t="b">
        <v>0</v>
      </c>
      <c r="J38" s="11" t="s">
        <v>136</v>
      </c>
      <c r="M38" s="11" t="s">
        <v>492</v>
      </c>
      <c r="N38" s="11" t="b">
        <v>1</v>
      </c>
      <c r="O38" s="11" t="s">
        <v>78</v>
      </c>
      <c r="R38" s="11" t="s">
        <v>495</v>
      </c>
    </row>
    <row r="39" hidden="1">
      <c r="A39" s="13">
        <v>2213150.0</v>
      </c>
      <c r="B39" s="14">
        <v>46178.76006944444</v>
      </c>
      <c r="C39" s="13" t="s">
        <v>97</v>
      </c>
      <c r="D39" s="13" t="s">
        <v>496</v>
      </c>
      <c r="E39" s="16"/>
      <c r="F39" s="13" t="s">
        <v>109</v>
      </c>
      <c r="G39" s="11">
        <v>32.7</v>
      </c>
      <c r="I39" s="11" t="b">
        <v>0</v>
      </c>
      <c r="J39" s="11" t="s">
        <v>112</v>
      </c>
      <c r="K39" s="11" t="s">
        <v>113</v>
      </c>
      <c r="N39" s="11" t="b">
        <v>1</v>
      </c>
      <c r="O39" s="11" t="s">
        <v>78</v>
      </c>
      <c r="R39" s="11" t="s">
        <v>503</v>
      </c>
    </row>
    <row r="40" hidden="1">
      <c r="A40" s="13">
        <v>2213415.0</v>
      </c>
      <c r="B40" s="14">
        <v>46178.84511574074</v>
      </c>
      <c r="C40" s="13" t="s">
        <v>97</v>
      </c>
      <c r="D40" s="13" t="s">
        <v>509</v>
      </c>
      <c r="E40" s="16"/>
      <c r="F40" s="13" t="s">
        <v>510</v>
      </c>
      <c r="G40" s="11">
        <v>32.5</v>
      </c>
      <c r="I40" s="11" t="b">
        <v>0</v>
      </c>
      <c r="J40" s="11" t="s">
        <v>366</v>
      </c>
      <c r="N40" s="11" t="b">
        <v>1</v>
      </c>
      <c r="O40" s="11" t="s">
        <v>78</v>
      </c>
      <c r="R40" s="11" t="s">
        <v>515</v>
      </c>
    </row>
    <row r="41" hidden="1">
      <c r="A41" s="13">
        <v>2214680.0</v>
      </c>
      <c r="B41" s="14">
        <v>46179.68369212963</v>
      </c>
      <c r="C41" s="13" t="s">
        <v>97</v>
      </c>
      <c r="D41" s="13" t="s">
        <v>520</v>
      </c>
      <c r="E41" s="16"/>
      <c r="F41" s="13" t="s">
        <v>521</v>
      </c>
      <c r="G41" s="11">
        <v>57.13</v>
      </c>
      <c r="I41" s="11" t="b">
        <v>0</v>
      </c>
      <c r="J41" s="11" t="s">
        <v>136</v>
      </c>
      <c r="M41" s="11" t="s">
        <v>523</v>
      </c>
      <c r="N41" s="11" t="b">
        <v>1</v>
      </c>
      <c r="O41" s="11" t="s">
        <v>78</v>
      </c>
      <c r="R41" s="11" t="s">
        <v>529</v>
      </c>
    </row>
    <row r="42" hidden="1">
      <c r="A42" s="13">
        <v>2215214.0</v>
      </c>
      <c r="B42" s="14">
        <v>46179.826261574075</v>
      </c>
      <c r="C42" s="13" t="s">
        <v>97</v>
      </c>
      <c r="D42" s="13" t="s">
        <v>532</v>
      </c>
      <c r="E42" s="16"/>
      <c r="F42" s="13" t="s">
        <v>533</v>
      </c>
      <c r="G42" s="11">
        <v>65.0</v>
      </c>
      <c r="I42" s="11" t="b">
        <v>0</v>
      </c>
      <c r="J42" s="11" t="s">
        <v>366</v>
      </c>
      <c r="N42" s="11" t="b">
        <v>1</v>
      </c>
      <c r="O42" s="11" t="s">
        <v>78</v>
      </c>
      <c r="R42" s="11" t="s">
        <v>539</v>
      </c>
    </row>
    <row r="43" hidden="1">
      <c r="A43" s="13">
        <v>2217249.0</v>
      </c>
      <c r="B43" s="14">
        <v>46180.84065972222</v>
      </c>
      <c r="C43" s="13" t="s">
        <v>97</v>
      </c>
      <c r="D43" s="13" t="s">
        <v>543</v>
      </c>
      <c r="E43" s="16"/>
      <c r="F43" s="13" t="s">
        <v>545</v>
      </c>
      <c r="G43" s="11">
        <v>95.0</v>
      </c>
      <c r="I43" s="11" t="b">
        <v>0</v>
      </c>
      <c r="J43" s="11" t="s">
        <v>366</v>
      </c>
      <c r="N43" s="11" t="b">
        <v>1</v>
      </c>
      <c r="O43" s="11" t="s">
        <v>78</v>
      </c>
      <c r="R43" s="11" t="s">
        <v>552</v>
      </c>
    </row>
    <row r="44" hidden="1">
      <c r="A44" s="13">
        <v>2217250.0</v>
      </c>
      <c r="B44" s="14">
        <v>46180.84103009259</v>
      </c>
      <c r="C44" s="13" t="s">
        <v>97</v>
      </c>
      <c r="D44" s="13" t="s">
        <v>556</v>
      </c>
      <c r="E44" s="22"/>
      <c r="F44" s="13" t="s">
        <v>558</v>
      </c>
      <c r="G44" s="11">
        <v>104.0</v>
      </c>
      <c r="I44" s="11" t="b">
        <v>0</v>
      </c>
      <c r="J44" s="11" t="s">
        <v>366</v>
      </c>
      <c r="N44" s="11" t="b">
        <v>1</v>
      </c>
      <c r="O44" s="11" t="s">
        <v>78</v>
      </c>
      <c r="R44" s="11" t="s">
        <v>563</v>
      </c>
    </row>
    <row r="45" hidden="1">
      <c r="A45" s="13">
        <v>2217317.0</v>
      </c>
      <c r="B45" s="14">
        <v>46180.85461805556</v>
      </c>
      <c r="C45" s="13" t="s">
        <v>97</v>
      </c>
      <c r="D45" s="13" t="s">
        <v>567</v>
      </c>
      <c r="E45" s="16"/>
      <c r="F45" s="13" t="s">
        <v>568</v>
      </c>
      <c r="G45" s="11">
        <v>516.0</v>
      </c>
      <c r="I45" s="11" t="b">
        <v>0</v>
      </c>
      <c r="J45" s="11" t="s">
        <v>373</v>
      </c>
      <c r="N45" s="11" t="b">
        <v>1</v>
      </c>
      <c r="O45" s="11" t="s">
        <v>78</v>
      </c>
      <c r="R45" s="11" t="s">
        <v>574</v>
      </c>
    </row>
    <row r="46" hidden="1">
      <c r="A46" s="13">
        <v>2218713.0</v>
      </c>
      <c r="B46" s="14">
        <v>46181.64728009259</v>
      </c>
      <c r="C46" s="13" t="s">
        <v>97</v>
      </c>
      <c r="D46" s="13" t="s">
        <v>576</v>
      </c>
      <c r="E46" s="16"/>
      <c r="F46" s="13" t="s">
        <v>579</v>
      </c>
      <c r="G46" s="11">
        <v>224.0</v>
      </c>
      <c r="I46" s="11" t="b">
        <v>0</v>
      </c>
      <c r="J46" s="11" t="s">
        <v>136</v>
      </c>
      <c r="N46" s="11" t="b">
        <v>1</v>
      </c>
      <c r="O46" s="11" t="s">
        <v>78</v>
      </c>
      <c r="R46" s="11" t="s">
        <v>583</v>
      </c>
    </row>
    <row r="47" hidden="1">
      <c r="A47" s="13">
        <v>2218717.0</v>
      </c>
      <c r="B47" s="14">
        <v>46181.64787037037</v>
      </c>
      <c r="C47" s="13" t="s">
        <v>97</v>
      </c>
      <c r="D47" s="13" t="s">
        <v>588</v>
      </c>
      <c r="E47" s="16"/>
      <c r="F47" s="13" t="s">
        <v>416</v>
      </c>
      <c r="G47" s="11">
        <v>75.57</v>
      </c>
      <c r="I47" s="11" t="b">
        <v>0</v>
      </c>
      <c r="J47" s="11" t="s">
        <v>136</v>
      </c>
      <c r="M47" s="11" t="s">
        <v>591</v>
      </c>
      <c r="N47" s="11" t="b">
        <v>1</v>
      </c>
      <c r="O47" s="11" t="s">
        <v>78</v>
      </c>
      <c r="R47" s="11" t="s">
        <v>608</v>
      </c>
    </row>
    <row r="48" hidden="1">
      <c r="A48" s="13">
        <v>2218831.0</v>
      </c>
      <c r="B48" s="14">
        <v>46181.68387731481</v>
      </c>
      <c r="C48" s="13" t="s">
        <v>97</v>
      </c>
      <c r="D48" s="13" t="s">
        <v>623</v>
      </c>
      <c r="E48" s="16"/>
      <c r="F48" s="13" t="s">
        <v>625</v>
      </c>
      <c r="G48" s="11">
        <v>900.0</v>
      </c>
      <c r="I48" s="11" t="b">
        <v>0</v>
      </c>
      <c r="J48" s="11" t="s">
        <v>396</v>
      </c>
      <c r="K48" s="11" t="s">
        <v>113</v>
      </c>
      <c r="N48" s="11" t="b">
        <v>1</v>
      </c>
      <c r="O48" s="11" t="s">
        <v>78</v>
      </c>
      <c r="R48" s="11" t="s">
        <v>634</v>
      </c>
    </row>
    <row r="49" hidden="1">
      <c r="A49" s="13">
        <v>2218873.0</v>
      </c>
      <c r="B49" s="14">
        <v>46181.695289351854</v>
      </c>
      <c r="C49" s="13" t="s">
        <v>97</v>
      </c>
      <c r="D49" s="13" t="s">
        <v>639</v>
      </c>
      <c r="E49" s="16"/>
      <c r="F49" s="13" t="s">
        <v>109</v>
      </c>
      <c r="G49" s="11">
        <v>14.39</v>
      </c>
      <c r="I49" s="11" t="b">
        <v>0</v>
      </c>
      <c r="J49" s="11" t="s">
        <v>112</v>
      </c>
      <c r="K49" s="11" t="s">
        <v>113</v>
      </c>
      <c r="N49" s="11" t="b">
        <v>1</v>
      </c>
      <c r="O49" s="11" t="s">
        <v>78</v>
      </c>
      <c r="R49" s="11" t="s">
        <v>645</v>
      </c>
    </row>
    <row r="50" hidden="1">
      <c r="A50" s="13">
        <v>2219137.0</v>
      </c>
      <c r="B50" s="14">
        <v>46181.78564814815</v>
      </c>
      <c r="C50" s="13" t="s">
        <v>97</v>
      </c>
      <c r="D50" s="13" t="s">
        <v>650</v>
      </c>
      <c r="E50" s="16"/>
      <c r="F50" s="13" t="s">
        <v>653</v>
      </c>
      <c r="G50" s="11">
        <v>78.0</v>
      </c>
      <c r="I50" s="11" t="b">
        <v>0</v>
      </c>
      <c r="J50" s="11" t="s">
        <v>366</v>
      </c>
      <c r="N50" s="11" t="b">
        <v>1</v>
      </c>
      <c r="O50" s="11" t="s">
        <v>78</v>
      </c>
      <c r="R50" s="11" t="s">
        <v>656</v>
      </c>
    </row>
    <row r="51" hidden="1">
      <c r="A51" s="13">
        <v>2220252.0</v>
      </c>
      <c r="B51" s="14">
        <v>46182.677569444444</v>
      </c>
      <c r="C51" s="13" t="s">
        <v>97</v>
      </c>
      <c r="D51" s="13" t="s">
        <v>156</v>
      </c>
      <c r="E51" s="16"/>
      <c r="F51" s="13" t="s">
        <v>109</v>
      </c>
      <c r="G51" s="11">
        <v>14.29</v>
      </c>
      <c r="I51" s="11" t="b">
        <v>0</v>
      </c>
      <c r="J51" s="11" t="s">
        <v>112</v>
      </c>
      <c r="K51" s="11" t="s">
        <v>113</v>
      </c>
      <c r="N51" s="11" t="b">
        <v>1</v>
      </c>
      <c r="O51" s="11" t="s">
        <v>78</v>
      </c>
      <c r="R51" s="11" t="s">
        <v>664</v>
      </c>
    </row>
    <row r="52" hidden="1">
      <c r="A52" s="13">
        <v>2220634.0</v>
      </c>
      <c r="B52" s="14">
        <v>46182.84737268519</v>
      </c>
      <c r="C52" s="13" t="s">
        <v>97</v>
      </c>
      <c r="D52" s="13" t="s">
        <v>666</v>
      </c>
      <c r="E52" s="16"/>
      <c r="F52" s="13" t="s">
        <v>668</v>
      </c>
      <c r="G52" s="11">
        <v>90.0</v>
      </c>
      <c r="I52" s="11" t="b">
        <v>0</v>
      </c>
      <c r="J52" s="11" t="s">
        <v>366</v>
      </c>
      <c r="N52" s="11" t="b">
        <v>1</v>
      </c>
      <c r="O52" s="11" t="s">
        <v>78</v>
      </c>
      <c r="R52" s="11" t="s">
        <v>674</v>
      </c>
    </row>
    <row r="53" hidden="1">
      <c r="A53" s="13">
        <v>2221890.0</v>
      </c>
      <c r="B53" s="14">
        <v>46183.81151620371</v>
      </c>
      <c r="C53" s="13" t="s">
        <v>97</v>
      </c>
      <c r="D53" s="13" t="s">
        <v>666</v>
      </c>
      <c r="E53" s="16"/>
      <c r="F53" s="13" t="s">
        <v>678</v>
      </c>
      <c r="G53" s="11">
        <v>90.0</v>
      </c>
      <c r="I53" s="11" t="b">
        <v>0</v>
      </c>
      <c r="J53" s="11" t="s">
        <v>366</v>
      </c>
      <c r="N53" s="11" t="b">
        <v>1</v>
      </c>
      <c r="O53" s="11" t="s">
        <v>78</v>
      </c>
      <c r="R53" s="11" t="s">
        <v>683</v>
      </c>
    </row>
    <row r="54" hidden="1">
      <c r="A54" s="13">
        <v>2223124.0</v>
      </c>
      <c r="B54" s="14">
        <v>46184.85371527778</v>
      </c>
      <c r="C54" s="13" t="s">
        <v>97</v>
      </c>
      <c r="D54" s="13" t="s">
        <v>666</v>
      </c>
      <c r="E54" s="16"/>
      <c r="F54" s="13" t="s">
        <v>678</v>
      </c>
      <c r="G54" s="11">
        <v>90.0</v>
      </c>
      <c r="I54" s="11" t="b">
        <v>0</v>
      </c>
      <c r="J54" s="11" t="s">
        <v>366</v>
      </c>
      <c r="N54" s="11" t="b">
        <v>1</v>
      </c>
      <c r="O54" s="11" t="s">
        <v>78</v>
      </c>
      <c r="R54" s="11" t="s">
        <v>688</v>
      </c>
    </row>
    <row r="55" hidden="1">
      <c r="A55" s="13">
        <v>2224067.0</v>
      </c>
      <c r="B55" s="14">
        <v>46185.69121527778</v>
      </c>
      <c r="C55" s="13" t="s">
        <v>97</v>
      </c>
      <c r="D55" s="13" t="s">
        <v>690</v>
      </c>
      <c r="E55" s="16"/>
      <c r="F55" s="13" t="s">
        <v>691</v>
      </c>
      <c r="G55" s="11">
        <v>149.5</v>
      </c>
      <c r="I55" s="11" t="b">
        <v>0</v>
      </c>
      <c r="J55" s="11" t="s">
        <v>136</v>
      </c>
      <c r="M55" s="11" t="s">
        <v>695</v>
      </c>
      <c r="N55" s="11" t="b">
        <v>1</v>
      </c>
      <c r="O55" s="11" t="s">
        <v>78</v>
      </c>
      <c r="R55" s="11" t="s">
        <v>696</v>
      </c>
    </row>
    <row r="56" hidden="1">
      <c r="A56" s="13">
        <v>2224070.0</v>
      </c>
      <c r="B56" s="14">
        <v>46185.6928587963</v>
      </c>
      <c r="C56" s="13" t="s">
        <v>97</v>
      </c>
      <c r="D56" s="13" t="s">
        <v>698</v>
      </c>
      <c r="E56" s="16"/>
      <c r="F56" s="13" t="s">
        <v>699</v>
      </c>
      <c r="G56" s="11">
        <v>252.0</v>
      </c>
      <c r="I56" s="11" t="b">
        <v>0</v>
      </c>
      <c r="J56" s="11" t="s">
        <v>136</v>
      </c>
      <c r="M56" s="11" t="s">
        <v>703</v>
      </c>
      <c r="N56" s="11" t="b">
        <v>1</v>
      </c>
      <c r="O56" s="11" t="s">
        <v>78</v>
      </c>
      <c r="R56" s="11" t="s">
        <v>706</v>
      </c>
    </row>
    <row r="57" hidden="1">
      <c r="A57" s="13">
        <v>2224428.0</v>
      </c>
      <c r="B57" s="14">
        <v>46185.825636574074</v>
      </c>
      <c r="C57" s="13" t="s">
        <v>97</v>
      </c>
      <c r="D57" s="13" t="s">
        <v>666</v>
      </c>
      <c r="E57" s="16"/>
      <c r="F57" s="13" t="s">
        <v>653</v>
      </c>
      <c r="G57" s="11">
        <v>90.0</v>
      </c>
      <c r="I57" s="11" t="b">
        <v>0</v>
      </c>
      <c r="J57" s="11" t="s">
        <v>366</v>
      </c>
      <c r="N57" s="11" t="b">
        <v>1</v>
      </c>
      <c r="O57" s="11" t="s">
        <v>78</v>
      </c>
      <c r="R57" s="11" t="s">
        <v>714</v>
      </c>
    </row>
    <row r="58" hidden="1">
      <c r="A58" s="13">
        <v>2225491.0</v>
      </c>
      <c r="B58" s="14">
        <v>46186.680752314816</v>
      </c>
      <c r="C58" s="13" t="s">
        <v>97</v>
      </c>
      <c r="D58" s="13" t="s">
        <v>715</v>
      </c>
      <c r="E58" s="16"/>
      <c r="F58" s="13" t="s">
        <v>717</v>
      </c>
      <c r="G58" s="11">
        <v>11.0</v>
      </c>
      <c r="I58" s="11" t="b">
        <v>0</v>
      </c>
      <c r="J58" s="11" t="s">
        <v>136</v>
      </c>
      <c r="M58" s="11" t="s">
        <v>719</v>
      </c>
      <c r="N58" s="11" t="b">
        <v>1</v>
      </c>
      <c r="O58" s="11" t="s">
        <v>78</v>
      </c>
      <c r="R58" s="11" t="s">
        <v>720</v>
      </c>
    </row>
    <row r="59" hidden="1">
      <c r="A59" s="13">
        <v>2225701.0</v>
      </c>
      <c r="B59" s="14">
        <v>46186.74180555555</v>
      </c>
      <c r="C59" s="13" t="s">
        <v>97</v>
      </c>
      <c r="D59" s="13" t="s">
        <v>721</v>
      </c>
      <c r="E59" s="16"/>
      <c r="F59" s="13" t="s">
        <v>722</v>
      </c>
      <c r="G59" s="11">
        <v>75.0</v>
      </c>
      <c r="I59" s="11" t="b">
        <v>0</v>
      </c>
      <c r="J59" s="11" t="s">
        <v>366</v>
      </c>
      <c r="N59" s="11" t="b">
        <v>1</v>
      </c>
      <c r="O59" s="11" t="s">
        <v>78</v>
      </c>
      <c r="R59" s="11" t="s">
        <v>724</v>
      </c>
    </row>
    <row r="60" hidden="1">
      <c r="A60" s="13">
        <v>2225702.0</v>
      </c>
      <c r="B60" s="14">
        <v>46186.7421875</v>
      </c>
      <c r="C60" s="13" t="s">
        <v>97</v>
      </c>
      <c r="D60" s="13" t="s">
        <v>727</v>
      </c>
      <c r="E60" s="16"/>
      <c r="F60" s="13" t="s">
        <v>728</v>
      </c>
      <c r="G60" s="11">
        <v>120.0</v>
      </c>
      <c r="I60" s="11" t="b">
        <v>0</v>
      </c>
      <c r="J60" s="11" t="s">
        <v>366</v>
      </c>
      <c r="N60" s="11" t="b">
        <v>1</v>
      </c>
      <c r="O60" s="11" t="s">
        <v>78</v>
      </c>
      <c r="R60" s="11" t="s">
        <v>731</v>
      </c>
    </row>
    <row r="61" hidden="1">
      <c r="A61" s="13">
        <v>2225906.0</v>
      </c>
      <c r="B61" s="14">
        <v>46186.81900462963</v>
      </c>
      <c r="C61" s="13" t="s">
        <v>97</v>
      </c>
      <c r="D61" s="13" t="s">
        <v>733</v>
      </c>
      <c r="E61" s="16"/>
      <c r="F61" s="13" t="s">
        <v>424</v>
      </c>
      <c r="G61" s="11">
        <v>23.95</v>
      </c>
      <c r="I61" s="11" t="b">
        <v>0</v>
      </c>
      <c r="J61" s="11" t="s">
        <v>112</v>
      </c>
      <c r="K61" s="11" t="s">
        <v>145</v>
      </c>
      <c r="N61" s="11" t="b">
        <v>1</v>
      </c>
      <c r="O61" s="11" t="s">
        <v>78</v>
      </c>
      <c r="R61" s="11" t="s">
        <v>737</v>
      </c>
    </row>
    <row r="62" hidden="1">
      <c r="A62" s="13">
        <v>2227005.0</v>
      </c>
      <c r="B62" s="14">
        <v>46187.71298611111</v>
      </c>
      <c r="C62" s="13" t="s">
        <v>97</v>
      </c>
      <c r="D62" s="13" t="s">
        <v>741</v>
      </c>
      <c r="E62" s="16"/>
      <c r="F62" s="13" t="s">
        <v>212</v>
      </c>
      <c r="G62" s="11">
        <v>11.07</v>
      </c>
      <c r="I62" s="11" t="b">
        <v>0</v>
      </c>
      <c r="J62" s="11" t="s">
        <v>112</v>
      </c>
      <c r="K62" s="11" t="s">
        <v>225</v>
      </c>
      <c r="N62" s="11" t="b">
        <v>1</v>
      </c>
      <c r="O62" s="11" t="s">
        <v>78</v>
      </c>
      <c r="R62" s="11" t="s">
        <v>745</v>
      </c>
    </row>
    <row r="63" hidden="1">
      <c r="A63" s="13">
        <v>2227012.0</v>
      </c>
      <c r="B63" s="14">
        <v>46187.71608796297</v>
      </c>
      <c r="C63" s="13" t="s">
        <v>97</v>
      </c>
      <c r="D63" s="13" t="s">
        <v>747</v>
      </c>
      <c r="E63" s="16"/>
      <c r="F63" s="13" t="s">
        <v>212</v>
      </c>
      <c r="G63" s="11">
        <v>4.02</v>
      </c>
      <c r="I63" s="11" t="b">
        <v>0</v>
      </c>
      <c r="J63" s="11" t="s">
        <v>112</v>
      </c>
      <c r="K63" s="11" t="s">
        <v>225</v>
      </c>
      <c r="N63" s="11" t="b">
        <v>1</v>
      </c>
      <c r="O63" s="11" t="s">
        <v>78</v>
      </c>
      <c r="R63" s="11" t="s">
        <v>752</v>
      </c>
    </row>
    <row r="64" hidden="1">
      <c r="A64" s="13">
        <v>2227461.0</v>
      </c>
      <c r="B64" s="14">
        <v>46187.83957175926</v>
      </c>
      <c r="C64" s="13" t="s">
        <v>97</v>
      </c>
      <c r="D64" s="13" t="s">
        <v>755</v>
      </c>
      <c r="E64" s="16"/>
      <c r="F64" s="13" t="s">
        <v>756</v>
      </c>
      <c r="G64" s="11">
        <v>390.0</v>
      </c>
      <c r="I64" s="11" t="b">
        <v>0</v>
      </c>
      <c r="J64" s="11" t="s">
        <v>373</v>
      </c>
      <c r="N64" s="11" t="b">
        <v>1</v>
      </c>
      <c r="O64" s="11" t="s">
        <v>78</v>
      </c>
      <c r="R64" s="11" t="s">
        <v>759</v>
      </c>
    </row>
    <row r="65" hidden="1">
      <c r="A65" s="13">
        <v>2227521.0</v>
      </c>
      <c r="B65" s="14">
        <v>46187.85766203704</v>
      </c>
      <c r="C65" s="13" t="s">
        <v>97</v>
      </c>
      <c r="D65" s="13" t="s">
        <v>763</v>
      </c>
      <c r="E65" s="16"/>
      <c r="F65" s="13" t="s">
        <v>765</v>
      </c>
      <c r="G65" s="11">
        <v>1000.0</v>
      </c>
      <c r="I65" s="11" t="b">
        <v>0</v>
      </c>
      <c r="J65" s="11" t="s">
        <v>396</v>
      </c>
      <c r="K65" s="11" t="s">
        <v>126</v>
      </c>
      <c r="N65" s="11" t="b">
        <v>1</v>
      </c>
      <c r="O65" s="11" t="s">
        <v>78</v>
      </c>
      <c r="R65" s="11" t="s">
        <v>768</v>
      </c>
    </row>
    <row r="66" hidden="1">
      <c r="A66" s="13">
        <v>2229078.0</v>
      </c>
      <c r="B66" s="14">
        <v>46188.82982638889</v>
      </c>
      <c r="C66" s="13" t="s">
        <v>97</v>
      </c>
      <c r="D66" s="13" t="s">
        <v>666</v>
      </c>
      <c r="E66" s="16"/>
      <c r="F66" s="13" t="s">
        <v>653</v>
      </c>
      <c r="G66" s="11">
        <v>90.0</v>
      </c>
      <c r="I66" s="11" t="b">
        <v>0</v>
      </c>
      <c r="J66" s="11" t="s">
        <v>366</v>
      </c>
      <c r="N66" s="11" t="b">
        <v>1</v>
      </c>
      <c r="O66" s="11" t="s">
        <v>78</v>
      </c>
      <c r="R66" s="11" t="s">
        <v>770</v>
      </c>
    </row>
    <row r="67" hidden="1">
      <c r="A67" s="13">
        <v>2229079.0</v>
      </c>
      <c r="B67" s="14">
        <v>46188.83047453704</v>
      </c>
      <c r="C67" s="13" t="s">
        <v>97</v>
      </c>
      <c r="D67" s="13" t="s">
        <v>402</v>
      </c>
      <c r="E67" s="16"/>
      <c r="F67" s="13" t="s">
        <v>771</v>
      </c>
      <c r="G67" s="11">
        <v>39.0</v>
      </c>
      <c r="I67" s="11" t="b">
        <v>0</v>
      </c>
      <c r="J67" s="11" t="s">
        <v>366</v>
      </c>
      <c r="N67" s="11" t="b">
        <v>1</v>
      </c>
      <c r="O67" s="11" t="s">
        <v>78</v>
      </c>
      <c r="R67" s="11" t="s">
        <v>772</v>
      </c>
    </row>
    <row r="68" hidden="1">
      <c r="A68" s="13">
        <v>2230357.0</v>
      </c>
      <c r="B68" s="14">
        <v>46189.85303240741</v>
      </c>
      <c r="C68" s="13" t="s">
        <v>97</v>
      </c>
      <c r="D68" s="13" t="s">
        <v>402</v>
      </c>
      <c r="E68" s="16"/>
      <c r="F68" s="13" t="s">
        <v>771</v>
      </c>
      <c r="G68" s="11">
        <v>39.0</v>
      </c>
      <c r="I68" s="11" t="b">
        <v>0</v>
      </c>
      <c r="J68" s="11" t="s">
        <v>366</v>
      </c>
      <c r="N68" s="11" t="b">
        <v>1</v>
      </c>
      <c r="O68" s="11" t="s">
        <v>78</v>
      </c>
      <c r="R68" s="11" t="s">
        <v>776</v>
      </c>
    </row>
    <row r="69" hidden="1">
      <c r="A69" s="13">
        <v>2230358.0</v>
      </c>
      <c r="B69" s="14">
        <v>46189.8533912037</v>
      </c>
      <c r="C69" s="13" t="s">
        <v>97</v>
      </c>
      <c r="D69" s="13" t="s">
        <v>666</v>
      </c>
      <c r="E69" s="16"/>
      <c r="F69" s="13" t="s">
        <v>653</v>
      </c>
      <c r="G69" s="11">
        <v>90.0</v>
      </c>
      <c r="I69" s="11" t="b">
        <v>0</v>
      </c>
      <c r="J69" s="11" t="s">
        <v>366</v>
      </c>
      <c r="N69" s="11" t="b">
        <v>1</v>
      </c>
      <c r="O69" s="11" t="s">
        <v>78</v>
      </c>
      <c r="R69" s="11" t="s">
        <v>780</v>
      </c>
    </row>
    <row r="70" hidden="1">
      <c r="A70" s="24" t="s">
        <v>782</v>
      </c>
      <c r="G70" s="11">
        <v>0.0</v>
      </c>
      <c r="I70" s="11" t="b">
        <v>0</v>
      </c>
      <c r="J70" s="11" t="s">
        <v>223</v>
      </c>
      <c r="N70" s="11" t="b">
        <v>1</v>
      </c>
      <c r="O70" s="11" t="s">
        <v>78</v>
      </c>
      <c r="R70" s="11" t="s">
        <v>468</v>
      </c>
    </row>
    <row r="71" hidden="1">
      <c r="A71" s="13">
        <v>2231495.0</v>
      </c>
      <c r="B71" s="14">
        <v>46190.81491898148</v>
      </c>
      <c r="C71" s="13" t="s">
        <v>97</v>
      </c>
      <c r="D71" s="13" t="s">
        <v>402</v>
      </c>
      <c r="E71" s="16"/>
      <c r="F71" s="13" t="s">
        <v>789</v>
      </c>
      <c r="G71" s="11">
        <v>39.0</v>
      </c>
      <c r="I71" s="11" t="b">
        <v>0</v>
      </c>
      <c r="J71" s="11" t="s">
        <v>366</v>
      </c>
      <c r="N71" s="11" t="b">
        <v>1</v>
      </c>
      <c r="O71" s="11" t="s">
        <v>78</v>
      </c>
      <c r="R71" s="11" t="s">
        <v>790</v>
      </c>
    </row>
    <row r="72" hidden="1">
      <c r="A72" s="13">
        <v>2231496.0</v>
      </c>
      <c r="B72" s="14">
        <v>46190.81533564815</v>
      </c>
      <c r="C72" s="13" t="s">
        <v>97</v>
      </c>
      <c r="D72" s="13" t="s">
        <v>666</v>
      </c>
      <c r="E72" s="16"/>
      <c r="F72" s="13" t="s">
        <v>678</v>
      </c>
      <c r="G72" s="11">
        <v>90.0</v>
      </c>
      <c r="I72" s="11" t="b">
        <v>0</v>
      </c>
      <c r="J72" s="11" t="s">
        <v>366</v>
      </c>
      <c r="N72" s="11" t="b">
        <v>1</v>
      </c>
      <c r="O72" s="11" t="s">
        <v>78</v>
      </c>
      <c r="R72" s="11" t="s">
        <v>797</v>
      </c>
    </row>
    <row r="73" hidden="1">
      <c r="A73" s="13">
        <v>2232328.0</v>
      </c>
      <c r="B73" s="14">
        <v>46191.626539351855</v>
      </c>
      <c r="C73" s="13" t="s">
        <v>97</v>
      </c>
      <c r="D73" s="13" t="s">
        <v>800</v>
      </c>
      <c r="E73" s="16"/>
      <c r="F73" s="13" t="s">
        <v>802</v>
      </c>
      <c r="G73" s="11">
        <v>13.29</v>
      </c>
      <c r="I73" s="11" t="b">
        <v>0</v>
      </c>
      <c r="J73" s="11" t="s">
        <v>112</v>
      </c>
      <c r="K73" s="11" t="s">
        <v>225</v>
      </c>
      <c r="N73" s="11" t="b">
        <v>1</v>
      </c>
      <c r="O73" s="11" t="s">
        <v>78</v>
      </c>
      <c r="R73" s="11" t="s">
        <v>806</v>
      </c>
    </row>
    <row r="74" hidden="1">
      <c r="A74" s="13">
        <v>2232380.0</v>
      </c>
      <c r="B74" s="14">
        <v>46191.648518518516</v>
      </c>
      <c r="C74" s="13" t="s">
        <v>97</v>
      </c>
      <c r="D74" s="13" t="s">
        <v>809</v>
      </c>
      <c r="E74" s="16"/>
      <c r="F74" s="13" t="s">
        <v>810</v>
      </c>
      <c r="G74" s="11">
        <v>15.35</v>
      </c>
      <c r="I74" s="11" t="b">
        <v>0</v>
      </c>
      <c r="J74" s="11" t="s">
        <v>136</v>
      </c>
      <c r="N74" s="11" t="b">
        <v>1</v>
      </c>
      <c r="O74" s="11" t="s">
        <v>78</v>
      </c>
      <c r="R74" s="11" t="s">
        <v>815</v>
      </c>
    </row>
    <row r="75" hidden="1">
      <c r="A75" s="13">
        <v>2232702.0</v>
      </c>
      <c r="B75" s="14">
        <v>46191.77086805556</v>
      </c>
      <c r="C75" s="13" t="s">
        <v>97</v>
      </c>
      <c r="D75" s="13" t="s">
        <v>402</v>
      </c>
      <c r="E75" s="16"/>
      <c r="F75" s="13" t="s">
        <v>771</v>
      </c>
      <c r="G75" s="11">
        <v>39.0</v>
      </c>
      <c r="I75" s="11" t="b">
        <v>0</v>
      </c>
      <c r="J75" s="11" t="s">
        <v>366</v>
      </c>
      <c r="N75" s="11" t="b">
        <v>1</v>
      </c>
      <c r="O75" s="11" t="s">
        <v>78</v>
      </c>
      <c r="R75" s="11" t="s">
        <v>821</v>
      </c>
    </row>
    <row r="76" hidden="1">
      <c r="A76" s="13">
        <v>2232705.0</v>
      </c>
      <c r="B76" s="14">
        <v>46191.77119212963</v>
      </c>
      <c r="C76" s="13" t="s">
        <v>97</v>
      </c>
      <c r="D76" s="13" t="s">
        <v>666</v>
      </c>
      <c r="E76" s="16"/>
      <c r="F76" s="13" t="s">
        <v>653</v>
      </c>
      <c r="G76" s="11">
        <v>90.0</v>
      </c>
      <c r="I76" s="11" t="b">
        <v>0</v>
      </c>
      <c r="J76" s="11" t="s">
        <v>366</v>
      </c>
      <c r="N76" s="11" t="b">
        <v>1</v>
      </c>
      <c r="O76" s="11" t="s">
        <v>78</v>
      </c>
      <c r="R76" s="11" t="s">
        <v>829</v>
      </c>
    </row>
    <row r="77" hidden="1">
      <c r="A77" s="13">
        <v>2233773.0</v>
      </c>
      <c r="B77" s="14">
        <v>46192.70295138889</v>
      </c>
      <c r="C77" s="13" t="s">
        <v>97</v>
      </c>
      <c r="D77" s="13" t="s">
        <v>831</v>
      </c>
      <c r="E77" s="16"/>
      <c r="F77" s="13" t="s">
        <v>832</v>
      </c>
      <c r="G77" s="11">
        <v>65.05</v>
      </c>
      <c r="I77" s="11" t="b">
        <v>0</v>
      </c>
      <c r="J77" s="11" t="s">
        <v>136</v>
      </c>
      <c r="M77" s="11" t="s">
        <v>836</v>
      </c>
      <c r="N77" s="11" t="b">
        <v>1</v>
      </c>
      <c r="O77" s="11" t="s">
        <v>78</v>
      </c>
      <c r="R77" s="11" t="s">
        <v>839</v>
      </c>
    </row>
    <row r="78" hidden="1">
      <c r="A78" s="13">
        <v>2233970.0</v>
      </c>
      <c r="B78" s="14">
        <v>46192.78021990741</v>
      </c>
      <c r="C78" s="13" t="s">
        <v>97</v>
      </c>
      <c r="D78" s="13" t="s">
        <v>402</v>
      </c>
      <c r="E78" s="16"/>
      <c r="F78" s="13" t="s">
        <v>771</v>
      </c>
      <c r="G78" s="11">
        <v>39.0</v>
      </c>
      <c r="I78" s="11" t="b">
        <v>0</v>
      </c>
      <c r="J78" s="11" t="s">
        <v>366</v>
      </c>
      <c r="N78" s="11" t="b">
        <v>1</v>
      </c>
      <c r="O78" s="11" t="s">
        <v>78</v>
      </c>
      <c r="R78" s="11" t="s">
        <v>846</v>
      </c>
    </row>
    <row r="79" hidden="1">
      <c r="A79" s="13">
        <v>2233971.0</v>
      </c>
      <c r="B79" s="14">
        <v>46192.78057870371</v>
      </c>
      <c r="C79" s="13" t="s">
        <v>97</v>
      </c>
      <c r="D79" s="13" t="s">
        <v>666</v>
      </c>
      <c r="E79" s="16"/>
      <c r="F79" s="13" t="s">
        <v>678</v>
      </c>
      <c r="G79" s="11">
        <v>90.0</v>
      </c>
      <c r="I79" s="11" t="b">
        <v>0</v>
      </c>
      <c r="J79" s="11" t="s">
        <v>366</v>
      </c>
      <c r="N79" s="11" t="b">
        <v>1</v>
      </c>
      <c r="O79" s="11" t="s">
        <v>78</v>
      </c>
      <c r="R79" s="11" t="s">
        <v>854</v>
      </c>
    </row>
    <row r="80" hidden="1">
      <c r="A80" s="13">
        <v>2236889.0</v>
      </c>
      <c r="B80" s="14">
        <v>46194.82298611111</v>
      </c>
      <c r="C80" s="13" t="s">
        <v>97</v>
      </c>
      <c r="D80" s="13" t="s">
        <v>390</v>
      </c>
      <c r="E80" s="16"/>
      <c r="F80" s="13" t="s">
        <v>858</v>
      </c>
      <c r="G80" s="11">
        <v>1300.0</v>
      </c>
      <c r="I80" s="11" t="b">
        <v>0</v>
      </c>
      <c r="J80" s="11" t="s">
        <v>396</v>
      </c>
      <c r="K80" s="11" t="s">
        <v>225</v>
      </c>
      <c r="N80" s="11" t="b">
        <v>1</v>
      </c>
      <c r="O80" s="11" t="s">
        <v>78</v>
      </c>
      <c r="R80" s="11" t="s">
        <v>862</v>
      </c>
    </row>
    <row r="81" hidden="1">
      <c r="A81" s="13">
        <v>2236911.0</v>
      </c>
      <c r="B81" s="14">
        <v>46194.828993055555</v>
      </c>
      <c r="C81" s="13" t="s">
        <v>97</v>
      </c>
      <c r="D81" s="13" t="s">
        <v>865</v>
      </c>
      <c r="E81" s="16"/>
      <c r="F81" s="13" t="s">
        <v>866</v>
      </c>
      <c r="G81" s="11">
        <v>112.5</v>
      </c>
      <c r="I81" s="11" t="b">
        <v>0</v>
      </c>
      <c r="J81" s="11" t="s">
        <v>366</v>
      </c>
      <c r="N81" s="11" t="b">
        <v>1</v>
      </c>
      <c r="O81" s="11" t="s">
        <v>78</v>
      </c>
      <c r="R81" s="11" t="s">
        <v>870</v>
      </c>
    </row>
    <row r="82" hidden="1">
      <c r="A82" s="13">
        <v>2236944.0</v>
      </c>
      <c r="B82" s="14">
        <v>46194.834641203706</v>
      </c>
      <c r="C82" s="13" t="s">
        <v>97</v>
      </c>
      <c r="D82" s="13" t="s">
        <v>872</v>
      </c>
      <c r="E82" s="16"/>
      <c r="F82" s="13" t="s">
        <v>874</v>
      </c>
      <c r="G82" s="11">
        <v>258.0</v>
      </c>
      <c r="I82" s="11" t="b">
        <v>0</v>
      </c>
      <c r="J82" s="11" t="s">
        <v>373</v>
      </c>
      <c r="N82" s="11" t="b">
        <v>1</v>
      </c>
      <c r="O82" s="11" t="s">
        <v>78</v>
      </c>
      <c r="R82" s="11" t="s">
        <v>876</v>
      </c>
    </row>
    <row r="83" hidden="1">
      <c r="A83" s="13">
        <v>2238578.0</v>
      </c>
      <c r="B83" s="14">
        <v>46195.80295138889</v>
      </c>
      <c r="C83" s="13" t="s">
        <v>97</v>
      </c>
      <c r="D83" s="13" t="s">
        <v>881</v>
      </c>
      <c r="E83" s="16"/>
      <c r="F83" s="13" t="s">
        <v>883</v>
      </c>
      <c r="G83" s="11">
        <v>16.0</v>
      </c>
      <c r="I83" s="11" t="b">
        <v>0</v>
      </c>
      <c r="J83" s="11" t="s">
        <v>136</v>
      </c>
      <c r="N83" s="11" t="b">
        <v>1</v>
      </c>
      <c r="O83" s="11" t="s">
        <v>78</v>
      </c>
      <c r="R83" s="11" t="s">
        <v>887</v>
      </c>
    </row>
    <row r="84" hidden="1">
      <c r="A84" s="13">
        <v>2238581.0</v>
      </c>
      <c r="B84" s="14">
        <v>46195.803564814814</v>
      </c>
      <c r="C84" s="13" t="s">
        <v>97</v>
      </c>
      <c r="D84" s="13" t="s">
        <v>890</v>
      </c>
      <c r="E84" s="16"/>
      <c r="F84" s="13" t="s">
        <v>891</v>
      </c>
      <c r="G84" s="11">
        <v>20.47</v>
      </c>
      <c r="I84" s="11" t="b">
        <v>0</v>
      </c>
      <c r="J84" s="11" t="s">
        <v>136</v>
      </c>
      <c r="N84" s="11" t="b">
        <v>1</v>
      </c>
      <c r="O84" s="11" t="s">
        <v>78</v>
      </c>
      <c r="R84" s="11" t="s">
        <v>894</v>
      </c>
    </row>
    <row r="85" hidden="1">
      <c r="A85" s="13">
        <v>2238582.0</v>
      </c>
      <c r="B85" s="14">
        <v>46195.8041087963</v>
      </c>
      <c r="C85" s="13" t="s">
        <v>97</v>
      </c>
      <c r="D85" s="13" t="s">
        <v>896</v>
      </c>
      <c r="E85" s="16"/>
      <c r="F85" s="13" t="s">
        <v>897</v>
      </c>
      <c r="G85" s="11">
        <v>9.99</v>
      </c>
      <c r="I85" s="11" t="b">
        <v>0</v>
      </c>
      <c r="J85" s="11" t="s">
        <v>136</v>
      </c>
      <c r="N85" s="11" t="b">
        <v>1</v>
      </c>
      <c r="O85" s="11" t="s">
        <v>78</v>
      </c>
      <c r="R85" s="11" t="s">
        <v>901</v>
      </c>
    </row>
    <row r="86" hidden="1">
      <c r="A86" s="13">
        <v>2238643.0</v>
      </c>
      <c r="B86" s="14">
        <v>46195.83592592592</v>
      </c>
      <c r="C86" s="13" t="s">
        <v>97</v>
      </c>
      <c r="D86" s="13" t="s">
        <v>666</v>
      </c>
      <c r="E86" s="16"/>
      <c r="F86" s="13" t="s">
        <v>906</v>
      </c>
      <c r="G86" s="11">
        <v>90.0</v>
      </c>
      <c r="I86" s="11" t="b">
        <v>0</v>
      </c>
      <c r="J86" s="11" t="s">
        <v>366</v>
      </c>
      <c r="N86" s="11" t="b">
        <v>1</v>
      </c>
      <c r="O86" s="11" t="s">
        <v>78</v>
      </c>
      <c r="R86" s="11" t="s">
        <v>908</v>
      </c>
    </row>
    <row r="87" hidden="1">
      <c r="A87" s="13">
        <v>2239636.0</v>
      </c>
      <c r="B87" s="14">
        <v>46196.77001157407</v>
      </c>
      <c r="C87" s="13" t="s">
        <v>97</v>
      </c>
      <c r="D87" s="13" t="s">
        <v>910</v>
      </c>
      <c r="E87" s="16"/>
      <c r="F87" s="13" t="s">
        <v>913</v>
      </c>
      <c r="G87" s="11">
        <v>135.0</v>
      </c>
      <c r="I87" s="11" t="b">
        <v>0</v>
      </c>
      <c r="J87" s="11" t="s">
        <v>366</v>
      </c>
      <c r="N87" s="11" t="b">
        <v>1</v>
      </c>
      <c r="O87" s="11" t="s">
        <v>78</v>
      </c>
      <c r="R87" s="11" t="s">
        <v>917</v>
      </c>
    </row>
    <row r="88" hidden="1">
      <c r="A88" s="13">
        <v>2239721.0</v>
      </c>
      <c r="B88" s="14">
        <v>46196.81186342592</v>
      </c>
      <c r="C88" s="13" t="s">
        <v>97</v>
      </c>
      <c r="D88" s="13" t="s">
        <v>721</v>
      </c>
      <c r="E88" s="16"/>
      <c r="F88" s="13" t="s">
        <v>919</v>
      </c>
      <c r="G88" s="11">
        <v>75.0</v>
      </c>
      <c r="I88" s="11" t="b">
        <v>0</v>
      </c>
      <c r="J88" s="11" t="s">
        <v>366</v>
      </c>
      <c r="N88" s="11" t="b">
        <v>1</v>
      </c>
      <c r="O88" s="11" t="s">
        <v>78</v>
      </c>
      <c r="R88" s="11" t="s">
        <v>921</v>
      </c>
    </row>
    <row r="89" hidden="1">
      <c r="A89" s="13">
        <v>2240633.0</v>
      </c>
      <c r="B89" s="14">
        <v>46197.732037037036</v>
      </c>
      <c r="C89" s="13" t="s">
        <v>97</v>
      </c>
      <c r="D89" s="13" t="s">
        <v>666</v>
      </c>
      <c r="E89" s="22"/>
      <c r="F89" s="13" t="s">
        <v>926</v>
      </c>
      <c r="G89" s="11">
        <v>90.0</v>
      </c>
      <c r="I89" s="11" t="b">
        <v>0</v>
      </c>
      <c r="J89" s="11" t="s">
        <v>366</v>
      </c>
      <c r="N89" s="11" t="b">
        <v>1</v>
      </c>
      <c r="O89" s="11" t="s">
        <v>78</v>
      </c>
      <c r="R89" s="11" t="s">
        <v>928</v>
      </c>
    </row>
    <row r="90" hidden="1">
      <c r="A90" s="13">
        <v>2241741.0</v>
      </c>
      <c r="B90" s="14">
        <v>46198.81153935185</v>
      </c>
      <c r="C90" s="13" t="s">
        <v>97</v>
      </c>
      <c r="D90" s="13" t="s">
        <v>666</v>
      </c>
      <c r="E90" s="22"/>
      <c r="F90" s="13" t="s">
        <v>932</v>
      </c>
      <c r="G90" s="11">
        <v>90.0</v>
      </c>
      <c r="I90" s="11" t="b">
        <v>0</v>
      </c>
      <c r="J90" s="11" t="s">
        <v>366</v>
      </c>
      <c r="N90" s="11" t="b">
        <v>1</v>
      </c>
      <c r="O90" s="11" t="s">
        <v>78</v>
      </c>
      <c r="R90" s="11" t="s">
        <v>934</v>
      </c>
    </row>
    <row r="91" hidden="1">
      <c r="A91" s="13">
        <v>2241743.0</v>
      </c>
      <c r="B91" s="14">
        <v>46198.81222222222</v>
      </c>
      <c r="C91" s="13" t="s">
        <v>97</v>
      </c>
      <c r="D91" s="13" t="s">
        <v>939</v>
      </c>
      <c r="E91" s="16"/>
      <c r="F91" s="13" t="s">
        <v>942</v>
      </c>
      <c r="G91" s="11">
        <v>38.0</v>
      </c>
      <c r="I91" s="11" t="b">
        <v>0</v>
      </c>
      <c r="J91" s="11" t="s">
        <v>366</v>
      </c>
      <c r="N91" s="11" t="b">
        <v>1</v>
      </c>
      <c r="O91" s="11" t="s">
        <v>78</v>
      </c>
      <c r="R91" s="11" t="s">
        <v>943</v>
      </c>
    </row>
    <row r="92" hidden="1">
      <c r="A92" s="13">
        <v>2241757.0</v>
      </c>
      <c r="B92" s="14">
        <v>46198.81994212963</v>
      </c>
      <c r="C92" s="13" t="s">
        <v>97</v>
      </c>
      <c r="D92" s="13" t="s">
        <v>402</v>
      </c>
      <c r="E92" s="16"/>
      <c r="F92" s="13" t="s">
        <v>947</v>
      </c>
      <c r="G92" s="11">
        <v>39.0</v>
      </c>
      <c r="I92" s="11" t="b">
        <v>0</v>
      </c>
      <c r="J92" s="11" t="s">
        <v>136</v>
      </c>
      <c r="N92" s="11" t="b">
        <v>1</v>
      </c>
      <c r="O92" s="11" t="s">
        <v>78</v>
      </c>
      <c r="R92" s="11" t="s">
        <v>948</v>
      </c>
    </row>
    <row r="93" hidden="1">
      <c r="A93" s="13">
        <v>2242875.0</v>
      </c>
      <c r="B93" s="14">
        <v>46199.815775462965</v>
      </c>
      <c r="C93" s="13" t="s">
        <v>204</v>
      </c>
      <c r="D93" s="13" t="s">
        <v>951</v>
      </c>
      <c r="E93" s="16"/>
      <c r="F93" s="13" t="s">
        <v>953</v>
      </c>
      <c r="G93" s="11">
        <v>72.77</v>
      </c>
      <c r="I93" s="11" t="b">
        <v>0</v>
      </c>
      <c r="J93" s="11" t="s">
        <v>223</v>
      </c>
      <c r="N93" s="11" t="b">
        <v>1</v>
      </c>
      <c r="O93" s="11" t="s">
        <v>78</v>
      </c>
      <c r="R93" s="11" t="s">
        <v>958</v>
      </c>
    </row>
    <row r="94" hidden="1">
      <c r="A94" s="13">
        <v>2242888.0</v>
      </c>
      <c r="B94" s="14">
        <v>46199.82474537037</v>
      </c>
      <c r="C94" s="13" t="s">
        <v>97</v>
      </c>
      <c r="D94" s="13" t="s">
        <v>666</v>
      </c>
      <c r="E94" s="16"/>
      <c r="F94" s="13" t="s">
        <v>961</v>
      </c>
      <c r="G94" s="11">
        <v>90.0</v>
      </c>
      <c r="I94" s="11" t="b">
        <v>0</v>
      </c>
      <c r="J94" s="11" t="s">
        <v>366</v>
      </c>
      <c r="N94" s="11" t="b">
        <v>1</v>
      </c>
      <c r="O94" s="11" t="s">
        <v>78</v>
      </c>
      <c r="R94" s="11" t="s">
        <v>967</v>
      </c>
    </row>
    <row r="95" hidden="1">
      <c r="A95" s="13">
        <v>2242889.0</v>
      </c>
      <c r="B95" s="14">
        <v>46199.82575231481</v>
      </c>
      <c r="C95" s="13" t="s">
        <v>97</v>
      </c>
      <c r="D95" s="13" t="s">
        <v>939</v>
      </c>
      <c r="E95" s="16"/>
      <c r="F95" s="13" t="s">
        <v>969</v>
      </c>
      <c r="G95" s="11">
        <v>38.0</v>
      </c>
      <c r="I95" s="11" t="b">
        <v>0</v>
      </c>
      <c r="J95" s="11" t="s">
        <v>366</v>
      </c>
      <c r="N95" s="11" t="b">
        <v>1</v>
      </c>
      <c r="O95" s="11" t="s">
        <v>78</v>
      </c>
      <c r="R95" s="11" t="s">
        <v>972</v>
      </c>
    </row>
    <row r="96" hidden="1">
      <c r="A96" s="13">
        <v>2242904.0</v>
      </c>
      <c r="B96" s="14">
        <v>46199.83162037037</v>
      </c>
      <c r="C96" s="13" t="s">
        <v>97</v>
      </c>
      <c r="D96" s="13" t="s">
        <v>976</v>
      </c>
      <c r="E96" s="16"/>
      <c r="F96" s="13" t="s">
        <v>979</v>
      </c>
      <c r="G96" s="11">
        <v>112.0</v>
      </c>
      <c r="I96" s="11" t="b">
        <v>0</v>
      </c>
      <c r="J96" s="11" t="s">
        <v>136</v>
      </c>
      <c r="N96" s="11" t="b">
        <v>1</v>
      </c>
      <c r="O96" s="11" t="s">
        <v>78</v>
      </c>
      <c r="R96" s="11" t="s">
        <v>980</v>
      </c>
    </row>
    <row r="97" hidden="1">
      <c r="A97" s="13">
        <v>2242921.0</v>
      </c>
      <c r="B97" s="14">
        <v>46199.83939814815</v>
      </c>
      <c r="C97" s="13" t="s">
        <v>97</v>
      </c>
      <c r="D97" s="13" t="s">
        <v>951</v>
      </c>
      <c r="E97" s="16"/>
      <c r="F97" s="13" t="s">
        <v>982</v>
      </c>
      <c r="G97" s="11">
        <v>72.77</v>
      </c>
      <c r="I97" s="11" t="b">
        <v>0</v>
      </c>
      <c r="J97" s="11" t="s">
        <v>136</v>
      </c>
      <c r="N97" s="11" t="b">
        <v>1</v>
      </c>
      <c r="O97" s="11" t="s">
        <v>78</v>
      </c>
      <c r="R97" s="11" t="s">
        <v>986</v>
      </c>
    </row>
    <row r="98" hidden="1">
      <c r="A98" s="13">
        <v>2244154.0</v>
      </c>
      <c r="B98" s="14">
        <v>46200.76349537037</v>
      </c>
      <c r="C98" s="13" t="s">
        <v>97</v>
      </c>
      <c r="D98" s="13" t="s">
        <v>727</v>
      </c>
      <c r="E98" s="16"/>
      <c r="F98" s="13" t="s">
        <v>988</v>
      </c>
      <c r="G98" s="11">
        <v>120.0</v>
      </c>
      <c r="I98" s="11" t="b">
        <v>0</v>
      </c>
      <c r="J98" s="11" t="s">
        <v>366</v>
      </c>
      <c r="N98" s="11" t="b">
        <v>1</v>
      </c>
      <c r="O98" s="11" t="s">
        <v>78</v>
      </c>
      <c r="R98" s="11" t="s">
        <v>990</v>
      </c>
    </row>
    <row r="99" hidden="1">
      <c r="A99" s="13">
        <v>2246144.0</v>
      </c>
      <c r="B99" s="14">
        <v>46201.83925925926</v>
      </c>
      <c r="C99" s="13" t="s">
        <v>97</v>
      </c>
      <c r="D99" s="13" t="s">
        <v>996</v>
      </c>
      <c r="E99" s="16"/>
      <c r="F99" s="13" t="s">
        <v>997</v>
      </c>
      <c r="G99" s="11">
        <v>342.0</v>
      </c>
      <c r="I99" s="11" t="b">
        <v>0</v>
      </c>
      <c r="J99" s="11" t="s">
        <v>373</v>
      </c>
      <c r="N99" s="11" t="b">
        <v>1</v>
      </c>
      <c r="O99" s="11" t="s">
        <v>78</v>
      </c>
      <c r="R99" s="11" t="s">
        <v>998</v>
      </c>
    </row>
    <row r="100" hidden="1">
      <c r="A100" s="13">
        <v>2246157.0</v>
      </c>
      <c r="B100" s="14">
        <v>46201.84302083333</v>
      </c>
      <c r="C100" s="13" t="s">
        <v>97</v>
      </c>
      <c r="D100" s="13" t="s">
        <v>727</v>
      </c>
      <c r="E100" s="16"/>
      <c r="F100" s="13" t="s">
        <v>1001</v>
      </c>
      <c r="G100" s="11">
        <v>120.0</v>
      </c>
      <c r="I100" s="11" t="b">
        <v>0</v>
      </c>
      <c r="J100" s="11" t="s">
        <v>366</v>
      </c>
      <c r="N100" s="11" t="b">
        <v>1</v>
      </c>
      <c r="O100" s="11" t="s">
        <v>78</v>
      </c>
      <c r="R100" s="11" t="s">
        <v>1005</v>
      </c>
    </row>
    <row r="101" hidden="1">
      <c r="A101" s="13">
        <v>2246164.0</v>
      </c>
      <c r="B101" s="14">
        <v>46201.844988425924</v>
      </c>
      <c r="C101" s="13" t="s">
        <v>97</v>
      </c>
      <c r="D101" s="13" t="s">
        <v>1006</v>
      </c>
      <c r="E101" s="16"/>
      <c r="F101" s="13" t="s">
        <v>1009</v>
      </c>
      <c r="G101" s="11">
        <v>100.0</v>
      </c>
      <c r="I101" s="11" t="b">
        <v>0</v>
      </c>
      <c r="J101" s="11" t="s">
        <v>366</v>
      </c>
      <c r="N101" s="11" t="b">
        <v>1</v>
      </c>
      <c r="O101" s="11" t="s">
        <v>78</v>
      </c>
      <c r="R101" s="11" t="s">
        <v>1013</v>
      </c>
    </row>
    <row r="102" hidden="1">
      <c r="A102" s="13">
        <v>2246166.0</v>
      </c>
      <c r="B102" s="14">
        <v>46201.845497685186</v>
      </c>
      <c r="C102" s="13" t="s">
        <v>97</v>
      </c>
      <c r="D102" s="13" t="s">
        <v>1006</v>
      </c>
      <c r="E102" s="16"/>
      <c r="F102" s="13" t="s">
        <v>1018</v>
      </c>
      <c r="G102" s="11">
        <v>100.0</v>
      </c>
      <c r="I102" s="11" t="b">
        <v>0</v>
      </c>
      <c r="J102" s="11" t="s">
        <v>366</v>
      </c>
      <c r="N102" s="11" t="b">
        <v>1</v>
      </c>
      <c r="O102" s="11" t="s">
        <v>78</v>
      </c>
      <c r="R102" s="11" t="s">
        <v>1013</v>
      </c>
    </row>
    <row r="103" hidden="1">
      <c r="A103" s="13">
        <v>2247540.0</v>
      </c>
      <c r="B103" s="14">
        <v>46202.71251157407</v>
      </c>
      <c r="C103" s="13" t="s">
        <v>97</v>
      </c>
      <c r="D103" s="13" t="s">
        <v>1025</v>
      </c>
      <c r="E103" s="16"/>
      <c r="F103" s="13" t="s">
        <v>1026</v>
      </c>
      <c r="G103" s="11">
        <v>94.5</v>
      </c>
      <c r="I103" s="11" t="b">
        <v>0</v>
      </c>
      <c r="J103" s="11" t="s">
        <v>136</v>
      </c>
      <c r="N103" s="11" t="b">
        <v>1</v>
      </c>
      <c r="O103" s="11" t="s">
        <v>78</v>
      </c>
      <c r="R103" s="11" t="s">
        <v>1029</v>
      </c>
    </row>
    <row r="104" hidden="1">
      <c r="A104" s="13">
        <v>2247799.0</v>
      </c>
      <c r="B104" s="14">
        <v>46202.80033564815</v>
      </c>
      <c r="C104" s="13" t="s">
        <v>97</v>
      </c>
      <c r="D104" s="13" t="s">
        <v>1031</v>
      </c>
      <c r="E104" s="16"/>
      <c r="F104" s="13" t="s">
        <v>1034</v>
      </c>
      <c r="G104" s="11">
        <v>67.5</v>
      </c>
      <c r="I104" s="11" t="b">
        <v>0</v>
      </c>
      <c r="J104" s="11" t="s">
        <v>366</v>
      </c>
      <c r="N104" s="11" t="b">
        <v>1</v>
      </c>
      <c r="O104" s="11" t="s">
        <v>78</v>
      </c>
      <c r="R104" s="11" t="s">
        <v>1037</v>
      </c>
    </row>
    <row r="105" hidden="1">
      <c r="A105" s="13">
        <v>2247810.0</v>
      </c>
      <c r="B105" s="14">
        <v>46202.80403935185</v>
      </c>
      <c r="C105" s="13" t="s">
        <v>97</v>
      </c>
      <c r="D105" s="13" t="s">
        <v>1039</v>
      </c>
      <c r="E105" s="16"/>
      <c r="F105" s="13" t="s">
        <v>1042</v>
      </c>
      <c r="G105" s="11">
        <v>13.99</v>
      </c>
      <c r="I105" s="11" t="b">
        <v>0</v>
      </c>
      <c r="J105" s="11" t="s">
        <v>112</v>
      </c>
      <c r="K105" s="11" t="s">
        <v>126</v>
      </c>
      <c r="N105" s="11" t="b">
        <v>1</v>
      </c>
      <c r="O105" s="11" t="s">
        <v>78</v>
      </c>
      <c r="R105" s="11" t="s">
        <v>1045</v>
      </c>
    </row>
    <row r="106" hidden="1">
      <c r="A106" s="13">
        <v>2247891.0</v>
      </c>
      <c r="B106" s="14">
        <v>46202.839780092596</v>
      </c>
      <c r="C106" s="13" t="s">
        <v>97</v>
      </c>
      <c r="D106" s="13" t="s">
        <v>1050</v>
      </c>
      <c r="E106" s="16"/>
      <c r="F106" s="13" t="s">
        <v>1042</v>
      </c>
      <c r="G106" s="11">
        <v>28.94</v>
      </c>
      <c r="I106" s="11" t="b">
        <v>0</v>
      </c>
      <c r="J106" s="11" t="s">
        <v>112</v>
      </c>
      <c r="K106" s="11" t="s">
        <v>126</v>
      </c>
      <c r="N106" s="11" t="b">
        <v>1</v>
      </c>
      <c r="O106" s="11" t="s">
        <v>78</v>
      </c>
      <c r="R106" s="11" t="s">
        <v>1055</v>
      </c>
    </row>
    <row r="107" hidden="1">
      <c r="A107" s="13">
        <v>2248925.0</v>
      </c>
      <c r="B107" s="14">
        <v>46203.66520833333</v>
      </c>
      <c r="C107" s="13" t="s">
        <v>97</v>
      </c>
      <c r="D107" s="13" t="s">
        <v>1057</v>
      </c>
      <c r="E107" s="16"/>
      <c r="F107" s="13" t="s">
        <v>1059</v>
      </c>
      <c r="G107" s="11">
        <v>6.0</v>
      </c>
      <c r="I107" s="11" t="b">
        <v>0</v>
      </c>
      <c r="J107" s="11" t="s">
        <v>136</v>
      </c>
      <c r="M107" s="11" t="s">
        <v>1061</v>
      </c>
      <c r="N107" s="11" t="b">
        <v>1</v>
      </c>
      <c r="O107" s="11" t="s">
        <v>78</v>
      </c>
      <c r="R107" s="11" t="s">
        <v>1064</v>
      </c>
    </row>
    <row r="108" hidden="1">
      <c r="A108" s="13">
        <v>2249091.0</v>
      </c>
      <c r="B108" s="14">
        <v>46203.72744212963</v>
      </c>
      <c r="C108" s="13" t="s">
        <v>97</v>
      </c>
      <c r="D108" s="13" t="s">
        <v>1067</v>
      </c>
      <c r="E108" s="16"/>
      <c r="F108" s="13" t="s">
        <v>282</v>
      </c>
      <c r="G108" s="11">
        <v>70.06</v>
      </c>
      <c r="I108" s="11" t="b">
        <v>0</v>
      </c>
      <c r="J108" s="11" t="s">
        <v>112</v>
      </c>
      <c r="K108" s="11" t="s">
        <v>126</v>
      </c>
      <c r="N108" s="11" t="b">
        <v>1</v>
      </c>
      <c r="O108" s="11" t="s">
        <v>78</v>
      </c>
      <c r="R108" s="11" t="s">
        <v>1069</v>
      </c>
    </row>
    <row r="109" hidden="1">
      <c r="A109" s="13">
        <v>2249390.0</v>
      </c>
      <c r="B109" s="14">
        <v>46203.83461805555</v>
      </c>
      <c r="C109" s="13" t="s">
        <v>97</v>
      </c>
      <c r="D109" s="13" t="s">
        <v>1071</v>
      </c>
      <c r="E109" s="16"/>
      <c r="F109" s="13" t="s">
        <v>1072</v>
      </c>
      <c r="G109" s="11">
        <v>110.0</v>
      </c>
      <c r="I109" s="11" t="b">
        <v>0</v>
      </c>
      <c r="J109" s="11" t="s">
        <v>366</v>
      </c>
      <c r="N109" s="11" t="b">
        <v>1</v>
      </c>
      <c r="O109" s="11" t="s">
        <v>78</v>
      </c>
      <c r="R109" s="11" t="s">
        <v>1074</v>
      </c>
    </row>
    <row r="110" hidden="1">
      <c r="A110" s="13">
        <v>2249403.0</v>
      </c>
      <c r="B110" s="14">
        <v>46203.839224537034</v>
      </c>
      <c r="C110" s="13" t="s">
        <v>97</v>
      </c>
      <c r="D110" s="13" t="s">
        <v>1077</v>
      </c>
      <c r="E110" s="16"/>
      <c r="F110" s="13" t="s">
        <v>1042</v>
      </c>
      <c r="G110" s="11">
        <v>12.0</v>
      </c>
      <c r="I110" s="11" t="b">
        <v>0</v>
      </c>
      <c r="J110" s="11" t="s">
        <v>112</v>
      </c>
      <c r="K110" s="11" t="s">
        <v>126</v>
      </c>
      <c r="N110" s="11" t="b">
        <v>1</v>
      </c>
      <c r="O110" s="11" t="s">
        <v>78</v>
      </c>
      <c r="R110" s="11" t="s">
        <v>1086</v>
      </c>
    </row>
    <row r="111" hidden="1">
      <c r="A111" s="13">
        <v>2250328.0</v>
      </c>
      <c r="B111" s="14">
        <v>46204.62625</v>
      </c>
      <c r="C111" s="13" t="s">
        <v>97</v>
      </c>
      <c r="D111" s="13" t="s">
        <v>1090</v>
      </c>
      <c r="E111" s="16"/>
      <c r="F111" s="13" t="s">
        <v>1091</v>
      </c>
      <c r="G111" s="11">
        <v>10.0</v>
      </c>
      <c r="I111" s="11" t="b">
        <v>0</v>
      </c>
      <c r="J111" s="11" t="s">
        <v>136</v>
      </c>
      <c r="N111" s="11" t="b">
        <v>1</v>
      </c>
      <c r="O111" s="11" t="s">
        <v>78</v>
      </c>
      <c r="R111" s="11" t="s">
        <v>1092</v>
      </c>
    </row>
    <row r="112" hidden="1">
      <c r="A112" s="13">
        <v>2250607.0</v>
      </c>
      <c r="B112" s="14">
        <v>46204.72329861111</v>
      </c>
      <c r="C112" s="13" t="s">
        <v>97</v>
      </c>
      <c r="D112" s="13" t="s">
        <v>1095</v>
      </c>
      <c r="E112" s="16"/>
      <c r="F112" s="13" t="s">
        <v>1098</v>
      </c>
      <c r="G112" s="11">
        <v>16.41</v>
      </c>
      <c r="I112" s="11" t="b">
        <v>0</v>
      </c>
      <c r="J112" s="11" t="s">
        <v>112</v>
      </c>
      <c r="K112" s="11" t="s">
        <v>126</v>
      </c>
      <c r="N112" s="11" t="b">
        <v>1</v>
      </c>
      <c r="O112" s="11" t="s">
        <v>78</v>
      </c>
      <c r="R112" s="11" t="s">
        <v>1103</v>
      </c>
    </row>
    <row r="113" hidden="1">
      <c r="A113" s="13">
        <v>2250629.0</v>
      </c>
      <c r="B113" s="14">
        <v>46204.729849537034</v>
      </c>
      <c r="C113" s="13" t="s">
        <v>97</v>
      </c>
      <c r="D113" s="13" t="s">
        <v>290</v>
      </c>
      <c r="E113" s="16"/>
      <c r="F113" s="13" t="s">
        <v>1108</v>
      </c>
      <c r="G113" s="11">
        <v>140.0</v>
      </c>
      <c r="I113" s="11" t="b">
        <v>0</v>
      </c>
      <c r="J113" s="11" t="s">
        <v>136</v>
      </c>
      <c r="N113" s="11" t="b">
        <v>1</v>
      </c>
      <c r="O113" s="11" t="s">
        <v>78</v>
      </c>
      <c r="R113" s="11" t="s">
        <v>1109</v>
      </c>
    </row>
    <row r="114" hidden="1">
      <c r="A114" s="13">
        <v>2250942.0</v>
      </c>
      <c r="B114" s="14">
        <v>46204.85710648148</v>
      </c>
      <c r="C114" s="13" t="s">
        <v>97</v>
      </c>
      <c r="D114" s="13" t="s">
        <v>666</v>
      </c>
      <c r="E114" s="16"/>
      <c r="F114" s="13" t="s">
        <v>1111</v>
      </c>
      <c r="G114" s="11">
        <v>90.0</v>
      </c>
      <c r="I114" s="11" t="b">
        <v>0</v>
      </c>
      <c r="J114" s="11" t="s">
        <v>366</v>
      </c>
      <c r="N114" s="11" t="b">
        <v>1</v>
      </c>
      <c r="O114" s="11" t="s">
        <v>78</v>
      </c>
      <c r="R114" s="11" t="s">
        <v>1113</v>
      </c>
    </row>
    <row r="115" hidden="1">
      <c r="A115" s="13">
        <v>2250955.0</v>
      </c>
      <c r="B115" s="14">
        <v>46204.85996527778</v>
      </c>
      <c r="C115" s="13" t="s">
        <v>97</v>
      </c>
      <c r="D115" s="13" t="s">
        <v>1116</v>
      </c>
      <c r="E115" s="22"/>
      <c r="F115" s="13" t="s">
        <v>1117</v>
      </c>
      <c r="G115" s="11">
        <v>20.75</v>
      </c>
      <c r="I115" s="11" t="b">
        <v>0</v>
      </c>
      <c r="J115" s="11" t="s">
        <v>136</v>
      </c>
      <c r="N115" s="11" t="b">
        <v>1</v>
      </c>
      <c r="O115" s="11" t="s">
        <v>78</v>
      </c>
      <c r="R115" s="11" t="s">
        <v>1122</v>
      </c>
    </row>
    <row r="116" hidden="1">
      <c r="A116" s="13">
        <v>2251920.0</v>
      </c>
      <c r="B116" s="14">
        <v>46205.69217592593</v>
      </c>
      <c r="C116" s="13" t="s">
        <v>97</v>
      </c>
      <c r="D116" s="13" t="s">
        <v>1123</v>
      </c>
      <c r="E116" s="16"/>
      <c r="F116" s="13" t="s">
        <v>1124</v>
      </c>
      <c r="G116" s="11">
        <v>69.9</v>
      </c>
      <c r="I116" s="11" t="b">
        <v>0</v>
      </c>
      <c r="J116" s="11" t="s">
        <v>136</v>
      </c>
      <c r="N116" s="11" t="b">
        <v>1</v>
      </c>
      <c r="O116" s="11" t="s">
        <v>78</v>
      </c>
      <c r="R116" s="11" t="s">
        <v>1126</v>
      </c>
    </row>
    <row r="117" hidden="1">
      <c r="A117" s="13">
        <v>2251923.0</v>
      </c>
      <c r="B117" s="14">
        <v>46205.693402777775</v>
      </c>
      <c r="C117" s="13" t="s">
        <v>97</v>
      </c>
      <c r="D117" s="13" t="s">
        <v>1132</v>
      </c>
      <c r="E117" s="16"/>
      <c r="F117" s="13" t="s">
        <v>1135</v>
      </c>
      <c r="G117" s="11">
        <v>104.87</v>
      </c>
      <c r="I117" s="11" t="b">
        <v>0</v>
      </c>
      <c r="J117" s="11" t="s">
        <v>136</v>
      </c>
      <c r="N117" s="11" t="b">
        <v>1</v>
      </c>
      <c r="O117" s="11" t="s">
        <v>78</v>
      </c>
      <c r="R117" s="11" t="s">
        <v>1139</v>
      </c>
    </row>
    <row r="118" hidden="1">
      <c r="A118" s="13">
        <v>2251935.0</v>
      </c>
      <c r="B118" s="14">
        <v>46205.69694444445</v>
      </c>
      <c r="C118" s="13" t="s">
        <v>97</v>
      </c>
      <c r="D118" s="13" t="s">
        <v>1143</v>
      </c>
      <c r="E118" s="16"/>
      <c r="F118" s="13" t="s">
        <v>1145</v>
      </c>
      <c r="G118" s="11">
        <v>175.0</v>
      </c>
      <c r="I118" s="11" t="b">
        <v>0</v>
      </c>
      <c r="J118" s="11" t="s">
        <v>136</v>
      </c>
      <c r="N118" s="11" t="b">
        <v>1</v>
      </c>
      <c r="O118" s="11" t="s">
        <v>78</v>
      </c>
      <c r="R118" s="11" t="s">
        <v>1148</v>
      </c>
    </row>
    <row r="119" hidden="1">
      <c r="A119" s="13">
        <v>2252332.0</v>
      </c>
      <c r="B119" s="14">
        <v>46205.85534722222</v>
      </c>
      <c r="C119" s="13" t="s">
        <v>97</v>
      </c>
      <c r="D119" s="13" t="s">
        <v>666</v>
      </c>
      <c r="E119" s="22"/>
      <c r="F119" s="13" t="s">
        <v>1151</v>
      </c>
      <c r="G119" s="11">
        <v>90.0</v>
      </c>
      <c r="I119" s="11" t="b">
        <v>0</v>
      </c>
      <c r="J119" s="11" t="s">
        <v>366</v>
      </c>
      <c r="N119" s="11" t="b">
        <v>1</v>
      </c>
      <c r="O119" s="11" t="s">
        <v>78</v>
      </c>
      <c r="R119" s="11" t="s">
        <v>1153</v>
      </c>
    </row>
    <row r="120" hidden="1">
      <c r="A120" s="13">
        <v>2253245.0</v>
      </c>
      <c r="B120" s="14">
        <v>46206.626076388886</v>
      </c>
      <c r="C120" s="13" t="s">
        <v>97</v>
      </c>
      <c r="D120" s="13" t="s">
        <v>976</v>
      </c>
      <c r="E120" s="16"/>
      <c r="F120" s="13" t="s">
        <v>1159</v>
      </c>
      <c r="G120" s="11">
        <v>112.0</v>
      </c>
      <c r="I120" s="11" t="b">
        <v>0</v>
      </c>
      <c r="J120" s="11" t="s">
        <v>136</v>
      </c>
      <c r="N120" s="11" t="b">
        <v>1</v>
      </c>
      <c r="O120" s="11" t="s">
        <v>78</v>
      </c>
      <c r="R120" s="11" t="s">
        <v>1162</v>
      </c>
    </row>
    <row r="121" hidden="1">
      <c r="A121" s="13">
        <v>2253717.0</v>
      </c>
      <c r="B121" s="14">
        <v>46206.77539351852</v>
      </c>
      <c r="C121" s="13" t="s">
        <v>97</v>
      </c>
      <c r="D121" s="13" t="s">
        <v>1164</v>
      </c>
      <c r="E121" s="16"/>
      <c r="F121" s="13" t="s">
        <v>1165</v>
      </c>
      <c r="G121" s="11">
        <v>16.0</v>
      </c>
      <c r="I121" s="11" t="b">
        <v>0</v>
      </c>
      <c r="J121" s="11" t="s">
        <v>112</v>
      </c>
      <c r="K121" s="11" t="s">
        <v>126</v>
      </c>
      <c r="N121" s="11" t="b">
        <v>1</v>
      </c>
      <c r="O121" s="11" t="s">
        <v>78</v>
      </c>
      <c r="R121" s="11" t="s">
        <v>1170</v>
      </c>
    </row>
    <row r="122" hidden="1">
      <c r="A122" s="13">
        <v>2253809.0</v>
      </c>
      <c r="B122" s="14">
        <v>46206.818402777775</v>
      </c>
      <c r="C122" s="13" t="s">
        <v>97</v>
      </c>
      <c r="D122" s="13" t="s">
        <v>666</v>
      </c>
      <c r="E122" s="22"/>
      <c r="F122" s="13" t="s">
        <v>1151</v>
      </c>
      <c r="G122" s="11">
        <v>90.0</v>
      </c>
      <c r="I122" s="11" t="b">
        <v>0</v>
      </c>
      <c r="J122" s="11" t="s">
        <v>366</v>
      </c>
      <c r="N122" s="11" t="b">
        <v>1</v>
      </c>
      <c r="O122" s="11" t="s">
        <v>78</v>
      </c>
      <c r="R122" s="11" t="s">
        <v>1174</v>
      </c>
    </row>
    <row r="123" hidden="1">
      <c r="A123" s="13">
        <v>2254774.0</v>
      </c>
      <c r="B123" s="14">
        <v>46207.64530092593</v>
      </c>
      <c r="C123" s="13" t="s">
        <v>97</v>
      </c>
      <c r="D123" s="13" t="s">
        <v>1179</v>
      </c>
      <c r="E123" s="16"/>
      <c r="F123" s="13" t="s">
        <v>1182</v>
      </c>
      <c r="G123" s="11">
        <v>52.53</v>
      </c>
      <c r="I123" s="11" t="b">
        <v>0</v>
      </c>
      <c r="J123" s="11" t="s">
        <v>136</v>
      </c>
      <c r="N123" s="11" t="b">
        <v>1</v>
      </c>
      <c r="O123" s="11" t="s">
        <v>78</v>
      </c>
      <c r="R123" s="11" t="s">
        <v>1184</v>
      </c>
    </row>
    <row r="124" hidden="1">
      <c r="A124" s="13">
        <v>2254777.0</v>
      </c>
      <c r="B124" s="14">
        <v>46207.64664351852</v>
      </c>
      <c r="C124" s="13" t="s">
        <v>97</v>
      </c>
      <c r="D124" s="13" t="s">
        <v>1187</v>
      </c>
      <c r="E124" s="16"/>
      <c r="F124" s="13" t="s">
        <v>1189</v>
      </c>
      <c r="G124" s="11">
        <v>11.98</v>
      </c>
      <c r="I124" s="11" t="b">
        <v>0</v>
      </c>
      <c r="J124" s="11" t="s">
        <v>136</v>
      </c>
      <c r="N124" s="11" t="b">
        <v>1</v>
      </c>
      <c r="O124" s="11" t="s">
        <v>78</v>
      </c>
      <c r="R124" s="11" t="s">
        <v>1192</v>
      </c>
    </row>
    <row r="125" hidden="1">
      <c r="A125" s="13">
        <v>2254808.0</v>
      </c>
      <c r="B125" s="14">
        <v>46207.65740740741</v>
      </c>
      <c r="C125" s="13" t="s">
        <v>97</v>
      </c>
      <c r="D125" s="13" t="s">
        <v>1194</v>
      </c>
      <c r="E125" s="22"/>
      <c r="F125" s="13" t="s">
        <v>1196</v>
      </c>
      <c r="G125" s="11">
        <v>37.48</v>
      </c>
      <c r="I125" s="11" t="b">
        <v>0</v>
      </c>
      <c r="J125" s="11" t="s">
        <v>136</v>
      </c>
      <c r="N125" s="11" t="b">
        <v>1</v>
      </c>
      <c r="O125" s="11" t="s">
        <v>78</v>
      </c>
      <c r="R125" s="11" t="s">
        <v>1199</v>
      </c>
    </row>
    <row r="126" hidden="1">
      <c r="A126" s="13">
        <v>2255111.0</v>
      </c>
      <c r="B126" s="14">
        <v>46207.758055555554</v>
      </c>
      <c r="C126" s="13" t="s">
        <v>97</v>
      </c>
      <c r="D126" s="13" t="s">
        <v>666</v>
      </c>
      <c r="E126" s="16"/>
      <c r="F126" s="13" t="s">
        <v>1204</v>
      </c>
      <c r="G126" s="11">
        <v>90.0</v>
      </c>
      <c r="I126" s="11" t="b">
        <v>0</v>
      </c>
      <c r="J126" s="11" t="s">
        <v>366</v>
      </c>
      <c r="N126" s="11" t="b">
        <v>1</v>
      </c>
      <c r="O126" s="11" t="s">
        <v>78</v>
      </c>
      <c r="R126" s="11" t="s">
        <v>1206</v>
      </c>
    </row>
    <row r="127" hidden="1">
      <c r="A127" s="13">
        <v>2255117.0</v>
      </c>
      <c r="B127" s="14">
        <v>46207.75907407407</v>
      </c>
      <c r="C127" s="13" t="s">
        <v>97</v>
      </c>
      <c r="D127" s="13" t="s">
        <v>976</v>
      </c>
      <c r="E127" s="16"/>
      <c r="F127" s="13" t="s">
        <v>1209</v>
      </c>
      <c r="G127" s="11">
        <v>112.0</v>
      </c>
      <c r="I127" s="11" t="b">
        <v>0</v>
      </c>
      <c r="J127" s="11" t="s">
        <v>366</v>
      </c>
      <c r="N127" s="11" t="b">
        <v>1</v>
      </c>
      <c r="O127" s="11" t="s">
        <v>78</v>
      </c>
      <c r="R127" s="11" t="s">
        <v>1210</v>
      </c>
    </row>
    <row r="128" hidden="1">
      <c r="A128" s="13">
        <v>2256336.0</v>
      </c>
      <c r="B128" s="14">
        <v>46208.59826388889</v>
      </c>
      <c r="C128" s="13" t="s">
        <v>97</v>
      </c>
      <c r="D128" s="13" t="s">
        <v>1212</v>
      </c>
      <c r="E128" s="16"/>
      <c r="F128" s="13" t="s">
        <v>1216</v>
      </c>
      <c r="G128" s="11">
        <v>35.1</v>
      </c>
      <c r="I128" s="11" t="b">
        <v>0</v>
      </c>
      <c r="J128" s="11" t="s">
        <v>136</v>
      </c>
      <c r="N128" s="11" t="b">
        <v>1</v>
      </c>
      <c r="O128" s="11" t="s">
        <v>78</v>
      </c>
      <c r="R128" s="11" t="s">
        <v>1220</v>
      </c>
    </row>
    <row r="129" hidden="1">
      <c r="A129" s="13">
        <v>2256923.0</v>
      </c>
      <c r="B129" s="14">
        <v>46208.82587962963</v>
      </c>
      <c r="C129" s="13" t="s">
        <v>97</v>
      </c>
      <c r="D129" s="13" t="s">
        <v>1221</v>
      </c>
      <c r="E129" s="16"/>
      <c r="F129" s="13" t="s">
        <v>1222</v>
      </c>
      <c r="G129" s="11">
        <v>336.0</v>
      </c>
      <c r="I129" s="11" t="b">
        <v>0</v>
      </c>
      <c r="J129" s="11" t="s">
        <v>373</v>
      </c>
      <c r="N129" s="11" t="b">
        <v>1</v>
      </c>
      <c r="O129" s="11" t="s">
        <v>78</v>
      </c>
      <c r="R129" s="11" t="s">
        <v>1224</v>
      </c>
    </row>
    <row r="130" hidden="1">
      <c r="A130" s="13">
        <v>2256937.0</v>
      </c>
      <c r="B130" s="14">
        <v>46208.83015046296</v>
      </c>
      <c r="C130" s="13" t="s">
        <v>97</v>
      </c>
      <c r="D130" s="13" t="s">
        <v>721</v>
      </c>
      <c r="E130" s="16"/>
      <c r="F130" s="13" t="s">
        <v>1226</v>
      </c>
      <c r="G130" s="11">
        <v>75.0</v>
      </c>
      <c r="I130" s="11" t="b">
        <v>0</v>
      </c>
      <c r="J130" s="11" t="s">
        <v>366</v>
      </c>
      <c r="N130" s="11" t="b">
        <v>1</v>
      </c>
      <c r="O130" s="11" t="s">
        <v>78</v>
      </c>
      <c r="R130" s="11" t="s">
        <v>1229</v>
      </c>
    </row>
    <row r="131" hidden="1">
      <c r="A131" s="13">
        <v>2256940.0</v>
      </c>
      <c r="B131" s="14">
        <v>46208.83112268519</v>
      </c>
      <c r="C131" s="13" t="s">
        <v>97</v>
      </c>
      <c r="D131" s="13" t="s">
        <v>721</v>
      </c>
      <c r="E131" s="16"/>
      <c r="F131" s="13" t="s">
        <v>1231</v>
      </c>
      <c r="G131" s="11">
        <v>75.0</v>
      </c>
      <c r="I131" s="11" t="b">
        <v>0</v>
      </c>
      <c r="J131" s="11" t="s">
        <v>366</v>
      </c>
      <c r="N131" s="11" t="b">
        <v>1</v>
      </c>
      <c r="O131" s="11" t="s">
        <v>78</v>
      </c>
      <c r="R131" s="11" t="s">
        <v>1229</v>
      </c>
    </row>
    <row r="132" hidden="1">
      <c r="A132" s="13">
        <v>2258605.0</v>
      </c>
      <c r="B132" s="14">
        <v>46209.77150462963</v>
      </c>
      <c r="C132" s="13" t="s">
        <v>97</v>
      </c>
      <c r="D132" s="13" t="s">
        <v>1234</v>
      </c>
      <c r="E132" s="16"/>
      <c r="F132" s="13" t="s">
        <v>1165</v>
      </c>
      <c r="G132" s="11">
        <v>6.24</v>
      </c>
      <c r="I132" s="11" t="b">
        <v>0</v>
      </c>
      <c r="J132" s="11" t="s">
        <v>112</v>
      </c>
      <c r="K132" s="11" t="s">
        <v>126</v>
      </c>
      <c r="N132" s="11" t="b">
        <v>1</v>
      </c>
      <c r="O132" s="11" t="s">
        <v>78</v>
      </c>
      <c r="R132" s="11" t="s">
        <v>1238</v>
      </c>
    </row>
    <row r="133" hidden="1">
      <c r="A133" s="13">
        <v>2258626.0</v>
      </c>
      <c r="B133" s="14">
        <v>46209.777962962966</v>
      </c>
      <c r="C133" s="13" t="s">
        <v>97</v>
      </c>
      <c r="D133" s="13" t="s">
        <v>666</v>
      </c>
      <c r="E133" s="16"/>
      <c r="F133" s="13" t="s">
        <v>1239</v>
      </c>
      <c r="G133" s="11">
        <v>90.0</v>
      </c>
      <c r="I133" s="11" t="b">
        <v>0</v>
      </c>
      <c r="J133" s="11" t="s">
        <v>366</v>
      </c>
      <c r="N133" s="11" t="b">
        <v>1</v>
      </c>
      <c r="O133" s="11" t="s">
        <v>78</v>
      </c>
      <c r="R133" s="11" t="s">
        <v>1241</v>
      </c>
    </row>
    <row r="134" hidden="1">
      <c r="A134" s="13">
        <v>2258755.0</v>
      </c>
      <c r="B134" s="14">
        <v>46209.840729166666</v>
      </c>
      <c r="C134" s="13" t="s">
        <v>97</v>
      </c>
      <c r="D134" s="13" t="s">
        <v>1245</v>
      </c>
      <c r="E134" s="22"/>
      <c r="F134" s="13" t="s">
        <v>1165</v>
      </c>
      <c r="G134" s="11">
        <v>17.51</v>
      </c>
      <c r="I134" s="11" t="b">
        <v>0</v>
      </c>
      <c r="J134" s="11" t="s">
        <v>112</v>
      </c>
      <c r="K134" s="11" t="s">
        <v>126</v>
      </c>
      <c r="N134" s="11" t="b">
        <v>1</v>
      </c>
      <c r="O134" s="11" t="s">
        <v>78</v>
      </c>
      <c r="R134" s="11" t="s">
        <v>1249</v>
      </c>
    </row>
    <row r="135" hidden="1">
      <c r="A135" s="13">
        <v>2259957.0</v>
      </c>
      <c r="B135" s="14">
        <v>46210.74696759259</v>
      </c>
      <c r="C135" s="13" t="s">
        <v>97</v>
      </c>
      <c r="D135" s="13" t="s">
        <v>422</v>
      </c>
      <c r="E135" s="16"/>
      <c r="F135" s="13" t="s">
        <v>1165</v>
      </c>
      <c r="G135" s="11">
        <v>9.96</v>
      </c>
      <c r="I135" s="11" t="b">
        <v>0</v>
      </c>
      <c r="J135" s="11" t="s">
        <v>112</v>
      </c>
      <c r="K135" s="11" t="s">
        <v>126</v>
      </c>
      <c r="N135" s="11" t="b">
        <v>1</v>
      </c>
      <c r="O135" s="11" t="s">
        <v>78</v>
      </c>
      <c r="R135" s="11" t="s">
        <v>1255</v>
      </c>
    </row>
    <row r="136" hidden="1">
      <c r="A136" s="13">
        <v>2262740.0</v>
      </c>
      <c r="B136" s="14">
        <v>46212.721550925926</v>
      </c>
      <c r="C136" s="13" t="s">
        <v>97</v>
      </c>
      <c r="D136" s="13" t="s">
        <v>1257</v>
      </c>
      <c r="E136" s="16"/>
      <c r="F136" s="13" t="s">
        <v>1258</v>
      </c>
      <c r="G136" s="11">
        <v>56.37</v>
      </c>
      <c r="I136" s="11" t="b">
        <v>0</v>
      </c>
      <c r="J136" s="11" t="s">
        <v>136</v>
      </c>
      <c r="N136" s="11" t="b">
        <v>1</v>
      </c>
      <c r="O136" s="11" t="s">
        <v>78</v>
      </c>
      <c r="R136" s="11" t="s">
        <v>1260</v>
      </c>
    </row>
    <row r="137" hidden="1">
      <c r="A137" s="13">
        <v>2262744.0</v>
      </c>
      <c r="B137" s="14">
        <v>46212.72321759259</v>
      </c>
      <c r="C137" s="13" t="s">
        <v>97</v>
      </c>
      <c r="D137" s="13" t="s">
        <v>1262</v>
      </c>
      <c r="E137" s="16"/>
      <c r="F137" s="13" t="s">
        <v>1264</v>
      </c>
      <c r="G137" s="11">
        <v>86.1</v>
      </c>
      <c r="I137" s="11" t="b">
        <v>0</v>
      </c>
      <c r="J137" s="11" t="s">
        <v>136</v>
      </c>
      <c r="N137" s="11" t="b">
        <v>1</v>
      </c>
      <c r="O137" s="11" t="s">
        <v>78</v>
      </c>
      <c r="R137" s="11" t="s">
        <v>1266</v>
      </c>
    </row>
    <row r="138" hidden="1">
      <c r="A138" s="13">
        <v>2263052.0</v>
      </c>
      <c r="B138" s="14">
        <v>46212.83017361111</v>
      </c>
      <c r="C138" s="13" t="s">
        <v>97</v>
      </c>
      <c r="D138" s="13" t="s">
        <v>1269</v>
      </c>
      <c r="E138" s="16"/>
      <c r="F138" s="13" t="s">
        <v>1271</v>
      </c>
      <c r="G138" s="11">
        <v>12.38</v>
      </c>
      <c r="I138" s="11" t="b">
        <v>0</v>
      </c>
      <c r="J138" s="11" t="s">
        <v>112</v>
      </c>
      <c r="K138" s="11" t="s">
        <v>1273</v>
      </c>
      <c r="N138" s="11" t="b">
        <v>1</v>
      </c>
      <c r="O138" s="11" t="s">
        <v>78</v>
      </c>
      <c r="R138" s="11" t="s">
        <v>1276</v>
      </c>
    </row>
    <row r="139" hidden="1">
      <c r="A139" s="13">
        <v>2264554.0</v>
      </c>
      <c r="B139" s="14">
        <v>46213.77133101852</v>
      </c>
      <c r="C139" s="13" t="s">
        <v>97</v>
      </c>
      <c r="D139" s="13" t="s">
        <v>1278</v>
      </c>
      <c r="E139" s="16"/>
      <c r="F139" s="13" t="s">
        <v>1283</v>
      </c>
      <c r="G139" s="11">
        <v>7.05</v>
      </c>
      <c r="I139" s="11" t="b">
        <v>0</v>
      </c>
      <c r="J139" s="11" t="s">
        <v>112</v>
      </c>
      <c r="K139" s="11" t="s">
        <v>1273</v>
      </c>
      <c r="N139" s="11" t="b">
        <v>1</v>
      </c>
      <c r="O139" s="11" t="s">
        <v>78</v>
      </c>
      <c r="R139" s="11" t="s">
        <v>1287</v>
      </c>
    </row>
    <row r="140" hidden="1">
      <c r="A140" s="13">
        <v>2264699.0</v>
      </c>
      <c r="B140" s="14">
        <v>46213.839907407404</v>
      </c>
      <c r="C140" s="13" t="s">
        <v>97</v>
      </c>
      <c r="D140" s="13" t="s">
        <v>473</v>
      </c>
      <c r="E140" s="16"/>
      <c r="F140" s="13" t="s">
        <v>1290</v>
      </c>
      <c r="G140" s="11">
        <v>84.0</v>
      </c>
      <c r="I140" s="11" t="b">
        <v>0</v>
      </c>
      <c r="J140" s="11" t="s">
        <v>136</v>
      </c>
      <c r="N140" s="11" t="b">
        <v>1</v>
      </c>
      <c r="O140" s="11" t="s">
        <v>78</v>
      </c>
      <c r="R140" s="11" t="s">
        <v>1292</v>
      </c>
    </row>
    <row r="141" hidden="1">
      <c r="A141" s="13">
        <v>2266357.0</v>
      </c>
      <c r="B141" s="14">
        <v>46214.837905092594</v>
      </c>
      <c r="C141" s="13" t="s">
        <v>97</v>
      </c>
      <c r="D141" s="13" t="s">
        <v>650</v>
      </c>
      <c r="E141" s="16"/>
      <c r="F141" s="13" t="s">
        <v>1296</v>
      </c>
      <c r="G141" s="11">
        <v>78.0</v>
      </c>
      <c r="I141" s="11" t="b">
        <v>0</v>
      </c>
      <c r="J141" s="11" t="s">
        <v>366</v>
      </c>
      <c r="N141" s="11" t="b">
        <v>1</v>
      </c>
      <c r="O141" s="11" t="s">
        <v>78</v>
      </c>
      <c r="R141" s="11" t="s">
        <v>1299</v>
      </c>
    </row>
    <row r="142" hidden="1">
      <c r="A142" s="13">
        <v>2268291.0</v>
      </c>
      <c r="B142" s="14">
        <v>46215.80746527778</v>
      </c>
      <c r="C142" s="13" t="s">
        <v>97</v>
      </c>
      <c r="D142" s="13" t="s">
        <v>1301</v>
      </c>
      <c r="E142" s="16"/>
      <c r="F142" s="13" t="s">
        <v>1303</v>
      </c>
      <c r="G142" s="11">
        <v>10.7</v>
      </c>
      <c r="I142" s="11" t="b">
        <v>0</v>
      </c>
      <c r="J142" s="11" t="s">
        <v>136</v>
      </c>
      <c r="N142" s="11" t="b">
        <v>1</v>
      </c>
      <c r="O142" s="11" t="s">
        <v>78</v>
      </c>
      <c r="R142" s="11" t="s">
        <v>1309</v>
      </c>
    </row>
    <row r="143" hidden="1">
      <c r="A143" s="13">
        <v>2268314.0</v>
      </c>
      <c r="B143" s="14">
        <v>46215.81045138889</v>
      </c>
      <c r="C143" s="13" t="s">
        <v>97</v>
      </c>
      <c r="D143" s="13" t="s">
        <v>727</v>
      </c>
      <c r="E143" s="16"/>
      <c r="F143" s="13" t="s">
        <v>1310</v>
      </c>
      <c r="G143" s="11">
        <v>120.0</v>
      </c>
      <c r="I143" s="11" t="b">
        <v>0</v>
      </c>
      <c r="J143" s="11" t="s">
        <v>366</v>
      </c>
      <c r="N143" s="11" t="b">
        <v>1</v>
      </c>
      <c r="O143" s="11" t="s">
        <v>78</v>
      </c>
      <c r="R143" s="11" t="s">
        <v>1314</v>
      </c>
    </row>
    <row r="144" hidden="1">
      <c r="A144" s="13">
        <v>2268319.0</v>
      </c>
      <c r="B144" s="14">
        <v>46215.811064814814</v>
      </c>
      <c r="C144" s="13" t="s">
        <v>97</v>
      </c>
      <c r="D144" s="13" t="s">
        <v>727</v>
      </c>
      <c r="E144" s="16"/>
      <c r="F144" s="13" t="s">
        <v>1317</v>
      </c>
      <c r="G144" s="11">
        <v>120.0</v>
      </c>
      <c r="I144" s="11" t="b">
        <v>0</v>
      </c>
      <c r="J144" s="11" t="s">
        <v>366</v>
      </c>
      <c r="N144" s="11" t="b">
        <v>1</v>
      </c>
      <c r="O144" s="11" t="s">
        <v>78</v>
      </c>
      <c r="R144" s="11" t="s">
        <v>1314</v>
      </c>
    </row>
    <row r="145" hidden="1">
      <c r="A145" s="13">
        <v>2268333.0</v>
      </c>
      <c r="B145" s="14">
        <v>46215.814409722225</v>
      </c>
      <c r="C145" s="13" t="s">
        <v>97</v>
      </c>
      <c r="D145" s="13" t="s">
        <v>1322</v>
      </c>
      <c r="E145" s="16"/>
      <c r="F145" s="13" t="s">
        <v>1323</v>
      </c>
      <c r="G145" s="11">
        <v>1400.0</v>
      </c>
      <c r="I145" s="11" t="b">
        <v>0</v>
      </c>
      <c r="J145" s="11" t="s">
        <v>396</v>
      </c>
      <c r="K145" s="11" t="s">
        <v>225</v>
      </c>
      <c r="N145" s="11" t="b">
        <v>1</v>
      </c>
      <c r="O145" s="11" t="s">
        <v>78</v>
      </c>
      <c r="R145" s="11" t="s">
        <v>1326</v>
      </c>
    </row>
    <row r="146" hidden="1">
      <c r="A146" s="13">
        <v>2268434.0</v>
      </c>
      <c r="B146" s="14">
        <v>46215.835</v>
      </c>
      <c r="C146" s="13" t="s">
        <v>97</v>
      </c>
      <c r="D146" s="13" t="s">
        <v>755</v>
      </c>
      <c r="E146" s="16"/>
      <c r="F146" s="13" t="s">
        <v>1328</v>
      </c>
      <c r="G146" s="11">
        <v>390.0</v>
      </c>
      <c r="I146" s="11" t="b">
        <v>0</v>
      </c>
      <c r="J146" s="11" t="s">
        <v>373</v>
      </c>
      <c r="N146" s="11" t="b">
        <v>1</v>
      </c>
      <c r="O146" s="11" t="s">
        <v>78</v>
      </c>
      <c r="R146" s="11" t="s">
        <v>1330</v>
      </c>
    </row>
    <row r="147" hidden="1">
      <c r="A147" s="13">
        <v>2269852.0</v>
      </c>
      <c r="B147" s="14">
        <v>46216.621932870374</v>
      </c>
      <c r="C147" s="13" t="s">
        <v>97</v>
      </c>
      <c r="D147" s="13" t="s">
        <v>473</v>
      </c>
      <c r="E147" s="16"/>
      <c r="F147" s="13" t="s">
        <v>1333</v>
      </c>
      <c r="G147" s="11">
        <v>84.0</v>
      </c>
      <c r="I147" s="11" t="b">
        <v>0</v>
      </c>
      <c r="J147" s="11" t="s">
        <v>136</v>
      </c>
      <c r="M147" s="11" t="s">
        <v>1335</v>
      </c>
      <c r="N147" s="11" t="b">
        <v>1</v>
      </c>
      <c r="O147" s="11" t="s">
        <v>78</v>
      </c>
      <c r="R147" s="11" t="s">
        <v>1336</v>
      </c>
    </row>
    <row r="148" hidden="1">
      <c r="A148" s="13">
        <v>2270213.0</v>
      </c>
      <c r="B148" s="14">
        <v>46216.74184027778</v>
      </c>
      <c r="C148" s="13" t="s">
        <v>97</v>
      </c>
      <c r="D148" s="13" t="s">
        <v>1338</v>
      </c>
      <c r="E148" s="16"/>
      <c r="F148" s="13" t="s">
        <v>1339</v>
      </c>
      <c r="G148" s="11">
        <v>50.85</v>
      </c>
      <c r="I148" s="11" t="b">
        <v>0</v>
      </c>
      <c r="J148" s="11" t="s">
        <v>136</v>
      </c>
      <c r="M148" s="11" t="s">
        <v>1341</v>
      </c>
      <c r="N148" s="11" t="b">
        <v>1</v>
      </c>
      <c r="O148" s="11" t="s">
        <v>78</v>
      </c>
      <c r="R148" s="11" t="s">
        <v>1343</v>
      </c>
    </row>
    <row r="149" hidden="1">
      <c r="A149" s="13">
        <v>2270441.0</v>
      </c>
      <c r="B149" s="14">
        <v>46216.83118055556</v>
      </c>
      <c r="C149" s="13" t="s">
        <v>97</v>
      </c>
      <c r="D149" s="13" t="s">
        <v>1344</v>
      </c>
      <c r="E149" s="16"/>
      <c r="F149" s="13" t="s">
        <v>1346</v>
      </c>
      <c r="G149" s="11">
        <v>10.87</v>
      </c>
      <c r="I149" s="11" t="b">
        <v>0</v>
      </c>
      <c r="J149" s="11" t="s">
        <v>112</v>
      </c>
      <c r="K149" s="11" t="s">
        <v>1273</v>
      </c>
      <c r="N149" s="11" t="b">
        <v>1</v>
      </c>
      <c r="O149" s="11" t="s">
        <v>78</v>
      </c>
      <c r="R149" s="11" t="s">
        <v>1348</v>
      </c>
    </row>
    <row r="150" hidden="1">
      <c r="A150" s="13">
        <v>2270461.0</v>
      </c>
      <c r="B150" s="14">
        <v>46216.84548611111</v>
      </c>
      <c r="C150" s="13" t="s">
        <v>97</v>
      </c>
      <c r="D150" s="13" t="s">
        <v>1351</v>
      </c>
      <c r="E150" s="16"/>
      <c r="F150" s="13" t="s">
        <v>1352</v>
      </c>
      <c r="G150" s="11">
        <v>61.75</v>
      </c>
      <c r="I150" s="11" t="b">
        <v>0</v>
      </c>
      <c r="J150" s="11" t="s">
        <v>366</v>
      </c>
      <c r="N150" s="11" t="b">
        <v>1</v>
      </c>
      <c r="O150" s="11" t="s">
        <v>78</v>
      </c>
      <c r="R150" s="11" t="s">
        <v>1354</v>
      </c>
    </row>
    <row r="151" hidden="1">
      <c r="A151" s="13">
        <v>2271634.0</v>
      </c>
      <c r="B151" s="14">
        <v>46217.746724537035</v>
      </c>
      <c r="C151" s="13" t="s">
        <v>97</v>
      </c>
      <c r="D151" s="13" t="s">
        <v>1356</v>
      </c>
      <c r="E151" s="16"/>
      <c r="F151" s="13" t="s">
        <v>1358</v>
      </c>
      <c r="G151" s="11">
        <v>37.46</v>
      </c>
      <c r="I151" s="11" t="b">
        <v>0</v>
      </c>
      <c r="J151" s="11" t="s">
        <v>136</v>
      </c>
      <c r="M151" s="11" t="s">
        <v>1360</v>
      </c>
      <c r="N151" s="11" t="b">
        <v>1</v>
      </c>
      <c r="O151" s="11" t="s">
        <v>78</v>
      </c>
      <c r="R151" s="11" t="s">
        <v>1361</v>
      </c>
    </row>
    <row r="152" hidden="1">
      <c r="A152" s="13">
        <v>2271715.0</v>
      </c>
      <c r="B152" s="14">
        <v>46217.780069444445</v>
      </c>
      <c r="C152" s="13" t="s">
        <v>97</v>
      </c>
      <c r="D152" s="13" t="s">
        <v>650</v>
      </c>
      <c r="E152" s="22"/>
      <c r="F152" s="13" t="s">
        <v>1365</v>
      </c>
      <c r="G152" s="11">
        <v>78.0</v>
      </c>
      <c r="I152" s="11" t="b">
        <v>0</v>
      </c>
      <c r="J152" s="11" t="s">
        <v>366</v>
      </c>
      <c r="N152" s="11" t="b">
        <v>1</v>
      </c>
      <c r="O152" s="11" t="s">
        <v>78</v>
      </c>
      <c r="R152" s="11" t="s">
        <v>1367</v>
      </c>
    </row>
    <row r="153" hidden="1">
      <c r="A153" s="13">
        <v>2274855.0</v>
      </c>
      <c r="B153" s="14">
        <v>46219.831238425926</v>
      </c>
      <c r="C153" s="13" t="s">
        <v>97</v>
      </c>
      <c r="D153" s="13" t="s">
        <v>1369</v>
      </c>
      <c r="E153" s="22"/>
      <c r="F153" s="13" t="s">
        <v>1370</v>
      </c>
      <c r="G153" s="11">
        <v>39.96</v>
      </c>
      <c r="I153" s="11" t="b">
        <v>0</v>
      </c>
      <c r="J153" s="11" t="s">
        <v>136</v>
      </c>
      <c r="N153" s="11" t="b">
        <v>1</v>
      </c>
      <c r="O153" s="11" t="s">
        <v>78</v>
      </c>
      <c r="R153" s="11" t="s">
        <v>1372</v>
      </c>
    </row>
    <row r="154" hidden="1">
      <c r="A154" s="13">
        <v>2276536.0</v>
      </c>
      <c r="B154" s="14">
        <v>46220.739953703705</v>
      </c>
      <c r="C154" s="13" t="s">
        <v>97</v>
      </c>
      <c r="D154" s="13" t="s">
        <v>290</v>
      </c>
      <c r="E154" s="16"/>
      <c r="F154" s="13" t="s">
        <v>1378</v>
      </c>
      <c r="G154" s="11">
        <v>140.0</v>
      </c>
      <c r="I154" s="11" t="b">
        <v>0</v>
      </c>
      <c r="J154" s="11" t="s">
        <v>136</v>
      </c>
      <c r="N154" s="11" t="b">
        <v>1</v>
      </c>
      <c r="O154" s="11" t="s">
        <v>78</v>
      </c>
      <c r="R154" s="11" t="s">
        <v>1380</v>
      </c>
    </row>
    <row r="155" hidden="1">
      <c r="A155" s="13">
        <v>2276540.0</v>
      </c>
      <c r="B155" s="14">
        <v>46220.74105324074</v>
      </c>
      <c r="C155" s="13" t="s">
        <v>97</v>
      </c>
      <c r="D155" s="13" t="s">
        <v>1383</v>
      </c>
      <c r="E155" s="16"/>
      <c r="F155" s="13" t="s">
        <v>1384</v>
      </c>
      <c r="G155" s="11">
        <v>351.83</v>
      </c>
      <c r="I155" s="11" t="b">
        <v>0</v>
      </c>
      <c r="J155" s="11" t="s">
        <v>136</v>
      </c>
      <c r="N155" s="11" t="b">
        <v>1</v>
      </c>
      <c r="O155" s="11" t="s">
        <v>78</v>
      </c>
      <c r="R155" s="11" t="s">
        <v>1388</v>
      </c>
    </row>
    <row r="156" hidden="1">
      <c r="A156" s="13">
        <v>2278800.0</v>
      </c>
      <c r="B156" s="14">
        <v>46221.76361111111</v>
      </c>
      <c r="C156" s="13" t="s">
        <v>97</v>
      </c>
      <c r="D156" s="13" t="s">
        <v>1393</v>
      </c>
      <c r="E156" s="16"/>
      <c r="F156" s="13" t="s">
        <v>1397</v>
      </c>
      <c r="G156" s="11">
        <v>125.0</v>
      </c>
      <c r="I156" s="11" t="b">
        <v>0</v>
      </c>
      <c r="J156" s="11" t="s">
        <v>366</v>
      </c>
      <c r="N156" s="11" t="b">
        <v>1</v>
      </c>
      <c r="O156" s="11" t="s">
        <v>78</v>
      </c>
      <c r="R156" s="11" t="s">
        <v>1401</v>
      </c>
    </row>
    <row r="157" hidden="1">
      <c r="A157" s="13">
        <v>2279043.0</v>
      </c>
      <c r="B157" s="14">
        <v>46221.822650462964</v>
      </c>
      <c r="C157" s="13" t="s">
        <v>97</v>
      </c>
      <c r="D157" s="13" t="s">
        <v>727</v>
      </c>
      <c r="E157" s="16"/>
      <c r="F157" s="13" t="s">
        <v>1405</v>
      </c>
      <c r="G157" s="11">
        <v>120.0</v>
      </c>
      <c r="I157" s="11" t="b">
        <v>0</v>
      </c>
      <c r="J157" s="11" t="s">
        <v>366</v>
      </c>
      <c r="N157" s="11" t="b">
        <v>1</v>
      </c>
      <c r="O157" s="11" t="s">
        <v>78</v>
      </c>
      <c r="R157" s="11" t="s">
        <v>1408</v>
      </c>
    </row>
    <row r="158" hidden="1">
      <c r="A158" s="13">
        <v>2279054.0</v>
      </c>
      <c r="B158" s="14">
        <v>46221.824641203704</v>
      </c>
      <c r="C158" s="13" t="s">
        <v>97</v>
      </c>
      <c r="D158" s="13" t="s">
        <v>1412</v>
      </c>
      <c r="E158" s="16"/>
      <c r="F158" s="13" t="s">
        <v>1413</v>
      </c>
      <c r="G158" s="11">
        <v>800.0</v>
      </c>
      <c r="I158" s="11" t="b">
        <v>0</v>
      </c>
      <c r="J158" s="11" t="s">
        <v>396</v>
      </c>
      <c r="K158" s="11" t="s">
        <v>225</v>
      </c>
      <c r="N158" s="11" t="b">
        <v>1</v>
      </c>
      <c r="O158" s="11" t="s">
        <v>78</v>
      </c>
      <c r="R158" s="11" t="s">
        <v>1418</v>
      </c>
    </row>
    <row r="159" hidden="1">
      <c r="A159" s="13">
        <v>2280880.0</v>
      </c>
      <c r="B159" s="14">
        <v>46222.71787037037</v>
      </c>
      <c r="C159" s="13" t="s">
        <v>97</v>
      </c>
      <c r="D159" s="13" t="s">
        <v>1420</v>
      </c>
      <c r="E159" s="16"/>
      <c r="F159" s="13" t="s">
        <v>1422</v>
      </c>
      <c r="G159" s="11">
        <v>16.2</v>
      </c>
      <c r="I159" s="11" t="b">
        <v>0</v>
      </c>
      <c r="J159" s="11" t="s">
        <v>112</v>
      </c>
      <c r="K159" s="11" t="s">
        <v>225</v>
      </c>
      <c r="N159" s="11" t="b">
        <v>1</v>
      </c>
      <c r="O159" s="11" t="s">
        <v>78</v>
      </c>
      <c r="R159" s="11" t="s">
        <v>1426</v>
      </c>
    </row>
    <row r="160" hidden="1">
      <c r="A160" s="13">
        <v>2281002.0</v>
      </c>
      <c r="B160" s="14">
        <v>46222.74185185185</v>
      </c>
      <c r="C160" s="13" t="s">
        <v>97</v>
      </c>
      <c r="D160" s="13" t="s">
        <v>1429</v>
      </c>
      <c r="E160" s="16"/>
      <c r="F160" s="13" t="s">
        <v>1431</v>
      </c>
      <c r="G160" s="11">
        <v>123.48</v>
      </c>
      <c r="I160" s="11" t="b">
        <v>0</v>
      </c>
      <c r="J160" s="11" t="s">
        <v>136</v>
      </c>
      <c r="N160" s="11" t="b">
        <v>1</v>
      </c>
      <c r="O160" s="11" t="s">
        <v>78</v>
      </c>
      <c r="R160" s="11" t="s">
        <v>1434</v>
      </c>
    </row>
    <row r="161" hidden="1">
      <c r="A161" s="13">
        <v>2281106.0</v>
      </c>
      <c r="B161" s="14">
        <v>46222.75865740741</v>
      </c>
      <c r="C161" s="13" t="s">
        <v>97</v>
      </c>
      <c r="D161" s="13" t="s">
        <v>462</v>
      </c>
      <c r="E161" s="16"/>
      <c r="F161" s="13" t="s">
        <v>1439</v>
      </c>
      <c r="G161" s="11">
        <v>700.0</v>
      </c>
      <c r="I161" s="11" t="b">
        <v>0</v>
      </c>
      <c r="J161" s="11" t="s">
        <v>396</v>
      </c>
      <c r="K161" s="11" t="s">
        <v>225</v>
      </c>
      <c r="N161" s="11" t="b">
        <v>1</v>
      </c>
      <c r="O161" s="11" t="s">
        <v>78</v>
      </c>
      <c r="R161" s="11" t="s">
        <v>1443</v>
      </c>
    </row>
    <row r="162" hidden="1">
      <c r="A162" s="13">
        <v>2281583.0</v>
      </c>
      <c r="B162" s="14">
        <v>46222.84599537037</v>
      </c>
      <c r="C162" s="13" t="s">
        <v>97</v>
      </c>
      <c r="D162" s="13" t="s">
        <v>727</v>
      </c>
      <c r="E162" s="16"/>
      <c r="F162" s="13" t="s">
        <v>1446</v>
      </c>
      <c r="G162" s="11">
        <v>120.0</v>
      </c>
      <c r="I162" s="11" t="b">
        <v>0</v>
      </c>
      <c r="J162" s="11" t="s">
        <v>366</v>
      </c>
      <c r="N162" s="11" t="b">
        <v>1</v>
      </c>
      <c r="O162" s="11" t="s">
        <v>78</v>
      </c>
      <c r="R162" s="11" t="s">
        <v>1449</v>
      </c>
    </row>
    <row r="163" hidden="1">
      <c r="A163" s="13">
        <v>2281584.0</v>
      </c>
      <c r="B163" s="14">
        <v>46222.84599537037</v>
      </c>
      <c r="C163" s="13" t="s">
        <v>97</v>
      </c>
      <c r="D163" s="13" t="s">
        <v>1453</v>
      </c>
      <c r="E163" s="16"/>
      <c r="F163" s="13" t="s">
        <v>1455</v>
      </c>
      <c r="G163" s="11">
        <v>510.0</v>
      </c>
      <c r="I163" s="11" t="b">
        <v>0</v>
      </c>
      <c r="J163" s="11" t="s">
        <v>373</v>
      </c>
      <c r="N163" s="11" t="b">
        <v>1</v>
      </c>
      <c r="O163" s="11" t="s">
        <v>78</v>
      </c>
      <c r="R163" s="11" t="s">
        <v>1458</v>
      </c>
    </row>
    <row r="164" hidden="1">
      <c r="A164" s="13">
        <v>2281585.0</v>
      </c>
      <c r="B164" s="14">
        <v>46222.84599537037</v>
      </c>
      <c r="C164" s="13" t="s">
        <v>97</v>
      </c>
      <c r="D164" s="13" t="s">
        <v>727</v>
      </c>
      <c r="E164" s="16"/>
      <c r="F164" s="13" t="s">
        <v>1446</v>
      </c>
      <c r="G164" s="11">
        <v>120.0</v>
      </c>
      <c r="I164" s="11" t="b">
        <v>0</v>
      </c>
      <c r="J164" s="11" t="s">
        <v>366</v>
      </c>
      <c r="N164" s="11" t="b">
        <v>1</v>
      </c>
      <c r="O164" s="11" t="s">
        <v>78</v>
      </c>
      <c r="R164" s="11" t="s">
        <v>1449</v>
      </c>
    </row>
    <row r="165" hidden="1">
      <c r="A165" s="13">
        <v>2283908.0</v>
      </c>
      <c r="B165" s="14">
        <v>46223.828194444446</v>
      </c>
      <c r="C165" s="13" t="s">
        <v>97</v>
      </c>
      <c r="D165" s="13" t="s">
        <v>1465</v>
      </c>
      <c r="E165" s="22"/>
      <c r="F165" s="13" t="s">
        <v>1466</v>
      </c>
      <c r="G165" s="11">
        <v>52.5</v>
      </c>
      <c r="I165" s="11" t="b">
        <v>0</v>
      </c>
      <c r="J165" s="11" t="s">
        <v>366</v>
      </c>
      <c r="N165" s="11" t="b">
        <v>1</v>
      </c>
      <c r="O165" s="11" t="s">
        <v>78</v>
      </c>
      <c r="R165" s="11" t="s">
        <v>1468</v>
      </c>
    </row>
    <row r="166" hidden="1">
      <c r="A166" s="13">
        <v>2283911.0</v>
      </c>
      <c r="B166" s="14">
        <v>46223.828576388885</v>
      </c>
      <c r="C166" s="13" t="s">
        <v>97</v>
      </c>
      <c r="D166" s="13" t="s">
        <v>290</v>
      </c>
      <c r="E166" s="16"/>
      <c r="F166" s="13" t="s">
        <v>1472</v>
      </c>
      <c r="G166" s="11">
        <v>140.0</v>
      </c>
      <c r="I166" s="11" t="b">
        <v>0</v>
      </c>
      <c r="J166" s="11" t="s">
        <v>136</v>
      </c>
      <c r="N166" s="11" t="b">
        <v>1</v>
      </c>
      <c r="O166" s="11" t="s">
        <v>78</v>
      </c>
      <c r="R166" s="11" t="s">
        <v>1474</v>
      </c>
    </row>
    <row r="167" hidden="1">
      <c r="A167" s="13">
        <v>2285667.0</v>
      </c>
      <c r="B167" s="14">
        <v>46224.82616898148</v>
      </c>
      <c r="C167" s="13" t="s">
        <v>97</v>
      </c>
      <c r="D167" s="13" t="s">
        <v>1476</v>
      </c>
      <c r="E167" s="16"/>
      <c r="F167" s="13" t="s">
        <v>1479</v>
      </c>
      <c r="G167" s="11">
        <v>256.89</v>
      </c>
      <c r="I167" s="11" t="b">
        <v>0</v>
      </c>
      <c r="J167" s="11" t="s">
        <v>136</v>
      </c>
      <c r="N167" s="11" t="b">
        <v>1</v>
      </c>
      <c r="O167" s="11" t="s">
        <v>78</v>
      </c>
      <c r="R167" s="11" t="s">
        <v>1481</v>
      </c>
    </row>
    <row r="168" hidden="1">
      <c r="A168" s="13">
        <v>2285676.0</v>
      </c>
      <c r="B168" s="14">
        <v>46224.829780092594</v>
      </c>
      <c r="C168" s="13" t="s">
        <v>97</v>
      </c>
      <c r="D168" s="13" t="s">
        <v>1484</v>
      </c>
      <c r="E168" s="22"/>
      <c r="F168" s="13" t="s">
        <v>1485</v>
      </c>
      <c r="G168" s="11">
        <v>624.0</v>
      </c>
      <c r="I168" s="11" t="b">
        <v>0</v>
      </c>
      <c r="J168" s="11" t="s">
        <v>366</v>
      </c>
      <c r="N168" s="11" t="b">
        <v>1</v>
      </c>
      <c r="O168" s="11" t="s">
        <v>78</v>
      </c>
      <c r="R168" s="11" t="s">
        <v>1487</v>
      </c>
    </row>
    <row r="169" hidden="1">
      <c r="A169" s="13">
        <v>2286778.0</v>
      </c>
      <c r="B169" s="14">
        <v>46225.65939814815</v>
      </c>
      <c r="C169" s="13" t="s">
        <v>97</v>
      </c>
      <c r="D169" s="13" t="s">
        <v>290</v>
      </c>
      <c r="E169" s="16"/>
      <c r="F169" s="13" t="s">
        <v>1490</v>
      </c>
      <c r="G169" s="11">
        <v>140.0</v>
      </c>
      <c r="I169" s="11" t="b">
        <v>0</v>
      </c>
      <c r="J169" s="11" t="s">
        <v>136</v>
      </c>
      <c r="N169" s="11" t="b">
        <v>1</v>
      </c>
      <c r="O169" s="11" t="s">
        <v>78</v>
      </c>
      <c r="R169" s="11" t="s">
        <v>1491</v>
      </c>
    </row>
    <row r="170" hidden="1">
      <c r="A170" s="13">
        <v>2287015.0</v>
      </c>
      <c r="B170" s="14">
        <v>46225.7425</v>
      </c>
      <c r="C170" s="13" t="s">
        <v>97</v>
      </c>
      <c r="D170" s="13" t="s">
        <v>1492</v>
      </c>
      <c r="E170" s="16"/>
      <c r="F170" s="13" t="s">
        <v>1494</v>
      </c>
      <c r="G170" s="11">
        <v>13.69</v>
      </c>
      <c r="I170" s="11" t="b">
        <v>0</v>
      </c>
      <c r="J170" s="11" t="s">
        <v>112</v>
      </c>
      <c r="K170" s="11" t="s">
        <v>1273</v>
      </c>
      <c r="N170" s="11" t="b">
        <v>1</v>
      </c>
      <c r="O170" s="11" t="s">
        <v>78</v>
      </c>
      <c r="R170" s="11" t="s">
        <v>1495</v>
      </c>
    </row>
    <row r="171" hidden="1">
      <c r="A171" s="13">
        <v>2289671.0</v>
      </c>
      <c r="B171" s="14">
        <v>46227.62741898148</v>
      </c>
      <c r="C171" s="13" t="s">
        <v>97</v>
      </c>
      <c r="D171" s="13" t="s">
        <v>976</v>
      </c>
      <c r="E171" s="16"/>
      <c r="F171" s="13" t="s">
        <v>1499</v>
      </c>
      <c r="G171" s="11">
        <v>112.0</v>
      </c>
      <c r="I171" s="11" t="b">
        <v>0</v>
      </c>
      <c r="J171" s="11" t="s">
        <v>136</v>
      </c>
      <c r="M171" s="11" t="s">
        <v>1500</v>
      </c>
      <c r="N171" s="11" t="b">
        <v>1</v>
      </c>
      <c r="O171" s="11" t="s">
        <v>78</v>
      </c>
      <c r="R171" s="11" t="s">
        <v>1502</v>
      </c>
    </row>
    <row r="172" hidden="1">
      <c r="A172" s="13">
        <v>2290100.0</v>
      </c>
      <c r="B172" s="14">
        <v>46227.75225694444</v>
      </c>
      <c r="C172" s="13" t="s">
        <v>97</v>
      </c>
      <c r="D172" s="13" t="s">
        <v>1504</v>
      </c>
      <c r="E172" s="16"/>
      <c r="F172" s="13" t="s">
        <v>1506</v>
      </c>
      <c r="G172" s="11">
        <v>254.68</v>
      </c>
      <c r="I172" s="11" t="b">
        <v>0</v>
      </c>
      <c r="J172" s="11" t="s">
        <v>136</v>
      </c>
      <c r="N172" s="11" t="b">
        <v>1</v>
      </c>
      <c r="O172" s="11" t="s">
        <v>78</v>
      </c>
      <c r="R172" s="11" t="s">
        <v>1508</v>
      </c>
    </row>
    <row r="173" hidden="1">
      <c r="A173" s="13">
        <v>2291797.0</v>
      </c>
      <c r="B173" s="14">
        <v>46228.77469907407</v>
      </c>
      <c r="C173" s="13" t="s">
        <v>97</v>
      </c>
      <c r="D173" s="13" t="s">
        <v>727</v>
      </c>
      <c r="E173" s="16"/>
      <c r="F173" s="13" t="s">
        <v>1510</v>
      </c>
      <c r="G173" s="11">
        <v>120.0</v>
      </c>
      <c r="I173" s="11" t="b">
        <v>0</v>
      </c>
      <c r="J173" s="11" t="s">
        <v>366</v>
      </c>
      <c r="N173" s="11" t="b">
        <v>1</v>
      </c>
      <c r="O173" s="11" t="s">
        <v>78</v>
      </c>
      <c r="R173" s="11" t="s">
        <v>1513</v>
      </c>
    </row>
    <row r="174" hidden="1">
      <c r="A174" s="13">
        <v>2291798.0</v>
      </c>
      <c r="B174" s="14">
        <v>46228.77512731482</v>
      </c>
      <c r="C174" s="13" t="s">
        <v>97</v>
      </c>
      <c r="D174" s="13" t="s">
        <v>727</v>
      </c>
      <c r="E174" s="16"/>
      <c r="F174" s="13" t="s">
        <v>1518</v>
      </c>
      <c r="G174" s="11">
        <v>120.0</v>
      </c>
      <c r="I174" s="11" t="b">
        <v>0</v>
      </c>
      <c r="J174" s="11" t="s">
        <v>366</v>
      </c>
      <c r="N174" s="11" t="b">
        <v>1</v>
      </c>
      <c r="O174" s="11" t="s">
        <v>78</v>
      </c>
      <c r="R174" s="11" t="s">
        <v>1513</v>
      </c>
    </row>
    <row r="175" hidden="1">
      <c r="A175" s="13">
        <v>2291803.0</v>
      </c>
      <c r="B175" s="14">
        <v>46228.777141203704</v>
      </c>
      <c r="C175" s="13" t="s">
        <v>97</v>
      </c>
      <c r="D175" s="13" t="s">
        <v>763</v>
      </c>
      <c r="E175" s="16"/>
      <c r="F175" s="13" t="s">
        <v>1413</v>
      </c>
      <c r="G175" s="11">
        <v>1000.0</v>
      </c>
      <c r="I175" s="11" t="b">
        <v>0</v>
      </c>
      <c r="J175" s="11" t="s">
        <v>396</v>
      </c>
      <c r="K175" s="11" t="s">
        <v>225</v>
      </c>
      <c r="N175" s="11" t="b">
        <v>1</v>
      </c>
      <c r="O175" s="11" t="s">
        <v>78</v>
      </c>
      <c r="R175" s="11" t="s">
        <v>1524</v>
      </c>
    </row>
    <row r="176" hidden="1">
      <c r="A176" s="13">
        <v>2294188.0</v>
      </c>
      <c r="B176" s="14">
        <v>46229.83146990741</v>
      </c>
      <c r="C176" s="13" t="s">
        <v>97</v>
      </c>
      <c r="D176" s="13" t="s">
        <v>390</v>
      </c>
      <c r="E176" s="16"/>
      <c r="F176" s="13" t="s">
        <v>1413</v>
      </c>
      <c r="G176" s="11">
        <v>1300.0</v>
      </c>
      <c r="I176" s="11" t="b">
        <v>0</v>
      </c>
      <c r="J176" s="11" t="s">
        <v>396</v>
      </c>
      <c r="K176" s="11" t="s">
        <v>225</v>
      </c>
      <c r="N176" s="11" t="b">
        <v>1</v>
      </c>
      <c r="O176" s="11" t="s">
        <v>78</v>
      </c>
      <c r="R176" s="11" t="s">
        <v>1529</v>
      </c>
    </row>
    <row r="177" hidden="1">
      <c r="A177" s="13">
        <v>2294255.0</v>
      </c>
      <c r="B177" s="14">
        <v>46229.843206018515</v>
      </c>
      <c r="C177" s="13" t="s">
        <v>97</v>
      </c>
      <c r="D177" s="13" t="s">
        <v>1532</v>
      </c>
      <c r="E177" s="16"/>
      <c r="F177" s="13" t="s">
        <v>1534</v>
      </c>
      <c r="G177" s="11">
        <v>450.0</v>
      </c>
      <c r="I177" s="11" t="b">
        <v>0</v>
      </c>
      <c r="J177" s="11" t="s">
        <v>373</v>
      </c>
      <c r="N177" s="11" t="b">
        <v>1</v>
      </c>
      <c r="O177" s="11" t="s">
        <v>78</v>
      </c>
      <c r="R177" s="11" t="s">
        <v>1537</v>
      </c>
    </row>
    <row r="178" hidden="1">
      <c r="A178" s="13">
        <v>2294258.0</v>
      </c>
      <c r="B178" s="14">
        <v>46229.843668981484</v>
      </c>
      <c r="C178" s="13" t="s">
        <v>97</v>
      </c>
      <c r="D178" s="13" t="s">
        <v>727</v>
      </c>
      <c r="E178" s="16"/>
      <c r="F178" s="13" t="s">
        <v>1539</v>
      </c>
      <c r="G178" s="11">
        <v>120.0</v>
      </c>
      <c r="I178" s="11" t="b">
        <v>0</v>
      </c>
      <c r="J178" s="11" t="s">
        <v>366</v>
      </c>
      <c r="N178" s="11" t="b">
        <v>1</v>
      </c>
      <c r="O178" s="11" t="s">
        <v>78</v>
      </c>
      <c r="R178" s="11" t="s">
        <v>1540</v>
      </c>
    </row>
    <row r="179" hidden="1">
      <c r="A179" s="13">
        <v>2296179.0</v>
      </c>
      <c r="B179" s="14">
        <v>46230.708287037036</v>
      </c>
      <c r="C179" s="13" t="s">
        <v>97</v>
      </c>
      <c r="D179" s="13" t="s">
        <v>976</v>
      </c>
      <c r="E179" s="16"/>
      <c r="F179" s="13" t="s">
        <v>1544</v>
      </c>
      <c r="G179" s="11">
        <v>112.0</v>
      </c>
      <c r="I179" s="11" t="b">
        <v>0</v>
      </c>
      <c r="J179" s="11" t="s">
        <v>136</v>
      </c>
      <c r="N179" s="11" t="b">
        <v>1</v>
      </c>
      <c r="O179" s="11" t="s">
        <v>78</v>
      </c>
      <c r="R179" s="11" t="s">
        <v>1547</v>
      </c>
    </row>
    <row r="180" hidden="1">
      <c r="A180" s="13">
        <v>2296366.0</v>
      </c>
      <c r="B180" s="14">
        <v>46230.74826388889</v>
      </c>
      <c r="C180" s="13" t="s">
        <v>97</v>
      </c>
      <c r="D180" s="13" t="s">
        <v>1245</v>
      </c>
      <c r="E180" s="16"/>
      <c r="F180" s="13" t="s">
        <v>1098</v>
      </c>
      <c r="G180" s="11">
        <v>17.51</v>
      </c>
      <c r="I180" s="11" t="b">
        <v>0</v>
      </c>
      <c r="J180" s="11" t="s">
        <v>112</v>
      </c>
      <c r="K180" s="11" t="s">
        <v>126</v>
      </c>
      <c r="N180" s="11" t="b">
        <v>1</v>
      </c>
      <c r="O180" s="11" t="s">
        <v>78</v>
      </c>
      <c r="R180" s="11" t="s">
        <v>1555</v>
      </c>
    </row>
    <row r="181" hidden="1">
      <c r="A181" s="13">
        <v>2296555.0</v>
      </c>
      <c r="B181" s="14">
        <v>46230.80673611111</v>
      </c>
      <c r="C181" s="13" t="s">
        <v>97</v>
      </c>
      <c r="D181" s="13" t="s">
        <v>1562</v>
      </c>
      <c r="E181" s="16"/>
      <c r="F181" s="13" t="s">
        <v>1271</v>
      </c>
      <c r="G181" s="11">
        <v>10.26</v>
      </c>
      <c r="I181" s="11" t="b">
        <v>0</v>
      </c>
      <c r="J181" s="11" t="s">
        <v>112</v>
      </c>
      <c r="K181" s="11" t="s">
        <v>1273</v>
      </c>
      <c r="N181" s="11" t="b">
        <v>1</v>
      </c>
      <c r="O181" s="11" t="s">
        <v>78</v>
      </c>
      <c r="R181" s="11" t="s">
        <v>1568</v>
      </c>
    </row>
    <row r="182" hidden="1">
      <c r="A182" s="13">
        <v>2297652.0</v>
      </c>
      <c r="B182" s="14">
        <v>46231.61549768518</v>
      </c>
      <c r="C182" s="13" t="s">
        <v>97</v>
      </c>
      <c r="D182" s="13" t="s">
        <v>1572</v>
      </c>
      <c r="E182" s="16"/>
      <c r="F182" s="13" t="s">
        <v>1574</v>
      </c>
      <c r="G182" s="11">
        <v>585.0</v>
      </c>
      <c r="I182" s="11" t="b">
        <v>0</v>
      </c>
      <c r="J182" s="11" t="s">
        <v>366</v>
      </c>
      <c r="N182" s="11" t="b">
        <v>1</v>
      </c>
      <c r="O182" s="11" t="s">
        <v>78</v>
      </c>
      <c r="R182" s="11" t="s">
        <v>1577</v>
      </c>
    </row>
    <row r="183" hidden="1">
      <c r="A183" s="13">
        <v>2298296.0</v>
      </c>
      <c r="B183" s="14">
        <v>46231.78763888889</v>
      </c>
      <c r="C183" s="13" t="s">
        <v>97</v>
      </c>
      <c r="D183" s="13" t="s">
        <v>1580</v>
      </c>
      <c r="E183" s="22"/>
      <c r="F183" s="13" t="s">
        <v>1583</v>
      </c>
      <c r="G183" s="11">
        <v>401.86</v>
      </c>
      <c r="I183" s="11" t="b">
        <v>0</v>
      </c>
      <c r="J183" s="11" t="s">
        <v>136</v>
      </c>
      <c r="N183" s="11" t="b">
        <v>1</v>
      </c>
      <c r="O183" s="11" t="s">
        <v>78</v>
      </c>
      <c r="R183" s="11" t="s">
        <v>1585</v>
      </c>
    </row>
    <row r="184" hidden="1">
      <c r="A184" s="13">
        <v>2298387.0</v>
      </c>
      <c r="B184" s="14">
        <v>46231.82502314815</v>
      </c>
      <c r="C184" s="13" t="s">
        <v>97</v>
      </c>
      <c r="D184" s="13" t="s">
        <v>1588</v>
      </c>
      <c r="E184" s="16"/>
      <c r="F184" s="13" t="s">
        <v>1590</v>
      </c>
      <c r="G184" s="11">
        <v>136.76</v>
      </c>
      <c r="I184" s="11" t="b">
        <v>0</v>
      </c>
      <c r="J184" s="11" t="s">
        <v>136</v>
      </c>
      <c r="N184" s="11" t="b">
        <v>1</v>
      </c>
      <c r="O184" s="11" t="s">
        <v>78</v>
      </c>
      <c r="R184" s="11" t="s">
        <v>1593</v>
      </c>
    </row>
    <row r="185" hidden="1">
      <c r="A185" s="13">
        <v>2299523.0</v>
      </c>
      <c r="B185" s="14">
        <v>46232.63619212963</v>
      </c>
      <c r="C185" s="13" t="s">
        <v>97</v>
      </c>
      <c r="D185" s="13" t="s">
        <v>1594</v>
      </c>
      <c r="E185" s="16"/>
      <c r="F185" s="13" t="s">
        <v>1597</v>
      </c>
      <c r="G185" s="11">
        <v>35.94</v>
      </c>
      <c r="I185" s="11" t="b">
        <v>0</v>
      </c>
      <c r="J185" s="11" t="s">
        <v>136</v>
      </c>
      <c r="M185" s="11" t="s">
        <v>1598</v>
      </c>
      <c r="N185" s="11" t="b">
        <v>1</v>
      </c>
      <c r="O185" s="11" t="s">
        <v>78</v>
      </c>
      <c r="R185" s="11" t="s">
        <v>1600</v>
      </c>
    </row>
    <row r="186" hidden="1">
      <c r="A186" s="13">
        <v>2299592.0</v>
      </c>
      <c r="B186" s="14">
        <v>46232.661516203705</v>
      </c>
      <c r="C186" s="13" t="s">
        <v>97</v>
      </c>
      <c r="D186" s="13" t="s">
        <v>402</v>
      </c>
      <c r="E186" s="16"/>
      <c r="F186" s="13" t="s">
        <v>1603</v>
      </c>
      <c r="G186" s="11">
        <v>39.0</v>
      </c>
      <c r="I186" s="11" t="b">
        <v>0</v>
      </c>
      <c r="J186" s="11" t="s">
        <v>136</v>
      </c>
      <c r="M186" s="11" t="s">
        <v>1606</v>
      </c>
      <c r="N186" s="11" t="b">
        <v>1</v>
      </c>
      <c r="O186" s="11" t="s">
        <v>78</v>
      </c>
      <c r="R186" s="11" t="s">
        <v>1607</v>
      </c>
    </row>
    <row r="187" hidden="1">
      <c r="A187" s="13">
        <v>2299625.0</v>
      </c>
      <c r="B187" s="14">
        <v>46232.675046296295</v>
      </c>
      <c r="C187" s="13" t="s">
        <v>97</v>
      </c>
      <c r="D187" s="13" t="s">
        <v>290</v>
      </c>
      <c r="E187" s="16"/>
      <c r="F187" s="13" t="s">
        <v>1490</v>
      </c>
      <c r="G187" s="11">
        <v>140.0</v>
      </c>
      <c r="I187" s="11" t="b">
        <v>0</v>
      </c>
      <c r="J187" s="11" t="s">
        <v>136</v>
      </c>
      <c r="M187" s="11" t="s">
        <v>1611</v>
      </c>
      <c r="N187" s="11" t="b">
        <v>1</v>
      </c>
      <c r="O187" s="11" t="s">
        <v>78</v>
      </c>
      <c r="R187" s="11" t="s">
        <v>1614</v>
      </c>
    </row>
    <row r="188" hidden="1">
      <c r="A188" s="13">
        <v>2299826.0</v>
      </c>
      <c r="B188" s="14">
        <v>46232.732523148145</v>
      </c>
      <c r="C188" s="13" t="s">
        <v>97</v>
      </c>
      <c r="D188" s="13" t="s">
        <v>1617</v>
      </c>
      <c r="E188" s="16"/>
      <c r="F188" s="13" t="s">
        <v>1619</v>
      </c>
      <c r="G188" s="11">
        <v>379.63</v>
      </c>
      <c r="I188" s="11" t="b">
        <v>0</v>
      </c>
      <c r="J188" s="11" t="s">
        <v>136</v>
      </c>
      <c r="M188" s="11" t="s">
        <v>1621</v>
      </c>
      <c r="N188" s="11" t="b">
        <v>1</v>
      </c>
      <c r="O188" s="11" t="s">
        <v>78</v>
      </c>
      <c r="R188" s="11" t="s">
        <v>1622</v>
      </c>
    </row>
    <row r="189" hidden="1">
      <c r="A189" s="13">
        <v>2300118.0</v>
      </c>
      <c r="B189" s="14">
        <v>46232.84732638889</v>
      </c>
      <c r="C189" s="13" t="s">
        <v>97</v>
      </c>
      <c r="D189" s="13" t="s">
        <v>1090</v>
      </c>
      <c r="E189" s="16"/>
      <c r="F189" s="13" t="s">
        <v>1165</v>
      </c>
      <c r="G189" s="11">
        <v>8.0</v>
      </c>
      <c r="I189" s="11" t="b">
        <v>0</v>
      </c>
      <c r="J189" s="11" t="s">
        <v>112</v>
      </c>
      <c r="K189" s="11" t="s">
        <v>126</v>
      </c>
      <c r="N189" s="11" t="b">
        <v>1</v>
      </c>
      <c r="O189" s="11" t="s">
        <v>78</v>
      </c>
      <c r="R189" s="11" t="s">
        <v>1625</v>
      </c>
    </row>
    <row r="190" hidden="1">
      <c r="A190" s="13">
        <v>2301500.0</v>
      </c>
      <c r="B190" s="14">
        <v>46233.75945601852</v>
      </c>
      <c r="C190" s="13" t="s">
        <v>97</v>
      </c>
      <c r="D190" s="13" t="s">
        <v>1629</v>
      </c>
      <c r="E190" s="16"/>
      <c r="F190" s="13" t="s">
        <v>1631</v>
      </c>
      <c r="G190" s="11">
        <v>1.0</v>
      </c>
      <c r="I190" s="11" t="b">
        <v>0</v>
      </c>
      <c r="J190" s="11" t="s">
        <v>136</v>
      </c>
      <c r="M190" s="11" t="s">
        <v>1633</v>
      </c>
      <c r="N190" s="11" t="b">
        <v>1</v>
      </c>
      <c r="O190" s="11" t="s">
        <v>78</v>
      </c>
      <c r="R190" s="11" t="s">
        <v>1635</v>
      </c>
    </row>
    <row r="191" hidden="1">
      <c r="A191" s="13">
        <v>2301736.0</v>
      </c>
      <c r="B191" s="14">
        <v>46233.83667824074</v>
      </c>
      <c r="C191" s="13" t="s">
        <v>97</v>
      </c>
      <c r="D191" s="13" t="s">
        <v>1090</v>
      </c>
      <c r="E191" s="22"/>
      <c r="F191" s="13" t="s">
        <v>1165</v>
      </c>
      <c r="G191" s="11">
        <v>8.0</v>
      </c>
      <c r="I191" s="11" t="b">
        <v>0</v>
      </c>
      <c r="J191" s="11" t="s">
        <v>112</v>
      </c>
      <c r="K191" s="11" t="s">
        <v>126</v>
      </c>
      <c r="N191" s="11" t="b">
        <v>1</v>
      </c>
      <c r="O191" s="11" t="s">
        <v>78</v>
      </c>
      <c r="R191" s="11" t="s">
        <v>1639</v>
      </c>
    </row>
    <row r="192" hidden="1">
      <c r="A192" s="13">
        <v>2303038.0</v>
      </c>
      <c r="B192" s="14">
        <v>46234.70371527778</v>
      </c>
      <c r="C192" s="13" t="s">
        <v>97</v>
      </c>
      <c r="D192" s="13" t="s">
        <v>976</v>
      </c>
      <c r="E192" s="16"/>
      <c r="F192" s="13" t="s">
        <v>1544</v>
      </c>
      <c r="G192" s="11">
        <v>112.0</v>
      </c>
      <c r="I192" s="11" t="b">
        <v>0</v>
      </c>
      <c r="J192" s="11" t="s">
        <v>136</v>
      </c>
      <c r="N192" s="11" t="b">
        <v>1</v>
      </c>
      <c r="O192" s="11" t="s">
        <v>78</v>
      </c>
      <c r="R192" s="11" t="s">
        <v>1644</v>
      </c>
    </row>
    <row r="193" hidden="1">
      <c r="A193" s="13">
        <v>2303121.0</v>
      </c>
      <c r="B193" s="14">
        <v>46234.71576388889</v>
      </c>
      <c r="C193" s="13" t="s">
        <v>97</v>
      </c>
      <c r="D193" s="13" t="s">
        <v>1647</v>
      </c>
      <c r="E193" s="16"/>
      <c r="F193" s="13" t="s">
        <v>1165</v>
      </c>
      <c r="G193" s="11">
        <v>9.16</v>
      </c>
      <c r="I193" s="11" t="b">
        <v>0</v>
      </c>
      <c r="J193" s="11" t="s">
        <v>112</v>
      </c>
      <c r="K193" s="11" t="s">
        <v>126</v>
      </c>
      <c r="N193" s="11" t="b">
        <v>1</v>
      </c>
      <c r="O193" s="11" t="s">
        <v>78</v>
      </c>
      <c r="R193" s="11" t="s">
        <v>1650</v>
      </c>
    </row>
    <row r="194" hidden="1">
      <c r="A194" s="13">
        <v>2303232.0</v>
      </c>
      <c r="B194" s="14">
        <v>46234.740069444444</v>
      </c>
      <c r="C194" s="13" t="s">
        <v>97</v>
      </c>
      <c r="D194" s="13" t="s">
        <v>1653</v>
      </c>
      <c r="E194" s="16"/>
      <c r="F194" s="13" t="s">
        <v>1654</v>
      </c>
      <c r="G194" s="11">
        <v>73.21</v>
      </c>
      <c r="I194" s="11" t="b">
        <v>0</v>
      </c>
      <c r="J194" s="11" t="s">
        <v>112</v>
      </c>
      <c r="K194" s="11" t="s">
        <v>126</v>
      </c>
      <c r="N194" s="11" t="b">
        <v>1</v>
      </c>
      <c r="O194" s="11" t="s">
        <v>78</v>
      </c>
      <c r="R194" s="11" t="s">
        <v>1657</v>
      </c>
    </row>
    <row r="195" hidden="1">
      <c r="A195" s="13">
        <v>2303446.0</v>
      </c>
      <c r="B195" s="14">
        <v>46234.79833333333</v>
      </c>
      <c r="C195" s="13" t="s">
        <v>97</v>
      </c>
      <c r="D195" s="13" t="s">
        <v>1077</v>
      </c>
      <c r="E195" s="16"/>
      <c r="F195" s="13" t="s">
        <v>1165</v>
      </c>
      <c r="G195" s="11">
        <v>12.0</v>
      </c>
      <c r="I195" s="11" t="b">
        <v>0</v>
      </c>
      <c r="J195" s="11" t="s">
        <v>112</v>
      </c>
      <c r="K195" s="11" t="s">
        <v>126</v>
      </c>
      <c r="N195" s="11" t="b">
        <v>1</v>
      </c>
      <c r="O195" s="11" t="s">
        <v>78</v>
      </c>
      <c r="R195" s="11" t="s">
        <v>1662</v>
      </c>
    </row>
    <row r="196" hidden="1">
      <c r="A196" s="13">
        <v>2303551.0</v>
      </c>
      <c r="B196" s="14">
        <v>46234.828414351854</v>
      </c>
      <c r="C196" s="13" t="s">
        <v>97</v>
      </c>
      <c r="D196" s="13" t="s">
        <v>1465</v>
      </c>
      <c r="E196" s="16"/>
      <c r="F196" s="13" t="s">
        <v>1466</v>
      </c>
      <c r="G196" s="11">
        <v>52.5</v>
      </c>
      <c r="I196" s="11" t="b">
        <v>0</v>
      </c>
      <c r="J196" s="11" t="s">
        <v>366</v>
      </c>
      <c r="N196" s="11" t="b">
        <v>1</v>
      </c>
      <c r="O196" s="11" t="s">
        <v>78</v>
      </c>
      <c r="R196" s="11" t="s">
        <v>1669</v>
      </c>
    </row>
    <row r="197">
      <c r="A197" s="13">
        <v>2304720.0</v>
      </c>
      <c r="B197" s="14">
        <v>46235.57755787037</v>
      </c>
      <c r="C197" s="13" t="s">
        <v>97</v>
      </c>
      <c r="D197" s="13" t="s">
        <v>1672</v>
      </c>
      <c r="E197" s="16"/>
      <c r="F197" s="13" t="s">
        <v>1673</v>
      </c>
      <c r="G197" s="11">
        <v>207.96</v>
      </c>
      <c r="I197" s="11" t="b">
        <v>0</v>
      </c>
      <c r="J197" s="11" t="s">
        <v>136</v>
      </c>
      <c r="N197" s="11" t="b">
        <v>1</v>
      </c>
      <c r="O197" s="11" t="s">
        <v>78</v>
      </c>
      <c r="R197" s="11" t="s">
        <v>1690</v>
      </c>
    </row>
    <row r="198">
      <c r="A198" s="13">
        <v>2304795.0</v>
      </c>
      <c r="B198" s="14">
        <v>46235.6021875</v>
      </c>
      <c r="C198" s="13" t="s">
        <v>97</v>
      </c>
      <c r="D198" s="13" t="s">
        <v>1698</v>
      </c>
      <c r="E198" s="16"/>
      <c r="F198" s="13" t="s">
        <v>1702</v>
      </c>
      <c r="G198" s="11">
        <v>134.0</v>
      </c>
      <c r="I198" s="11" t="b">
        <v>0</v>
      </c>
      <c r="J198" s="11" t="s">
        <v>366</v>
      </c>
      <c r="N198" s="11" t="b">
        <v>1</v>
      </c>
      <c r="O198" s="11" t="s">
        <v>78</v>
      </c>
      <c r="R198" s="11" t="s">
        <v>1707</v>
      </c>
    </row>
    <row r="199">
      <c r="A199" s="13">
        <v>2305859.0</v>
      </c>
      <c r="B199" s="14">
        <v>46235.84140046296</v>
      </c>
      <c r="C199" s="13" t="s">
        <v>97</v>
      </c>
      <c r="D199" s="13" t="s">
        <v>1711</v>
      </c>
      <c r="E199" s="16"/>
      <c r="F199" s="13" t="s">
        <v>1439</v>
      </c>
      <c r="G199" s="11">
        <v>650.0</v>
      </c>
      <c r="I199" s="11" t="b">
        <v>0</v>
      </c>
      <c r="J199" s="11" t="s">
        <v>396</v>
      </c>
      <c r="K199" s="11" t="s">
        <v>225</v>
      </c>
      <c r="N199" s="11" t="b">
        <v>1</v>
      </c>
      <c r="O199" s="11" t="s">
        <v>78</v>
      </c>
      <c r="R199" s="11" t="s">
        <v>1718</v>
      </c>
    </row>
    <row r="200">
      <c r="A200" s="13">
        <v>2305861.0</v>
      </c>
      <c r="B200" s="14">
        <v>46235.84190972222</v>
      </c>
      <c r="C200" s="13" t="s">
        <v>97</v>
      </c>
      <c r="D200" s="13" t="s">
        <v>727</v>
      </c>
      <c r="E200" s="16"/>
      <c r="F200" s="13" t="s">
        <v>1723</v>
      </c>
      <c r="G200" s="11">
        <v>120.0</v>
      </c>
      <c r="I200" s="11" t="b">
        <v>0</v>
      </c>
      <c r="J200" s="11" t="s">
        <v>366</v>
      </c>
      <c r="N200" s="11" t="b">
        <v>1</v>
      </c>
      <c r="O200" s="11" t="s">
        <v>78</v>
      </c>
      <c r="R200" s="11" t="s">
        <v>1728</v>
      </c>
    </row>
    <row r="201">
      <c r="A201" s="13">
        <v>2305864.0</v>
      </c>
      <c r="B201" s="14">
        <v>46235.84261574074</v>
      </c>
      <c r="C201" s="13" t="s">
        <v>97</v>
      </c>
      <c r="D201" s="13" t="s">
        <v>727</v>
      </c>
      <c r="E201" s="16"/>
      <c r="F201" s="13" t="s">
        <v>1731</v>
      </c>
      <c r="G201" s="11">
        <v>120.0</v>
      </c>
      <c r="I201" s="11" t="b">
        <v>0</v>
      </c>
      <c r="J201" s="11" t="s">
        <v>366</v>
      </c>
      <c r="N201" s="11" t="b">
        <v>1</v>
      </c>
      <c r="O201" s="11" t="s">
        <v>78</v>
      </c>
      <c r="R201" s="11" t="s">
        <v>1728</v>
      </c>
    </row>
    <row r="202">
      <c r="A202" s="13">
        <v>2308353.0</v>
      </c>
      <c r="B202" s="14">
        <v>46236.83280092593</v>
      </c>
      <c r="C202" s="13" t="s">
        <v>97</v>
      </c>
      <c r="D202" s="13" t="s">
        <v>1737</v>
      </c>
      <c r="E202" s="16"/>
      <c r="F202" s="13" t="s">
        <v>1740</v>
      </c>
      <c r="G202" s="11">
        <v>82.0</v>
      </c>
      <c r="I202" s="11" t="b">
        <v>0</v>
      </c>
      <c r="J202" s="11" t="s">
        <v>366</v>
      </c>
      <c r="N202" s="11" t="b">
        <v>1</v>
      </c>
      <c r="O202" s="11" t="s">
        <v>78</v>
      </c>
      <c r="R202" s="11" t="s">
        <v>1743</v>
      </c>
    </row>
    <row r="203">
      <c r="A203" s="13">
        <v>2308356.0</v>
      </c>
      <c r="B203" s="14">
        <v>46236.83310185185</v>
      </c>
      <c r="C203" s="13" t="s">
        <v>97</v>
      </c>
      <c r="D203" s="13" t="s">
        <v>727</v>
      </c>
      <c r="E203" s="16"/>
      <c r="F203" s="13" t="s">
        <v>1748</v>
      </c>
      <c r="G203" s="11">
        <v>120.0</v>
      </c>
      <c r="I203" s="11" t="b">
        <v>0</v>
      </c>
      <c r="J203" s="11" t="s">
        <v>366</v>
      </c>
      <c r="N203" s="11" t="b">
        <v>1</v>
      </c>
      <c r="O203" s="11" t="s">
        <v>78</v>
      </c>
      <c r="R203" s="11" t="s">
        <v>1752</v>
      </c>
    </row>
    <row r="204">
      <c r="A204" s="13">
        <v>2308364.0</v>
      </c>
      <c r="B204" s="14">
        <v>46236.834178240744</v>
      </c>
      <c r="C204" s="13" t="s">
        <v>97</v>
      </c>
      <c r="D204" s="13" t="s">
        <v>1756</v>
      </c>
      <c r="E204" s="16"/>
      <c r="F204" s="13" t="s">
        <v>1759</v>
      </c>
      <c r="G204" s="11">
        <v>113.0</v>
      </c>
      <c r="I204" s="11" t="b">
        <v>0</v>
      </c>
      <c r="J204" s="11" t="s">
        <v>366</v>
      </c>
      <c r="N204" s="11" t="b">
        <v>1</v>
      </c>
      <c r="O204" s="11" t="s">
        <v>78</v>
      </c>
      <c r="R204" s="11" t="s">
        <v>1764</v>
      </c>
    </row>
    <row r="205">
      <c r="A205" s="13">
        <v>2308368.0</v>
      </c>
      <c r="B205" s="14">
        <v>46236.83472222222</v>
      </c>
      <c r="C205" s="13" t="s">
        <v>97</v>
      </c>
      <c r="D205" s="13" t="s">
        <v>1756</v>
      </c>
      <c r="E205" s="16"/>
      <c r="F205" s="13" t="s">
        <v>1768</v>
      </c>
      <c r="G205" s="11">
        <v>113.0</v>
      </c>
      <c r="I205" s="11" t="b">
        <v>0</v>
      </c>
      <c r="J205" s="11" t="s">
        <v>366</v>
      </c>
      <c r="N205" s="11" t="b">
        <v>1</v>
      </c>
      <c r="O205" s="11" t="s">
        <v>78</v>
      </c>
      <c r="R205" s="11" t="s">
        <v>1764</v>
      </c>
    </row>
    <row r="206">
      <c r="A206" s="13">
        <v>2308381.0</v>
      </c>
      <c r="B206" s="14">
        <v>46236.83657407408</v>
      </c>
      <c r="C206" s="13" t="s">
        <v>97</v>
      </c>
      <c r="D206" s="13" t="s">
        <v>1773</v>
      </c>
      <c r="E206" s="16"/>
      <c r="F206" s="13" t="s">
        <v>1774</v>
      </c>
      <c r="G206" s="11">
        <v>600.0</v>
      </c>
      <c r="I206" s="11" t="b">
        <v>0</v>
      </c>
      <c r="J206" s="11" t="s">
        <v>373</v>
      </c>
      <c r="N206" s="11" t="b">
        <v>1</v>
      </c>
      <c r="O206" s="11" t="s">
        <v>78</v>
      </c>
      <c r="R206" s="11" t="s">
        <v>1777</v>
      </c>
    </row>
    <row r="207">
      <c r="A207" s="13">
        <v>2310406.0</v>
      </c>
      <c r="B207" s="14">
        <v>46237.6877662037</v>
      </c>
      <c r="C207" s="13" t="s">
        <v>97</v>
      </c>
      <c r="D207" s="13" t="s">
        <v>1780</v>
      </c>
      <c r="E207" s="16"/>
      <c r="F207" s="13" t="s">
        <v>1165</v>
      </c>
      <c r="G207" s="11">
        <v>4.0</v>
      </c>
      <c r="I207" s="11" t="b">
        <v>0</v>
      </c>
      <c r="J207" s="11" t="s">
        <v>112</v>
      </c>
      <c r="K207" s="11" t="s">
        <v>126</v>
      </c>
      <c r="N207" s="11" t="b">
        <v>1</v>
      </c>
      <c r="O207" s="11" t="s">
        <v>78</v>
      </c>
      <c r="R207" s="11" t="s">
        <v>1784</v>
      </c>
    </row>
    <row r="208">
      <c r="A208" s="13">
        <v>2310871.0</v>
      </c>
      <c r="B208" s="14">
        <v>46237.82378472222</v>
      </c>
      <c r="C208" s="13" t="s">
        <v>97</v>
      </c>
      <c r="D208" s="13" t="s">
        <v>290</v>
      </c>
      <c r="E208" s="16"/>
      <c r="F208" s="13" t="s">
        <v>1791</v>
      </c>
      <c r="G208" s="11">
        <v>140.0</v>
      </c>
      <c r="I208" s="11" t="b">
        <v>0</v>
      </c>
      <c r="J208" s="11" t="s">
        <v>136</v>
      </c>
      <c r="N208" s="11" t="b">
        <v>1</v>
      </c>
      <c r="O208" s="11" t="s">
        <v>78</v>
      </c>
      <c r="R208" s="11" t="s">
        <v>1794</v>
      </c>
    </row>
    <row r="209">
      <c r="A209" s="13">
        <v>2310928.0</v>
      </c>
      <c r="B209" s="14">
        <v>46237.84707175926</v>
      </c>
      <c r="C209" s="13" t="s">
        <v>97</v>
      </c>
      <c r="D209" s="13" t="s">
        <v>1797</v>
      </c>
      <c r="E209" s="16"/>
      <c r="F209" s="13" t="s">
        <v>1800</v>
      </c>
      <c r="G209" s="11">
        <v>950.0</v>
      </c>
      <c r="I209" s="11" t="b">
        <v>0</v>
      </c>
      <c r="J209" s="11" t="s">
        <v>396</v>
      </c>
      <c r="K209" s="11" t="s">
        <v>126</v>
      </c>
      <c r="N209" s="11" t="b">
        <v>1</v>
      </c>
      <c r="O209" s="11" t="s">
        <v>78</v>
      </c>
      <c r="R209" s="11" t="s">
        <v>1802</v>
      </c>
    </row>
    <row r="210">
      <c r="A210" s="25"/>
      <c r="B210" s="26"/>
      <c r="C210" s="27"/>
      <c r="D210" s="27"/>
      <c r="E210" s="28"/>
      <c r="F210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6" max="6" width="40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19</v>
      </c>
      <c r="R1" s="1" t="s">
        <v>20</v>
      </c>
      <c r="S1" s="1" t="s">
        <v>22</v>
      </c>
      <c r="T1" s="1" t="s">
        <v>23</v>
      </c>
      <c r="U1" s="1" t="s">
        <v>25</v>
      </c>
      <c r="V1" s="1" t="s">
        <v>27</v>
      </c>
      <c r="W1" s="1" t="s">
        <v>29</v>
      </c>
      <c r="X1" s="1" t="s">
        <v>30</v>
      </c>
      <c r="Y1" s="1" t="s">
        <v>31</v>
      </c>
      <c r="Z1" s="1" t="s">
        <v>33</v>
      </c>
      <c r="AA1" s="1" t="s">
        <v>35</v>
      </c>
      <c r="AB1" s="1" t="s">
        <v>37</v>
      </c>
      <c r="AC1" s="1" t="s">
        <v>39</v>
      </c>
      <c r="AD1" s="1" t="s">
        <v>40</v>
      </c>
      <c r="AE1" s="1" t="s">
        <v>41</v>
      </c>
      <c r="AF1" s="1" t="s">
        <v>44</v>
      </c>
      <c r="AG1" s="1" t="s">
        <v>46</v>
      </c>
      <c r="AH1" s="1" t="s">
        <v>48</v>
      </c>
      <c r="AI1" s="1" t="s">
        <v>50</v>
      </c>
      <c r="AJ1" s="1" t="s">
        <v>53</v>
      </c>
      <c r="AK1" s="1" t="s">
        <v>54</v>
      </c>
      <c r="AL1" s="1" t="s">
        <v>56</v>
      </c>
      <c r="AM1" s="1" t="s">
        <v>58</v>
      </c>
      <c r="AN1" s="1" t="s">
        <v>60</v>
      </c>
      <c r="AO1" s="1" t="s">
        <v>62</v>
      </c>
      <c r="AP1" s="1" t="s">
        <v>63</v>
      </c>
      <c r="AQ1" s="1" t="s">
        <v>64</v>
      </c>
      <c r="AR1" s="1" t="s">
        <v>65</v>
      </c>
      <c r="AS1" s="1" t="s">
        <v>66</v>
      </c>
      <c r="AT1" s="1" t="s">
        <v>67</v>
      </c>
      <c r="AU1" s="1" t="s">
        <v>69</v>
      </c>
      <c r="AV1" s="1" t="s">
        <v>71</v>
      </c>
      <c r="AW1" s="1" t="s">
        <v>72</v>
      </c>
      <c r="AX1" s="1" t="s">
        <v>74</v>
      </c>
      <c r="AY1" s="1" t="s">
        <v>76</v>
      </c>
      <c r="AZ1" s="1" t="s">
        <v>79</v>
      </c>
      <c r="BA1" s="1" t="s">
        <v>81</v>
      </c>
      <c r="BB1" s="1" t="s">
        <v>84</v>
      </c>
      <c r="BC1" s="1" t="s">
        <v>86</v>
      </c>
      <c r="BD1" s="1" t="s">
        <v>87</v>
      </c>
      <c r="BE1" s="1" t="s">
        <v>89</v>
      </c>
      <c r="BF1" s="1" t="s">
        <v>91</v>
      </c>
      <c r="BG1" s="1" t="s">
        <v>93</v>
      </c>
      <c r="BH1" s="1" t="s">
        <v>94</v>
      </c>
      <c r="BI1" s="1" t="s">
        <v>96</v>
      </c>
      <c r="BJ1" s="1" t="s">
        <v>98</v>
      </c>
      <c r="BK1" s="1" t="s">
        <v>99</v>
      </c>
      <c r="BL1" s="1" t="s">
        <v>102</v>
      </c>
      <c r="BM1" s="1" t="s">
        <v>103</v>
      </c>
      <c r="BN1" s="1" t="s">
        <v>105</v>
      </c>
      <c r="BO1" s="1" t="s">
        <v>107</v>
      </c>
      <c r="BP1" s="1" t="s">
        <v>28</v>
      </c>
      <c r="BQ1" s="1" t="s">
        <v>55</v>
      </c>
      <c r="BR1" s="1" t="s">
        <v>111</v>
      </c>
      <c r="BS1" s="1" t="s">
        <v>1</v>
      </c>
      <c r="BT1" s="1" t="s">
        <v>32</v>
      </c>
      <c r="BU1" s="1" t="s">
        <v>36</v>
      </c>
      <c r="BV1" s="1" t="s">
        <v>38</v>
      </c>
      <c r="BW1" s="1" t="s">
        <v>117</v>
      </c>
      <c r="BX1" s="1" t="s">
        <v>119</v>
      </c>
      <c r="BY1" s="1" t="s">
        <v>121</v>
      </c>
    </row>
    <row r="2">
      <c r="A2" s="11" t="s">
        <v>174</v>
      </c>
      <c r="B2" s="11" t="s">
        <v>78</v>
      </c>
      <c r="C2" s="12">
        <v>45609.0</v>
      </c>
      <c r="D2" s="11" t="s">
        <v>176</v>
      </c>
      <c r="F2" s="11" t="s">
        <v>178</v>
      </c>
      <c r="G2" s="11" t="s">
        <v>179</v>
      </c>
      <c r="H2" s="11">
        <v>1.0</v>
      </c>
      <c r="I2" s="20">
        <v>410.0</v>
      </c>
      <c r="J2" s="20">
        <v>410.0</v>
      </c>
      <c r="BO2" s="20">
        <v>410.0</v>
      </c>
      <c r="BR2" s="20">
        <v>410.0</v>
      </c>
      <c r="BU2" s="11" t="s">
        <v>187</v>
      </c>
    </row>
    <row r="3">
      <c r="A3" s="11" t="s">
        <v>190</v>
      </c>
      <c r="B3" s="11" t="s">
        <v>78</v>
      </c>
      <c r="C3" s="18">
        <v>45609.0</v>
      </c>
      <c r="D3" s="11" t="s">
        <v>192</v>
      </c>
      <c r="F3" s="11" t="s">
        <v>195</v>
      </c>
      <c r="G3" s="11" t="s">
        <v>196</v>
      </c>
      <c r="H3" s="11">
        <v>1.0</v>
      </c>
      <c r="I3" s="20">
        <v>2500.0</v>
      </c>
      <c r="J3" s="20">
        <v>2500.0</v>
      </c>
      <c r="BO3" s="20">
        <v>2500.0</v>
      </c>
      <c r="BR3" s="20">
        <v>2500.0</v>
      </c>
      <c r="BU3" s="11" t="s">
        <v>187</v>
      </c>
    </row>
    <row r="4">
      <c r="A4" s="11" t="s">
        <v>203</v>
      </c>
      <c r="B4" s="11" t="s">
        <v>78</v>
      </c>
      <c r="C4" s="18">
        <v>45614.0</v>
      </c>
      <c r="D4" s="11" t="s">
        <v>207</v>
      </c>
      <c r="F4" s="11" t="s">
        <v>208</v>
      </c>
      <c r="G4" s="11" t="s">
        <v>209</v>
      </c>
      <c r="H4" s="11">
        <v>1.0</v>
      </c>
      <c r="I4" s="20">
        <v>1500.0</v>
      </c>
      <c r="J4" s="20">
        <v>1500.0</v>
      </c>
      <c r="BO4" s="20">
        <v>1500.0</v>
      </c>
      <c r="BR4" s="20">
        <v>1500.0</v>
      </c>
      <c r="BU4" s="11" t="s">
        <v>213</v>
      </c>
    </row>
    <row r="5">
      <c r="A5" s="11" t="s">
        <v>214</v>
      </c>
      <c r="B5" s="11" t="s">
        <v>78</v>
      </c>
      <c r="C5" s="18">
        <v>45614.0</v>
      </c>
      <c r="D5" s="11" t="s">
        <v>216</v>
      </c>
      <c r="F5" s="11" t="s">
        <v>218</v>
      </c>
      <c r="G5" s="11" t="s">
        <v>219</v>
      </c>
      <c r="H5" s="11">
        <v>1.0</v>
      </c>
      <c r="I5" s="20">
        <v>583.92</v>
      </c>
      <c r="J5" s="20">
        <v>583.92</v>
      </c>
      <c r="BO5" s="20">
        <v>583.92</v>
      </c>
      <c r="BR5" s="20">
        <v>583.92</v>
      </c>
      <c r="BU5" s="11" t="s">
        <v>213</v>
      </c>
    </row>
    <row r="6">
      <c r="A6" s="11" t="s">
        <v>226</v>
      </c>
      <c r="B6" s="11" t="s">
        <v>78</v>
      </c>
      <c r="C6" s="18">
        <v>45614.0</v>
      </c>
      <c r="D6" s="11" t="s">
        <v>216</v>
      </c>
      <c r="F6" s="11" t="s">
        <v>232</v>
      </c>
      <c r="G6" s="11" t="s">
        <v>234</v>
      </c>
      <c r="H6" s="11">
        <v>1.0</v>
      </c>
      <c r="I6" s="20">
        <v>120.0</v>
      </c>
      <c r="J6" s="20">
        <v>120.0</v>
      </c>
      <c r="BO6" s="20">
        <v>120.0</v>
      </c>
      <c r="BR6" s="20">
        <v>120.0</v>
      </c>
      <c r="BU6" s="11" t="s">
        <v>213</v>
      </c>
    </row>
    <row r="7">
      <c r="A7" s="11" t="s">
        <v>242</v>
      </c>
      <c r="B7" s="11" t="s">
        <v>78</v>
      </c>
      <c r="C7" s="18">
        <v>45614.0</v>
      </c>
      <c r="D7" s="11" t="s">
        <v>216</v>
      </c>
      <c r="F7" s="11" t="s">
        <v>245</v>
      </c>
      <c r="G7" s="11" t="s">
        <v>246</v>
      </c>
      <c r="H7" s="11">
        <v>1.0</v>
      </c>
      <c r="I7" s="20">
        <v>304.33</v>
      </c>
      <c r="J7" s="20">
        <v>304.33</v>
      </c>
      <c r="BO7" s="20">
        <v>304.33</v>
      </c>
      <c r="BR7" s="20">
        <v>304.33</v>
      </c>
      <c r="BU7" s="11" t="s">
        <v>213</v>
      </c>
    </row>
    <row r="8">
      <c r="A8" s="11" t="s">
        <v>258</v>
      </c>
      <c r="B8" s="11" t="s">
        <v>78</v>
      </c>
      <c r="C8" s="18">
        <v>45614.0</v>
      </c>
      <c r="D8" s="11" t="s">
        <v>216</v>
      </c>
      <c r="F8" s="11" t="s">
        <v>259</v>
      </c>
      <c r="G8" s="11" t="s">
        <v>260</v>
      </c>
      <c r="H8" s="11">
        <v>1.0</v>
      </c>
      <c r="I8" s="20">
        <v>284.4</v>
      </c>
      <c r="J8" s="20">
        <v>284.4</v>
      </c>
      <c r="BO8" s="20">
        <v>284.4</v>
      </c>
      <c r="BR8" s="20">
        <v>284.4</v>
      </c>
      <c r="BU8" s="11" t="s">
        <v>213</v>
      </c>
    </row>
    <row r="9">
      <c r="A9" s="11" t="s">
        <v>268</v>
      </c>
      <c r="B9" s="11" t="s">
        <v>78</v>
      </c>
      <c r="C9" s="18">
        <v>45614.0</v>
      </c>
      <c r="D9" s="11" t="s">
        <v>216</v>
      </c>
      <c r="F9" s="11" t="s">
        <v>270</v>
      </c>
      <c r="G9" s="11" t="s">
        <v>272</v>
      </c>
      <c r="H9" s="11">
        <v>1.0</v>
      </c>
      <c r="I9" s="20">
        <v>220.24</v>
      </c>
      <c r="J9" s="20">
        <v>220.24</v>
      </c>
      <c r="BO9" s="20">
        <v>220.24</v>
      </c>
      <c r="BR9" s="20">
        <v>220.24</v>
      </c>
      <c r="BU9" s="11" t="s">
        <v>213</v>
      </c>
    </row>
    <row r="10">
      <c r="A10" s="11" t="s">
        <v>280</v>
      </c>
      <c r="B10" s="11" t="s">
        <v>78</v>
      </c>
      <c r="C10" s="23">
        <v>45614.0</v>
      </c>
      <c r="D10" s="11" t="s">
        <v>216</v>
      </c>
      <c r="F10" s="11" t="s">
        <v>286</v>
      </c>
      <c r="G10" s="11" t="s">
        <v>246</v>
      </c>
      <c r="H10" s="11">
        <v>1.0</v>
      </c>
      <c r="I10" s="20">
        <v>37.81</v>
      </c>
      <c r="J10" s="20">
        <v>37.81</v>
      </c>
      <c r="BO10" s="20">
        <v>37.81</v>
      </c>
      <c r="BR10" s="20">
        <v>37.81</v>
      </c>
      <c r="BU10" s="11" t="s">
        <v>213</v>
      </c>
    </row>
    <row r="11">
      <c r="A11" s="11" t="s">
        <v>296</v>
      </c>
      <c r="B11" s="11" t="s">
        <v>78</v>
      </c>
      <c r="C11" s="23">
        <v>45614.0</v>
      </c>
      <c r="D11" s="11" t="s">
        <v>216</v>
      </c>
      <c r="F11" s="11" t="s">
        <v>302</v>
      </c>
      <c r="G11" s="11" t="s">
        <v>260</v>
      </c>
      <c r="H11" s="11">
        <v>1.0</v>
      </c>
      <c r="I11" s="20">
        <v>219.7</v>
      </c>
      <c r="J11" s="20">
        <v>219.7</v>
      </c>
      <c r="BO11" s="20">
        <v>219.7</v>
      </c>
      <c r="BR11" s="20">
        <v>219.7</v>
      </c>
      <c r="BU11" s="11" t="s">
        <v>213</v>
      </c>
    </row>
    <row r="12">
      <c r="A12" s="11" t="s">
        <v>310</v>
      </c>
      <c r="B12" s="11" t="s">
        <v>78</v>
      </c>
      <c r="C12" s="23">
        <v>45614.0</v>
      </c>
      <c r="D12" s="11" t="s">
        <v>216</v>
      </c>
      <c r="F12" s="11" t="s">
        <v>315</v>
      </c>
      <c r="G12" s="11" t="s">
        <v>260</v>
      </c>
      <c r="H12" s="11">
        <v>1.0</v>
      </c>
      <c r="I12" s="20">
        <v>632.01</v>
      </c>
      <c r="J12" s="20">
        <v>632.01</v>
      </c>
      <c r="BO12" s="20">
        <v>632.01</v>
      </c>
      <c r="BR12" s="20">
        <v>632.01</v>
      </c>
      <c r="BU12" s="11" t="s">
        <v>213</v>
      </c>
    </row>
    <row r="13">
      <c r="A13" s="11" t="s">
        <v>326</v>
      </c>
      <c r="B13" s="11" t="s">
        <v>78</v>
      </c>
      <c r="C13" s="23">
        <v>45614.0</v>
      </c>
      <c r="D13" s="11" t="s">
        <v>216</v>
      </c>
      <c r="F13" s="11" t="s">
        <v>327</v>
      </c>
      <c r="G13" s="11" t="s">
        <v>219</v>
      </c>
      <c r="H13" s="11">
        <v>1.0</v>
      </c>
      <c r="I13" s="20">
        <v>557.52</v>
      </c>
      <c r="J13" s="20">
        <v>557.52</v>
      </c>
      <c r="BO13" s="20">
        <v>557.52</v>
      </c>
      <c r="BR13" s="20">
        <v>557.52</v>
      </c>
      <c r="BU13" s="11" t="s">
        <v>213</v>
      </c>
    </row>
    <row r="14">
      <c r="A14" s="11" t="s">
        <v>334</v>
      </c>
      <c r="B14" s="11" t="s">
        <v>78</v>
      </c>
      <c r="C14" s="23">
        <v>45614.0</v>
      </c>
      <c r="D14" s="11" t="s">
        <v>216</v>
      </c>
      <c r="F14" s="11" t="s">
        <v>336</v>
      </c>
      <c r="G14" s="11" t="s">
        <v>260</v>
      </c>
      <c r="H14" s="11">
        <v>1.0</v>
      </c>
      <c r="I14" s="20">
        <v>300.0</v>
      </c>
      <c r="J14" s="20">
        <v>300.0</v>
      </c>
      <c r="BO14" s="20">
        <v>300.0</v>
      </c>
      <c r="BR14" s="20">
        <v>300.0</v>
      </c>
      <c r="BU14" s="11" t="s">
        <v>213</v>
      </c>
    </row>
    <row r="15">
      <c r="A15" s="11" t="s">
        <v>346</v>
      </c>
      <c r="B15" s="11" t="s">
        <v>78</v>
      </c>
      <c r="C15" s="23">
        <v>45614.0</v>
      </c>
      <c r="D15" s="11" t="s">
        <v>216</v>
      </c>
      <c r="F15" s="11" t="s">
        <v>348</v>
      </c>
      <c r="G15" s="11" t="s">
        <v>350</v>
      </c>
      <c r="H15" s="11">
        <v>1.0</v>
      </c>
      <c r="I15" s="20">
        <v>50.0</v>
      </c>
      <c r="J15" s="20">
        <v>50.0</v>
      </c>
      <c r="BO15" s="20">
        <v>50.0</v>
      </c>
      <c r="BR15" s="20">
        <v>50.0</v>
      </c>
      <c r="BU15" s="11" t="s">
        <v>213</v>
      </c>
    </row>
    <row r="16">
      <c r="A16" s="11" t="s">
        <v>356</v>
      </c>
      <c r="B16" s="11" t="s">
        <v>78</v>
      </c>
      <c r="C16" s="23">
        <v>45614.0</v>
      </c>
      <c r="D16" s="11" t="s">
        <v>216</v>
      </c>
      <c r="F16" s="11" t="s">
        <v>360</v>
      </c>
      <c r="G16" s="11" t="s">
        <v>350</v>
      </c>
      <c r="H16" s="11">
        <v>1.0</v>
      </c>
      <c r="I16" s="20">
        <v>200.0</v>
      </c>
      <c r="J16" s="20">
        <v>200.0</v>
      </c>
      <c r="BO16" s="20">
        <v>200.0</v>
      </c>
      <c r="BR16" s="20">
        <v>200.0</v>
      </c>
      <c r="BU16" s="11" t="s">
        <v>213</v>
      </c>
    </row>
    <row r="17">
      <c r="A17" s="11" t="s">
        <v>368</v>
      </c>
      <c r="B17" s="11" t="s">
        <v>78</v>
      </c>
      <c r="C17" s="23">
        <v>45614.0</v>
      </c>
      <c r="D17" s="11" t="s">
        <v>216</v>
      </c>
      <c r="F17" s="11" t="s">
        <v>374</v>
      </c>
      <c r="G17" s="11" t="s">
        <v>376</v>
      </c>
      <c r="H17" s="11">
        <v>1.0</v>
      </c>
      <c r="I17" s="20">
        <v>404.93</v>
      </c>
      <c r="J17" s="20">
        <v>404.93</v>
      </c>
      <c r="BO17" s="20">
        <v>404.93</v>
      </c>
      <c r="BR17" s="20">
        <v>404.93</v>
      </c>
      <c r="BU17" s="11" t="s">
        <v>213</v>
      </c>
    </row>
    <row r="18">
      <c r="A18" s="11" t="s">
        <v>384</v>
      </c>
      <c r="B18" s="11" t="s">
        <v>78</v>
      </c>
      <c r="C18" s="23">
        <v>45614.0</v>
      </c>
      <c r="D18" s="11" t="s">
        <v>216</v>
      </c>
      <c r="F18" s="11" t="s">
        <v>385</v>
      </c>
      <c r="G18" s="11" t="s">
        <v>386</v>
      </c>
      <c r="H18" s="11">
        <v>1.0</v>
      </c>
      <c r="I18" s="20">
        <v>750.0</v>
      </c>
      <c r="J18" s="20">
        <v>750.0</v>
      </c>
      <c r="BO18" s="20">
        <v>750.0</v>
      </c>
      <c r="BR18" s="20">
        <v>750.0</v>
      </c>
      <c r="BU18" s="11" t="s">
        <v>213</v>
      </c>
    </row>
    <row r="19">
      <c r="A19" s="11" t="s">
        <v>389</v>
      </c>
      <c r="B19" s="11" t="s">
        <v>78</v>
      </c>
      <c r="C19" s="23">
        <v>45614.0</v>
      </c>
      <c r="D19" s="20">
        <v>3.6037127E7</v>
      </c>
      <c r="F19" s="11" t="s">
        <v>391</v>
      </c>
      <c r="G19" s="11" t="s">
        <v>395</v>
      </c>
      <c r="H19" s="11">
        <v>1.0</v>
      </c>
      <c r="I19" s="20">
        <v>2944.11</v>
      </c>
      <c r="J19" s="20">
        <v>2944.11</v>
      </c>
      <c r="BO19" s="20">
        <v>2944.11</v>
      </c>
      <c r="BR19" s="20">
        <v>2944.11</v>
      </c>
      <c r="BU19" s="11" t="s">
        <v>213</v>
      </c>
    </row>
    <row r="20">
      <c r="A20" s="11" t="s">
        <v>400</v>
      </c>
      <c r="B20" s="11" t="s">
        <v>78</v>
      </c>
      <c r="C20" s="23">
        <v>45614.0</v>
      </c>
      <c r="D20" s="11" t="s">
        <v>404</v>
      </c>
      <c r="F20" s="11" t="s">
        <v>405</v>
      </c>
      <c r="G20" s="11" t="s">
        <v>406</v>
      </c>
      <c r="H20" s="11">
        <v>1.0</v>
      </c>
      <c r="I20" s="20">
        <v>3200.0</v>
      </c>
      <c r="J20" s="20">
        <v>3200.0</v>
      </c>
      <c r="BO20" s="20">
        <v>3200.0</v>
      </c>
      <c r="BR20" s="20">
        <v>3200.0</v>
      </c>
      <c r="BU20" s="11" t="s">
        <v>213</v>
      </c>
    </row>
    <row r="21">
      <c r="A21" s="11" t="s">
        <v>413</v>
      </c>
      <c r="B21" s="11" t="s">
        <v>78</v>
      </c>
      <c r="C21" s="23">
        <v>45614.0</v>
      </c>
      <c r="D21" s="11" t="s">
        <v>415</v>
      </c>
      <c r="F21" s="11" t="s">
        <v>417</v>
      </c>
      <c r="G21" s="11" t="s">
        <v>419</v>
      </c>
      <c r="H21" s="11">
        <v>1.0</v>
      </c>
      <c r="I21" s="20">
        <v>524.0</v>
      </c>
      <c r="J21" s="20">
        <v>524.0</v>
      </c>
      <c r="BO21" s="20">
        <v>524.0</v>
      </c>
      <c r="BR21" s="20">
        <v>524.0</v>
      </c>
      <c r="BU21" s="11" t="s">
        <v>213</v>
      </c>
    </row>
    <row r="22">
      <c r="A22" s="11" t="s">
        <v>426</v>
      </c>
      <c r="B22" s="11" t="s">
        <v>78</v>
      </c>
      <c r="C22" s="23">
        <v>45614.0</v>
      </c>
      <c r="D22" s="11" t="s">
        <v>415</v>
      </c>
      <c r="F22" s="11" t="s">
        <v>430</v>
      </c>
      <c r="G22" s="11" t="s">
        <v>419</v>
      </c>
      <c r="H22" s="11">
        <v>1.0</v>
      </c>
      <c r="I22" s="20">
        <v>780.0</v>
      </c>
      <c r="J22" s="20">
        <v>780.0</v>
      </c>
      <c r="BO22" s="20">
        <v>780.0</v>
      </c>
      <c r="BR22" s="20">
        <v>780.0</v>
      </c>
      <c r="BU22" s="11" t="s">
        <v>213</v>
      </c>
    </row>
    <row r="23">
      <c r="A23" s="11" t="s">
        <v>434</v>
      </c>
      <c r="B23" s="11" t="s">
        <v>78</v>
      </c>
      <c r="C23" s="23">
        <v>45614.0</v>
      </c>
      <c r="D23" s="11" t="s">
        <v>415</v>
      </c>
      <c r="F23" s="11" t="s">
        <v>439</v>
      </c>
      <c r="G23" s="11" t="s">
        <v>442</v>
      </c>
      <c r="H23" s="11">
        <v>1.0</v>
      </c>
      <c r="I23" s="20">
        <v>325.0</v>
      </c>
      <c r="J23" s="20">
        <v>325.0</v>
      </c>
      <c r="BO23" s="20">
        <v>325.0</v>
      </c>
      <c r="BR23" s="20">
        <v>325.0</v>
      </c>
      <c r="BU23" s="11" t="s">
        <v>213</v>
      </c>
    </row>
    <row r="24">
      <c r="A24" s="11" t="s">
        <v>446</v>
      </c>
      <c r="B24" s="11" t="s">
        <v>78</v>
      </c>
      <c r="C24" s="23">
        <v>45614.0</v>
      </c>
      <c r="D24" s="11" t="s">
        <v>451</v>
      </c>
      <c r="F24" s="11" t="s">
        <v>453</v>
      </c>
      <c r="G24" s="11" t="s">
        <v>454</v>
      </c>
      <c r="H24" s="11">
        <v>1.0</v>
      </c>
      <c r="I24" s="20">
        <v>3034.0</v>
      </c>
      <c r="J24" s="20">
        <v>3034.0</v>
      </c>
      <c r="BO24" s="20">
        <v>3034.0</v>
      </c>
      <c r="BR24" s="20">
        <v>3034.0</v>
      </c>
      <c r="BU24" s="11" t="s">
        <v>213</v>
      </c>
    </row>
    <row r="25">
      <c r="A25" s="11" t="s">
        <v>457</v>
      </c>
      <c r="B25" s="11" t="s">
        <v>78</v>
      </c>
      <c r="C25" s="23">
        <v>45614.0</v>
      </c>
      <c r="D25" s="11" t="s">
        <v>404</v>
      </c>
      <c r="F25" s="11" t="s">
        <v>461</v>
      </c>
      <c r="G25" s="11" t="s">
        <v>454</v>
      </c>
      <c r="H25" s="11">
        <v>1.0</v>
      </c>
      <c r="I25" s="20">
        <v>1706.0</v>
      </c>
      <c r="J25" s="20">
        <v>1706.0</v>
      </c>
      <c r="BO25" s="20">
        <v>1706.0</v>
      </c>
      <c r="BR25" s="20">
        <v>1706.0</v>
      </c>
      <c r="BU25" s="11" t="s">
        <v>213</v>
      </c>
    </row>
    <row r="26">
      <c r="A26" s="11" t="s">
        <v>467</v>
      </c>
      <c r="B26" s="11" t="s">
        <v>78</v>
      </c>
      <c r="C26" s="23">
        <v>45616.0</v>
      </c>
      <c r="F26" s="11" t="s">
        <v>471</v>
      </c>
      <c r="G26" s="11" t="s">
        <v>472</v>
      </c>
      <c r="H26" s="11">
        <v>1.0</v>
      </c>
      <c r="I26" s="20">
        <v>1845.62</v>
      </c>
      <c r="J26" s="20">
        <v>1845.62</v>
      </c>
      <c r="BO26" s="20">
        <v>1845.62</v>
      </c>
      <c r="BR26" s="20">
        <v>1845.62</v>
      </c>
      <c r="BU26" s="11" t="s">
        <v>213</v>
      </c>
      <c r="BV26" s="11" t="s">
        <v>481</v>
      </c>
    </row>
    <row r="27">
      <c r="A27" s="11" t="s">
        <v>484</v>
      </c>
      <c r="B27" s="11" t="s">
        <v>78</v>
      </c>
      <c r="C27" s="23">
        <v>45617.0</v>
      </c>
      <c r="D27" s="11" t="s">
        <v>486</v>
      </c>
      <c r="F27" s="11" t="s">
        <v>487</v>
      </c>
      <c r="G27" s="11" t="s">
        <v>491</v>
      </c>
      <c r="H27" s="11">
        <v>1.0</v>
      </c>
      <c r="I27" s="20">
        <v>3905.0</v>
      </c>
      <c r="J27" s="20">
        <v>3905.0</v>
      </c>
      <c r="BO27" s="20">
        <v>3905.0</v>
      </c>
      <c r="BR27" s="20">
        <v>3905.0</v>
      </c>
      <c r="BU27" s="11" t="s">
        <v>213</v>
      </c>
    </row>
    <row r="28">
      <c r="A28" s="11" t="s">
        <v>497</v>
      </c>
      <c r="B28" s="11" t="s">
        <v>78</v>
      </c>
      <c r="C28" s="23">
        <v>45617.0</v>
      </c>
      <c r="D28" s="11" t="s">
        <v>500</v>
      </c>
      <c r="F28" s="11" t="s">
        <v>501</v>
      </c>
      <c r="G28" s="11" t="s">
        <v>502</v>
      </c>
      <c r="H28" s="11">
        <v>1.0</v>
      </c>
      <c r="I28" s="20">
        <v>40.0</v>
      </c>
      <c r="J28" s="20">
        <v>40.0</v>
      </c>
      <c r="BO28" s="20">
        <v>40.0</v>
      </c>
      <c r="BR28" s="20">
        <v>40.0</v>
      </c>
      <c r="BU28" s="11" t="s">
        <v>213</v>
      </c>
    </row>
    <row r="29">
      <c r="A29" s="11" t="s">
        <v>511</v>
      </c>
      <c r="B29" s="11" t="s">
        <v>78</v>
      </c>
      <c r="C29" s="23">
        <v>45617.0</v>
      </c>
      <c r="D29" s="11" t="s">
        <v>513</v>
      </c>
      <c r="F29" s="11" t="s">
        <v>501</v>
      </c>
      <c r="G29" s="11" t="s">
        <v>219</v>
      </c>
      <c r="H29" s="11">
        <v>1.0</v>
      </c>
      <c r="I29" s="20">
        <v>909.34</v>
      </c>
      <c r="J29" s="20">
        <v>909.34</v>
      </c>
      <c r="BO29" s="20">
        <v>909.34</v>
      </c>
      <c r="BR29" s="20">
        <v>909.34</v>
      </c>
      <c r="BU29" s="11" t="s">
        <v>213</v>
      </c>
    </row>
    <row r="30">
      <c r="A30" s="11" t="s">
        <v>522</v>
      </c>
      <c r="B30" s="11" t="s">
        <v>78</v>
      </c>
      <c r="C30" s="23">
        <v>45617.0</v>
      </c>
      <c r="D30" s="11" t="s">
        <v>216</v>
      </c>
      <c r="F30" s="11" t="s">
        <v>526</v>
      </c>
      <c r="G30" s="11" t="s">
        <v>527</v>
      </c>
      <c r="H30" s="11">
        <v>1.0</v>
      </c>
      <c r="I30" s="20">
        <v>54.0</v>
      </c>
      <c r="J30" s="20">
        <v>54.0</v>
      </c>
      <c r="BO30" s="20">
        <v>54.0</v>
      </c>
      <c r="BR30" s="20">
        <v>54.0</v>
      </c>
      <c r="BU30" s="11" t="s">
        <v>213</v>
      </c>
    </row>
    <row r="31">
      <c r="A31" s="11" t="s">
        <v>535</v>
      </c>
      <c r="B31" s="11" t="s">
        <v>78</v>
      </c>
      <c r="C31" s="23">
        <v>45617.0</v>
      </c>
      <c r="F31" s="11" t="s">
        <v>538</v>
      </c>
      <c r="G31" s="11" t="s">
        <v>350</v>
      </c>
      <c r="H31" s="11">
        <v>1.0</v>
      </c>
      <c r="I31" s="20">
        <v>300.0</v>
      </c>
      <c r="J31" s="20">
        <v>300.0</v>
      </c>
      <c r="BO31" s="20">
        <v>300.0</v>
      </c>
      <c r="BR31" s="20">
        <v>300.0</v>
      </c>
      <c r="BU31" s="11" t="s">
        <v>213</v>
      </c>
      <c r="BV31" s="11" t="s">
        <v>549</v>
      </c>
    </row>
    <row r="32">
      <c r="A32" s="11" t="s">
        <v>551</v>
      </c>
      <c r="B32" s="11" t="s">
        <v>78</v>
      </c>
      <c r="C32" s="23">
        <v>45617.0</v>
      </c>
      <c r="F32" s="11" t="s">
        <v>554</v>
      </c>
      <c r="G32" s="11" t="s">
        <v>350</v>
      </c>
      <c r="H32" s="11">
        <v>1.0</v>
      </c>
      <c r="I32" s="20">
        <v>170.0</v>
      </c>
      <c r="J32" s="20">
        <v>170.0</v>
      </c>
      <c r="BO32" s="20">
        <v>170.0</v>
      </c>
      <c r="BR32" s="20">
        <v>170.0</v>
      </c>
      <c r="BU32" s="11" t="s">
        <v>213</v>
      </c>
      <c r="BV32" s="11" t="s">
        <v>564</v>
      </c>
    </row>
    <row r="33">
      <c r="A33" s="11" t="s">
        <v>565</v>
      </c>
      <c r="B33" s="11" t="s">
        <v>78</v>
      </c>
      <c r="C33" s="23">
        <v>45617.0</v>
      </c>
      <c r="D33" s="11" t="s">
        <v>404</v>
      </c>
      <c r="F33" s="11" t="s">
        <v>569</v>
      </c>
      <c r="G33" s="11" t="s">
        <v>406</v>
      </c>
      <c r="H33" s="11">
        <v>1.0</v>
      </c>
      <c r="I33" s="20">
        <v>295.0</v>
      </c>
      <c r="J33" s="20">
        <v>295.0</v>
      </c>
      <c r="BO33" s="20">
        <v>295.0</v>
      </c>
      <c r="BR33" s="20">
        <v>295.0</v>
      </c>
      <c r="BU33" s="11" t="s">
        <v>213</v>
      </c>
    </row>
    <row r="34">
      <c r="A34" s="11" t="s">
        <v>580</v>
      </c>
      <c r="B34" s="11" t="s">
        <v>78</v>
      </c>
      <c r="C34" s="23">
        <v>45617.0</v>
      </c>
      <c r="D34" s="11" t="s">
        <v>582</v>
      </c>
      <c r="F34" s="11" t="s">
        <v>585</v>
      </c>
      <c r="G34" s="11" t="s">
        <v>587</v>
      </c>
      <c r="H34" s="11">
        <v>1.0</v>
      </c>
      <c r="I34" s="20">
        <v>10745.41</v>
      </c>
      <c r="J34" s="20">
        <v>10745.41</v>
      </c>
      <c r="BO34" s="20">
        <v>10745.41</v>
      </c>
      <c r="BR34" s="20">
        <v>10745.41</v>
      </c>
      <c r="BU34" s="11" t="s">
        <v>213</v>
      </c>
    </row>
    <row r="35">
      <c r="A35" s="11" t="s">
        <v>601</v>
      </c>
      <c r="B35" s="11" t="s">
        <v>78</v>
      </c>
      <c r="C35" s="23">
        <v>45617.0</v>
      </c>
      <c r="D35" s="11" t="s">
        <v>605</v>
      </c>
      <c r="F35" s="11" t="s">
        <v>606</v>
      </c>
      <c r="G35" s="11" t="s">
        <v>609</v>
      </c>
      <c r="H35" s="11">
        <v>1.0</v>
      </c>
      <c r="I35" s="20">
        <v>3821.31</v>
      </c>
      <c r="J35" s="20">
        <v>3821.31</v>
      </c>
      <c r="BO35" s="20">
        <v>3821.31</v>
      </c>
      <c r="BR35" s="20">
        <v>3821.31</v>
      </c>
      <c r="BU35" s="11" t="s">
        <v>213</v>
      </c>
    </row>
    <row r="36">
      <c r="A36" s="11" t="s">
        <v>615</v>
      </c>
      <c r="B36" s="11" t="s">
        <v>78</v>
      </c>
      <c r="C36" s="23">
        <v>45621.0</v>
      </c>
      <c r="D36" s="11" t="s">
        <v>610</v>
      </c>
      <c r="F36" s="11" t="s">
        <v>619</v>
      </c>
      <c r="G36" s="11" t="s">
        <v>621</v>
      </c>
      <c r="H36" s="11">
        <v>1.0</v>
      </c>
      <c r="I36" s="20">
        <v>244.75</v>
      </c>
      <c r="J36" s="20">
        <v>244.75</v>
      </c>
      <c r="BO36" s="20">
        <v>244.75</v>
      </c>
      <c r="BR36" s="20">
        <v>244.75</v>
      </c>
      <c r="BU36" s="11" t="s">
        <v>235</v>
      </c>
    </row>
    <row r="37">
      <c r="A37" s="11" t="s">
        <v>627</v>
      </c>
      <c r="B37" s="11" t="s">
        <v>78</v>
      </c>
      <c r="C37" s="23">
        <v>45621.0</v>
      </c>
      <c r="F37" s="11" t="s">
        <v>628</v>
      </c>
      <c r="G37" s="11" t="s">
        <v>350</v>
      </c>
      <c r="H37" s="11">
        <v>1.0</v>
      </c>
      <c r="I37" s="20">
        <v>200.0</v>
      </c>
      <c r="J37" s="20">
        <v>200.0</v>
      </c>
      <c r="BO37" s="20">
        <v>200.0</v>
      </c>
      <c r="BR37" s="20">
        <v>200.0</v>
      </c>
      <c r="BU37" s="11" t="s">
        <v>235</v>
      </c>
      <c r="BV37" s="11" t="s">
        <v>549</v>
      </c>
    </row>
    <row r="38">
      <c r="A38" s="11" t="s">
        <v>635</v>
      </c>
      <c r="B38" s="11" t="s">
        <v>78</v>
      </c>
      <c r="C38" s="23">
        <v>45621.0</v>
      </c>
      <c r="D38" s="11" t="s">
        <v>297</v>
      </c>
      <c r="F38" s="11" t="s">
        <v>636</v>
      </c>
      <c r="G38" s="11" t="s">
        <v>638</v>
      </c>
      <c r="H38" s="11">
        <v>1.0</v>
      </c>
      <c r="I38" s="20">
        <v>30.0</v>
      </c>
      <c r="J38" s="20">
        <v>30.0</v>
      </c>
      <c r="BO38" s="20">
        <v>30.0</v>
      </c>
      <c r="BR38" s="20">
        <v>30.0</v>
      </c>
      <c r="BU38" s="11" t="s">
        <v>235</v>
      </c>
    </row>
    <row r="39">
      <c r="A39" s="11" t="s">
        <v>642</v>
      </c>
      <c r="B39" s="11" t="s">
        <v>78</v>
      </c>
      <c r="C39" s="23">
        <v>45621.0</v>
      </c>
      <c r="D39" s="11" t="s">
        <v>644</v>
      </c>
      <c r="F39" s="11" t="s">
        <v>646</v>
      </c>
      <c r="G39" s="11" t="s">
        <v>648</v>
      </c>
      <c r="H39" s="11">
        <v>1.0</v>
      </c>
      <c r="I39" s="20">
        <v>400.0</v>
      </c>
      <c r="J39" s="20">
        <v>400.0</v>
      </c>
      <c r="BO39" s="20">
        <v>400.0</v>
      </c>
      <c r="BR39" s="20">
        <v>400.0</v>
      </c>
      <c r="BU39" s="11" t="s">
        <v>187</v>
      </c>
    </row>
    <row r="40">
      <c r="A40" s="11" t="s">
        <v>660</v>
      </c>
      <c r="B40" s="11" t="s">
        <v>78</v>
      </c>
      <c r="C40" s="23">
        <v>45622.0</v>
      </c>
      <c r="D40" s="11" t="s">
        <v>415</v>
      </c>
      <c r="F40" s="11" t="s">
        <v>662</v>
      </c>
      <c r="G40" s="11" t="s">
        <v>663</v>
      </c>
      <c r="H40" s="11">
        <v>1.0</v>
      </c>
      <c r="I40" s="20">
        <v>90.0</v>
      </c>
      <c r="J40" s="20">
        <v>90.0</v>
      </c>
      <c r="BO40" s="20">
        <v>90.0</v>
      </c>
      <c r="BR40" s="20">
        <v>90.0</v>
      </c>
      <c r="BU40" s="11" t="s">
        <v>187</v>
      </c>
    </row>
    <row r="41">
      <c r="A41" s="11" t="s">
        <v>669</v>
      </c>
      <c r="B41" s="11" t="s">
        <v>78</v>
      </c>
      <c r="C41" s="23">
        <v>45622.0</v>
      </c>
      <c r="D41" s="11" t="s">
        <v>451</v>
      </c>
      <c r="F41" s="11" t="s">
        <v>673</v>
      </c>
      <c r="G41" s="11" t="s">
        <v>419</v>
      </c>
      <c r="H41" s="11">
        <v>1.0</v>
      </c>
      <c r="I41" s="20">
        <v>4328.0</v>
      </c>
      <c r="J41" s="20">
        <v>4328.0</v>
      </c>
      <c r="BO41" s="20">
        <v>4328.0</v>
      </c>
      <c r="BR41" s="20">
        <v>4328.0</v>
      </c>
      <c r="BU41" s="11" t="s">
        <v>187</v>
      </c>
    </row>
    <row r="42">
      <c r="A42" s="11" t="s">
        <v>677</v>
      </c>
      <c r="B42" s="11" t="s">
        <v>78</v>
      </c>
      <c r="C42" s="23">
        <v>45622.0</v>
      </c>
      <c r="F42" s="11" t="s">
        <v>681</v>
      </c>
      <c r="G42" s="11" t="s">
        <v>376</v>
      </c>
      <c r="H42" s="11">
        <v>1.0</v>
      </c>
      <c r="I42" s="20">
        <v>3210.0</v>
      </c>
      <c r="J42" s="20">
        <v>3210.0</v>
      </c>
      <c r="BO42" s="20">
        <v>3210.0</v>
      </c>
      <c r="BR42" s="20">
        <v>3210.0</v>
      </c>
      <c r="BU42" s="11" t="s">
        <v>187</v>
      </c>
      <c r="BV42" s="11" t="s">
        <v>685</v>
      </c>
    </row>
    <row r="43">
      <c r="A43" s="11" t="s">
        <v>686</v>
      </c>
      <c r="B43" s="11" t="s">
        <v>78</v>
      </c>
      <c r="C43" s="23">
        <v>45622.0</v>
      </c>
      <c r="F43" s="11" t="s">
        <v>687</v>
      </c>
      <c r="G43" s="11" t="s">
        <v>376</v>
      </c>
      <c r="H43" s="11">
        <v>1.0</v>
      </c>
      <c r="I43" s="20">
        <v>267.5</v>
      </c>
      <c r="J43" s="20">
        <v>267.5</v>
      </c>
      <c r="BO43" s="20">
        <v>267.5</v>
      </c>
      <c r="BR43" s="20">
        <v>267.5</v>
      </c>
      <c r="BU43" s="11" t="s">
        <v>187</v>
      </c>
      <c r="BV43" s="20">
        <v>3.3095275E7</v>
      </c>
    </row>
    <row r="44">
      <c r="A44" s="11" t="s">
        <v>694</v>
      </c>
      <c r="B44" s="11" t="s">
        <v>78</v>
      </c>
      <c r="C44" s="23">
        <v>45622.0</v>
      </c>
      <c r="F44" s="11" t="s">
        <v>687</v>
      </c>
      <c r="G44" s="11" t="s">
        <v>376</v>
      </c>
      <c r="H44" s="11">
        <v>1.0</v>
      </c>
      <c r="I44" s="20">
        <v>267.5</v>
      </c>
      <c r="J44" s="20">
        <v>267.5</v>
      </c>
      <c r="BO44" s="20">
        <v>267.5</v>
      </c>
      <c r="BR44" s="20">
        <v>267.5</v>
      </c>
      <c r="BU44" s="11" t="s">
        <v>187</v>
      </c>
      <c r="BV44" s="11" t="s">
        <v>704</v>
      </c>
    </row>
    <row r="45">
      <c r="A45" s="11" t="s">
        <v>705</v>
      </c>
      <c r="B45" s="11" t="s">
        <v>78</v>
      </c>
      <c r="C45" s="23">
        <v>45622.0</v>
      </c>
      <c r="D45" s="11" t="s">
        <v>415</v>
      </c>
      <c r="F45" s="11" t="s">
        <v>709</v>
      </c>
      <c r="G45" s="11" t="s">
        <v>711</v>
      </c>
      <c r="H45" s="11">
        <v>1.0</v>
      </c>
      <c r="I45" s="20">
        <v>150.0</v>
      </c>
      <c r="J45" s="20">
        <v>150.0</v>
      </c>
      <c r="BO45" s="20">
        <v>150.0</v>
      </c>
      <c r="BR45" s="20">
        <v>150.0</v>
      </c>
      <c r="BU45" s="11" t="s">
        <v>187</v>
      </c>
    </row>
    <row r="46">
      <c r="A46" s="11" t="s">
        <v>716</v>
      </c>
      <c r="B46" s="11" t="s">
        <v>78</v>
      </c>
      <c r="C46" s="23">
        <v>45625.0</v>
      </c>
      <c r="F46" s="11" t="s">
        <v>718</v>
      </c>
      <c r="G46" s="11" t="s">
        <v>350</v>
      </c>
      <c r="H46" s="11">
        <v>1.0</v>
      </c>
      <c r="I46" s="20">
        <v>700.0</v>
      </c>
      <c r="J46" s="20">
        <v>700.0</v>
      </c>
      <c r="BO46" s="20">
        <v>700.0</v>
      </c>
      <c r="BR46" s="20">
        <v>700.0</v>
      </c>
      <c r="BU46" s="11" t="s">
        <v>235</v>
      </c>
      <c r="BV46" s="11" t="s">
        <v>225</v>
      </c>
    </row>
    <row r="47">
      <c r="A47" s="11" t="s">
        <v>723</v>
      </c>
      <c r="B47" s="11" t="s">
        <v>78</v>
      </c>
      <c r="C47" s="23">
        <v>45625.0</v>
      </c>
      <c r="F47" s="11" t="s">
        <v>725</v>
      </c>
      <c r="G47" s="11" t="s">
        <v>350</v>
      </c>
      <c r="H47" s="11">
        <v>1.0</v>
      </c>
      <c r="I47" s="20">
        <v>200.0</v>
      </c>
      <c r="J47" s="20">
        <v>200.0</v>
      </c>
      <c r="BO47" s="20">
        <v>200.0</v>
      </c>
      <c r="BR47" s="20">
        <v>200.0</v>
      </c>
      <c r="BU47" s="11" t="s">
        <v>235</v>
      </c>
      <c r="BV47" s="11" t="s">
        <v>549</v>
      </c>
    </row>
    <row r="48">
      <c r="A48" s="11" t="s">
        <v>734</v>
      </c>
      <c r="B48" s="11" t="s">
        <v>78</v>
      </c>
      <c r="C48" s="23">
        <v>45627.0</v>
      </c>
      <c r="D48" s="11" t="s">
        <v>404</v>
      </c>
      <c r="F48" s="11" t="s">
        <v>736</v>
      </c>
      <c r="G48" s="11" t="s">
        <v>738</v>
      </c>
      <c r="H48" s="11">
        <v>1.0</v>
      </c>
      <c r="I48" s="20">
        <v>149.0</v>
      </c>
      <c r="J48" s="20">
        <v>149.0</v>
      </c>
      <c r="BO48" s="20">
        <v>149.0</v>
      </c>
      <c r="BR48" s="20">
        <v>149.0</v>
      </c>
      <c r="BU48" s="11" t="s">
        <v>187</v>
      </c>
    </row>
    <row r="49">
      <c r="A49" s="11" t="s">
        <v>746</v>
      </c>
      <c r="B49" s="11" t="s">
        <v>78</v>
      </c>
      <c r="C49" s="23">
        <v>45627.0</v>
      </c>
      <c r="D49" s="11" t="s">
        <v>176</v>
      </c>
      <c r="F49" s="11" t="s">
        <v>749</v>
      </c>
      <c r="G49" s="11" t="s">
        <v>750</v>
      </c>
      <c r="H49" s="11">
        <v>1.0</v>
      </c>
      <c r="I49" s="20">
        <v>67.84</v>
      </c>
      <c r="J49" s="20">
        <v>67.84</v>
      </c>
      <c r="BO49" s="20">
        <v>67.84</v>
      </c>
      <c r="BR49" s="20">
        <v>67.84</v>
      </c>
      <c r="BU49" s="11" t="s">
        <v>187</v>
      </c>
    </row>
    <row r="50">
      <c r="A50" s="11" t="s">
        <v>757</v>
      </c>
      <c r="B50" s="11" t="s">
        <v>78</v>
      </c>
      <c r="C50" s="23">
        <v>45627.0</v>
      </c>
      <c r="D50" s="11" t="s">
        <v>415</v>
      </c>
      <c r="F50" s="11" t="s">
        <v>760</v>
      </c>
      <c r="G50" s="11" t="s">
        <v>761</v>
      </c>
      <c r="H50" s="11">
        <v>1.0</v>
      </c>
      <c r="I50" s="20">
        <v>870.0</v>
      </c>
      <c r="J50" s="20">
        <v>870.0</v>
      </c>
      <c r="BO50" s="20">
        <v>870.0</v>
      </c>
      <c r="BR50" s="20">
        <v>870.0</v>
      </c>
      <c r="BU50" s="11" t="s">
        <v>187</v>
      </c>
    </row>
    <row r="51">
      <c r="A51" s="11" t="s">
        <v>767</v>
      </c>
      <c r="B51" s="11" t="s">
        <v>78</v>
      </c>
      <c r="C51" s="23">
        <v>45629.0</v>
      </c>
      <c r="F51" s="11" t="s">
        <v>769</v>
      </c>
      <c r="G51" s="11" t="s">
        <v>376</v>
      </c>
      <c r="H51" s="11">
        <v>1.0</v>
      </c>
      <c r="I51" s="20">
        <v>3561.57</v>
      </c>
      <c r="J51" s="20">
        <v>3561.57</v>
      </c>
      <c r="BO51" s="20">
        <v>3561.57</v>
      </c>
      <c r="BR51" s="20">
        <v>3561.57</v>
      </c>
      <c r="BU51" s="11" t="s">
        <v>187</v>
      </c>
      <c r="BV51" s="11" t="s">
        <v>225</v>
      </c>
    </row>
    <row r="52">
      <c r="A52" s="11" t="s">
        <v>774</v>
      </c>
      <c r="B52" s="11" t="s">
        <v>78</v>
      </c>
      <c r="C52" s="23">
        <v>45629.0</v>
      </c>
      <c r="F52" s="11" t="s">
        <v>775</v>
      </c>
      <c r="G52" s="11" t="s">
        <v>376</v>
      </c>
      <c r="H52" s="11">
        <v>1.0</v>
      </c>
      <c r="I52" s="20">
        <v>1978.89</v>
      </c>
      <c r="J52" s="20">
        <v>1978.89</v>
      </c>
      <c r="BO52" s="20">
        <v>1978.89</v>
      </c>
      <c r="BR52" s="20">
        <v>1978.89</v>
      </c>
      <c r="BU52" s="11" t="s">
        <v>187</v>
      </c>
      <c r="BV52" s="11" t="s">
        <v>564</v>
      </c>
    </row>
    <row r="53">
      <c r="A53" s="11" t="s">
        <v>778</v>
      </c>
      <c r="B53" s="11" t="s">
        <v>78</v>
      </c>
      <c r="C53" s="23">
        <v>45631.0</v>
      </c>
      <c r="F53" s="11" t="s">
        <v>783</v>
      </c>
      <c r="G53" s="11" t="s">
        <v>350</v>
      </c>
      <c r="H53" s="11">
        <v>1.0</v>
      </c>
      <c r="I53" s="20">
        <v>500.0</v>
      </c>
      <c r="J53" s="20">
        <v>500.0</v>
      </c>
      <c r="BO53" s="20">
        <v>500.0</v>
      </c>
      <c r="BR53" s="20">
        <v>500.0</v>
      </c>
      <c r="BU53" s="11" t="s">
        <v>187</v>
      </c>
      <c r="BV53" s="11" t="s">
        <v>564</v>
      </c>
    </row>
    <row r="54">
      <c r="A54" s="11" t="s">
        <v>784</v>
      </c>
      <c r="B54" s="11" t="s">
        <v>78</v>
      </c>
      <c r="C54" s="23">
        <v>45631.0</v>
      </c>
      <c r="D54" s="11" t="s">
        <v>237</v>
      </c>
      <c r="F54" s="11" t="s">
        <v>787</v>
      </c>
      <c r="G54" s="11" t="s">
        <v>788</v>
      </c>
      <c r="H54" s="11">
        <v>1.0</v>
      </c>
      <c r="I54" s="20">
        <v>5000.0</v>
      </c>
      <c r="J54" s="20">
        <v>5000.0</v>
      </c>
      <c r="BO54" s="20">
        <v>5000.0</v>
      </c>
      <c r="BR54" s="20">
        <v>5000.0</v>
      </c>
      <c r="BU54" s="11" t="s">
        <v>187</v>
      </c>
    </row>
    <row r="55">
      <c r="A55" s="11" t="s">
        <v>792</v>
      </c>
      <c r="B55" s="11" t="s">
        <v>78</v>
      </c>
      <c r="C55" s="23">
        <v>45635.0</v>
      </c>
      <c r="D55" s="11" t="s">
        <v>793</v>
      </c>
      <c r="F55" s="11" t="s">
        <v>794</v>
      </c>
      <c r="G55" s="11" t="s">
        <v>795</v>
      </c>
      <c r="H55" s="11">
        <v>1.0</v>
      </c>
      <c r="I55" s="20">
        <v>210.0</v>
      </c>
      <c r="J55" s="20">
        <v>210.0</v>
      </c>
      <c r="BO55" s="20">
        <v>210.0</v>
      </c>
      <c r="BR55" s="20">
        <v>210.0</v>
      </c>
      <c r="BU55" s="11" t="s">
        <v>187</v>
      </c>
    </row>
    <row r="56">
      <c r="A56" s="11" t="s">
        <v>804</v>
      </c>
      <c r="B56" s="11" t="s">
        <v>78</v>
      </c>
      <c r="C56" s="23">
        <v>45636.0</v>
      </c>
      <c r="D56" s="11" t="s">
        <v>176</v>
      </c>
      <c r="F56" s="11" t="s">
        <v>807</v>
      </c>
      <c r="G56" s="20">
        <v>2.3273172E7</v>
      </c>
      <c r="H56" s="11">
        <v>1.0</v>
      </c>
      <c r="I56" s="20">
        <v>350.0</v>
      </c>
      <c r="J56" s="20">
        <v>350.0</v>
      </c>
      <c r="BO56" s="20">
        <v>350.0</v>
      </c>
      <c r="BR56" s="20">
        <v>350.0</v>
      </c>
      <c r="BU56" s="11" t="s">
        <v>187</v>
      </c>
    </row>
    <row r="57">
      <c r="A57" s="11" t="s">
        <v>814</v>
      </c>
      <c r="B57" s="11" t="s">
        <v>78</v>
      </c>
      <c r="C57" s="23">
        <v>45642.0</v>
      </c>
      <c r="D57" s="11" t="s">
        <v>817</v>
      </c>
      <c r="F57" s="11" t="s">
        <v>818</v>
      </c>
      <c r="G57" s="11" t="s">
        <v>819</v>
      </c>
      <c r="H57" s="11">
        <v>1.0</v>
      </c>
      <c r="I57" s="20">
        <v>634.75</v>
      </c>
      <c r="J57" s="20">
        <v>634.75</v>
      </c>
      <c r="BO57" s="20">
        <v>634.75</v>
      </c>
      <c r="BR57" s="20">
        <v>634.75</v>
      </c>
      <c r="BU57" s="11" t="s">
        <v>187</v>
      </c>
    </row>
    <row r="58">
      <c r="A58" s="11" t="s">
        <v>825</v>
      </c>
      <c r="B58" s="11" t="s">
        <v>78</v>
      </c>
      <c r="C58" s="23">
        <v>45642.0</v>
      </c>
      <c r="D58" s="11" t="s">
        <v>237</v>
      </c>
      <c r="F58" s="11" t="s">
        <v>827</v>
      </c>
      <c r="G58" s="11" t="s">
        <v>788</v>
      </c>
      <c r="H58" s="11">
        <v>1.0</v>
      </c>
      <c r="I58" s="20">
        <v>169.22</v>
      </c>
      <c r="J58" s="20">
        <v>169.22</v>
      </c>
      <c r="BO58" s="20">
        <v>169.22</v>
      </c>
      <c r="BR58" s="20">
        <v>169.22</v>
      </c>
      <c r="BU58" s="11" t="s">
        <v>187</v>
      </c>
    </row>
    <row r="59">
      <c r="A59" s="11" t="s">
        <v>834</v>
      </c>
      <c r="B59" s="11" t="s">
        <v>78</v>
      </c>
      <c r="C59" s="23">
        <v>45646.0</v>
      </c>
      <c r="D59" s="11" t="s">
        <v>838</v>
      </c>
      <c r="F59" s="11" t="s">
        <v>840</v>
      </c>
      <c r="G59" s="11" t="s">
        <v>842</v>
      </c>
      <c r="H59" s="11">
        <v>1.0</v>
      </c>
      <c r="I59" s="20">
        <v>1216.5</v>
      </c>
      <c r="J59" s="20">
        <v>1216.5</v>
      </c>
      <c r="BO59" s="20">
        <v>1216.5</v>
      </c>
      <c r="BR59" s="20">
        <v>1216.5</v>
      </c>
      <c r="BU59" s="11" t="s">
        <v>187</v>
      </c>
    </row>
    <row r="60">
      <c r="A60" s="11" t="s">
        <v>845</v>
      </c>
      <c r="B60" s="11" t="s">
        <v>78</v>
      </c>
      <c r="C60" s="23">
        <v>45649.0</v>
      </c>
      <c r="D60" s="11" t="s">
        <v>848</v>
      </c>
      <c r="F60" s="11" t="s">
        <v>849</v>
      </c>
      <c r="G60" s="11" t="s">
        <v>851</v>
      </c>
      <c r="H60" s="11">
        <v>1.0</v>
      </c>
      <c r="I60" s="20">
        <v>593.0</v>
      </c>
      <c r="J60" s="20">
        <v>593.0</v>
      </c>
      <c r="BO60" s="20">
        <v>593.0</v>
      </c>
      <c r="BR60" s="20">
        <v>593.0</v>
      </c>
      <c r="BU60" s="11" t="s">
        <v>187</v>
      </c>
    </row>
    <row r="61">
      <c r="A61" s="11" t="s">
        <v>857</v>
      </c>
      <c r="B61" s="11" t="s">
        <v>78</v>
      </c>
      <c r="C61" s="23">
        <v>45649.0</v>
      </c>
      <c r="D61" s="11" t="s">
        <v>859</v>
      </c>
      <c r="F61" s="11" t="s">
        <v>860</v>
      </c>
      <c r="G61" s="11" t="s">
        <v>587</v>
      </c>
      <c r="H61" s="11">
        <v>1.0</v>
      </c>
      <c r="I61" s="20">
        <v>2651.35</v>
      </c>
      <c r="J61" s="20">
        <v>2651.35</v>
      </c>
      <c r="BO61" s="20">
        <v>2651.35</v>
      </c>
      <c r="BR61" s="20">
        <v>2651.35</v>
      </c>
      <c r="BU61" s="11" t="s">
        <v>187</v>
      </c>
    </row>
    <row r="62">
      <c r="A62" s="11" t="s">
        <v>867</v>
      </c>
      <c r="B62" s="11" t="s">
        <v>78</v>
      </c>
      <c r="C62" s="23">
        <v>45649.0</v>
      </c>
      <c r="F62" s="11" t="s">
        <v>501</v>
      </c>
      <c r="G62" s="11" t="s">
        <v>638</v>
      </c>
      <c r="H62" s="11">
        <v>1.0</v>
      </c>
      <c r="I62" s="20">
        <v>37.5</v>
      </c>
      <c r="J62" s="20">
        <v>37.5</v>
      </c>
      <c r="BO62" s="20">
        <v>37.5</v>
      </c>
      <c r="BR62" s="20">
        <v>37.5</v>
      </c>
      <c r="BU62" s="11" t="s">
        <v>187</v>
      </c>
      <c r="BV62" s="11" t="s">
        <v>877</v>
      </c>
    </row>
    <row r="63">
      <c r="A63" s="11" t="s">
        <v>879</v>
      </c>
      <c r="B63" s="11" t="s">
        <v>78</v>
      </c>
      <c r="C63" s="23">
        <v>45649.0</v>
      </c>
      <c r="F63" s="11" t="s">
        <v>882</v>
      </c>
      <c r="G63" s="11" t="s">
        <v>884</v>
      </c>
      <c r="H63" s="11">
        <v>1.0</v>
      </c>
      <c r="I63" s="20">
        <v>36.0</v>
      </c>
      <c r="J63" s="20">
        <v>36.0</v>
      </c>
      <c r="BO63" s="20">
        <v>36.0</v>
      </c>
      <c r="BR63" s="20">
        <v>36.0</v>
      </c>
      <c r="BU63" s="11" t="s">
        <v>187</v>
      </c>
      <c r="BV63" s="11" t="s">
        <v>877</v>
      </c>
    </row>
    <row r="64">
      <c r="A64" s="11" t="s">
        <v>892</v>
      </c>
      <c r="B64" s="11" t="s">
        <v>78</v>
      </c>
      <c r="C64" s="23">
        <v>45649.0</v>
      </c>
      <c r="F64" s="11" t="s">
        <v>893</v>
      </c>
      <c r="G64" s="11" t="s">
        <v>386</v>
      </c>
      <c r="H64" s="11">
        <v>1.0</v>
      </c>
      <c r="I64" s="20">
        <v>80.0</v>
      </c>
      <c r="J64" s="20">
        <v>80.0</v>
      </c>
      <c r="BO64" s="20">
        <v>80.0</v>
      </c>
      <c r="BR64" s="20">
        <v>80.0</v>
      </c>
      <c r="BU64" s="11" t="s">
        <v>187</v>
      </c>
      <c r="BV64" s="11" t="s">
        <v>877</v>
      </c>
    </row>
    <row r="65">
      <c r="A65" s="11" t="s">
        <v>900</v>
      </c>
      <c r="B65" s="11" t="s">
        <v>78</v>
      </c>
      <c r="C65" s="23">
        <v>45649.0</v>
      </c>
      <c r="F65" s="11" t="s">
        <v>904</v>
      </c>
      <c r="G65" s="11" t="s">
        <v>905</v>
      </c>
      <c r="H65" s="11">
        <v>1.0</v>
      </c>
      <c r="I65" s="20">
        <v>26.47</v>
      </c>
      <c r="J65" s="20">
        <v>26.47</v>
      </c>
      <c r="BO65" s="20">
        <v>26.47</v>
      </c>
      <c r="BR65" s="20">
        <v>26.47</v>
      </c>
      <c r="BU65" s="11" t="s">
        <v>187</v>
      </c>
      <c r="BV65" s="11" t="s">
        <v>877</v>
      </c>
    </row>
    <row r="66">
      <c r="A66" s="11" t="s">
        <v>911</v>
      </c>
      <c r="B66" s="11" t="s">
        <v>78</v>
      </c>
      <c r="C66" s="23">
        <v>45649.0</v>
      </c>
      <c r="F66" s="11" t="s">
        <v>915</v>
      </c>
      <c r="G66" s="11" t="s">
        <v>916</v>
      </c>
      <c r="H66" s="11">
        <v>1.0</v>
      </c>
      <c r="I66" s="20">
        <v>89.0</v>
      </c>
      <c r="J66" s="20">
        <v>89.0</v>
      </c>
      <c r="BO66" s="20">
        <v>89.0</v>
      </c>
      <c r="BR66" s="20">
        <v>89.0</v>
      </c>
      <c r="BU66" s="11" t="s">
        <v>187</v>
      </c>
      <c r="BV66" s="11" t="s">
        <v>877</v>
      </c>
    </row>
    <row r="67">
      <c r="A67" s="11" t="s">
        <v>920</v>
      </c>
      <c r="B67" s="11" t="s">
        <v>78</v>
      </c>
      <c r="C67" s="23">
        <v>45649.0</v>
      </c>
      <c r="D67" s="11" t="s">
        <v>817</v>
      </c>
      <c r="F67" s="11" t="s">
        <v>924</v>
      </c>
      <c r="G67" s="11" t="s">
        <v>819</v>
      </c>
      <c r="H67" s="11">
        <v>1.0</v>
      </c>
      <c r="I67" s="20">
        <v>264.59</v>
      </c>
      <c r="J67" s="20">
        <v>264.59</v>
      </c>
      <c r="BO67" s="20">
        <v>264.59</v>
      </c>
      <c r="BR67" s="20">
        <v>264.59</v>
      </c>
      <c r="BU67" s="11" t="s">
        <v>187</v>
      </c>
    </row>
    <row r="68">
      <c r="A68" s="11" t="s">
        <v>929</v>
      </c>
      <c r="B68" s="11" t="s">
        <v>78</v>
      </c>
      <c r="C68" s="23">
        <v>45649.0</v>
      </c>
      <c r="D68" s="11" t="s">
        <v>644</v>
      </c>
      <c r="F68" s="11" t="s">
        <v>646</v>
      </c>
      <c r="G68" s="11" t="s">
        <v>648</v>
      </c>
      <c r="H68" s="11">
        <v>1.0</v>
      </c>
      <c r="I68" s="20">
        <v>400.0</v>
      </c>
      <c r="J68" s="20">
        <v>400.0</v>
      </c>
      <c r="BO68" s="20">
        <v>400.0</v>
      </c>
      <c r="BR68" s="20">
        <v>400.0</v>
      </c>
      <c r="BU68" s="11" t="s">
        <v>187</v>
      </c>
    </row>
    <row r="69">
      <c r="A69" s="11" t="s">
        <v>935</v>
      </c>
      <c r="B69" s="11" t="s">
        <v>78</v>
      </c>
      <c r="C69" s="23">
        <v>45653.0</v>
      </c>
      <c r="F69" s="11" t="s">
        <v>937</v>
      </c>
      <c r="G69" s="11" t="s">
        <v>350</v>
      </c>
      <c r="H69" s="11">
        <v>1.0</v>
      </c>
      <c r="I69" s="20">
        <v>300.0</v>
      </c>
      <c r="J69" s="20">
        <v>300.0</v>
      </c>
      <c r="BO69" s="20">
        <v>300.0</v>
      </c>
      <c r="BR69" s="20">
        <v>300.0</v>
      </c>
      <c r="BU69" s="11" t="s">
        <v>187</v>
      </c>
      <c r="BV69" s="11" t="s">
        <v>945</v>
      </c>
    </row>
    <row r="70">
      <c r="A70" s="11" t="s">
        <v>946</v>
      </c>
      <c r="B70" s="11" t="s">
        <v>78</v>
      </c>
      <c r="C70" s="23">
        <v>45649.0</v>
      </c>
      <c r="F70" s="11" t="s">
        <v>783</v>
      </c>
      <c r="G70" s="11" t="s">
        <v>350</v>
      </c>
      <c r="H70" s="11">
        <v>1.0</v>
      </c>
      <c r="I70" s="20">
        <v>200.0</v>
      </c>
      <c r="J70" s="20">
        <v>200.0</v>
      </c>
      <c r="BO70" s="20">
        <v>200.0</v>
      </c>
      <c r="BR70" s="20">
        <v>200.0</v>
      </c>
      <c r="BU70" s="11" t="s">
        <v>187</v>
      </c>
      <c r="BV70" s="11" t="s">
        <v>945</v>
      </c>
    </row>
    <row r="71">
      <c r="A71" s="11" t="s">
        <v>950</v>
      </c>
      <c r="B71" s="11" t="s">
        <v>78</v>
      </c>
      <c r="C71" s="23">
        <v>45656.0</v>
      </c>
      <c r="D71" s="11" t="s">
        <v>547</v>
      </c>
      <c r="F71" s="11" t="s">
        <v>955</v>
      </c>
      <c r="G71" s="11" t="s">
        <v>957</v>
      </c>
      <c r="H71" s="11">
        <v>1.0</v>
      </c>
      <c r="I71" s="20">
        <v>241.0</v>
      </c>
      <c r="J71" s="20">
        <v>241.0</v>
      </c>
      <c r="BO71" s="20">
        <v>241.0</v>
      </c>
      <c r="BR71" s="20">
        <v>241.0</v>
      </c>
      <c r="BU71" s="11" t="s">
        <v>187</v>
      </c>
    </row>
    <row r="72">
      <c r="A72" s="11" t="s">
        <v>960</v>
      </c>
      <c r="B72" s="11" t="s">
        <v>78</v>
      </c>
      <c r="C72" s="23">
        <v>45656.0</v>
      </c>
      <c r="D72" s="11" t="s">
        <v>547</v>
      </c>
      <c r="F72" s="11" t="s">
        <v>964</v>
      </c>
      <c r="G72" s="11" t="s">
        <v>648</v>
      </c>
      <c r="H72" s="11">
        <v>1.0</v>
      </c>
      <c r="I72" s="20">
        <v>507.0</v>
      </c>
      <c r="J72" s="20">
        <v>507.0</v>
      </c>
      <c r="BO72" s="20">
        <v>507.0</v>
      </c>
      <c r="BR72" s="20">
        <v>507.0</v>
      </c>
      <c r="BU72" s="11" t="s">
        <v>187</v>
      </c>
    </row>
    <row r="73">
      <c r="A73" s="11" t="s">
        <v>971</v>
      </c>
      <c r="B73" s="11" t="s">
        <v>78</v>
      </c>
      <c r="C73" s="23">
        <v>45656.0</v>
      </c>
      <c r="D73" s="11" t="s">
        <v>547</v>
      </c>
      <c r="F73" s="11" t="s">
        <v>973</v>
      </c>
      <c r="G73" s="11" t="s">
        <v>975</v>
      </c>
      <c r="H73" s="11">
        <v>1.0</v>
      </c>
      <c r="I73" s="20">
        <v>1010.0</v>
      </c>
      <c r="J73" s="20">
        <v>1010.0</v>
      </c>
      <c r="BO73" s="20">
        <v>1010.0</v>
      </c>
      <c r="BR73" s="20">
        <v>1010.0</v>
      </c>
      <c r="BU73" s="11" t="s">
        <v>187</v>
      </c>
    </row>
    <row r="74">
      <c r="A74" s="11" t="s">
        <v>677</v>
      </c>
      <c r="B74" s="11" t="s">
        <v>78</v>
      </c>
      <c r="C74" s="23">
        <v>45656.0</v>
      </c>
      <c r="F74" s="11" t="s">
        <v>681</v>
      </c>
      <c r="G74" s="11" t="s">
        <v>376</v>
      </c>
      <c r="H74" s="11">
        <v>1.0</v>
      </c>
      <c r="I74" s="20">
        <v>3210.0</v>
      </c>
      <c r="J74" s="20">
        <v>3210.0</v>
      </c>
      <c r="BO74" s="20">
        <v>3210.0</v>
      </c>
      <c r="BR74" s="20">
        <v>3210.0</v>
      </c>
      <c r="BU74" s="11" t="s">
        <v>187</v>
      </c>
      <c r="BV74" s="11" t="s">
        <v>685</v>
      </c>
    </row>
    <row r="75">
      <c r="A75" s="11" t="s">
        <v>686</v>
      </c>
      <c r="B75" s="11" t="s">
        <v>78</v>
      </c>
      <c r="C75" s="23">
        <v>45656.0</v>
      </c>
      <c r="F75" s="11" t="s">
        <v>993</v>
      </c>
      <c r="G75" s="11" t="s">
        <v>376</v>
      </c>
      <c r="H75" s="11">
        <v>1.0</v>
      </c>
      <c r="I75" s="20">
        <v>267.5</v>
      </c>
      <c r="J75" s="20">
        <v>267.5</v>
      </c>
      <c r="BO75" s="20">
        <v>267.5</v>
      </c>
      <c r="BR75" s="20">
        <v>267.5</v>
      </c>
      <c r="BU75" s="11" t="s">
        <v>187</v>
      </c>
      <c r="BV75" s="11" t="s">
        <v>704</v>
      </c>
    </row>
    <row r="76">
      <c r="A76" s="11" t="s">
        <v>694</v>
      </c>
      <c r="B76" s="11" t="s">
        <v>78</v>
      </c>
      <c r="C76" s="23">
        <v>45656.0</v>
      </c>
      <c r="F76" s="11" t="s">
        <v>687</v>
      </c>
      <c r="G76" s="11" t="s">
        <v>376</v>
      </c>
      <c r="H76" s="11">
        <v>1.0</v>
      </c>
      <c r="I76" s="20">
        <v>267.5</v>
      </c>
      <c r="J76" s="20">
        <v>267.5</v>
      </c>
      <c r="BO76" s="20">
        <v>267.5</v>
      </c>
      <c r="BR76" s="20">
        <v>267.5</v>
      </c>
      <c r="BU76" s="11" t="s">
        <v>187</v>
      </c>
      <c r="BV76" s="11" t="s">
        <v>704</v>
      </c>
    </row>
    <row r="77">
      <c r="A77" s="11" t="s">
        <v>1010</v>
      </c>
      <c r="B77" s="11" t="s">
        <v>78</v>
      </c>
      <c r="C77" s="23">
        <v>45656.0</v>
      </c>
      <c r="D77" s="11" t="s">
        <v>415</v>
      </c>
      <c r="F77" s="11" t="s">
        <v>1015</v>
      </c>
      <c r="G77" s="11" t="s">
        <v>1017</v>
      </c>
      <c r="H77" s="11">
        <v>1.0</v>
      </c>
      <c r="I77" s="20">
        <v>22.0</v>
      </c>
      <c r="J77" s="20">
        <v>22.0</v>
      </c>
      <c r="BO77" s="20">
        <v>22.0</v>
      </c>
      <c r="BR77" s="20">
        <v>22.0</v>
      </c>
      <c r="BU77" s="11" t="s">
        <v>187</v>
      </c>
    </row>
    <row r="78">
      <c r="A78" s="11" t="s">
        <v>1020</v>
      </c>
      <c r="B78" s="11" t="s">
        <v>78</v>
      </c>
      <c r="C78" s="23">
        <v>45656.0</v>
      </c>
      <c r="D78" s="11" t="s">
        <v>415</v>
      </c>
      <c r="F78" s="11" t="s">
        <v>1022</v>
      </c>
      <c r="G78" s="11" t="s">
        <v>1023</v>
      </c>
      <c r="H78" s="11">
        <v>1.0</v>
      </c>
      <c r="I78" s="20">
        <v>10.0</v>
      </c>
      <c r="J78" s="20">
        <v>10.0</v>
      </c>
      <c r="BO78" s="20">
        <v>10.0</v>
      </c>
      <c r="BR78" s="20">
        <v>10.0</v>
      </c>
      <c r="BU78" s="11" t="s">
        <v>187</v>
      </c>
    </row>
    <row r="79">
      <c r="A79" s="11" t="s">
        <v>1027</v>
      </c>
      <c r="B79" s="11" t="s">
        <v>78</v>
      </c>
      <c r="C79" s="23">
        <v>45661.0</v>
      </c>
      <c r="F79" s="11" t="s">
        <v>783</v>
      </c>
      <c r="G79" s="11" t="s">
        <v>350</v>
      </c>
      <c r="H79" s="11">
        <v>1.0</v>
      </c>
      <c r="I79" s="20">
        <v>500.0</v>
      </c>
      <c r="J79" s="20">
        <v>500.0</v>
      </c>
      <c r="BO79" s="20">
        <v>500.0</v>
      </c>
      <c r="BR79" s="20">
        <v>500.0</v>
      </c>
      <c r="BU79" s="11" t="s">
        <v>187</v>
      </c>
      <c r="BV79" s="11" t="s">
        <v>564</v>
      </c>
    </row>
    <row r="80">
      <c r="A80" s="11" t="s">
        <v>1035</v>
      </c>
      <c r="B80" s="11" t="s">
        <v>78</v>
      </c>
      <c r="C80" s="23">
        <v>45661.0</v>
      </c>
      <c r="F80" s="11" t="s">
        <v>783</v>
      </c>
      <c r="G80" s="11" t="s">
        <v>350</v>
      </c>
      <c r="H80" s="11">
        <v>1.0</v>
      </c>
      <c r="I80" s="20">
        <v>500.0</v>
      </c>
      <c r="J80" s="20">
        <v>500.0</v>
      </c>
      <c r="BO80" s="20">
        <v>500.0</v>
      </c>
      <c r="BR80" s="20">
        <v>500.0</v>
      </c>
      <c r="BU80" s="11" t="s">
        <v>187</v>
      </c>
      <c r="BV80" s="11" t="s">
        <v>945</v>
      </c>
    </row>
    <row r="81">
      <c r="A81" s="11" t="s">
        <v>1043</v>
      </c>
      <c r="B81" s="11" t="s">
        <v>78</v>
      </c>
      <c r="C81" s="23">
        <v>45663.0</v>
      </c>
      <c r="D81" s="11" t="s">
        <v>1046</v>
      </c>
      <c r="F81" s="11" t="s">
        <v>1047</v>
      </c>
      <c r="G81" s="11" t="s">
        <v>1049</v>
      </c>
      <c r="H81" s="11">
        <v>1.0</v>
      </c>
      <c r="I81" s="20">
        <v>4726.3</v>
      </c>
      <c r="J81" s="20">
        <v>4726.3</v>
      </c>
      <c r="BO81" s="20">
        <v>4726.3</v>
      </c>
      <c r="BR81" s="20">
        <v>4726.3</v>
      </c>
      <c r="BU81" s="11" t="s">
        <v>187</v>
      </c>
    </row>
    <row r="82">
      <c r="A82" s="11" t="s">
        <v>1056</v>
      </c>
      <c r="B82" s="11" t="s">
        <v>78</v>
      </c>
      <c r="C82" s="23">
        <v>45665.0</v>
      </c>
      <c r="D82" s="11" t="s">
        <v>237</v>
      </c>
      <c r="F82" s="11" t="s">
        <v>1060</v>
      </c>
      <c r="G82" s="11" t="s">
        <v>788</v>
      </c>
      <c r="H82" s="11">
        <v>1.0</v>
      </c>
      <c r="I82" s="20">
        <v>210.42</v>
      </c>
      <c r="J82" s="20">
        <v>210.42</v>
      </c>
      <c r="BO82" s="20">
        <v>210.42</v>
      </c>
      <c r="BR82" s="20">
        <v>210.42</v>
      </c>
      <c r="BU82" s="11" t="s">
        <v>187</v>
      </c>
    </row>
    <row r="83">
      <c r="A83" s="11" t="s">
        <v>1068</v>
      </c>
      <c r="B83" s="11" t="s">
        <v>78</v>
      </c>
      <c r="C83" s="23">
        <v>45660.0</v>
      </c>
      <c r="F83" s="11" t="s">
        <v>1070</v>
      </c>
      <c r="G83" s="11" t="s">
        <v>376</v>
      </c>
      <c r="H83" s="11">
        <v>1.0</v>
      </c>
      <c r="I83" s="20">
        <v>3116.56</v>
      </c>
      <c r="J83" s="20">
        <v>3116.56</v>
      </c>
      <c r="BO83" s="20">
        <v>3116.56</v>
      </c>
      <c r="BR83" s="20">
        <v>3116.56</v>
      </c>
      <c r="BU83" s="11" t="s">
        <v>187</v>
      </c>
      <c r="BV83" s="11" t="s">
        <v>225</v>
      </c>
    </row>
    <row r="84">
      <c r="A84" s="11" t="s">
        <v>1075</v>
      </c>
      <c r="B84" s="11" t="s">
        <v>78</v>
      </c>
      <c r="C84" s="23">
        <v>45660.0</v>
      </c>
      <c r="F84" s="11" t="s">
        <v>1070</v>
      </c>
      <c r="G84" s="11" t="s">
        <v>376</v>
      </c>
      <c r="H84" s="11">
        <v>1.0</v>
      </c>
      <c r="I84" s="20">
        <v>1253.09</v>
      </c>
      <c r="J84" s="20">
        <v>1253.09</v>
      </c>
      <c r="BO84" s="20">
        <v>1253.09</v>
      </c>
      <c r="BR84" s="20">
        <v>1253.09</v>
      </c>
      <c r="BU84" s="11" t="s">
        <v>187</v>
      </c>
      <c r="BV84" s="11" t="s">
        <v>564</v>
      </c>
    </row>
    <row r="85">
      <c r="A85" s="11" t="s">
        <v>1083</v>
      </c>
      <c r="B85" s="11" t="s">
        <v>78</v>
      </c>
      <c r="C85" s="23">
        <v>45660.0</v>
      </c>
      <c r="F85" s="11" t="s">
        <v>1088</v>
      </c>
      <c r="G85" s="11" t="s">
        <v>376</v>
      </c>
      <c r="H85" s="11">
        <v>1.0</v>
      </c>
      <c r="I85" s="20">
        <v>817.72</v>
      </c>
      <c r="J85" s="20">
        <v>817.72</v>
      </c>
      <c r="BO85" s="20">
        <v>817.72</v>
      </c>
      <c r="BR85" s="20">
        <v>817.72</v>
      </c>
      <c r="BU85" s="11" t="s">
        <v>187</v>
      </c>
      <c r="BV85" s="11" t="s">
        <v>945</v>
      </c>
    </row>
    <row r="86">
      <c r="A86" s="11" t="s">
        <v>1100</v>
      </c>
      <c r="B86" s="11" t="s">
        <v>78</v>
      </c>
      <c r="C86" s="23">
        <v>45665.0</v>
      </c>
      <c r="D86" s="11" t="s">
        <v>404</v>
      </c>
      <c r="F86" s="11" t="s">
        <v>1104</v>
      </c>
      <c r="G86" s="11" t="s">
        <v>454</v>
      </c>
      <c r="H86" s="11">
        <v>1.0</v>
      </c>
      <c r="I86" s="20">
        <v>530.0</v>
      </c>
      <c r="J86" s="20">
        <v>530.0</v>
      </c>
      <c r="BO86" s="20">
        <v>530.0</v>
      </c>
      <c r="BR86" s="20">
        <v>530.0</v>
      </c>
      <c r="BU86" s="11" t="s">
        <v>187</v>
      </c>
    </row>
    <row r="87">
      <c r="A87" s="11" t="s">
        <v>1112</v>
      </c>
      <c r="B87" s="11" t="s">
        <v>78</v>
      </c>
      <c r="C87" s="23">
        <v>45665.0</v>
      </c>
      <c r="F87" s="23">
        <v>45665.0</v>
      </c>
      <c r="G87" s="11" t="s">
        <v>1114</v>
      </c>
      <c r="H87" s="11">
        <v>1.0</v>
      </c>
      <c r="I87" s="20">
        <v>17000.0</v>
      </c>
      <c r="J87" s="20">
        <v>17000.0</v>
      </c>
      <c r="BO87" s="20">
        <v>17000.0</v>
      </c>
      <c r="BR87" s="20">
        <v>17000.0</v>
      </c>
      <c r="BU87" s="11" t="s">
        <v>187</v>
      </c>
      <c r="BV87" s="11" t="s">
        <v>704</v>
      </c>
    </row>
    <row r="88">
      <c r="A88" s="11" t="s">
        <v>1120</v>
      </c>
      <c r="B88" s="11" t="s">
        <v>78</v>
      </c>
      <c r="C88" s="23">
        <v>45665.0</v>
      </c>
      <c r="F88" s="23">
        <v>45665.0</v>
      </c>
      <c r="G88" s="11" t="s">
        <v>1114</v>
      </c>
      <c r="H88" s="11">
        <v>1.0</v>
      </c>
      <c r="I88" s="20">
        <v>17000.0</v>
      </c>
      <c r="J88" s="20">
        <v>17000.0</v>
      </c>
      <c r="BO88" s="20">
        <v>17000.0</v>
      </c>
      <c r="BR88" s="20">
        <v>17000.0</v>
      </c>
      <c r="BU88" s="11" t="s">
        <v>187</v>
      </c>
      <c r="BV88" s="11" t="s">
        <v>685</v>
      </c>
    </row>
    <row r="89">
      <c r="A89" s="11" t="s">
        <v>1128</v>
      </c>
      <c r="B89" s="11" t="s">
        <v>78</v>
      </c>
      <c r="C89" s="23">
        <v>45665.0</v>
      </c>
      <c r="F89" s="23">
        <v>45665.0</v>
      </c>
      <c r="G89" s="11" t="s">
        <v>1114</v>
      </c>
      <c r="H89" s="11">
        <v>1.0</v>
      </c>
      <c r="I89" s="20">
        <v>17000.0</v>
      </c>
      <c r="J89" s="20">
        <v>17000.0</v>
      </c>
      <c r="BO89" s="20">
        <v>17000.0</v>
      </c>
      <c r="BR89" s="20">
        <v>17000.0</v>
      </c>
      <c r="BU89" s="11" t="s">
        <v>187</v>
      </c>
      <c r="BV89" s="11" t="s">
        <v>1134</v>
      </c>
    </row>
    <row r="90">
      <c r="A90" s="11" t="s">
        <v>1136</v>
      </c>
      <c r="B90" s="11" t="s">
        <v>78</v>
      </c>
      <c r="C90" s="23">
        <v>45665.0</v>
      </c>
      <c r="D90" s="11" t="s">
        <v>176</v>
      </c>
      <c r="F90" s="11" t="s">
        <v>807</v>
      </c>
      <c r="G90" s="20">
        <v>2.3273172E7</v>
      </c>
      <c r="H90" s="11">
        <v>1.0</v>
      </c>
      <c r="I90" s="20">
        <v>350.0</v>
      </c>
      <c r="J90" s="20">
        <v>350.0</v>
      </c>
      <c r="BO90" s="20">
        <v>350.0</v>
      </c>
      <c r="BR90" s="20">
        <v>350.0</v>
      </c>
      <c r="BU90" s="11" t="s">
        <v>187</v>
      </c>
    </row>
    <row r="91">
      <c r="A91" s="11" t="s">
        <v>1146</v>
      </c>
      <c r="B91" s="11" t="s">
        <v>78</v>
      </c>
      <c r="C91" s="23">
        <v>45665.0</v>
      </c>
      <c r="D91" s="11" t="s">
        <v>404</v>
      </c>
      <c r="F91" s="11" t="s">
        <v>1149</v>
      </c>
      <c r="G91" s="11" t="s">
        <v>406</v>
      </c>
      <c r="H91" s="11">
        <v>1.0</v>
      </c>
      <c r="I91" s="20">
        <v>2749.75</v>
      </c>
      <c r="J91" s="20">
        <v>2749.75</v>
      </c>
      <c r="BO91" s="20">
        <v>2749.75</v>
      </c>
      <c r="BR91" s="20">
        <v>2749.75</v>
      </c>
      <c r="BU91" s="11" t="s">
        <v>187</v>
      </c>
    </row>
    <row r="92">
      <c r="A92" s="11" t="s">
        <v>1155</v>
      </c>
      <c r="B92" s="11" t="s">
        <v>78</v>
      </c>
      <c r="C92" s="23">
        <v>45665.0</v>
      </c>
      <c r="D92" s="11" t="s">
        <v>404</v>
      </c>
      <c r="F92" s="11" t="s">
        <v>1160</v>
      </c>
      <c r="G92" s="11" t="s">
        <v>916</v>
      </c>
      <c r="H92" s="11">
        <v>1.0</v>
      </c>
      <c r="I92" s="20">
        <v>89.9</v>
      </c>
      <c r="J92" s="20">
        <v>89.9</v>
      </c>
      <c r="BO92" s="20">
        <v>89.9</v>
      </c>
      <c r="BR92" s="20">
        <v>89.9</v>
      </c>
      <c r="BU92" s="11" t="s">
        <v>187</v>
      </c>
    </row>
    <row r="93">
      <c r="A93" s="11" t="s">
        <v>1166</v>
      </c>
      <c r="B93" s="11" t="s">
        <v>78</v>
      </c>
      <c r="C93" s="23">
        <v>45665.0</v>
      </c>
      <c r="D93" s="11" t="s">
        <v>404</v>
      </c>
      <c r="F93" s="11" t="s">
        <v>1171</v>
      </c>
      <c r="G93" s="11" t="s">
        <v>738</v>
      </c>
      <c r="H93" s="11">
        <v>1.0</v>
      </c>
      <c r="I93" s="20">
        <v>225.63</v>
      </c>
      <c r="J93" s="20">
        <v>225.63</v>
      </c>
      <c r="BO93" s="20">
        <v>225.63</v>
      </c>
      <c r="BR93" s="20">
        <v>225.63</v>
      </c>
      <c r="BU93" s="11" t="s">
        <v>187</v>
      </c>
    </row>
    <row r="94">
      <c r="A94" s="11" t="s">
        <v>1175</v>
      </c>
      <c r="B94" s="11" t="s">
        <v>78</v>
      </c>
      <c r="C94" s="23">
        <v>45666.0</v>
      </c>
      <c r="D94" s="11" t="s">
        <v>237</v>
      </c>
      <c r="F94" s="11" t="s">
        <v>1180</v>
      </c>
      <c r="G94" s="11" t="s">
        <v>788</v>
      </c>
      <c r="H94" s="11">
        <v>1.0</v>
      </c>
      <c r="I94" s="20">
        <v>5785.34</v>
      </c>
      <c r="J94" s="20">
        <v>5785.34</v>
      </c>
      <c r="BO94" s="20">
        <v>5785.34</v>
      </c>
      <c r="BR94" s="20">
        <v>5785.34</v>
      </c>
      <c r="BU94" s="11" t="s">
        <v>187</v>
      </c>
    </row>
    <row r="95">
      <c r="A95" s="11" t="s">
        <v>1186</v>
      </c>
      <c r="B95" s="11" t="s">
        <v>78</v>
      </c>
      <c r="C95" s="23">
        <v>45666.0</v>
      </c>
      <c r="D95" s="11" t="s">
        <v>237</v>
      </c>
      <c r="F95" s="11" t="s">
        <v>1191</v>
      </c>
      <c r="G95" s="11" t="s">
        <v>788</v>
      </c>
      <c r="H95" s="11">
        <v>1.0</v>
      </c>
      <c r="I95" s="20">
        <v>51.75</v>
      </c>
      <c r="J95" s="20">
        <v>51.75</v>
      </c>
      <c r="BO95" s="20">
        <v>51.75</v>
      </c>
      <c r="BR95" s="20">
        <v>51.75</v>
      </c>
      <c r="BU95" s="11" t="s">
        <v>187</v>
      </c>
    </row>
    <row r="96">
      <c r="A96" s="11" t="s">
        <v>1197</v>
      </c>
      <c r="B96" s="11" t="s">
        <v>78</v>
      </c>
      <c r="C96" s="23">
        <v>45670.0</v>
      </c>
      <c r="D96" s="11" t="s">
        <v>176</v>
      </c>
      <c r="F96" s="11" t="s">
        <v>1200</v>
      </c>
      <c r="G96" s="11" t="s">
        <v>179</v>
      </c>
      <c r="H96" s="11">
        <v>1.0</v>
      </c>
      <c r="I96" s="20">
        <v>410.0</v>
      </c>
      <c r="J96" s="20">
        <v>410.0</v>
      </c>
      <c r="BO96" s="20">
        <v>410.0</v>
      </c>
      <c r="BR96" s="20">
        <v>410.0</v>
      </c>
      <c r="BU96" s="11" t="s">
        <v>187</v>
      </c>
    </row>
    <row r="97">
      <c r="A97" s="11" t="s">
        <v>1207</v>
      </c>
      <c r="B97" s="11" t="s">
        <v>78</v>
      </c>
      <c r="C97" s="23">
        <v>45670.0</v>
      </c>
      <c r="D97" s="11" t="s">
        <v>192</v>
      </c>
      <c r="F97" s="11" t="s">
        <v>195</v>
      </c>
      <c r="G97" s="11" t="s">
        <v>196</v>
      </c>
      <c r="H97" s="11">
        <v>1.0</v>
      </c>
      <c r="I97" s="20">
        <v>2500.0</v>
      </c>
      <c r="J97" s="20">
        <v>2500.0</v>
      </c>
      <c r="BO97" s="20">
        <v>2500.0</v>
      </c>
      <c r="BR97" s="20">
        <v>2500.0</v>
      </c>
      <c r="BU97" s="11" t="s">
        <v>187</v>
      </c>
    </row>
    <row r="98">
      <c r="A98" s="11" t="s">
        <v>1214</v>
      </c>
      <c r="B98" s="11" t="s">
        <v>78</v>
      </c>
      <c r="C98" s="23">
        <v>45670.0</v>
      </c>
      <c r="D98" s="11" t="s">
        <v>1217</v>
      </c>
      <c r="F98" s="11" t="s">
        <v>1218</v>
      </c>
      <c r="G98" s="11" t="s">
        <v>502</v>
      </c>
      <c r="H98" s="11">
        <v>1.0</v>
      </c>
      <c r="I98" s="20">
        <v>119.0</v>
      </c>
      <c r="J98" s="20">
        <v>119.0</v>
      </c>
      <c r="BO98" s="20">
        <v>119.0</v>
      </c>
      <c r="BR98" s="20">
        <v>119.0</v>
      </c>
      <c r="BU98" s="11" t="s">
        <v>187</v>
      </c>
    </row>
    <row r="99">
      <c r="A99" s="11" t="s">
        <v>971</v>
      </c>
      <c r="B99" s="11" t="s">
        <v>78</v>
      </c>
      <c r="C99" s="23">
        <v>45671.0</v>
      </c>
      <c r="D99" s="11" t="s">
        <v>547</v>
      </c>
      <c r="F99" s="11" t="s">
        <v>973</v>
      </c>
      <c r="G99" s="11" t="s">
        <v>975</v>
      </c>
      <c r="H99" s="11">
        <v>1.0</v>
      </c>
      <c r="I99" s="20">
        <v>1045.0</v>
      </c>
      <c r="J99" s="20">
        <v>1045.0</v>
      </c>
      <c r="BO99" s="20">
        <v>1045.0</v>
      </c>
      <c r="BR99" s="20">
        <v>1045.0</v>
      </c>
      <c r="BU99" s="11" t="s">
        <v>187</v>
      </c>
    </row>
    <row r="100">
      <c r="A100" s="11" t="s">
        <v>960</v>
      </c>
      <c r="B100" s="11" t="s">
        <v>78</v>
      </c>
      <c r="C100" s="23">
        <v>45671.0</v>
      </c>
      <c r="D100" s="11" t="s">
        <v>547</v>
      </c>
      <c r="F100" s="11" t="s">
        <v>964</v>
      </c>
      <c r="G100" s="11" t="s">
        <v>648</v>
      </c>
      <c r="H100" s="11">
        <v>1.0</v>
      </c>
      <c r="I100" s="20">
        <v>525.0</v>
      </c>
      <c r="J100" s="20">
        <v>525.0</v>
      </c>
      <c r="BO100" s="20">
        <v>525.0</v>
      </c>
      <c r="BR100" s="20">
        <v>525.0</v>
      </c>
      <c r="BU100" s="11" t="s">
        <v>187</v>
      </c>
    </row>
    <row r="101">
      <c r="A101" s="11" t="s">
        <v>950</v>
      </c>
      <c r="B101" s="11" t="s">
        <v>78</v>
      </c>
      <c r="C101" s="23">
        <v>45671.0</v>
      </c>
      <c r="D101" s="11" t="s">
        <v>547</v>
      </c>
      <c r="F101" s="11" t="s">
        <v>955</v>
      </c>
      <c r="G101" s="11" t="s">
        <v>957</v>
      </c>
      <c r="H101" s="11">
        <v>1.0</v>
      </c>
      <c r="I101" s="20">
        <v>250.0</v>
      </c>
      <c r="J101" s="20">
        <v>250.0</v>
      </c>
      <c r="BO101" s="20">
        <v>250.0</v>
      </c>
      <c r="BR101" s="20">
        <v>250.0</v>
      </c>
      <c r="BU101" s="11" t="s">
        <v>187</v>
      </c>
    </row>
    <row r="102">
      <c r="A102" s="11" t="s">
        <v>1242</v>
      </c>
      <c r="B102" s="11" t="s">
        <v>78</v>
      </c>
      <c r="C102" s="23">
        <v>45671.0</v>
      </c>
      <c r="D102" s="11" t="s">
        <v>1046</v>
      </c>
      <c r="F102" s="11" t="s">
        <v>1246</v>
      </c>
      <c r="G102" s="11" t="s">
        <v>1049</v>
      </c>
      <c r="H102" s="11">
        <v>1.0</v>
      </c>
      <c r="I102" s="20">
        <v>8419.15</v>
      </c>
      <c r="J102" s="20">
        <v>8419.15</v>
      </c>
      <c r="BO102" s="20">
        <v>8419.15</v>
      </c>
      <c r="BR102" s="20">
        <v>8419.15</v>
      </c>
      <c r="BU102" s="11" t="s">
        <v>187</v>
      </c>
    </row>
    <row r="103">
      <c r="A103" s="11" t="s">
        <v>929</v>
      </c>
      <c r="B103" s="11" t="s">
        <v>78</v>
      </c>
      <c r="C103" s="23">
        <v>45677.0</v>
      </c>
      <c r="D103" s="11" t="s">
        <v>644</v>
      </c>
      <c r="F103" s="11" t="s">
        <v>646</v>
      </c>
      <c r="G103" s="11" t="s">
        <v>648</v>
      </c>
      <c r="H103" s="11">
        <v>1.0</v>
      </c>
      <c r="I103" s="20">
        <v>400.0</v>
      </c>
      <c r="J103" s="20">
        <v>400.0</v>
      </c>
      <c r="BO103" s="20">
        <v>400.0</v>
      </c>
      <c r="BR103" s="20">
        <v>400.0</v>
      </c>
      <c r="BU103" s="11" t="s">
        <v>187</v>
      </c>
    </row>
    <row r="104">
      <c r="A104" s="11" t="s">
        <v>1265</v>
      </c>
      <c r="B104" s="11" t="s">
        <v>78</v>
      </c>
      <c r="C104" s="23">
        <v>45677.0</v>
      </c>
      <c r="D104" s="11" t="s">
        <v>451</v>
      </c>
      <c r="F104" s="11" t="s">
        <v>1267</v>
      </c>
      <c r="G104" s="11" t="s">
        <v>454</v>
      </c>
      <c r="H104" s="11">
        <v>1.0</v>
      </c>
      <c r="I104" s="20">
        <v>1680.0</v>
      </c>
      <c r="J104" s="20">
        <v>1680.0</v>
      </c>
      <c r="BO104" s="20">
        <v>1680.0</v>
      </c>
      <c r="BR104" s="20">
        <v>1680.0</v>
      </c>
      <c r="BU104" s="11" t="s">
        <v>187</v>
      </c>
    </row>
    <row r="105">
      <c r="A105" s="11" t="s">
        <v>1277</v>
      </c>
      <c r="B105" s="11" t="s">
        <v>78</v>
      </c>
      <c r="C105" s="23">
        <v>45677.0</v>
      </c>
      <c r="D105" s="11" t="s">
        <v>1279</v>
      </c>
      <c r="F105" s="11" t="s">
        <v>1282</v>
      </c>
      <c r="G105" s="11" t="s">
        <v>1284</v>
      </c>
      <c r="H105" s="11">
        <v>1.0</v>
      </c>
      <c r="I105" s="20">
        <v>119.96</v>
      </c>
      <c r="J105" s="20">
        <v>119.96</v>
      </c>
      <c r="BO105" s="20">
        <v>119.96</v>
      </c>
      <c r="BR105" s="20">
        <v>119.96</v>
      </c>
      <c r="BU105" s="11" t="s">
        <v>187</v>
      </c>
    </row>
    <row r="106">
      <c r="A106" s="11" t="s">
        <v>1288</v>
      </c>
      <c r="B106" s="11" t="s">
        <v>78</v>
      </c>
      <c r="C106" s="23">
        <v>45678.0</v>
      </c>
      <c r="D106" s="11" t="s">
        <v>992</v>
      </c>
      <c r="F106" s="11" t="s">
        <v>1275</v>
      </c>
      <c r="G106" s="20">
        <v>1.2539885E7</v>
      </c>
      <c r="H106" s="11">
        <v>1.0</v>
      </c>
      <c r="I106" s="20">
        <v>500.0</v>
      </c>
      <c r="J106" s="20">
        <v>500.0</v>
      </c>
      <c r="BO106" s="20">
        <v>500.0</v>
      </c>
      <c r="BR106" s="20">
        <v>500.0</v>
      </c>
      <c r="BU106" s="11" t="s">
        <v>187</v>
      </c>
    </row>
    <row r="107">
      <c r="A107" s="11" t="s">
        <v>1302</v>
      </c>
      <c r="B107" s="11" t="s">
        <v>78</v>
      </c>
      <c r="C107" s="23">
        <v>45672.0</v>
      </c>
      <c r="F107" s="11" t="s">
        <v>1305</v>
      </c>
      <c r="G107" s="11" t="s">
        <v>350</v>
      </c>
      <c r="H107" s="11">
        <v>1.0</v>
      </c>
      <c r="I107" s="20">
        <v>300.0</v>
      </c>
      <c r="J107" s="20">
        <v>300.0</v>
      </c>
      <c r="BO107" s="20">
        <v>300.0</v>
      </c>
      <c r="BR107" s="20">
        <v>300.0</v>
      </c>
      <c r="BU107" s="11" t="s">
        <v>213</v>
      </c>
      <c r="BV107" s="11" t="s">
        <v>126</v>
      </c>
    </row>
    <row r="108">
      <c r="A108" s="11" t="s">
        <v>1312</v>
      </c>
      <c r="B108" s="11" t="s">
        <v>78</v>
      </c>
      <c r="C108" s="23">
        <v>45673.0</v>
      </c>
      <c r="F108" s="11" t="s">
        <v>1305</v>
      </c>
      <c r="G108" s="11" t="s">
        <v>350</v>
      </c>
      <c r="H108" s="11">
        <v>1.0</v>
      </c>
      <c r="I108" s="20">
        <v>200.0</v>
      </c>
      <c r="J108" s="20">
        <v>200.0</v>
      </c>
      <c r="BO108" s="20">
        <v>200.0</v>
      </c>
      <c r="BR108" s="20">
        <v>200.0</v>
      </c>
      <c r="BU108" s="11" t="s">
        <v>213</v>
      </c>
      <c r="BV108" s="11" t="s">
        <v>126</v>
      </c>
    </row>
    <row r="109">
      <c r="A109" s="11" t="s">
        <v>1321</v>
      </c>
      <c r="B109" s="11" t="s">
        <v>78</v>
      </c>
      <c r="C109" s="23">
        <v>45673.0</v>
      </c>
      <c r="F109" s="11" t="s">
        <v>1305</v>
      </c>
      <c r="G109" s="11" t="s">
        <v>350</v>
      </c>
      <c r="H109" s="11">
        <v>1.0</v>
      </c>
      <c r="I109" s="20">
        <v>500.0</v>
      </c>
      <c r="J109" s="20">
        <v>500.0</v>
      </c>
      <c r="BO109" s="20">
        <v>500.0</v>
      </c>
      <c r="BR109" s="20">
        <v>500.0</v>
      </c>
      <c r="BU109" s="11" t="s">
        <v>213</v>
      </c>
      <c r="BV109" s="11" t="s">
        <v>1327</v>
      </c>
    </row>
    <row r="110">
      <c r="A110" s="11" t="s">
        <v>677</v>
      </c>
      <c r="B110" s="11" t="s">
        <v>78</v>
      </c>
      <c r="C110" s="23">
        <v>45683.0</v>
      </c>
      <c r="F110" s="11" t="s">
        <v>681</v>
      </c>
      <c r="G110" s="11" t="s">
        <v>376</v>
      </c>
      <c r="H110" s="11">
        <v>1.0</v>
      </c>
      <c r="I110" s="20">
        <v>3210.0</v>
      </c>
      <c r="J110" s="20">
        <v>3210.0</v>
      </c>
      <c r="BO110" s="20">
        <v>3210.0</v>
      </c>
      <c r="BR110" s="20">
        <v>3210.0</v>
      </c>
      <c r="BU110" s="11" t="s">
        <v>187</v>
      </c>
      <c r="BV110" s="11" t="s">
        <v>685</v>
      </c>
    </row>
    <row r="111">
      <c r="A111" s="11" t="s">
        <v>686</v>
      </c>
      <c r="B111" s="11" t="s">
        <v>78</v>
      </c>
      <c r="C111" s="23">
        <v>45683.0</v>
      </c>
      <c r="F111" s="11" t="s">
        <v>993</v>
      </c>
      <c r="G111" s="11" t="s">
        <v>376</v>
      </c>
      <c r="H111" s="11">
        <v>1.0</v>
      </c>
      <c r="I111" s="20">
        <v>267.5</v>
      </c>
      <c r="J111" s="20">
        <v>267.5</v>
      </c>
      <c r="BO111" s="20">
        <v>267.5</v>
      </c>
      <c r="BR111" s="20">
        <v>267.5</v>
      </c>
      <c r="BU111" s="11" t="s">
        <v>187</v>
      </c>
      <c r="BV111" s="11" t="s">
        <v>704</v>
      </c>
    </row>
    <row r="112">
      <c r="A112" s="11" t="s">
        <v>694</v>
      </c>
      <c r="B112" s="11" t="s">
        <v>78</v>
      </c>
      <c r="C112" s="23">
        <v>45683.0</v>
      </c>
      <c r="F112" s="11" t="s">
        <v>687</v>
      </c>
      <c r="G112" s="11" t="s">
        <v>376</v>
      </c>
      <c r="H112" s="11">
        <v>1.0</v>
      </c>
      <c r="I112" s="20">
        <v>267.5</v>
      </c>
      <c r="J112" s="20">
        <v>267.5</v>
      </c>
      <c r="BO112" s="20">
        <v>267.5</v>
      </c>
      <c r="BR112" s="20">
        <v>267.5</v>
      </c>
      <c r="BU112" s="11" t="s">
        <v>187</v>
      </c>
      <c r="BV112" s="11" t="s">
        <v>704</v>
      </c>
    </row>
    <row r="113">
      <c r="A113" s="11" t="s">
        <v>1010</v>
      </c>
      <c r="B113" s="11" t="s">
        <v>78</v>
      </c>
      <c r="C113" s="23">
        <v>45683.0</v>
      </c>
      <c r="D113" s="11" t="s">
        <v>415</v>
      </c>
      <c r="F113" s="11" t="s">
        <v>1015</v>
      </c>
      <c r="G113" s="11" t="s">
        <v>1017</v>
      </c>
      <c r="H113" s="11">
        <v>1.0</v>
      </c>
      <c r="I113" s="20">
        <v>22.0</v>
      </c>
      <c r="J113" s="20">
        <v>22.0</v>
      </c>
      <c r="BO113" s="20">
        <v>22.0</v>
      </c>
      <c r="BR113" s="20">
        <v>22.0</v>
      </c>
      <c r="BU113" s="11" t="s">
        <v>187</v>
      </c>
    </row>
    <row r="114">
      <c r="A114" s="11" t="s">
        <v>1020</v>
      </c>
      <c r="B114" s="11" t="s">
        <v>78</v>
      </c>
      <c r="C114" s="23">
        <v>45683.0</v>
      </c>
      <c r="D114" s="11" t="s">
        <v>415</v>
      </c>
      <c r="F114" s="11" t="s">
        <v>1022</v>
      </c>
      <c r="G114" s="11" t="s">
        <v>1023</v>
      </c>
      <c r="H114" s="11">
        <v>1.0</v>
      </c>
      <c r="I114" s="20">
        <v>10.0</v>
      </c>
      <c r="J114" s="20">
        <v>10.0</v>
      </c>
      <c r="BO114" s="20">
        <v>10.0</v>
      </c>
      <c r="BR114" s="20">
        <v>10.0</v>
      </c>
      <c r="BU114" s="11" t="s">
        <v>187</v>
      </c>
    </row>
    <row r="115">
      <c r="A115" s="11" t="s">
        <v>1374</v>
      </c>
      <c r="B115" s="11" t="s">
        <v>78</v>
      </c>
      <c r="C115" s="23">
        <v>45684.0</v>
      </c>
      <c r="F115" s="11" t="s">
        <v>783</v>
      </c>
      <c r="G115" s="11" t="s">
        <v>350</v>
      </c>
      <c r="H115" s="11">
        <v>1.0</v>
      </c>
      <c r="I115" s="20">
        <v>500.0</v>
      </c>
      <c r="J115" s="20">
        <v>500.0</v>
      </c>
      <c r="BO115" s="20">
        <v>500.0</v>
      </c>
      <c r="BR115" s="20">
        <v>500.0</v>
      </c>
      <c r="BU115" s="11" t="s">
        <v>187</v>
      </c>
      <c r="BV115" s="11" t="s">
        <v>1327</v>
      </c>
    </row>
    <row r="116">
      <c r="A116" s="11" t="s">
        <v>1386</v>
      </c>
      <c r="B116" s="11" t="s">
        <v>78</v>
      </c>
      <c r="C116" s="23">
        <v>45686.0</v>
      </c>
      <c r="D116" s="11" t="s">
        <v>1389</v>
      </c>
      <c r="F116" s="11" t="s">
        <v>1391</v>
      </c>
      <c r="G116" s="11" t="s">
        <v>1392</v>
      </c>
      <c r="H116" s="11">
        <v>1.0</v>
      </c>
      <c r="I116" s="20">
        <v>700.0</v>
      </c>
      <c r="J116" s="20">
        <v>700.0</v>
      </c>
      <c r="BO116" s="20">
        <v>700.0</v>
      </c>
      <c r="BR116" s="20">
        <v>700.0</v>
      </c>
      <c r="BU116" s="11" t="s">
        <v>187</v>
      </c>
    </row>
    <row r="117">
      <c r="A117" s="11" t="s">
        <v>1399</v>
      </c>
      <c r="B117" s="11" t="s">
        <v>78</v>
      </c>
      <c r="C117" s="23">
        <v>45691.0</v>
      </c>
      <c r="D117" s="11" t="s">
        <v>992</v>
      </c>
      <c r="F117" s="11" t="s">
        <v>1403</v>
      </c>
      <c r="G117" s="20">
        <v>1.2539885E7</v>
      </c>
      <c r="H117" s="11">
        <v>1.0</v>
      </c>
      <c r="I117" s="20">
        <v>500.0</v>
      </c>
      <c r="J117" s="20">
        <v>500.0</v>
      </c>
      <c r="BO117" s="20">
        <v>500.0</v>
      </c>
      <c r="BR117" s="20">
        <v>500.0</v>
      </c>
      <c r="BU117" s="11" t="s">
        <v>187</v>
      </c>
    </row>
    <row r="118">
      <c r="A118" s="11" t="s">
        <v>1411</v>
      </c>
      <c r="B118" s="11" t="s">
        <v>78</v>
      </c>
      <c r="C118" s="23">
        <v>45691.0</v>
      </c>
      <c r="F118" s="11" t="s">
        <v>1415</v>
      </c>
      <c r="G118" s="11" t="s">
        <v>376</v>
      </c>
      <c r="H118" s="11">
        <v>1.0</v>
      </c>
      <c r="I118" s="20">
        <v>1198.52</v>
      </c>
      <c r="J118" s="20">
        <v>1198.52</v>
      </c>
      <c r="BO118" s="20">
        <v>1198.52</v>
      </c>
      <c r="BR118" s="20">
        <v>1198.52</v>
      </c>
      <c r="BU118" s="11" t="s">
        <v>187</v>
      </c>
      <c r="BV118" s="11" t="s">
        <v>1327</v>
      </c>
    </row>
    <row r="119">
      <c r="A119" s="11" t="s">
        <v>1424</v>
      </c>
      <c r="B119" s="11" t="s">
        <v>78</v>
      </c>
      <c r="C119" s="23">
        <v>45691.0</v>
      </c>
      <c r="F119" s="11" t="s">
        <v>1415</v>
      </c>
      <c r="G119" s="11" t="s">
        <v>376</v>
      </c>
      <c r="H119" s="11">
        <v>1.0</v>
      </c>
      <c r="I119" s="20">
        <v>1176.34</v>
      </c>
      <c r="J119" s="20">
        <v>1176.34</v>
      </c>
      <c r="BO119" s="20">
        <v>1176.34</v>
      </c>
      <c r="BR119" s="20">
        <v>1176.34</v>
      </c>
      <c r="BU119" s="11" t="s">
        <v>187</v>
      </c>
      <c r="BV119" s="11" t="s">
        <v>126</v>
      </c>
    </row>
    <row r="120">
      <c r="A120" s="11" t="s">
        <v>1436</v>
      </c>
      <c r="B120" s="11" t="s">
        <v>78</v>
      </c>
      <c r="C120" s="23">
        <v>45691.0</v>
      </c>
      <c r="D120" s="11" t="s">
        <v>176</v>
      </c>
      <c r="F120" s="11" t="s">
        <v>1440</v>
      </c>
      <c r="G120" s="11" t="s">
        <v>179</v>
      </c>
      <c r="H120" s="11">
        <v>1.0</v>
      </c>
      <c r="I120" s="20">
        <v>500.0</v>
      </c>
      <c r="J120" s="20">
        <v>500.0</v>
      </c>
      <c r="BO120" s="20">
        <v>500.0</v>
      </c>
      <c r="BR120" s="20">
        <v>500.0</v>
      </c>
      <c r="BU120" s="11" t="s">
        <v>187</v>
      </c>
    </row>
    <row r="121">
      <c r="A121" s="11" t="s">
        <v>1448</v>
      </c>
      <c r="B121" s="11" t="s">
        <v>78</v>
      </c>
      <c r="C121" s="23">
        <v>45695.0</v>
      </c>
      <c r="D121" s="11" t="s">
        <v>1452</v>
      </c>
      <c r="F121" s="11" t="s">
        <v>1454</v>
      </c>
      <c r="G121" s="11" t="s">
        <v>795</v>
      </c>
      <c r="H121" s="11">
        <v>1.0</v>
      </c>
      <c r="I121" s="20">
        <v>140.0</v>
      </c>
      <c r="J121" s="20">
        <v>140.0</v>
      </c>
      <c r="BO121" s="20">
        <v>140.0</v>
      </c>
      <c r="BR121" s="20">
        <v>140.0</v>
      </c>
      <c r="BU121" s="11" t="s">
        <v>187</v>
      </c>
    </row>
    <row r="122">
      <c r="A122" s="11" t="s">
        <v>971</v>
      </c>
      <c r="B122" s="11" t="s">
        <v>78</v>
      </c>
      <c r="C122" s="23">
        <v>45702.0</v>
      </c>
      <c r="D122" s="11" t="s">
        <v>547</v>
      </c>
      <c r="F122" s="11" t="s">
        <v>973</v>
      </c>
      <c r="G122" s="11" t="s">
        <v>975</v>
      </c>
      <c r="H122" s="11">
        <v>1.0</v>
      </c>
      <c r="I122" s="20">
        <v>1045.0</v>
      </c>
      <c r="J122" s="20">
        <v>1045.0</v>
      </c>
      <c r="BO122" s="20">
        <v>1045.0</v>
      </c>
      <c r="BR122" s="20">
        <v>1045.0</v>
      </c>
      <c r="BU122" s="11" t="s">
        <v>187</v>
      </c>
    </row>
    <row r="123">
      <c r="A123" s="11" t="s">
        <v>950</v>
      </c>
      <c r="B123" s="11" t="s">
        <v>78</v>
      </c>
      <c r="C123" s="23">
        <v>45702.0</v>
      </c>
      <c r="D123" s="11" t="s">
        <v>547</v>
      </c>
      <c r="F123" s="11" t="s">
        <v>955</v>
      </c>
      <c r="G123" s="11" t="s">
        <v>957</v>
      </c>
      <c r="H123" s="11">
        <v>1.0</v>
      </c>
      <c r="I123" s="20">
        <v>375.0</v>
      </c>
      <c r="J123" s="20">
        <v>375.0</v>
      </c>
      <c r="BO123" s="20">
        <v>375.0</v>
      </c>
      <c r="BR123" s="20">
        <v>375.0</v>
      </c>
      <c r="BU123" s="11" t="s">
        <v>187</v>
      </c>
    </row>
    <row r="124">
      <c r="A124" s="11" t="s">
        <v>1207</v>
      </c>
      <c r="B124" s="11" t="s">
        <v>78</v>
      </c>
      <c r="C124" s="23">
        <v>45702.0</v>
      </c>
      <c r="D124" s="11" t="s">
        <v>192</v>
      </c>
      <c r="F124" s="11" t="s">
        <v>195</v>
      </c>
      <c r="G124" s="11" t="s">
        <v>196</v>
      </c>
      <c r="H124" s="11">
        <v>1.0</v>
      </c>
      <c r="I124" s="20">
        <v>2500.0</v>
      </c>
      <c r="J124" s="20">
        <v>2500.0</v>
      </c>
      <c r="BO124" s="20">
        <v>2500.0</v>
      </c>
      <c r="BR124" s="20">
        <v>2500.0</v>
      </c>
      <c r="BU124" s="11" t="s">
        <v>187</v>
      </c>
    </row>
    <row r="125">
      <c r="A125" s="11" t="s">
        <v>1493</v>
      </c>
      <c r="B125" s="11" t="s">
        <v>78</v>
      </c>
      <c r="C125" s="23">
        <v>45702.0</v>
      </c>
      <c r="D125" s="11" t="s">
        <v>415</v>
      </c>
      <c r="F125" s="11" t="s">
        <v>1496</v>
      </c>
      <c r="G125" s="11" t="s">
        <v>1497</v>
      </c>
      <c r="H125" s="11">
        <v>1.0</v>
      </c>
      <c r="I125" s="20">
        <v>253.0</v>
      </c>
      <c r="J125" s="20">
        <v>253.0</v>
      </c>
      <c r="BO125" s="20">
        <v>253.0</v>
      </c>
      <c r="BR125" s="20">
        <v>253.0</v>
      </c>
      <c r="BU125" s="11" t="s">
        <v>187</v>
      </c>
    </row>
    <row r="126">
      <c r="A126" s="11" t="s">
        <v>1214</v>
      </c>
      <c r="B126" s="11" t="s">
        <v>78</v>
      </c>
      <c r="C126" s="23">
        <v>45702.0</v>
      </c>
      <c r="D126" s="11" t="s">
        <v>1217</v>
      </c>
      <c r="F126" s="11" t="s">
        <v>1218</v>
      </c>
      <c r="G126" s="11" t="s">
        <v>502</v>
      </c>
      <c r="H126" s="11">
        <v>1.0</v>
      </c>
      <c r="I126" s="20">
        <v>119.0</v>
      </c>
      <c r="J126" s="20">
        <v>119.0</v>
      </c>
      <c r="BO126" s="20">
        <v>119.0</v>
      </c>
      <c r="BR126" s="20">
        <v>119.0</v>
      </c>
      <c r="BU126" s="11" t="s">
        <v>187</v>
      </c>
    </row>
    <row r="127">
      <c r="A127" s="11" t="s">
        <v>1517</v>
      </c>
      <c r="B127" s="11" t="s">
        <v>78</v>
      </c>
      <c r="C127" s="23">
        <v>45702.0</v>
      </c>
      <c r="D127" s="11" t="s">
        <v>404</v>
      </c>
      <c r="F127" s="11" t="s">
        <v>1520</v>
      </c>
      <c r="G127" s="11" t="s">
        <v>1521</v>
      </c>
      <c r="H127" s="11">
        <v>1.0</v>
      </c>
      <c r="I127" s="20">
        <v>70.0</v>
      </c>
      <c r="J127" s="20">
        <v>70.0</v>
      </c>
      <c r="BO127" s="20">
        <v>70.0</v>
      </c>
      <c r="BR127" s="20">
        <v>70.0</v>
      </c>
      <c r="BU127" s="11" t="s">
        <v>187</v>
      </c>
    </row>
    <row r="128">
      <c r="A128" s="11" t="s">
        <v>960</v>
      </c>
      <c r="B128" s="11" t="s">
        <v>78</v>
      </c>
      <c r="C128" s="23">
        <v>45705.0</v>
      </c>
      <c r="D128" s="11" t="s">
        <v>547</v>
      </c>
      <c r="F128" s="11" t="s">
        <v>964</v>
      </c>
      <c r="G128" s="11" t="s">
        <v>648</v>
      </c>
      <c r="H128" s="11">
        <v>1.0</v>
      </c>
      <c r="I128" s="20">
        <v>625.0</v>
      </c>
      <c r="J128" s="20">
        <v>625.0</v>
      </c>
      <c r="BO128" s="20">
        <v>625.0</v>
      </c>
      <c r="BR128" s="20">
        <v>625.0</v>
      </c>
      <c r="BU128" s="11" t="s">
        <v>187</v>
      </c>
    </row>
    <row r="129">
      <c r="A129" s="11" t="s">
        <v>1535</v>
      </c>
      <c r="B129" s="11" t="s">
        <v>78</v>
      </c>
      <c r="C129" s="23">
        <v>45706.0</v>
      </c>
      <c r="D129" s="11" t="s">
        <v>415</v>
      </c>
      <c r="F129" s="11" t="s">
        <v>1541</v>
      </c>
      <c r="G129" s="11" t="s">
        <v>1542</v>
      </c>
      <c r="H129" s="11">
        <v>1.0</v>
      </c>
      <c r="I129" s="20">
        <v>180.0</v>
      </c>
      <c r="J129" s="20">
        <v>180.0</v>
      </c>
      <c r="BO129" s="20">
        <v>180.0</v>
      </c>
      <c r="BR129" s="20">
        <v>180.0</v>
      </c>
      <c r="BU129" s="11" t="s">
        <v>187</v>
      </c>
    </row>
    <row r="130">
      <c r="A130" s="11" t="s">
        <v>1546</v>
      </c>
      <c r="B130" s="11" t="s">
        <v>78</v>
      </c>
      <c r="C130" s="23">
        <v>45706.0</v>
      </c>
      <c r="D130" s="11" t="s">
        <v>404</v>
      </c>
      <c r="F130" s="11" t="s">
        <v>1550</v>
      </c>
      <c r="G130" s="11" t="s">
        <v>454</v>
      </c>
      <c r="H130" s="11">
        <v>1.0</v>
      </c>
      <c r="I130" s="20">
        <v>2203.0</v>
      </c>
      <c r="J130" s="20">
        <v>2203.0</v>
      </c>
      <c r="BO130" s="20">
        <v>2203.0</v>
      </c>
      <c r="BR130" s="20">
        <v>2203.0</v>
      </c>
      <c r="BU130" s="11" t="s">
        <v>187</v>
      </c>
    </row>
    <row r="131">
      <c r="A131" s="11" t="s">
        <v>1554</v>
      </c>
      <c r="B131" s="11" t="s">
        <v>78</v>
      </c>
      <c r="C131" s="23">
        <v>45706.0</v>
      </c>
      <c r="D131" s="11" t="s">
        <v>1046</v>
      </c>
      <c r="F131" s="11" t="s">
        <v>1557</v>
      </c>
      <c r="G131" s="11" t="s">
        <v>1049</v>
      </c>
      <c r="H131" s="11">
        <v>1.0</v>
      </c>
      <c r="I131" s="20">
        <v>13595.39</v>
      </c>
      <c r="J131" s="20">
        <v>13595.39</v>
      </c>
      <c r="BO131" s="20">
        <v>13595.39</v>
      </c>
      <c r="BR131" s="20">
        <v>13595.39</v>
      </c>
      <c r="BU131" s="11" t="s">
        <v>187</v>
      </c>
    </row>
    <row r="132">
      <c r="A132" s="11" t="s">
        <v>1564</v>
      </c>
      <c r="B132" s="11" t="s">
        <v>78</v>
      </c>
      <c r="C132" s="23">
        <v>45708.0</v>
      </c>
      <c r="D132" s="11" t="s">
        <v>1567</v>
      </c>
      <c r="F132" s="11" t="s">
        <v>1569</v>
      </c>
      <c r="G132" s="11" t="s">
        <v>1570</v>
      </c>
      <c r="H132" s="11">
        <v>1.0</v>
      </c>
      <c r="I132" s="20">
        <v>508.36</v>
      </c>
      <c r="J132" s="20">
        <v>508.36</v>
      </c>
      <c r="BO132" s="20">
        <v>508.36</v>
      </c>
      <c r="BR132" s="20">
        <v>508.36</v>
      </c>
      <c r="BU132" s="11" t="s">
        <v>187</v>
      </c>
    </row>
    <row r="133">
      <c r="A133" s="11" t="s">
        <v>1578</v>
      </c>
      <c r="B133" s="11" t="s">
        <v>78</v>
      </c>
      <c r="C133" s="23">
        <v>45711.0</v>
      </c>
      <c r="D133" s="11" t="s">
        <v>451</v>
      </c>
      <c r="F133" s="11" t="s">
        <v>1582</v>
      </c>
      <c r="G133" s="11" t="s">
        <v>454</v>
      </c>
      <c r="H133" s="11">
        <v>1.0</v>
      </c>
      <c r="I133" s="20">
        <v>1438.0</v>
      </c>
      <c r="J133" s="20">
        <v>1438.0</v>
      </c>
      <c r="BO133" s="20">
        <v>1438.0</v>
      </c>
      <c r="BR133" s="20">
        <v>1438.0</v>
      </c>
      <c r="BU133" s="11" t="s">
        <v>187</v>
      </c>
    </row>
    <row r="134">
      <c r="A134" s="11" t="s">
        <v>677</v>
      </c>
      <c r="B134" s="11" t="s">
        <v>78</v>
      </c>
      <c r="C134" s="23">
        <v>45711.0</v>
      </c>
      <c r="F134" s="11" t="s">
        <v>681</v>
      </c>
      <c r="G134" s="11" t="s">
        <v>376</v>
      </c>
      <c r="H134" s="11">
        <v>1.0</v>
      </c>
      <c r="I134" s="20">
        <v>3210.0</v>
      </c>
      <c r="J134" s="20">
        <v>3210.0</v>
      </c>
      <c r="BO134" s="20">
        <v>3210.0</v>
      </c>
      <c r="BR134" s="20">
        <v>3210.0</v>
      </c>
      <c r="BU134" s="11" t="s">
        <v>187</v>
      </c>
      <c r="BV134" s="11" t="s">
        <v>685</v>
      </c>
    </row>
    <row r="135">
      <c r="A135" s="11" t="s">
        <v>686</v>
      </c>
      <c r="B135" s="11" t="s">
        <v>78</v>
      </c>
      <c r="C135" s="23">
        <v>45711.0</v>
      </c>
      <c r="F135" s="11" t="s">
        <v>687</v>
      </c>
      <c r="G135" s="11" t="s">
        <v>376</v>
      </c>
      <c r="H135" s="11">
        <v>1.0</v>
      </c>
      <c r="I135" s="20">
        <v>267.5</v>
      </c>
      <c r="J135" s="20">
        <v>267.5</v>
      </c>
      <c r="BO135" s="20">
        <v>267.5</v>
      </c>
      <c r="BR135" s="20">
        <v>267.5</v>
      </c>
      <c r="BU135" s="11" t="s">
        <v>187</v>
      </c>
      <c r="BV135" s="20">
        <v>3.3095275E7</v>
      </c>
    </row>
    <row r="136">
      <c r="A136" s="11" t="s">
        <v>694</v>
      </c>
      <c r="B136" s="11" t="s">
        <v>78</v>
      </c>
      <c r="C136" s="23">
        <v>45711.0</v>
      </c>
      <c r="F136" s="11" t="s">
        <v>687</v>
      </c>
      <c r="G136" s="11" t="s">
        <v>376</v>
      </c>
      <c r="H136" s="11">
        <v>1.0</v>
      </c>
      <c r="I136" s="20">
        <v>267.5</v>
      </c>
      <c r="J136" s="20">
        <v>267.5</v>
      </c>
      <c r="BO136" s="20">
        <v>267.5</v>
      </c>
      <c r="BR136" s="20">
        <v>267.5</v>
      </c>
      <c r="BU136" s="11" t="s">
        <v>187</v>
      </c>
      <c r="BV136" s="11" t="s">
        <v>704</v>
      </c>
    </row>
    <row r="137">
      <c r="A137" s="11" t="s">
        <v>1010</v>
      </c>
      <c r="B137" s="11" t="s">
        <v>78</v>
      </c>
      <c r="C137" s="23">
        <v>45711.0</v>
      </c>
      <c r="D137" s="11" t="s">
        <v>415</v>
      </c>
      <c r="F137" s="11" t="s">
        <v>1015</v>
      </c>
      <c r="G137" s="11" t="s">
        <v>1017</v>
      </c>
      <c r="H137" s="11">
        <v>1.0</v>
      </c>
      <c r="I137" s="20">
        <v>22.0</v>
      </c>
      <c r="J137" s="20">
        <v>22.0</v>
      </c>
      <c r="BO137" s="20">
        <v>22.0</v>
      </c>
      <c r="BR137" s="20">
        <v>22.0</v>
      </c>
      <c r="BU137" s="11" t="s">
        <v>187</v>
      </c>
    </row>
    <row r="138">
      <c r="A138" s="11" t="s">
        <v>1020</v>
      </c>
      <c r="B138" s="11" t="s">
        <v>78</v>
      </c>
      <c r="C138" s="23">
        <v>45711.0</v>
      </c>
      <c r="D138" s="11" t="s">
        <v>415</v>
      </c>
      <c r="F138" s="11" t="s">
        <v>1022</v>
      </c>
      <c r="G138" s="11" t="s">
        <v>1023</v>
      </c>
      <c r="H138" s="11">
        <v>1.0</v>
      </c>
      <c r="I138" s="20">
        <v>10.0</v>
      </c>
      <c r="J138" s="20">
        <v>10.0</v>
      </c>
      <c r="BO138" s="20">
        <v>10.0</v>
      </c>
      <c r="BR138" s="20">
        <v>10.0</v>
      </c>
      <c r="BU138" s="11" t="s">
        <v>187</v>
      </c>
    </row>
    <row r="139">
      <c r="A139" s="11" t="s">
        <v>929</v>
      </c>
      <c r="B139" s="11" t="s">
        <v>78</v>
      </c>
      <c r="C139" s="23">
        <v>45712.0</v>
      </c>
      <c r="D139" s="11" t="s">
        <v>644</v>
      </c>
      <c r="F139" s="11" t="s">
        <v>646</v>
      </c>
      <c r="G139" s="11" t="s">
        <v>648</v>
      </c>
      <c r="H139" s="11">
        <v>1.0</v>
      </c>
      <c r="I139" s="20">
        <v>400.0</v>
      </c>
      <c r="J139" s="20">
        <v>400.0</v>
      </c>
      <c r="BO139" s="20">
        <v>400.0</v>
      </c>
      <c r="BR139" s="20">
        <v>400.0</v>
      </c>
      <c r="BU139" s="11" t="s">
        <v>187</v>
      </c>
    </row>
    <row r="140">
      <c r="A140" s="11" t="s">
        <v>1664</v>
      </c>
      <c r="B140" s="11" t="s">
        <v>78</v>
      </c>
      <c r="C140" s="23">
        <v>45714.0</v>
      </c>
      <c r="F140" s="11" t="s">
        <v>1666</v>
      </c>
      <c r="G140" s="11" t="s">
        <v>350</v>
      </c>
      <c r="H140" s="11">
        <v>1.0</v>
      </c>
      <c r="I140" s="20">
        <v>500.0</v>
      </c>
      <c r="J140" s="20">
        <v>500.0</v>
      </c>
      <c r="BO140" s="20">
        <v>500.0</v>
      </c>
      <c r="BR140" s="20">
        <v>500.0</v>
      </c>
      <c r="BU140" s="11" t="s">
        <v>187</v>
      </c>
      <c r="BV140" s="11" t="s">
        <v>1327</v>
      </c>
    </row>
    <row r="141">
      <c r="A141" s="11" t="s">
        <v>1674</v>
      </c>
      <c r="B141" s="11" t="s">
        <v>78</v>
      </c>
      <c r="C141" s="23">
        <v>45720.0</v>
      </c>
      <c r="D141" s="11" t="s">
        <v>1389</v>
      </c>
      <c r="F141" s="11" t="s">
        <v>1677</v>
      </c>
      <c r="G141" s="11" t="s">
        <v>1392</v>
      </c>
      <c r="H141" s="11">
        <v>1.0</v>
      </c>
      <c r="I141" s="20">
        <v>700.0</v>
      </c>
      <c r="J141" s="20">
        <v>700.0</v>
      </c>
      <c r="BO141" s="20">
        <v>700.0</v>
      </c>
      <c r="BR141" s="20">
        <v>700.0</v>
      </c>
      <c r="BU141" s="11" t="s">
        <v>187</v>
      </c>
    </row>
    <row r="142">
      <c r="A142" s="11" t="s">
        <v>1436</v>
      </c>
      <c r="B142" s="11" t="s">
        <v>78</v>
      </c>
      <c r="C142" s="23">
        <v>45726.0</v>
      </c>
      <c r="D142" s="11" t="s">
        <v>176</v>
      </c>
      <c r="F142" s="11" t="s">
        <v>1440</v>
      </c>
      <c r="G142" s="11" t="s">
        <v>179</v>
      </c>
      <c r="H142" s="11">
        <v>1.0</v>
      </c>
      <c r="I142" s="20">
        <v>500.0</v>
      </c>
      <c r="J142" s="20">
        <v>500.0</v>
      </c>
      <c r="BO142" s="20">
        <v>500.0</v>
      </c>
      <c r="BR142" s="20">
        <v>500.0</v>
      </c>
      <c r="BU142" s="11" t="s">
        <v>187</v>
      </c>
    </row>
    <row r="143">
      <c r="A143" s="11" t="s">
        <v>1689</v>
      </c>
      <c r="B143" s="11" t="s">
        <v>78</v>
      </c>
      <c r="C143" s="23">
        <v>45726.0</v>
      </c>
      <c r="D143" s="11" t="s">
        <v>216</v>
      </c>
      <c r="F143" s="11" t="s">
        <v>1693</v>
      </c>
      <c r="G143" s="11" t="s">
        <v>1694</v>
      </c>
      <c r="H143" s="11">
        <v>1.0</v>
      </c>
      <c r="I143" s="20">
        <v>134.0</v>
      </c>
      <c r="J143" s="20">
        <v>134.0</v>
      </c>
      <c r="BO143" s="20">
        <v>134.0</v>
      </c>
      <c r="BR143" s="20">
        <v>134.0</v>
      </c>
      <c r="BU143" s="11" t="s">
        <v>187</v>
      </c>
    </row>
    <row r="144">
      <c r="A144" s="11" t="s">
        <v>1700</v>
      </c>
      <c r="B144" s="11" t="s">
        <v>78</v>
      </c>
      <c r="C144" s="23">
        <v>45726.0</v>
      </c>
      <c r="D144" s="11" t="s">
        <v>216</v>
      </c>
      <c r="F144" s="11" t="s">
        <v>1703</v>
      </c>
      <c r="G144" s="11" t="s">
        <v>1705</v>
      </c>
      <c r="H144" s="11">
        <v>1.0</v>
      </c>
      <c r="I144" s="20">
        <v>75.0</v>
      </c>
      <c r="J144" s="20">
        <v>75.0</v>
      </c>
      <c r="BO144" s="20">
        <v>75.0</v>
      </c>
      <c r="BR144" s="20">
        <v>75.0</v>
      </c>
      <c r="BU144" s="11" t="s">
        <v>187</v>
      </c>
    </row>
    <row r="145">
      <c r="A145" s="11" t="s">
        <v>1713</v>
      </c>
      <c r="B145" s="11" t="s">
        <v>78</v>
      </c>
      <c r="C145" s="23">
        <v>45726.0</v>
      </c>
      <c r="D145" s="11" t="s">
        <v>404</v>
      </c>
      <c r="F145" s="11" t="s">
        <v>1715</v>
      </c>
      <c r="G145" s="11" t="s">
        <v>1705</v>
      </c>
      <c r="H145" s="11">
        <v>1.0</v>
      </c>
      <c r="I145" s="20">
        <v>40.0</v>
      </c>
      <c r="J145" s="20">
        <v>40.0</v>
      </c>
      <c r="BO145" s="20">
        <v>40.0</v>
      </c>
      <c r="BR145" s="20">
        <v>40.0</v>
      </c>
      <c r="BU145" s="11" t="s">
        <v>187</v>
      </c>
    </row>
    <row r="146">
      <c r="A146" s="11" t="s">
        <v>1722</v>
      </c>
      <c r="B146" s="11" t="s">
        <v>78</v>
      </c>
      <c r="C146" s="23">
        <v>45726.0</v>
      </c>
      <c r="D146" s="20">
        <v>3.6037127E7</v>
      </c>
      <c r="F146" s="11" t="s">
        <v>1724</v>
      </c>
      <c r="G146" s="11" t="s">
        <v>1726</v>
      </c>
      <c r="H146" s="11">
        <v>1.0</v>
      </c>
      <c r="I146" s="20">
        <v>120.0</v>
      </c>
      <c r="J146" s="20">
        <v>120.0</v>
      </c>
      <c r="BO146" s="20">
        <v>120.0</v>
      </c>
      <c r="BR146" s="20">
        <v>120.0</v>
      </c>
      <c r="BU146" s="11" t="s">
        <v>187</v>
      </c>
    </row>
    <row r="147">
      <c r="A147" s="11" t="s">
        <v>1735</v>
      </c>
      <c r="B147" s="11" t="s">
        <v>78</v>
      </c>
      <c r="C147" s="23">
        <v>45726.0</v>
      </c>
      <c r="D147" s="11" t="s">
        <v>793</v>
      </c>
      <c r="F147" s="11" t="s">
        <v>1739</v>
      </c>
      <c r="G147" s="11" t="s">
        <v>795</v>
      </c>
      <c r="H147" s="11">
        <v>1.0</v>
      </c>
      <c r="I147" s="20">
        <v>70.0</v>
      </c>
      <c r="J147" s="20">
        <v>70.0</v>
      </c>
      <c r="BO147" s="20">
        <v>70.0</v>
      </c>
      <c r="BR147" s="20">
        <v>70.0</v>
      </c>
      <c r="BU147" s="11" t="s">
        <v>187</v>
      </c>
    </row>
    <row r="148">
      <c r="A148" s="11" t="s">
        <v>1745</v>
      </c>
      <c r="B148" s="11" t="s">
        <v>78</v>
      </c>
      <c r="C148" s="23">
        <v>45727.0</v>
      </c>
      <c r="F148" s="11" t="s">
        <v>783</v>
      </c>
      <c r="G148" s="11" t="s">
        <v>350</v>
      </c>
      <c r="H148" s="11">
        <v>1.0</v>
      </c>
      <c r="I148" s="20">
        <v>700.0</v>
      </c>
      <c r="J148" s="20">
        <v>700.0</v>
      </c>
      <c r="BO148" s="20">
        <v>700.0</v>
      </c>
      <c r="BR148" s="20">
        <v>700.0</v>
      </c>
      <c r="BU148" s="11" t="s">
        <v>187</v>
      </c>
      <c r="BV148" s="11" t="s">
        <v>225</v>
      </c>
    </row>
    <row r="149">
      <c r="A149" s="11" t="s">
        <v>1757</v>
      </c>
      <c r="B149" s="11" t="s">
        <v>78</v>
      </c>
      <c r="C149" s="23">
        <v>45727.0</v>
      </c>
      <c r="D149" s="20">
        <v>3.6037127E7</v>
      </c>
      <c r="F149" s="11" t="s">
        <v>1762</v>
      </c>
      <c r="G149" s="11" t="s">
        <v>1726</v>
      </c>
      <c r="H149" s="11">
        <v>1.0</v>
      </c>
      <c r="I149" s="20">
        <v>360.0</v>
      </c>
      <c r="J149" s="20">
        <v>360.0</v>
      </c>
      <c r="BO149" s="20">
        <v>360.0</v>
      </c>
      <c r="BR149" s="20">
        <v>360.0</v>
      </c>
      <c r="BU149" s="11" t="s">
        <v>187</v>
      </c>
    </row>
    <row r="150">
      <c r="A150" s="11" t="s">
        <v>1207</v>
      </c>
      <c r="B150" s="11" t="s">
        <v>78</v>
      </c>
      <c r="C150" s="23">
        <v>45727.0</v>
      </c>
      <c r="D150" s="11" t="s">
        <v>192</v>
      </c>
      <c r="F150" s="11" t="s">
        <v>195</v>
      </c>
      <c r="G150" s="11" t="s">
        <v>196</v>
      </c>
      <c r="H150" s="11">
        <v>1.0</v>
      </c>
      <c r="I150" s="20">
        <v>2500.0</v>
      </c>
      <c r="J150" s="20">
        <v>2500.0</v>
      </c>
      <c r="BO150" s="20">
        <v>2500.0</v>
      </c>
      <c r="BR150" s="20">
        <v>2500.0</v>
      </c>
      <c r="BU150" s="11" t="s">
        <v>187</v>
      </c>
    </row>
    <row r="151">
      <c r="A151" s="11" t="s">
        <v>1214</v>
      </c>
      <c r="B151" s="11" t="s">
        <v>78</v>
      </c>
      <c r="C151" s="23">
        <v>45727.0</v>
      </c>
      <c r="D151" s="11" t="s">
        <v>1217</v>
      </c>
      <c r="F151" s="11" t="s">
        <v>1218</v>
      </c>
      <c r="G151" s="11" t="s">
        <v>502</v>
      </c>
      <c r="H151" s="11">
        <v>1.0</v>
      </c>
      <c r="I151" s="20">
        <v>119.0</v>
      </c>
      <c r="J151" s="20">
        <v>119.0</v>
      </c>
      <c r="BO151" s="20">
        <v>119.0</v>
      </c>
      <c r="BR151" s="20">
        <v>119.0</v>
      </c>
      <c r="BU151" s="11" t="s">
        <v>187</v>
      </c>
    </row>
    <row r="152">
      <c r="A152" s="11" t="s">
        <v>1493</v>
      </c>
      <c r="B152" s="11" t="s">
        <v>78</v>
      </c>
      <c r="C152" s="23">
        <v>45727.0</v>
      </c>
      <c r="D152" s="11" t="s">
        <v>415</v>
      </c>
      <c r="F152" s="11" t="s">
        <v>1787</v>
      </c>
      <c r="G152" s="11" t="s">
        <v>1497</v>
      </c>
      <c r="H152" s="11">
        <v>1.0</v>
      </c>
      <c r="I152" s="20">
        <v>253.0</v>
      </c>
      <c r="J152" s="20">
        <v>253.0</v>
      </c>
      <c r="BO152" s="20">
        <v>253.0</v>
      </c>
      <c r="BR152" s="20">
        <v>253.0</v>
      </c>
      <c r="BU152" s="11" t="s">
        <v>187</v>
      </c>
    </row>
    <row r="153">
      <c r="A153" s="11" t="s">
        <v>1793</v>
      </c>
      <c r="B153" s="11" t="s">
        <v>78</v>
      </c>
      <c r="C153" s="23">
        <v>45729.0</v>
      </c>
      <c r="D153" s="11" t="s">
        <v>1795</v>
      </c>
      <c r="F153" s="11" t="s">
        <v>1693</v>
      </c>
      <c r="G153" s="11" t="s">
        <v>1694</v>
      </c>
      <c r="H153" s="11">
        <v>1.0</v>
      </c>
      <c r="I153" s="20">
        <v>398.0</v>
      </c>
      <c r="J153" s="20">
        <v>398.0</v>
      </c>
      <c r="BO153" s="20">
        <v>398.0</v>
      </c>
      <c r="BR153" s="20">
        <v>398.0</v>
      </c>
      <c r="BU153" s="11" t="s">
        <v>187</v>
      </c>
    </row>
    <row r="154">
      <c r="A154" s="11" t="s">
        <v>960</v>
      </c>
      <c r="B154" s="11" t="s">
        <v>78</v>
      </c>
      <c r="C154" s="23">
        <v>45729.0</v>
      </c>
      <c r="D154" s="11" t="s">
        <v>547</v>
      </c>
      <c r="F154" s="11" t="s">
        <v>964</v>
      </c>
      <c r="G154" s="11" t="s">
        <v>648</v>
      </c>
      <c r="H154" s="11">
        <v>1.0</v>
      </c>
      <c r="I154" s="20">
        <v>625.0</v>
      </c>
      <c r="J154" s="20">
        <v>625.0</v>
      </c>
      <c r="BO154" s="20">
        <v>625.0</v>
      </c>
      <c r="BR154" s="20">
        <v>625.0</v>
      </c>
      <c r="BU154" s="11" t="s">
        <v>187</v>
      </c>
    </row>
    <row r="155">
      <c r="A155" s="11" t="s">
        <v>971</v>
      </c>
      <c r="B155" s="11" t="s">
        <v>78</v>
      </c>
      <c r="C155" s="23">
        <v>45729.0</v>
      </c>
      <c r="D155" s="11" t="s">
        <v>547</v>
      </c>
      <c r="F155" s="11" t="s">
        <v>973</v>
      </c>
      <c r="G155" s="11" t="s">
        <v>975</v>
      </c>
      <c r="H155" s="11">
        <v>1.0</v>
      </c>
      <c r="I155" s="20">
        <v>1045.0</v>
      </c>
      <c r="J155" s="20">
        <v>1045.0</v>
      </c>
      <c r="BO155" s="20">
        <v>1045.0</v>
      </c>
      <c r="BR155" s="20">
        <v>1045.0</v>
      </c>
      <c r="BU155" s="11" t="s">
        <v>187</v>
      </c>
    </row>
    <row r="156">
      <c r="A156" s="11" t="s">
        <v>950</v>
      </c>
      <c r="B156" s="11" t="s">
        <v>78</v>
      </c>
      <c r="C156" s="23">
        <v>45729.0</v>
      </c>
      <c r="D156" s="11" t="s">
        <v>547</v>
      </c>
      <c r="F156" s="11" t="s">
        <v>955</v>
      </c>
      <c r="G156" s="11" t="s">
        <v>957</v>
      </c>
      <c r="H156" s="11">
        <v>1.0</v>
      </c>
      <c r="I156" s="20">
        <v>250.0</v>
      </c>
      <c r="J156" s="20">
        <v>250.0</v>
      </c>
      <c r="BO156" s="20">
        <v>250.0</v>
      </c>
      <c r="BR156" s="20">
        <v>250.0</v>
      </c>
      <c r="BU156" s="11" t="s">
        <v>187</v>
      </c>
    </row>
    <row r="157">
      <c r="A157" s="11" t="s">
        <v>1823</v>
      </c>
      <c r="B157" s="11" t="s">
        <v>78</v>
      </c>
      <c r="C157" s="23">
        <v>45714.0</v>
      </c>
      <c r="F157" s="11" t="s">
        <v>1666</v>
      </c>
      <c r="G157" s="11" t="s">
        <v>350</v>
      </c>
      <c r="H157" s="11">
        <v>1.0</v>
      </c>
      <c r="I157" s="20">
        <v>500.0</v>
      </c>
      <c r="J157" s="20">
        <v>500.0</v>
      </c>
      <c r="BO157" s="20">
        <v>500.0</v>
      </c>
      <c r="BR157" s="20">
        <v>500.0</v>
      </c>
      <c r="BU157" s="11" t="s">
        <v>187</v>
      </c>
      <c r="BV157" s="11" t="s">
        <v>126</v>
      </c>
    </row>
    <row r="158">
      <c r="A158" s="11" t="s">
        <v>1829</v>
      </c>
      <c r="B158" s="11" t="s">
        <v>78</v>
      </c>
      <c r="C158" s="23">
        <v>45715.0</v>
      </c>
      <c r="F158" s="11" t="s">
        <v>1832</v>
      </c>
      <c r="G158" s="11" t="s">
        <v>376</v>
      </c>
      <c r="H158" s="11">
        <v>1.0</v>
      </c>
      <c r="I158" s="20">
        <v>3114.94</v>
      </c>
      <c r="J158" s="20">
        <v>3114.94</v>
      </c>
      <c r="BO158" s="20">
        <v>3114.94</v>
      </c>
      <c r="BR158" s="20">
        <v>3114.94</v>
      </c>
      <c r="BU158" s="11" t="s">
        <v>187</v>
      </c>
      <c r="BV158" s="11" t="s">
        <v>225</v>
      </c>
    </row>
    <row r="159">
      <c r="A159" s="11" t="s">
        <v>1838</v>
      </c>
      <c r="B159" s="11" t="s">
        <v>78</v>
      </c>
      <c r="C159" s="23">
        <v>45715.0</v>
      </c>
      <c r="F159" s="11" t="s">
        <v>1832</v>
      </c>
      <c r="G159" s="11" t="s">
        <v>376</v>
      </c>
      <c r="H159" s="11">
        <v>1.0</v>
      </c>
      <c r="I159" s="20">
        <v>1407.42</v>
      </c>
      <c r="J159" s="20">
        <v>1407.42</v>
      </c>
      <c r="BO159" s="20">
        <v>1407.42</v>
      </c>
      <c r="BR159" s="20">
        <v>1407.42</v>
      </c>
      <c r="BU159" s="11" t="s">
        <v>187</v>
      </c>
      <c r="BV159" s="11" t="s">
        <v>1327</v>
      </c>
    </row>
    <row r="160">
      <c r="A160" s="11" t="s">
        <v>1847</v>
      </c>
      <c r="B160" s="11" t="s">
        <v>78</v>
      </c>
      <c r="C160" s="23">
        <v>45715.0</v>
      </c>
      <c r="F160" s="11" t="s">
        <v>1832</v>
      </c>
      <c r="G160" s="11" t="s">
        <v>376</v>
      </c>
      <c r="H160" s="11">
        <v>1.0</v>
      </c>
      <c r="I160" s="20">
        <v>1134.91</v>
      </c>
      <c r="J160" s="20">
        <v>1134.91</v>
      </c>
      <c r="BO160" s="20">
        <v>1134.91</v>
      </c>
      <c r="BR160" s="20">
        <v>1134.91</v>
      </c>
      <c r="BU160" s="11" t="s">
        <v>187</v>
      </c>
      <c r="BV160" s="11" t="s">
        <v>126</v>
      </c>
    </row>
    <row r="161">
      <c r="A161" s="11" t="s">
        <v>1848</v>
      </c>
      <c r="B161" s="11" t="s">
        <v>78</v>
      </c>
      <c r="C161" s="23">
        <v>45723.0</v>
      </c>
      <c r="F161" s="11" t="s">
        <v>1849</v>
      </c>
      <c r="G161" s="11" t="s">
        <v>1114</v>
      </c>
      <c r="H161" s="11">
        <v>1.0</v>
      </c>
      <c r="I161" s="20">
        <v>11000.0</v>
      </c>
      <c r="J161" s="20">
        <v>11000.0</v>
      </c>
      <c r="BO161" s="20">
        <v>11000.0</v>
      </c>
      <c r="BR161" s="20">
        <v>11000.0</v>
      </c>
      <c r="BU161" s="11" t="s">
        <v>187</v>
      </c>
      <c r="BV161" s="11" t="s">
        <v>1850</v>
      </c>
    </row>
    <row r="162">
      <c r="A162" s="11" t="s">
        <v>1851</v>
      </c>
      <c r="B162" s="11" t="s">
        <v>78</v>
      </c>
      <c r="C162" s="23">
        <v>45723.0</v>
      </c>
      <c r="F162" s="11" t="s">
        <v>1849</v>
      </c>
      <c r="G162" s="11" t="s">
        <v>1114</v>
      </c>
      <c r="H162" s="11">
        <v>1.0</v>
      </c>
      <c r="I162" s="20">
        <v>11000.0</v>
      </c>
      <c r="J162" s="20">
        <v>11000.0</v>
      </c>
      <c r="BO162" s="20">
        <v>11000.0</v>
      </c>
      <c r="BR162" s="20">
        <v>11000.0</v>
      </c>
      <c r="BU162" s="11" t="s">
        <v>187</v>
      </c>
      <c r="BV162" s="11" t="s">
        <v>704</v>
      </c>
    </row>
    <row r="163">
      <c r="A163" s="11" t="s">
        <v>1854</v>
      </c>
      <c r="B163" s="11" t="s">
        <v>78</v>
      </c>
      <c r="C163" s="23">
        <v>45723.0</v>
      </c>
      <c r="F163" s="11" t="s">
        <v>1849</v>
      </c>
      <c r="G163" s="11" t="s">
        <v>1114</v>
      </c>
      <c r="H163" s="11">
        <v>1.0</v>
      </c>
      <c r="I163" s="20">
        <v>11000.0</v>
      </c>
      <c r="J163" s="20">
        <v>11000.0</v>
      </c>
      <c r="BO163" s="20">
        <v>11000.0</v>
      </c>
      <c r="BR163" s="20">
        <v>11000.0</v>
      </c>
      <c r="BU163" s="11" t="s">
        <v>187</v>
      </c>
      <c r="BV163" s="11" t="s">
        <v>685</v>
      </c>
    </row>
    <row r="164">
      <c r="A164" s="11" t="s">
        <v>1554</v>
      </c>
      <c r="B164" s="11" t="s">
        <v>78</v>
      </c>
      <c r="C164" s="23">
        <v>45733.0</v>
      </c>
      <c r="D164" s="11" t="s">
        <v>1046</v>
      </c>
      <c r="F164" s="11" t="s">
        <v>1557</v>
      </c>
      <c r="G164" s="11" t="s">
        <v>1049</v>
      </c>
      <c r="H164" s="11">
        <v>1.0</v>
      </c>
      <c r="I164" s="20">
        <v>11453.93</v>
      </c>
      <c r="J164" s="20">
        <v>11453.93</v>
      </c>
      <c r="BO164" s="20">
        <v>11453.93</v>
      </c>
      <c r="BR164" s="20">
        <v>11453.93</v>
      </c>
      <c r="BU164" s="11" t="s">
        <v>187</v>
      </c>
    </row>
    <row r="165">
      <c r="A165" s="11" t="s">
        <v>1866</v>
      </c>
      <c r="B165" s="11" t="s">
        <v>78</v>
      </c>
      <c r="C165" s="23">
        <v>45735.0</v>
      </c>
      <c r="D165" s="11" t="s">
        <v>629</v>
      </c>
      <c r="F165" s="11" t="s">
        <v>1868</v>
      </c>
      <c r="G165" s="11" t="s">
        <v>1870</v>
      </c>
      <c r="H165" s="11">
        <v>1.0</v>
      </c>
      <c r="I165" s="20">
        <v>9904.06</v>
      </c>
      <c r="J165" s="20">
        <v>9904.06</v>
      </c>
      <c r="BO165" s="20">
        <v>9904.06</v>
      </c>
      <c r="BR165" s="20">
        <v>9904.06</v>
      </c>
      <c r="BU165" s="11" t="s">
        <v>187</v>
      </c>
    </row>
    <row r="166">
      <c r="A166" s="11" t="s">
        <v>1875</v>
      </c>
      <c r="B166" s="11" t="s">
        <v>78</v>
      </c>
      <c r="C166" s="23">
        <v>45740.0</v>
      </c>
      <c r="D166" s="11" t="s">
        <v>848</v>
      </c>
      <c r="F166" s="11" t="s">
        <v>1878</v>
      </c>
      <c r="G166" s="11" t="s">
        <v>851</v>
      </c>
      <c r="H166" s="11">
        <v>1.0</v>
      </c>
      <c r="I166" s="20">
        <v>181.0</v>
      </c>
      <c r="J166" s="20">
        <v>181.0</v>
      </c>
      <c r="BO166" s="20">
        <v>181.0</v>
      </c>
      <c r="BR166" s="20">
        <v>181.0</v>
      </c>
      <c r="BU166" s="11" t="s">
        <v>187</v>
      </c>
    </row>
    <row r="167">
      <c r="A167" s="11" t="s">
        <v>1883</v>
      </c>
      <c r="B167" s="11" t="s">
        <v>78</v>
      </c>
      <c r="C167" s="23">
        <v>45740.0</v>
      </c>
      <c r="D167" s="11" t="s">
        <v>404</v>
      </c>
      <c r="F167" s="11" t="s">
        <v>1887</v>
      </c>
      <c r="G167" s="11" t="s">
        <v>1694</v>
      </c>
      <c r="H167" s="11">
        <v>1.0</v>
      </c>
      <c r="I167" s="20">
        <v>775.0</v>
      </c>
      <c r="J167" s="20">
        <v>775.0</v>
      </c>
      <c r="BO167" s="20">
        <v>775.0</v>
      </c>
      <c r="BR167" s="20">
        <v>775.0</v>
      </c>
      <c r="BU167" s="11" t="s">
        <v>187</v>
      </c>
    </row>
    <row r="168">
      <c r="A168" s="11" t="s">
        <v>1890</v>
      </c>
      <c r="B168" s="11" t="s">
        <v>78</v>
      </c>
      <c r="C168" s="23">
        <v>45740.0</v>
      </c>
      <c r="D168" s="11" t="s">
        <v>404</v>
      </c>
      <c r="F168" s="11" t="s">
        <v>1893</v>
      </c>
      <c r="G168" s="11" t="s">
        <v>609</v>
      </c>
      <c r="H168" s="11">
        <v>1.0</v>
      </c>
      <c r="I168" s="20">
        <v>174.0</v>
      </c>
      <c r="J168" s="20">
        <v>174.0</v>
      </c>
      <c r="BO168" s="20">
        <v>174.0</v>
      </c>
      <c r="BR168" s="20">
        <v>174.0</v>
      </c>
      <c r="BU168" s="11" t="s">
        <v>187</v>
      </c>
    </row>
    <row r="169">
      <c r="A169" s="11" t="s">
        <v>1899</v>
      </c>
      <c r="B169" s="11" t="s">
        <v>78</v>
      </c>
      <c r="C169" s="23">
        <v>45740.0</v>
      </c>
      <c r="D169" s="11" t="s">
        <v>216</v>
      </c>
      <c r="F169" s="11" t="s">
        <v>1903</v>
      </c>
      <c r="G169" s="11" t="s">
        <v>1694</v>
      </c>
      <c r="H169" s="11">
        <v>1.0</v>
      </c>
      <c r="I169" s="20">
        <v>144.0</v>
      </c>
      <c r="J169" s="20">
        <v>144.0</v>
      </c>
      <c r="BO169" s="20">
        <v>144.0</v>
      </c>
      <c r="BR169" s="20">
        <v>144.0</v>
      </c>
      <c r="BU169" s="11" t="s">
        <v>187</v>
      </c>
    </row>
    <row r="170">
      <c r="A170" s="11" t="s">
        <v>1912</v>
      </c>
      <c r="B170" s="11" t="s">
        <v>78</v>
      </c>
      <c r="C170" s="23">
        <v>45740.0</v>
      </c>
      <c r="D170" s="11" t="s">
        <v>1913</v>
      </c>
      <c r="F170" s="11" t="s">
        <v>1916</v>
      </c>
      <c r="G170" s="11" t="s">
        <v>905</v>
      </c>
      <c r="H170" s="11">
        <v>1.0</v>
      </c>
      <c r="I170" s="20">
        <v>228.0</v>
      </c>
      <c r="J170" s="20">
        <v>228.0</v>
      </c>
      <c r="BO170" s="20">
        <v>228.0</v>
      </c>
      <c r="BR170" s="20">
        <v>228.0</v>
      </c>
      <c r="BU170" s="11" t="s">
        <v>187</v>
      </c>
    </row>
    <row r="171">
      <c r="A171" s="11" t="s">
        <v>929</v>
      </c>
      <c r="B171" s="11" t="s">
        <v>78</v>
      </c>
      <c r="C171" s="23">
        <v>45740.0</v>
      </c>
      <c r="D171" s="11" t="s">
        <v>644</v>
      </c>
      <c r="F171" s="11" t="s">
        <v>646</v>
      </c>
      <c r="G171" s="11" t="s">
        <v>648</v>
      </c>
      <c r="H171" s="11">
        <v>1.0</v>
      </c>
      <c r="I171" s="20">
        <v>400.0</v>
      </c>
      <c r="J171" s="20">
        <v>400.0</v>
      </c>
      <c r="BO171" s="20">
        <v>400.0</v>
      </c>
      <c r="BR171" s="20">
        <v>400.0</v>
      </c>
      <c r="BU171" s="11" t="s">
        <v>187</v>
      </c>
    </row>
    <row r="172">
      <c r="A172" s="11" t="s">
        <v>1927</v>
      </c>
      <c r="B172" s="11" t="s">
        <v>78</v>
      </c>
      <c r="C172" s="23">
        <v>45742.0</v>
      </c>
      <c r="F172" s="11" t="s">
        <v>1666</v>
      </c>
      <c r="G172" s="11" t="s">
        <v>350</v>
      </c>
      <c r="H172" s="11">
        <v>1.0</v>
      </c>
      <c r="I172" s="20">
        <v>500.0</v>
      </c>
      <c r="J172" s="20">
        <v>500.0</v>
      </c>
      <c r="BO172" s="20">
        <v>500.0</v>
      </c>
      <c r="BR172" s="20">
        <v>500.0</v>
      </c>
      <c r="BU172" s="11" t="s">
        <v>187</v>
      </c>
      <c r="BV172" s="11" t="s">
        <v>126</v>
      </c>
    </row>
    <row r="173">
      <c r="A173" s="11" t="s">
        <v>1935</v>
      </c>
      <c r="B173" s="11" t="s">
        <v>78</v>
      </c>
      <c r="C173" s="23">
        <v>45742.0</v>
      </c>
      <c r="F173" s="11" t="s">
        <v>1666</v>
      </c>
      <c r="G173" s="11" t="s">
        <v>350</v>
      </c>
      <c r="H173" s="11">
        <v>1.0</v>
      </c>
      <c r="I173" s="20">
        <v>250.0</v>
      </c>
      <c r="J173" s="20">
        <v>250.0</v>
      </c>
      <c r="BO173" s="20">
        <v>250.0</v>
      </c>
      <c r="BR173" s="20">
        <v>250.0</v>
      </c>
      <c r="BU173" s="11" t="s">
        <v>187</v>
      </c>
      <c r="BV173" s="11" t="s">
        <v>113</v>
      </c>
    </row>
    <row r="174">
      <c r="A174" s="11" t="s">
        <v>1943</v>
      </c>
      <c r="B174" s="11" t="s">
        <v>78</v>
      </c>
      <c r="C174" s="23">
        <v>45748.0</v>
      </c>
      <c r="D174" s="11" t="s">
        <v>216</v>
      </c>
      <c r="F174" s="11" t="s">
        <v>1948</v>
      </c>
      <c r="G174" s="11" t="s">
        <v>1949</v>
      </c>
      <c r="H174" s="11">
        <v>1.0</v>
      </c>
      <c r="I174" s="20">
        <v>145.0</v>
      </c>
      <c r="J174" s="20">
        <v>145.0</v>
      </c>
      <c r="BO174" s="20">
        <v>145.0</v>
      </c>
      <c r="BR174" s="20">
        <v>145.0</v>
      </c>
      <c r="BU174" s="11" t="s">
        <v>187</v>
      </c>
    </row>
    <row r="175">
      <c r="A175" s="11" t="s">
        <v>677</v>
      </c>
      <c r="B175" s="11" t="s">
        <v>78</v>
      </c>
      <c r="C175" s="23">
        <v>45748.0</v>
      </c>
      <c r="F175" s="11" t="s">
        <v>681</v>
      </c>
      <c r="G175" s="11" t="s">
        <v>376</v>
      </c>
      <c r="H175" s="11">
        <v>1.0</v>
      </c>
      <c r="I175" s="20">
        <v>3470.0</v>
      </c>
      <c r="J175" s="20">
        <v>3470.0</v>
      </c>
      <c r="BO175" s="20">
        <v>3470.0</v>
      </c>
      <c r="BR175" s="20">
        <v>3470.0</v>
      </c>
      <c r="BU175" s="11" t="s">
        <v>187</v>
      </c>
      <c r="BV175" s="11" t="s">
        <v>685</v>
      </c>
    </row>
    <row r="176">
      <c r="A176" s="11" t="s">
        <v>686</v>
      </c>
      <c r="B176" s="11" t="s">
        <v>78</v>
      </c>
      <c r="C176" s="23">
        <v>45748.0</v>
      </c>
      <c r="F176" s="11" t="s">
        <v>687</v>
      </c>
      <c r="G176" s="11" t="s">
        <v>376</v>
      </c>
      <c r="H176" s="11">
        <v>1.0</v>
      </c>
      <c r="I176" s="20">
        <v>289.5</v>
      </c>
      <c r="J176" s="20">
        <v>289.5</v>
      </c>
      <c r="BO176" s="20">
        <v>289.5</v>
      </c>
      <c r="BR176" s="20">
        <v>289.5</v>
      </c>
      <c r="BU176" s="11" t="s">
        <v>187</v>
      </c>
      <c r="BV176" s="20">
        <v>3.3095275E7</v>
      </c>
    </row>
    <row r="177">
      <c r="A177" s="11" t="s">
        <v>1976</v>
      </c>
      <c r="B177" s="11" t="s">
        <v>78</v>
      </c>
      <c r="C177" s="23">
        <v>45748.0</v>
      </c>
      <c r="D177" s="11" t="s">
        <v>629</v>
      </c>
      <c r="F177" s="11" t="s">
        <v>633</v>
      </c>
      <c r="G177" s="11" t="s">
        <v>1870</v>
      </c>
      <c r="H177" s="11">
        <v>1.0</v>
      </c>
      <c r="I177" s="20">
        <v>3567.69</v>
      </c>
      <c r="J177" s="20">
        <v>3567.69</v>
      </c>
      <c r="BO177" s="20">
        <v>3567.69</v>
      </c>
      <c r="BR177" s="20">
        <v>3567.69</v>
      </c>
      <c r="BU177" s="11" t="s">
        <v>187</v>
      </c>
    </row>
    <row r="178">
      <c r="A178" s="11" t="s">
        <v>694</v>
      </c>
      <c r="B178" s="11" t="s">
        <v>78</v>
      </c>
      <c r="C178" s="23">
        <v>45748.0</v>
      </c>
      <c r="F178" s="11" t="s">
        <v>687</v>
      </c>
      <c r="G178" s="11" t="s">
        <v>376</v>
      </c>
      <c r="H178" s="11">
        <v>1.0</v>
      </c>
      <c r="I178" s="20">
        <v>289.5</v>
      </c>
      <c r="J178" s="20">
        <v>289.5</v>
      </c>
      <c r="BO178" s="20">
        <v>289.5</v>
      </c>
      <c r="BR178" s="20">
        <v>289.5</v>
      </c>
      <c r="BU178" s="11" t="s">
        <v>187</v>
      </c>
      <c r="BV178" s="11" t="s">
        <v>704</v>
      </c>
    </row>
    <row r="179">
      <c r="A179" s="11" t="s">
        <v>1010</v>
      </c>
      <c r="B179" s="11" t="s">
        <v>78</v>
      </c>
      <c r="C179" s="23">
        <v>45748.0</v>
      </c>
      <c r="D179" s="11" t="s">
        <v>415</v>
      </c>
      <c r="F179" s="11" t="s">
        <v>1015</v>
      </c>
      <c r="G179" s="11" t="s">
        <v>1017</v>
      </c>
      <c r="H179" s="11">
        <v>1.0</v>
      </c>
      <c r="I179" s="20">
        <v>22.0</v>
      </c>
      <c r="J179" s="20">
        <v>22.0</v>
      </c>
      <c r="BO179" s="20">
        <v>22.0</v>
      </c>
      <c r="BR179" s="20">
        <v>22.0</v>
      </c>
      <c r="BU179" s="11" t="s">
        <v>187</v>
      </c>
    </row>
    <row r="180">
      <c r="A180" s="11" t="s">
        <v>1020</v>
      </c>
      <c r="B180" s="11" t="s">
        <v>78</v>
      </c>
      <c r="C180" s="23">
        <v>45748.0</v>
      </c>
      <c r="D180" s="11" t="s">
        <v>415</v>
      </c>
      <c r="F180" s="11" t="s">
        <v>1022</v>
      </c>
      <c r="G180" s="11" t="s">
        <v>1023</v>
      </c>
      <c r="H180" s="11">
        <v>1.0</v>
      </c>
      <c r="I180" s="20">
        <v>10.0</v>
      </c>
      <c r="J180" s="20">
        <v>10.0</v>
      </c>
      <c r="BO180" s="20">
        <v>10.0</v>
      </c>
      <c r="BR180" s="20">
        <v>10.0</v>
      </c>
      <c r="BU180" s="11" t="s">
        <v>187</v>
      </c>
    </row>
    <row r="181">
      <c r="A181" s="11" t="s">
        <v>2005</v>
      </c>
      <c r="B181" s="11" t="s">
        <v>78</v>
      </c>
      <c r="C181" s="23">
        <v>45748.0</v>
      </c>
      <c r="F181" s="11" t="s">
        <v>1849</v>
      </c>
      <c r="G181" s="11" t="s">
        <v>376</v>
      </c>
      <c r="H181" s="11">
        <v>1.0</v>
      </c>
      <c r="I181" s="20">
        <v>2526.72</v>
      </c>
      <c r="J181" s="20">
        <v>2526.72</v>
      </c>
      <c r="BO181" s="20">
        <v>2526.72</v>
      </c>
      <c r="BR181" s="20">
        <v>2526.72</v>
      </c>
      <c r="BU181" s="11" t="s">
        <v>187</v>
      </c>
      <c r="BV181" s="11" t="s">
        <v>225</v>
      </c>
    </row>
    <row r="182">
      <c r="A182" s="11" t="s">
        <v>2015</v>
      </c>
      <c r="B182" s="11" t="s">
        <v>78</v>
      </c>
      <c r="C182" s="23">
        <v>45748.0</v>
      </c>
      <c r="D182" s="11" t="s">
        <v>1389</v>
      </c>
      <c r="F182" s="11" t="s">
        <v>1849</v>
      </c>
      <c r="G182" s="11" t="s">
        <v>1392</v>
      </c>
      <c r="H182" s="11">
        <v>1.0</v>
      </c>
      <c r="I182" s="20">
        <v>700.0</v>
      </c>
      <c r="J182" s="20">
        <v>700.0</v>
      </c>
      <c r="BO182" s="20">
        <v>700.0</v>
      </c>
      <c r="BR182" s="20">
        <v>700.0</v>
      </c>
      <c r="BU182" s="11" t="s">
        <v>187</v>
      </c>
    </row>
    <row r="183">
      <c r="A183" s="11" t="s">
        <v>2024</v>
      </c>
      <c r="B183" s="11" t="s">
        <v>78</v>
      </c>
      <c r="C183" s="23">
        <v>45748.0</v>
      </c>
      <c r="F183" s="11" t="s">
        <v>1849</v>
      </c>
      <c r="G183" s="11" t="s">
        <v>376</v>
      </c>
      <c r="H183" s="11">
        <v>1.0</v>
      </c>
      <c r="I183" s="20">
        <v>1078.79</v>
      </c>
      <c r="J183" s="20">
        <v>1078.79</v>
      </c>
      <c r="BO183" s="20">
        <v>1078.79</v>
      </c>
      <c r="BR183" s="20">
        <v>1078.79</v>
      </c>
      <c r="BU183" s="11" t="s">
        <v>187</v>
      </c>
      <c r="BV183" s="11" t="s">
        <v>126</v>
      </c>
    </row>
    <row r="184">
      <c r="A184" s="11" t="s">
        <v>2031</v>
      </c>
      <c r="B184" s="11" t="s">
        <v>78</v>
      </c>
      <c r="C184" s="23">
        <v>45748.0</v>
      </c>
      <c r="F184" s="11" t="s">
        <v>2035</v>
      </c>
      <c r="G184" s="11" t="s">
        <v>376</v>
      </c>
      <c r="H184" s="11">
        <v>1.0</v>
      </c>
      <c r="I184" s="20">
        <v>1515.71</v>
      </c>
      <c r="J184" s="20">
        <v>1515.71</v>
      </c>
      <c r="BO184" s="20">
        <v>1515.71</v>
      </c>
      <c r="BR184" s="20">
        <v>1515.71</v>
      </c>
      <c r="BU184" s="11" t="s">
        <v>187</v>
      </c>
      <c r="BV184" s="11" t="s">
        <v>113</v>
      </c>
    </row>
    <row r="185">
      <c r="A185" s="11" t="s">
        <v>2044</v>
      </c>
      <c r="B185" s="11" t="s">
        <v>78</v>
      </c>
      <c r="C185" s="23">
        <v>45748.0</v>
      </c>
      <c r="F185" s="11" t="s">
        <v>1849</v>
      </c>
      <c r="G185" s="11" t="s">
        <v>376</v>
      </c>
      <c r="H185" s="11">
        <v>1.0</v>
      </c>
      <c r="I185" s="20">
        <v>619.6</v>
      </c>
      <c r="J185" s="20">
        <v>619.6</v>
      </c>
      <c r="BO185" s="20">
        <v>619.6</v>
      </c>
      <c r="BR185" s="20">
        <v>619.6</v>
      </c>
      <c r="BU185" s="11" t="s">
        <v>187</v>
      </c>
      <c r="BV185" s="11" t="s">
        <v>2055</v>
      </c>
    </row>
    <row r="186">
      <c r="A186" s="11" t="s">
        <v>2056</v>
      </c>
      <c r="B186" s="11" t="s">
        <v>78</v>
      </c>
      <c r="C186" s="23">
        <v>45748.0</v>
      </c>
      <c r="D186" s="11" t="s">
        <v>415</v>
      </c>
      <c r="F186" s="11" t="s">
        <v>2061</v>
      </c>
      <c r="G186" s="11" t="s">
        <v>2062</v>
      </c>
      <c r="H186" s="11">
        <v>1.0</v>
      </c>
      <c r="I186" s="20">
        <v>685.0</v>
      </c>
      <c r="J186" s="20">
        <v>685.0</v>
      </c>
      <c r="BO186" s="20">
        <v>685.0</v>
      </c>
      <c r="BR186" s="20">
        <v>685.0</v>
      </c>
      <c r="BU186" s="11" t="s">
        <v>187</v>
      </c>
    </row>
    <row r="187">
      <c r="A187" s="11" t="s">
        <v>2070</v>
      </c>
      <c r="B187" s="11" t="s">
        <v>78</v>
      </c>
      <c r="C187" s="23">
        <v>45748.0</v>
      </c>
      <c r="D187" s="11" t="s">
        <v>415</v>
      </c>
      <c r="F187" s="11" t="s">
        <v>2076</v>
      </c>
      <c r="G187" s="11" t="s">
        <v>2077</v>
      </c>
      <c r="H187" s="11">
        <v>1.0</v>
      </c>
      <c r="I187" s="20">
        <v>792.0</v>
      </c>
      <c r="J187" s="20">
        <v>792.0</v>
      </c>
      <c r="BO187" s="20">
        <v>792.0</v>
      </c>
      <c r="BR187" s="20">
        <v>792.0</v>
      </c>
      <c r="BU187" s="11" t="s">
        <v>187</v>
      </c>
    </row>
    <row r="188">
      <c r="A188" s="11" t="s">
        <v>2085</v>
      </c>
      <c r="B188" s="11" t="s">
        <v>78</v>
      </c>
      <c r="C188" s="23">
        <v>45753.0</v>
      </c>
      <c r="F188" s="11" t="s">
        <v>2088</v>
      </c>
      <c r="G188" s="11" t="s">
        <v>1114</v>
      </c>
      <c r="H188" s="11">
        <v>1.0</v>
      </c>
      <c r="I188" s="20">
        <v>10000.0</v>
      </c>
      <c r="J188" s="20">
        <v>10000.0</v>
      </c>
      <c r="BO188" s="20">
        <v>10000.0</v>
      </c>
      <c r="BR188" s="20">
        <v>10000.0</v>
      </c>
      <c r="BU188" s="11" t="s">
        <v>187</v>
      </c>
      <c r="BV188" s="11" t="s">
        <v>685</v>
      </c>
    </row>
    <row r="189">
      <c r="A189" s="11" t="s">
        <v>2097</v>
      </c>
      <c r="B189" s="11" t="s">
        <v>78</v>
      </c>
      <c r="C189" s="23">
        <v>45753.0</v>
      </c>
      <c r="F189" s="11" t="s">
        <v>2088</v>
      </c>
      <c r="G189" s="11" t="s">
        <v>1114</v>
      </c>
      <c r="H189" s="11">
        <v>1.0</v>
      </c>
      <c r="I189" s="20">
        <v>10000.0</v>
      </c>
      <c r="J189" s="20">
        <v>10000.0</v>
      </c>
      <c r="BO189" s="20">
        <v>10000.0</v>
      </c>
      <c r="BR189" s="20">
        <v>10000.0</v>
      </c>
      <c r="BU189" s="11" t="s">
        <v>187</v>
      </c>
      <c r="BV189" s="11" t="s">
        <v>704</v>
      </c>
    </row>
    <row r="190">
      <c r="A190" s="11" t="s">
        <v>2110</v>
      </c>
      <c r="B190" s="11" t="s">
        <v>78</v>
      </c>
      <c r="C190" s="23">
        <v>45753.0</v>
      </c>
      <c r="F190" s="11" t="s">
        <v>2088</v>
      </c>
      <c r="G190" s="11" t="s">
        <v>1114</v>
      </c>
      <c r="H190" s="11">
        <v>1.0</v>
      </c>
      <c r="I190" s="20">
        <v>10000.0</v>
      </c>
      <c r="J190" s="20">
        <v>10000.0</v>
      </c>
      <c r="BO190" s="20">
        <v>10000.0</v>
      </c>
      <c r="BR190" s="20">
        <v>10000.0</v>
      </c>
      <c r="BU190" s="11" t="s">
        <v>187</v>
      </c>
      <c r="BV190" s="11" t="s">
        <v>1850</v>
      </c>
    </row>
    <row r="191">
      <c r="A191" s="11" t="s">
        <v>2119</v>
      </c>
      <c r="B191" s="11" t="s">
        <v>78</v>
      </c>
      <c r="C191" s="23">
        <v>45754.0</v>
      </c>
      <c r="D191" s="11" t="s">
        <v>799</v>
      </c>
      <c r="F191" s="11" t="s">
        <v>2122</v>
      </c>
      <c r="G191" s="11" t="s">
        <v>219</v>
      </c>
      <c r="H191" s="11">
        <v>1.0</v>
      </c>
      <c r="I191" s="20">
        <v>367.4</v>
      </c>
      <c r="J191" s="20">
        <v>367.4</v>
      </c>
      <c r="BO191" s="20">
        <v>367.4</v>
      </c>
      <c r="BR191" s="20">
        <v>367.4</v>
      </c>
      <c r="BU191" s="11" t="s">
        <v>187</v>
      </c>
    </row>
    <row r="192">
      <c r="A192" s="11" t="s">
        <v>2130</v>
      </c>
      <c r="B192" s="11" t="s">
        <v>78</v>
      </c>
      <c r="C192" s="23">
        <v>45755.0</v>
      </c>
      <c r="D192" s="11" t="s">
        <v>404</v>
      </c>
      <c r="F192" s="11" t="s">
        <v>2133</v>
      </c>
      <c r="G192" s="11" t="s">
        <v>406</v>
      </c>
      <c r="H192" s="11">
        <v>1.0</v>
      </c>
      <c r="I192" s="20">
        <v>400.0</v>
      </c>
      <c r="J192" s="20">
        <v>400.0</v>
      </c>
      <c r="BO192" s="20">
        <v>400.0</v>
      </c>
      <c r="BR192" s="20">
        <v>400.0</v>
      </c>
      <c r="BU192" s="11" t="s">
        <v>187</v>
      </c>
    </row>
    <row r="193">
      <c r="A193" s="11" t="s">
        <v>2140</v>
      </c>
      <c r="B193" s="11" t="s">
        <v>78</v>
      </c>
      <c r="C193" s="23">
        <v>45755.0</v>
      </c>
      <c r="D193" s="11" t="s">
        <v>404</v>
      </c>
      <c r="F193" s="11" t="s">
        <v>2145</v>
      </c>
      <c r="G193" s="11" t="s">
        <v>2146</v>
      </c>
      <c r="H193" s="11">
        <v>1.0</v>
      </c>
      <c r="I193" s="20">
        <v>419.0</v>
      </c>
      <c r="J193" s="20">
        <v>419.0</v>
      </c>
      <c r="BO193" s="20">
        <v>419.0</v>
      </c>
      <c r="BR193" s="20">
        <v>419.0</v>
      </c>
      <c r="BU193" s="11" t="s">
        <v>187</v>
      </c>
    </row>
    <row r="194">
      <c r="A194" s="11" t="s">
        <v>1436</v>
      </c>
      <c r="B194" s="11" t="s">
        <v>78</v>
      </c>
      <c r="C194" s="23">
        <v>45754.0</v>
      </c>
      <c r="D194" s="11" t="s">
        <v>176</v>
      </c>
      <c r="F194" s="11" t="s">
        <v>1440</v>
      </c>
      <c r="G194" s="11" t="s">
        <v>179</v>
      </c>
      <c r="H194" s="11">
        <v>1.0</v>
      </c>
      <c r="I194" s="20">
        <v>500.0</v>
      </c>
      <c r="J194" s="20">
        <v>500.0</v>
      </c>
      <c r="BO194" s="20">
        <v>500.0</v>
      </c>
      <c r="BR194" s="20">
        <v>500.0</v>
      </c>
      <c r="BU194" s="11" t="s">
        <v>187</v>
      </c>
    </row>
    <row r="195">
      <c r="A195" s="11" t="s">
        <v>2159</v>
      </c>
      <c r="B195" s="11" t="s">
        <v>78</v>
      </c>
      <c r="C195" s="23">
        <v>45754.0</v>
      </c>
      <c r="D195" s="20">
        <v>3.6037127E7</v>
      </c>
      <c r="F195" s="11" t="s">
        <v>2162</v>
      </c>
      <c r="G195" s="11" t="s">
        <v>1726</v>
      </c>
      <c r="H195" s="11">
        <v>1.0</v>
      </c>
      <c r="I195" s="20">
        <v>120.0</v>
      </c>
      <c r="J195" s="20">
        <v>120.0</v>
      </c>
      <c r="BO195" s="20">
        <v>120.0</v>
      </c>
      <c r="BR195" s="20">
        <v>120.0</v>
      </c>
      <c r="BU195" s="11" t="s">
        <v>187</v>
      </c>
    </row>
    <row r="196">
      <c r="A196" s="11" t="s">
        <v>2168</v>
      </c>
      <c r="B196" s="11" t="s">
        <v>78</v>
      </c>
      <c r="C196" s="23">
        <v>45758.0</v>
      </c>
      <c r="D196" s="11" t="s">
        <v>2171</v>
      </c>
      <c r="F196" s="11" t="s">
        <v>2174</v>
      </c>
      <c r="G196" s="11" t="s">
        <v>2175</v>
      </c>
      <c r="H196" s="11">
        <v>1.0</v>
      </c>
      <c r="I196" s="20">
        <v>31.8</v>
      </c>
      <c r="J196" s="20">
        <v>31.8</v>
      </c>
      <c r="BO196" s="20">
        <v>31.8</v>
      </c>
      <c r="BR196" s="20">
        <v>31.8</v>
      </c>
      <c r="BU196" s="11" t="s">
        <v>187</v>
      </c>
    </row>
    <row r="197">
      <c r="A197" s="11" t="s">
        <v>971</v>
      </c>
      <c r="B197" s="11" t="s">
        <v>78</v>
      </c>
      <c r="C197" s="23">
        <v>45761.0</v>
      </c>
      <c r="D197" s="11" t="s">
        <v>547</v>
      </c>
      <c r="F197" s="11" t="s">
        <v>973</v>
      </c>
      <c r="G197" s="11" t="s">
        <v>975</v>
      </c>
      <c r="H197" s="11">
        <v>1.0</v>
      </c>
      <c r="I197" s="20">
        <v>1045.0</v>
      </c>
      <c r="J197" s="20">
        <v>1045.0</v>
      </c>
      <c r="BO197" s="20">
        <v>1045.0</v>
      </c>
      <c r="BR197" s="20">
        <v>1045.0</v>
      </c>
      <c r="BU197" s="11" t="s">
        <v>187</v>
      </c>
    </row>
    <row r="198">
      <c r="A198" s="11" t="s">
        <v>960</v>
      </c>
      <c r="B198" s="11" t="s">
        <v>78</v>
      </c>
      <c r="C198" s="23">
        <v>45761.0</v>
      </c>
      <c r="D198" s="11" t="s">
        <v>547</v>
      </c>
      <c r="F198" s="11" t="s">
        <v>964</v>
      </c>
      <c r="G198" s="11" t="s">
        <v>648</v>
      </c>
      <c r="H198" s="11">
        <v>1.0</v>
      </c>
      <c r="I198" s="20">
        <v>625.0</v>
      </c>
      <c r="J198" s="20">
        <v>625.0</v>
      </c>
      <c r="BO198" s="20">
        <v>625.0</v>
      </c>
      <c r="BR198" s="20">
        <v>625.0</v>
      </c>
      <c r="BU198" s="11" t="s">
        <v>187</v>
      </c>
    </row>
    <row r="199">
      <c r="A199" s="11" t="s">
        <v>950</v>
      </c>
      <c r="B199" s="11" t="s">
        <v>78</v>
      </c>
      <c r="C199" s="23">
        <v>45761.0</v>
      </c>
      <c r="D199" s="11" t="s">
        <v>547</v>
      </c>
      <c r="F199" s="11" t="s">
        <v>955</v>
      </c>
      <c r="G199" s="11" t="s">
        <v>957</v>
      </c>
      <c r="H199" s="11">
        <v>1.0</v>
      </c>
      <c r="I199" s="20">
        <v>375.0</v>
      </c>
      <c r="J199" s="20">
        <v>375.0</v>
      </c>
      <c r="BO199" s="20">
        <v>375.0</v>
      </c>
      <c r="BR199" s="20">
        <v>375.0</v>
      </c>
      <c r="BU199" s="11" t="s">
        <v>187</v>
      </c>
    </row>
    <row r="200">
      <c r="A200" s="11" t="s">
        <v>1207</v>
      </c>
      <c r="B200" s="11" t="s">
        <v>78</v>
      </c>
      <c r="C200" s="23">
        <v>45761.0</v>
      </c>
      <c r="D200" s="11" t="s">
        <v>192</v>
      </c>
      <c r="F200" s="11" t="s">
        <v>195</v>
      </c>
      <c r="G200" s="11" t="s">
        <v>196</v>
      </c>
      <c r="H200" s="11">
        <v>1.0</v>
      </c>
      <c r="I200" s="20">
        <v>2500.0</v>
      </c>
      <c r="J200" s="20">
        <v>2500.0</v>
      </c>
      <c r="BO200" s="20">
        <v>2500.0</v>
      </c>
      <c r="BR200" s="20">
        <v>2500.0</v>
      </c>
      <c r="BU200" s="11" t="s">
        <v>187</v>
      </c>
    </row>
    <row r="201">
      <c r="A201" s="11" t="s">
        <v>1214</v>
      </c>
      <c r="B201" s="11" t="s">
        <v>78</v>
      </c>
      <c r="C201" s="23">
        <v>45761.0</v>
      </c>
      <c r="D201" s="11" t="s">
        <v>1217</v>
      </c>
      <c r="F201" s="11" t="s">
        <v>1218</v>
      </c>
      <c r="G201" s="11" t="s">
        <v>502</v>
      </c>
      <c r="H201" s="11">
        <v>1.0</v>
      </c>
      <c r="I201" s="20">
        <v>119.0</v>
      </c>
      <c r="J201" s="20">
        <v>119.0</v>
      </c>
      <c r="BO201" s="20">
        <v>119.0</v>
      </c>
      <c r="BR201" s="20">
        <v>119.0</v>
      </c>
      <c r="BU201" s="11" t="s">
        <v>187</v>
      </c>
    </row>
    <row r="202">
      <c r="A202" s="11" t="s">
        <v>1493</v>
      </c>
      <c r="B202" s="11" t="s">
        <v>78</v>
      </c>
      <c r="C202" s="23">
        <v>45761.0</v>
      </c>
      <c r="D202" s="11" t="s">
        <v>415</v>
      </c>
      <c r="F202" s="11" t="s">
        <v>2236</v>
      </c>
      <c r="G202" s="11" t="s">
        <v>1497</v>
      </c>
      <c r="H202" s="11">
        <v>1.0</v>
      </c>
      <c r="I202" s="20">
        <v>253.0</v>
      </c>
      <c r="J202" s="20">
        <v>253.0</v>
      </c>
      <c r="BO202" s="20">
        <v>253.0</v>
      </c>
      <c r="BR202" s="20">
        <v>253.0</v>
      </c>
      <c r="BU202" s="11" t="s">
        <v>187</v>
      </c>
    </row>
    <row r="203">
      <c r="A203" s="11" t="s">
        <v>1554</v>
      </c>
      <c r="B203" s="11" t="s">
        <v>78</v>
      </c>
      <c r="C203" s="23">
        <v>45769.0</v>
      </c>
      <c r="D203" s="11" t="s">
        <v>1046</v>
      </c>
      <c r="F203" s="11" t="s">
        <v>1557</v>
      </c>
      <c r="G203" s="11" t="s">
        <v>1049</v>
      </c>
      <c r="H203" s="11">
        <v>1.0</v>
      </c>
      <c r="I203" s="20">
        <v>12518.53</v>
      </c>
      <c r="J203" s="20">
        <v>12518.53</v>
      </c>
      <c r="BO203" s="20">
        <v>12518.53</v>
      </c>
      <c r="BR203" s="20">
        <v>12518.53</v>
      </c>
      <c r="BU203" s="11" t="s">
        <v>187</v>
      </c>
    </row>
    <row r="204">
      <c r="A204" s="11" t="s">
        <v>2248</v>
      </c>
      <c r="B204" s="11" t="s">
        <v>78</v>
      </c>
      <c r="C204" s="23">
        <v>45771.0</v>
      </c>
      <c r="D204" s="11" t="s">
        <v>2251</v>
      </c>
      <c r="F204" s="11" t="s">
        <v>2252</v>
      </c>
      <c r="G204" s="11" t="s">
        <v>2254</v>
      </c>
      <c r="H204" s="11">
        <v>1.0</v>
      </c>
      <c r="I204" s="20">
        <v>474.81</v>
      </c>
      <c r="J204" s="20">
        <v>474.81</v>
      </c>
      <c r="BO204" s="20">
        <v>474.81</v>
      </c>
      <c r="BR204" s="20">
        <v>474.81</v>
      </c>
      <c r="BU204" s="11" t="s">
        <v>187</v>
      </c>
    </row>
    <row r="205">
      <c r="A205" s="11" t="s">
        <v>2261</v>
      </c>
      <c r="B205" s="11" t="s">
        <v>78</v>
      </c>
      <c r="C205" s="23">
        <v>45771.0</v>
      </c>
      <c r="D205" s="11" t="s">
        <v>2263</v>
      </c>
      <c r="F205" s="11" t="s">
        <v>2265</v>
      </c>
      <c r="G205" s="11" t="s">
        <v>386</v>
      </c>
      <c r="H205" s="11">
        <v>1.0</v>
      </c>
      <c r="I205" s="20">
        <v>1200.0</v>
      </c>
      <c r="J205" s="20">
        <v>1200.0</v>
      </c>
      <c r="BO205" s="20">
        <v>1200.0</v>
      </c>
      <c r="BR205" s="20">
        <v>1200.0</v>
      </c>
      <c r="BU205" s="11" t="s">
        <v>187</v>
      </c>
    </row>
    <row r="206">
      <c r="A206" s="11" t="s">
        <v>929</v>
      </c>
      <c r="B206" s="11" t="s">
        <v>78</v>
      </c>
      <c r="C206" s="23">
        <v>45771.0</v>
      </c>
      <c r="D206" s="11" t="s">
        <v>644</v>
      </c>
      <c r="F206" s="11" t="s">
        <v>646</v>
      </c>
      <c r="G206" s="11" t="s">
        <v>648</v>
      </c>
      <c r="H206" s="11">
        <v>1.0</v>
      </c>
      <c r="I206" s="20">
        <v>400.0</v>
      </c>
      <c r="J206" s="20">
        <v>400.0</v>
      </c>
      <c r="BO206" s="20">
        <v>400.0</v>
      </c>
      <c r="BR206" s="20">
        <v>400.0</v>
      </c>
      <c r="BU206" s="11" t="s">
        <v>187</v>
      </c>
    </row>
    <row r="207">
      <c r="A207" s="11" t="s">
        <v>2281</v>
      </c>
      <c r="B207" s="11" t="s">
        <v>78</v>
      </c>
      <c r="C207" s="23">
        <v>45773.0</v>
      </c>
      <c r="F207" s="11" t="s">
        <v>783</v>
      </c>
      <c r="G207" s="11" t="s">
        <v>350</v>
      </c>
      <c r="H207" s="11">
        <v>1.0</v>
      </c>
      <c r="I207" s="20">
        <v>500.0</v>
      </c>
      <c r="J207" s="20">
        <v>500.0</v>
      </c>
      <c r="BO207" s="20">
        <v>500.0</v>
      </c>
      <c r="BR207" s="20">
        <v>500.0</v>
      </c>
      <c r="BU207" s="11" t="s">
        <v>187</v>
      </c>
      <c r="BV207" s="11" t="s">
        <v>126</v>
      </c>
    </row>
    <row r="208">
      <c r="A208" s="11" t="s">
        <v>2294</v>
      </c>
      <c r="B208" s="11" t="s">
        <v>78</v>
      </c>
      <c r="C208" s="23">
        <v>45774.0</v>
      </c>
      <c r="F208" s="11" t="s">
        <v>619</v>
      </c>
      <c r="G208" s="11" t="s">
        <v>621</v>
      </c>
      <c r="H208" s="11">
        <v>1.0</v>
      </c>
      <c r="I208" s="20">
        <v>100.0</v>
      </c>
      <c r="J208" s="20">
        <v>100.0</v>
      </c>
      <c r="BO208" s="20">
        <v>100.0</v>
      </c>
      <c r="BR208" s="20">
        <v>100.0</v>
      </c>
      <c r="BU208" s="11" t="s">
        <v>187</v>
      </c>
      <c r="BV208" s="11" t="s">
        <v>877</v>
      </c>
    </row>
    <row r="209">
      <c r="A209" s="11" t="s">
        <v>686</v>
      </c>
      <c r="B209" s="11" t="s">
        <v>78</v>
      </c>
      <c r="C209" s="23">
        <v>45775.0</v>
      </c>
      <c r="F209" s="11" t="s">
        <v>687</v>
      </c>
      <c r="G209" s="11" t="s">
        <v>376</v>
      </c>
      <c r="H209" s="11">
        <v>1.0</v>
      </c>
      <c r="I209" s="20">
        <v>289.5</v>
      </c>
      <c r="J209" s="20">
        <v>289.5</v>
      </c>
      <c r="BO209" s="20">
        <v>289.5</v>
      </c>
      <c r="BR209" s="20">
        <v>289.5</v>
      </c>
      <c r="BU209" s="11" t="s">
        <v>187</v>
      </c>
      <c r="BV209" s="20">
        <v>3.3095275E7</v>
      </c>
    </row>
    <row r="210">
      <c r="A210" s="11" t="s">
        <v>677</v>
      </c>
      <c r="B210" s="11" t="s">
        <v>78</v>
      </c>
      <c r="C210" s="23">
        <v>45775.0</v>
      </c>
      <c r="F210" s="11" t="s">
        <v>681</v>
      </c>
      <c r="G210" s="11" t="s">
        <v>376</v>
      </c>
      <c r="H210" s="11">
        <v>1.0</v>
      </c>
      <c r="I210" s="20">
        <v>3470.0</v>
      </c>
      <c r="J210" s="20">
        <v>3470.0</v>
      </c>
      <c r="BO210" s="20">
        <v>3470.0</v>
      </c>
      <c r="BR210" s="20">
        <v>3470.0</v>
      </c>
      <c r="BU210" s="11" t="s">
        <v>187</v>
      </c>
      <c r="BV210" s="11" t="s">
        <v>685</v>
      </c>
    </row>
    <row r="211">
      <c r="A211" s="11" t="s">
        <v>694</v>
      </c>
      <c r="B211" s="11" t="s">
        <v>78</v>
      </c>
      <c r="C211" s="23">
        <v>45775.0</v>
      </c>
      <c r="F211" s="11" t="s">
        <v>687</v>
      </c>
      <c r="G211" s="11" t="s">
        <v>376</v>
      </c>
      <c r="H211" s="11">
        <v>1.0</v>
      </c>
      <c r="I211" s="20">
        <v>289.5</v>
      </c>
      <c r="J211" s="20">
        <v>289.5</v>
      </c>
      <c r="BO211" s="20">
        <v>289.5</v>
      </c>
      <c r="BR211" s="20">
        <v>289.5</v>
      </c>
      <c r="BU211" s="11" t="s">
        <v>187</v>
      </c>
      <c r="BV211" s="11" t="s">
        <v>704</v>
      </c>
    </row>
    <row r="212">
      <c r="A212" s="11" t="s">
        <v>1010</v>
      </c>
      <c r="B212" s="11" t="s">
        <v>78</v>
      </c>
      <c r="C212" s="23">
        <v>45775.0</v>
      </c>
      <c r="D212" s="11" t="s">
        <v>415</v>
      </c>
      <c r="F212" s="11" t="s">
        <v>1015</v>
      </c>
      <c r="G212" s="11" t="s">
        <v>1017</v>
      </c>
      <c r="H212" s="11">
        <v>1.0</v>
      </c>
      <c r="I212" s="20">
        <v>22.0</v>
      </c>
      <c r="J212" s="20">
        <v>22.0</v>
      </c>
      <c r="BO212" s="20">
        <v>22.0</v>
      </c>
      <c r="BR212" s="20">
        <v>22.0</v>
      </c>
      <c r="BU212" s="11" t="s">
        <v>187</v>
      </c>
    </row>
    <row r="213">
      <c r="A213" s="11" t="s">
        <v>1020</v>
      </c>
      <c r="B213" s="11" t="s">
        <v>78</v>
      </c>
      <c r="C213" s="23">
        <v>45775.0</v>
      </c>
      <c r="D213" s="11" t="s">
        <v>415</v>
      </c>
      <c r="F213" s="11" t="s">
        <v>1022</v>
      </c>
      <c r="G213" s="11" t="s">
        <v>1023</v>
      </c>
      <c r="H213" s="11">
        <v>1.0</v>
      </c>
      <c r="I213" s="20">
        <v>10.0</v>
      </c>
      <c r="J213" s="20">
        <v>10.0</v>
      </c>
      <c r="BO213" s="20">
        <v>10.0</v>
      </c>
      <c r="BR213" s="20">
        <v>10.0</v>
      </c>
      <c r="BU213" s="11" t="s">
        <v>187</v>
      </c>
    </row>
    <row r="214">
      <c r="A214" s="11" t="s">
        <v>2353</v>
      </c>
      <c r="B214" s="11" t="s">
        <v>78</v>
      </c>
      <c r="C214" s="23">
        <v>45777.0</v>
      </c>
      <c r="D214" s="11" t="s">
        <v>2355</v>
      </c>
      <c r="F214" s="11" t="s">
        <v>2358</v>
      </c>
      <c r="G214" s="11" t="s">
        <v>406</v>
      </c>
      <c r="H214" s="11">
        <v>1.0</v>
      </c>
      <c r="I214" s="20">
        <v>1400.0</v>
      </c>
      <c r="J214" s="20">
        <v>1400.0</v>
      </c>
      <c r="BO214" s="20">
        <v>1400.0</v>
      </c>
      <c r="BR214" s="20">
        <v>1400.0</v>
      </c>
      <c r="BU214" s="11" t="s">
        <v>235</v>
      </c>
    </row>
    <row r="215">
      <c r="A215" s="11" t="s">
        <v>1976</v>
      </c>
      <c r="B215" s="11" t="s">
        <v>78</v>
      </c>
      <c r="C215" s="23">
        <v>45777.0</v>
      </c>
      <c r="D215" s="11" t="s">
        <v>629</v>
      </c>
      <c r="F215" s="11" t="s">
        <v>633</v>
      </c>
      <c r="G215" s="11" t="s">
        <v>1870</v>
      </c>
      <c r="H215" s="11">
        <v>1.0</v>
      </c>
      <c r="I215" s="20">
        <v>2651.11</v>
      </c>
      <c r="J215" s="20">
        <v>2651.11</v>
      </c>
      <c r="BO215" s="20">
        <v>2651.11</v>
      </c>
      <c r="BR215" s="20">
        <v>2651.11</v>
      </c>
      <c r="BU215" s="11" t="s">
        <v>187</v>
      </c>
    </row>
    <row r="216">
      <c r="A216" s="11" t="s">
        <v>2378</v>
      </c>
      <c r="B216" s="11" t="s">
        <v>78</v>
      </c>
      <c r="C216" s="23">
        <v>45782.0</v>
      </c>
      <c r="D216" s="11" t="s">
        <v>1046</v>
      </c>
      <c r="F216" s="11" t="s">
        <v>2382</v>
      </c>
      <c r="G216" s="11" t="s">
        <v>1944</v>
      </c>
      <c r="H216" s="11">
        <v>1.0</v>
      </c>
      <c r="I216" s="20">
        <v>502.48</v>
      </c>
      <c r="J216" s="20">
        <v>502.48</v>
      </c>
      <c r="BO216" s="20">
        <v>502.48</v>
      </c>
      <c r="BR216" s="20">
        <v>502.48</v>
      </c>
      <c r="BU216" s="11" t="s">
        <v>187</v>
      </c>
    </row>
    <row r="217">
      <c r="A217" s="11" t="s">
        <v>2393</v>
      </c>
      <c r="B217" s="11" t="s">
        <v>78</v>
      </c>
      <c r="C217" s="23">
        <v>45782.0</v>
      </c>
      <c r="D217" s="11" t="s">
        <v>1046</v>
      </c>
      <c r="F217" s="11" t="s">
        <v>2397</v>
      </c>
      <c r="G217" s="11" t="s">
        <v>1944</v>
      </c>
      <c r="H217" s="11">
        <v>1.0</v>
      </c>
      <c r="I217" s="20">
        <v>652.83</v>
      </c>
      <c r="J217" s="20">
        <v>652.83</v>
      </c>
      <c r="BO217" s="20">
        <v>652.83</v>
      </c>
      <c r="BR217" s="20">
        <v>652.83</v>
      </c>
      <c r="BU217" s="11" t="s">
        <v>187</v>
      </c>
    </row>
    <row r="218">
      <c r="A218" s="11" t="s">
        <v>2405</v>
      </c>
      <c r="B218" s="11" t="s">
        <v>78</v>
      </c>
      <c r="C218" s="23">
        <v>45782.0</v>
      </c>
      <c r="D218" s="11" t="s">
        <v>1046</v>
      </c>
      <c r="F218" s="11" t="s">
        <v>2410</v>
      </c>
      <c r="G218" s="11" t="s">
        <v>1944</v>
      </c>
      <c r="H218" s="11">
        <v>1.0</v>
      </c>
      <c r="I218" s="20">
        <v>561.15</v>
      </c>
      <c r="J218" s="20">
        <v>561.15</v>
      </c>
      <c r="BO218" s="20">
        <v>561.15</v>
      </c>
      <c r="BR218" s="20">
        <v>561.15</v>
      </c>
      <c r="BU218" s="11" t="s">
        <v>187</v>
      </c>
    </row>
    <row r="219">
      <c r="A219" s="11" t="s">
        <v>2418</v>
      </c>
      <c r="B219" s="11" t="s">
        <v>78</v>
      </c>
      <c r="C219" s="23">
        <v>45782.0</v>
      </c>
      <c r="D219" s="11" t="s">
        <v>1046</v>
      </c>
      <c r="F219" s="23">
        <v>45717.0</v>
      </c>
      <c r="G219" s="11" t="s">
        <v>1944</v>
      </c>
      <c r="H219" s="11">
        <v>1.0</v>
      </c>
      <c r="I219" s="20">
        <v>888.11</v>
      </c>
      <c r="J219" s="20">
        <v>888.11</v>
      </c>
      <c r="BO219" s="20">
        <v>888.11</v>
      </c>
      <c r="BR219" s="20">
        <v>888.11</v>
      </c>
      <c r="BU219" s="11" t="s">
        <v>187</v>
      </c>
    </row>
    <row r="220">
      <c r="A220" s="11" t="s">
        <v>2431</v>
      </c>
      <c r="B220" s="11" t="s">
        <v>78</v>
      </c>
      <c r="C220" s="23">
        <v>45782.0</v>
      </c>
      <c r="D220" s="11" t="s">
        <v>1046</v>
      </c>
      <c r="F220" s="11" t="s">
        <v>2433</v>
      </c>
      <c r="G220" s="11" t="s">
        <v>1936</v>
      </c>
      <c r="H220" s="11">
        <v>1.0</v>
      </c>
      <c r="I220" s="20">
        <v>2636.05</v>
      </c>
      <c r="J220" s="20">
        <v>2636.05</v>
      </c>
      <c r="BO220" s="20">
        <v>2636.05</v>
      </c>
      <c r="BR220" s="20">
        <v>2636.05</v>
      </c>
      <c r="BU220" s="11" t="s">
        <v>187</v>
      </c>
    </row>
    <row r="221">
      <c r="A221" s="11" t="s">
        <v>2441</v>
      </c>
      <c r="B221" s="11" t="s">
        <v>78</v>
      </c>
      <c r="C221" s="23">
        <v>45783.0</v>
      </c>
      <c r="D221" s="11" t="s">
        <v>1279</v>
      </c>
      <c r="F221" s="11" t="s">
        <v>2446</v>
      </c>
      <c r="G221" s="11" t="s">
        <v>1694</v>
      </c>
      <c r="H221" s="11">
        <v>1.0</v>
      </c>
      <c r="I221" s="20">
        <v>120.0</v>
      </c>
      <c r="J221" s="20">
        <v>120.0</v>
      </c>
      <c r="BO221" s="20">
        <v>120.0</v>
      </c>
      <c r="BR221" s="20">
        <v>120.0</v>
      </c>
      <c r="BU221" s="11" t="s">
        <v>187</v>
      </c>
    </row>
    <row r="222">
      <c r="A222" s="11" t="s">
        <v>2455</v>
      </c>
      <c r="B222" s="11" t="s">
        <v>78</v>
      </c>
      <c r="C222" s="23">
        <v>45783.0</v>
      </c>
      <c r="D222" s="11" t="s">
        <v>2458</v>
      </c>
      <c r="F222" s="11" t="s">
        <v>2460</v>
      </c>
      <c r="G222" s="11" t="s">
        <v>1694</v>
      </c>
      <c r="H222" s="11">
        <v>1.0</v>
      </c>
      <c r="I222" s="20">
        <v>78.9</v>
      </c>
      <c r="J222" s="20">
        <v>78.9</v>
      </c>
      <c r="BO222" s="20">
        <v>78.9</v>
      </c>
      <c r="BR222" s="20">
        <v>78.9</v>
      </c>
      <c r="BU222" s="11" t="s">
        <v>187</v>
      </c>
    </row>
    <row r="223">
      <c r="A223" s="11" t="s">
        <v>2468</v>
      </c>
      <c r="B223" s="11" t="s">
        <v>78</v>
      </c>
      <c r="C223" s="23">
        <v>45782.0</v>
      </c>
      <c r="F223" s="11" t="s">
        <v>2088</v>
      </c>
      <c r="G223" s="11" t="s">
        <v>376</v>
      </c>
      <c r="H223" s="11">
        <v>1.0</v>
      </c>
      <c r="I223" s="20">
        <v>899.52</v>
      </c>
      <c r="J223" s="20">
        <v>899.52</v>
      </c>
      <c r="BO223" s="20">
        <v>899.52</v>
      </c>
      <c r="BR223" s="20">
        <v>899.52</v>
      </c>
      <c r="BU223" s="11" t="s">
        <v>187</v>
      </c>
      <c r="BV223" s="11" t="s">
        <v>126</v>
      </c>
    </row>
    <row r="224">
      <c r="A224" s="11" t="s">
        <v>2481</v>
      </c>
      <c r="B224" s="11" t="s">
        <v>78</v>
      </c>
      <c r="C224" s="23">
        <v>45783.0</v>
      </c>
      <c r="D224" s="11" t="s">
        <v>404</v>
      </c>
      <c r="F224" s="11" t="s">
        <v>2488</v>
      </c>
      <c r="G224" s="11" t="s">
        <v>1392</v>
      </c>
      <c r="H224" s="11">
        <v>1.0</v>
      </c>
      <c r="I224" s="20">
        <v>700.0</v>
      </c>
      <c r="J224" s="20">
        <v>700.0</v>
      </c>
      <c r="BO224" s="20">
        <v>700.0</v>
      </c>
      <c r="BR224" s="20">
        <v>700.0</v>
      </c>
      <c r="BU224" s="11" t="s">
        <v>187</v>
      </c>
    </row>
    <row r="225">
      <c r="A225" s="11" t="s">
        <v>1436</v>
      </c>
      <c r="B225" s="11" t="s">
        <v>78</v>
      </c>
      <c r="C225" s="23">
        <v>45784.0</v>
      </c>
      <c r="D225" s="11" t="s">
        <v>176</v>
      </c>
      <c r="F225" s="11" t="s">
        <v>1440</v>
      </c>
      <c r="G225" s="11" t="s">
        <v>179</v>
      </c>
      <c r="H225" s="11">
        <v>1.0</v>
      </c>
      <c r="I225" s="20">
        <v>500.0</v>
      </c>
      <c r="J225" s="20">
        <v>500.0</v>
      </c>
      <c r="BO225" s="20">
        <v>500.0</v>
      </c>
      <c r="BR225" s="20">
        <v>500.0</v>
      </c>
      <c r="BU225" s="11" t="s">
        <v>187</v>
      </c>
    </row>
    <row r="226">
      <c r="A226" s="11" t="s">
        <v>2506</v>
      </c>
      <c r="B226" s="11" t="s">
        <v>78</v>
      </c>
      <c r="C226" s="23">
        <v>45784.0</v>
      </c>
      <c r="D226" s="11" t="s">
        <v>2509</v>
      </c>
      <c r="F226" s="11" t="s">
        <v>2511</v>
      </c>
      <c r="G226" s="11" t="s">
        <v>1898</v>
      </c>
      <c r="H226" s="11">
        <v>1.0</v>
      </c>
      <c r="I226" s="20">
        <v>130.5</v>
      </c>
      <c r="J226" s="20">
        <v>130.5</v>
      </c>
      <c r="BO226" s="20">
        <v>130.5</v>
      </c>
      <c r="BR226" s="20">
        <v>130.5</v>
      </c>
      <c r="BU226" s="11" t="s">
        <v>187</v>
      </c>
    </row>
    <row r="227">
      <c r="A227" s="11" t="s">
        <v>2159</v>
      </c>
      <c r="B227" s="11" t="s">
        <v>78</v>
      </c>
      <c r="C227" s="23">
        <v>45784.0</v>
      </c>
      <c r="D227" s="20">
        <v>3.6037127E7</v>
      </c>
      <c r="F227" s="11" t="s">
        <v>2162</v>
      </c>
      <c r="G227" s="11" t="s">
        <v>1726</v>
      </c>
      <c r="H227" s="11">
        <v>1.0</v>
      </c>
      <c r="I227" s="20">
        <v>120.0</v>
      </c>
      <c r="J227" s="20">
        <v>120.0</v>
      </c>
      <c r="BO227" s="20">
        <v>120.0</v>
      </c>
      <c r="BR227" s="20">
        <v>120.0</v>
      </c>
      <c r="BU227" s="11" t="s">
        <v>187</v>
      </c>
    </row>
    <row r="228">
      <c r="A228" s="11" t="s">
        <v>2531</v>
      </c>
      <c r="B228" s="11" t="s">
        <v>78</v>
      </c>
      <c r="C228" s="23">
        <v>45784.0</v>
      </c>
      <c r="D228" s="11" t="s">
        <v>2535</v>
      </c>
      <c r="F228" s="11" t="s">
        <v>2537</v>
      </c>
      <c r="G228" s="11" t="s">
        <v>1906</v>
      </c>
      <c r="H228" s="11">
        <v>1.0</v>
      </c>
      <c r="I228" s="20">
        <v>60.3</v>
      </c>
      <c r="J228" s="20">
        <v>60.3</v>
      </c>
      <c r="BO228" s="20">
        <v>60.3</v>
      </c>
      <c r="BR228" s="20">
        <v>60.3</v>
      </c>
      <c r="BU228" s="11" t="s">
        <v>187</v>
      </c>
    </row>
    <row r="229">
      <c r="A229" s="11" t="s">
        <v>2546</v>
      </c>
      <c r="B229" s="11" t="s">
        <v>78</v>
      </c>
      <c r="C229" s="23">
        <v>45789.0</v>
      </c>
      <c r="D229" s="11" t="s">
        <v>2549</v>
      </c>
      <c r="F229" s="11" t="s">
        <v>2550</v>
      </c>
      <c r="G229" s="11" t="s">
        <v>2552</v>
      </c>
      <c r="H229" s="11">
        <v>1.0</v>
      </c>
      <c r="I229" s="20">
        <v>641.9</v>
      </c>
      <c r="J229" s="20">
        <v>641.9</v>
      </c>
      <c r="BO229" s="20">
        <v>641.9</v>
      </c>
      <c r="BR229" s="20">
        <v>641.9</v>
      </c>
      <c r="BU229" s="11" t="s">
        <v>187</v>
      </c>
    </row>
    <row r="230">
      <c r="A230" s="11" t="s">
        <v>1207</v>
      </c>
      <c r="B230" s="11" t="s">
        <v>78</v>
      </c>
      <c r="C230" s="23">
        <v>45789.0</v>
      </c>
      <c r="D230" s="11" t="s">
        <v>192</v>
      </c>
      <c r="F230" s="11" t="s">
        <v>195</v>
      </c>
      <c r="G230" s="11" t="s">
        <v>196</v>
      </c>
      <c r="H230" s="11">
        <v>1.0</v>
      </c>
      <c r="I230" s="20">
        <v>2500.0</v>
      </c>
      <c r="J230" s="20">
        <v>2500.0</v>
      </c>
      <c r="BO230" s="20">
        <v>2500.0</v>
      </c>
      <c r="BR230" s="20">
        <v>2500.0</v>
      </c>
      <c r="BU230" s="11" t="s">
        <v>187</v>
      </c>
    </row>
    <row r="231">
      <c r="A231" s="11" t="s">
        <v>1493</v>
      </c>
      <c r="B231" s="11" t="s">
        <v>78</v>
      </c>
      <c r="C231" s="23">
        <v>45789.0</v>
      </c>
      <c r="D231" s="11" t="s">
        <v>415</v>
      </c>
      <c r="F231" s="11" t="s">
        <v>2569</v>
      </c>
      <c r="G231" s="11" t="s">
        <v>1497</v>
      </c>
      <c r="H231" s="11">
        <v>1.0</v>
      </c>
      <c r="I231" s="20">
        <v>253.0</v>
      </c>
      <c r="J231" s="20">
        <v>253.0</v>
      </c>
      <c r="BO231" s="20">
        <v>253.0</v>
      </c>
      <c r="BR231" s="20">
        <v>253.0</v>
      </c>
      <c r="BU231" s="11" t="s">
        <v>187</v>
      </c>
    </row>
    <row r="232">
      <c r="A232" s="11" t="s">
        <v>1214</v>
      </c>
      <c r="B232" s="11" t="s">
        <v>78</v>
      </c>
      <c r="C232" s="23">
        <v>45789.0</v>
      </c>
      <c r="D232" s="11" t="s">
        <v>1217</v>
      </c>
      <c r="F232" s="11" t="s">
        <v>1218</v>
      </c>
      <c r="G232" s="11" t="s">
        <v>502</v>
      </c>
      <c r="H232" s="11">
        <v>1.0</v>
      </c>
      <c r="I232" s="20">
        <v>119.0</v>
      </c>
      <c r="J232" s="20">
        <v>119.0</v>
      </c>
      <c r="BO232" s="20">
        <v>119.0</v>
      </c>
      <c r="BR232" s="20">
        <v>119.0</v>
      </c>
      <c r="BU232" s="11" t="s">
        <v>187</v>
      </c>
    </row>
    <row r="233">
      <c r="A233" s="11" t="s">
        <v>950</v>
      </c>
      <c r="B233" s="11" t="s">
        <v>78</v>
      </c>
      <c r="C233" s="23">
        <v>45795.0</v>
      </c>
      <c r="D233" s="11" t="s">
        <v>547</v>
      </c>
      <c r="F233" s="11" t="s">
        <v>955</v>
      </c>
      <c r="G233" s="11" t="s">
        <v>957</v>
      </c>
      <c r="H233" s="11">
        <v>1.0</v>
      </c>
      <c r="I233" s="20">
        <v>375.0</v>
      </c>
      <c r="J233" s="20">
        <v>375.0</v>
      </c>
      <c r="BO233" s="20">
        <v>375.0</v>
      </c>
      <c r="BR233" s="20">
        <v>375.0</v>
      </c>
      <c r="BU233" s="11" t="s">
        <v>187</v>
      </c>
    </row>
    <row r="234">
      <c r="A234" s="11" t="s">
        <v>971</v>
      </c>
      <c r="B234" s="11" t="s">
        <v>78</v>
      </c>
      <c r="C234" s="23">
        <v>45795.0</v>
      </c>
      <c r="D234" s="11" t="s">
        <v>547</v>
      </c>
      <c r="F234" s="11" t="s">
        <v>973</v>
      </c>
      <c r="G234" s="11" t="s">
        <v>975</v>
      </c>
      <c r="H234" s="11">
        <v>1.0</v>
      </c>
      <c r="I234" s="20">
        <v>1045.0</v>
      </c>
      <c r="J234" s="20">
        <v>1045.0</v>
      </c>
      <c r="BO234" s="20">
        <v>1045.0</v>
      </c>
      <c r="BR234" s="20">
        <v>1045.0</v>
      </c>
      <c r="BU234" s="11" t="s">
        <v>187</v>
      </c>
    </row>
    <row r="235">
      <c r="A235" s="11" t="s">
        <v>960</v>
      </c>
      <c r="B235" s="11" t="s">
        <v>78</v>
      </c>
      <c r="C235" s="23">
        <v>45795.0</v>
      </c>
      <c r="D235" s="11" t="s">
        <v>547</v>
      </c>
      <c r="F235" s="11" t="s">
        <v>964</v>
      </c>
      <c r="G235" s="11" t="s">
        <v>648</v>
      </c>
      <c r="H235" s="11">
        <v>1.0</v>
      </c>
      <c r="I235" s="20">
        <v>625.0</v>
      </c>
      <c r="J235" s="20">
        <v>625.0</v>
      </c>
      <c r="BO235" s="20">
        <v>625.0</v>
      </c>
      <c r="BR235" s="20">
        <v>625.0</v>
      </c>
      <c r="BU235" s="11" t="s">
        <v>187</v>
      </c>
    </row>
    <row r="236">
      <c r="A236" s="11" t="s">
        <v>2619</v>
      </c>
      <c r="B236" s="11" t="s">
        <v>78</v>
      </c>
      <c r="C236" s="23">
        <v>45795.0</v>
      </c>
      <c r="D236" s="11" t="s">
        <v>2622</v>
      </c>
      <c r="F236" s="11" t="s">
        <v>2623</v>
      </c>
      <c r="G236" s="11" t="s">
        <v>648</v>
      </c>
      <c r="H236" s="11">
        <v>1.0</v>
      </c>
      <c r="I236" s="20">
        <v>30.0</v>
      </c>
      <c r="J236" s="20">
        <v>30.0</v>
      </c>
      <c r="BO236" s="20">
        <v>30.0</v>
      </c>
      <c r="BR236" s="20">
        <v>30.0</v>
      </c>
      <c r="BU236" s="11" t="s">
        <v>187</v>
      </c>
    </row>
    <row r="237">
      <c r="A237" s="11" t="s">
        <v>1554</v>
      </c>
      <c r="B237" s="11" t="s">
        <v>78</v>
      </c>
      <c r="C237" s="23">
        <v>45795.0</v>
      </c>
      <c r="D237" s="11" t="s">
        <v>1046</v>
      </c>
      <c r="F237" s="11" t="s">
        <v>1557</v>
      </c>
      <c r="G237" s="11" t="s">
        <v>1049</v>
      </c>
      <c r="H237" s="11">
        <v>1.0</v>
      </c>
      <c r="I237" s="20">
        <v>5743.43</v>
      </c>
      <c r="J237" s="20">
        <v>5743.43</v>
      </c>
      <c r="BO237" s="20">
        <v>5743.43</v>
      </c>
      <c r="BR237" s="20">
        <v>5743.43</v>
      </c>
      <c r="BU237" s="11" t="s">
        <v>187</v>
      </c>
    </row>
    <row r="238">
      <c r="A238" s="11" t="s">
        <v>2634</v>
      </c>
      <c r="B238" s="11" t="s">
        <v>78</v>
      </c>
      <c r="C238" s="23">
        <v>45795.0</v>
      </c>
      <c r="D238" s="11" t="s">
        <v>1046</v>
      </c>
      <c r="F238" s="11" t="s">
        <v>2638</v>
      </c>
      <c r="G238" s="11" t="s">
        <v>1944</v>
      </c>
      <c r="H238" s="11">
        <v>1.0</v>
      </c>
      <c r="I238" s="20">
        <v>698.34</v>
      </c>
      <c r="J238" s="20">
        <v>698.34</v>
      </c>
      <c r="BO238" s="20">
        <v>698.34</v>
      </c>
      <c r="BR238" s="20">
        <v>698.34</v>
      </c>
      <c r="BU238" s="11" t="s">
        <v>187</v>
      </c>
    </row>
    <row r="239">
      <c r="A239" s="11" t="s">
        <v>2646</v>
      </c>
      <c r="B239" s="11" t="s">
        <v>78</v>
      </c>
      <c r="C239" s="23">
        <v>45795.0</v>
      </c>
      <c r="D239" s="11" t="s">
        <v>1046</v>
      </c>
      <c r="F239" s="11" t="s">
        <v>2649</v>
      </c>
      <c r="G239" s="11" t="s">
        <v>1936</v>
      </c>
      <c r="H239" s="11">
        <v>1.0</v>
      </c>
      <c r="I239" s="20">
        <v>861.53</v>
      </c>
      <c r="J239" s="20">
        <v>861.53</v>
      </c>
      <c r="BO239" s="20">
        <v>861.53</v>
      </c>
      <c r="BR239" s="20">
        <v>861.53</v>
      </c>
      <c r="BU239" s="11" t="s">
        <v>187</v>
      </c>
    </row>
    <row r="240">
      <c r="A240" s="11" t="s">
        <v>929</v>
      </c>
      <c r="B240" s="11" t="s">
        <v>78</v>
      </c>
      <c r="C240" s="23">
        <v>45795.0</v>
      </c>
      <c r="D240" s="11" t="s">
        <v>644</v>
      </c>
      <c r="F240" s="11" t="s">
        <v>646</v>
      </c>
      <c r="G240" s="11" t="s">
        <v>648</v>
      </c>
      <c r="H240" s="11">
        <v>1.0</v>
      </c>
      <c r="I240" s="20">
        <v>400.0</v>
      </c>
      <c r="J240" s="20">
        <v>400.0</v>
      </c>
      <c r="BO240" s="20">
        <v>400.0</v>
      </c>
      <c r="BR240" s="20">
        <v>400.0</v>
      </c>
      <c r="BU240" s="11" t="s">
        <v>187</v>
      </c>
    </row>
    <row r="241">
      <c r="A241" s="11" t="s">
        <v>2663</v>
      </c>
      <c r="B241" s="11" t="s">
        <v>78</v>
      </c>
      <c r="C241" s="23">
        <v>45796.0</v>
      </c>
      <c r="D241" s="11" t="s">
        <v>2549</v>
      </c>
      <c r="F241" s="11" t="s">
        <v>2666</v>
      </c>
      <c r="G241" s="11" t="s">
        <v>2552</v>
      </c>
      <c r="H241" s="11">
        <v>1.0</v>
      </c>
      <c r="I241" s="20">
        <v>516.0</v>
      </c>
      <c r="J241" s="20">
        <v>516.0</v>
      </c>
      <c r="BO241" s="20">
        <v>516.0</v>
      </c>
      <c r="BR241" s="20">
        <v>516.0</v>
      </c>
      <c r="BU241" s="11" t="s">
        <v>187</v>
      </c>
    </row>
    <row r="242">
      <c r="A242" s="11" t="s">
        <v>677</v>
      </c>
      <c r="B242" s="11" t="s">
        <v>78</v>
      </c>
      <c r="C242" s="23">
        <v>45802.0</v>
      </c>
      <c r="F242" s="11" t="s">
        <v>681</v>
      </c>
      <c r="G242" s="11" t="s">
        <v>376</v>
      </c>
      <c r="H242" s="11">
        <v>1.0</v>
      </c>
      <c r="I242" s="20">
        <v>3470.0</v>
      </c>
      <c r="J242" s="20">
        <v>3470.0</v>
      </c>
      <c r="BO242" s="20">
        <v>3470.0</v>
      </c>
      <c r="BR242" s="20">
        <v>3470.0</v>
      </c>
      <c r="BU242" s="11" t="s">
        <v>187</v>
      </c>
      <c r="BV242" s="11" t="s">
        <v>685</v>
      </c>
    </row>
    <row r="243">
      <c r="A243" s="11" t="s">
        <v>686</v>
      </c>
      <c r="B243" s="11" t="s">
        <v>78</v>
      </c>
      <c r="C243" s="23">
        <v>45802.0</v>
      </c>
      <c r="F243" s="11" t="s">
        <v>687</v>
      </c>
      <c r="G243" s="11" t="s">
        <v>376</v>
      </c>
      <c r="H243" s="11">
        <v>1.0</v>
      </c>
      <c r="I243" s="20">
        <v>289.5</v>
      </c>
      <c r="J243" s="20">
        <v>289.5</v>
      </c>
      <c r="BO243" s="20">
        <v>289.5</v>
      </c>
      <c r="BR243" s="20">
        <v>289.5</v>
      </c>
      <c r="BU243" s="11" t="s">
        <v>187</v>
      </c>
      <c r="BV243" s="20">
        <v>3.3095275E7</v>
      </c>
    </row>
    <row r="244">
      <c r="A244" s="11" t="s">
        <v>694</v>
      </c>
      <c r="B244" s="11" t="s">
        <v>78</v>
      </c>
      <c r="C244" s="23">
        <v>45802.0</v>
      </c>
      <c r="F244" s="11" t="s">
        <v>687</v>
      </c>
      <c r="G244" s="11" t="s">
        <v>376</v>
      </c>
      <c r="H244" s="11">
        <v>1.0</v>
      </c>
      <c r="I244" s="20">
        <v>289.5</v>
      </c>
      <c r="J244" s="20">
        <v>289.5</v>
      </c>
      <c r="BO244" s="20">
        <v>289.5</v>
      </c>
      <c r="BR244" s="20">
        <v>289.5</v>
      </c>
      <c r="BU244" s="11" t="s">
        <v>187</v>
      </c>
      <c r="BV244" s="11" t="s">
        <v>704</v>
      </c>
    </row>
    <row r="245">
      <c r="A245" s="11" t="s">
        <v>1010</v>
      </c>
      <c r="B245" s="11" t="s">
        <v>78</v>
      </c>
      <c r="C245" s="23">
        <v>45802.0</v>
      </c>
      <c r="D245" s="11" t="s">
        <v>415</v>
      </c>
      <c r="F245" s="11" t="s">
        <v>1015</v>
      </c>
      <c r="G245" s="11" t="s">
        <v>1017</v>
      </c>
      <c r="H245" s="11">
        <v>1.0</v>
      </c>
      <c r="I245" s="20">
        <v>22.0</v>
      </c>
      <c r="J245" s="20">
        <v>22.0</v>
      </c>
      <c r="BO245" s="20">
        <v>22.0</v>
      </c>
      <c r="BR245" s="20">
        <v>22.0</v>
      </c>
      <c r="BU245" s="11" t="s">
        <v>187</v>
      </c>
    </row>
    <row r="246">
      <c r="A246" s="11" t="s">
        <v>1020</v>
      </c>
      <c r="B246" s="11" t="s">
        <v>78</v>
      </c>
      <c r="C246" s="23">
        <v>45802.0</v>
      </c>
      <c r="D246" s="11" t="s">
        <v>415</v>
      </c>
      <c r="F246" s="11" t="s">
        <v>1022</v>
      </c>
      <c r="G246" s="11" t="s">
        <v>1023</v>
      </c>
      <c r="H246" s="11">
        <v>1.0</v>
      </c>
      <c r="I246" s="20">
        <v>10.0</v>
      </c>
      <c r="J246" s="20">
        <v>10.0</v>
      </c>
      <c r="BO246" s="20">
        <v>10.0</v>
      </c>
      <c r="BR246" s="20">
        <v>10.0</v>
      </c>
      <c r="BU246" s="11" t="s">
        <v>187</v>
      </c>
    </row>
    <row r="247">
      <c r="A247" s="11" t="s">
        <v>1976</v>
      </c>
      <c r="B247" s="11" t="s">
        <v>78</v>
      </c>
      <c r="C247" s="23">
        <v>45802.0</v>
      </c>
      <c r="D247" s="11" t="s">
        <v>629</v>
      </c>
      <c r="F247" s="11" t="s">
        <v>633</v>
      </c>
      <c r="G247" s="11" t="s">
        <v>1870</v>
      </c>
      <c r="H247" s="11">
        <v>1.0</v>
      </c>
      <c r="I247" s="20">
        <v>2004.41</v>
      </c>
      <c r="J247" s="20">
        <v>2004.41</v>
      </c>
      <c r="BO247" s="20">
        <v>2004.41</v>
      </c>
      <c r="BR247" s="20">
        <v>2004.41</v>
      </c>
      <c r="BU247" s="11" t="s">
        <v>187</v>
      </c>
    </row>
    <row r="248">
      <c r="A248" s="11" t="s">
        <v>2731</v>
      </c>
      <c r="B248" s="11" t="s">
        <v>78</v>
      </c>
      <c r="C248" s="23">
        <v>45804.0</v>
      </c>
      <c r="F248" s="11" t="s">
        <v>783</v>
      </c>
      <c r="G248" s="11" t="s">
        <v>350</v>
      </c>
      <c r="H248" s="11">
        <v>1.0</v>
      </c>
      <c r="I248" s="20">
        <v>250.0</v>
      </c>
      <c r="J248" s="20">
        <v>250.0</v>
      </c>
      <c r="BO248" s="20">
        <v>250.0</v>
      </c>
      <c r="BR248" s="20">
        <v>250.0</v>
      </c>
      <c r="BU248" s="11" t="s">
        <v>187</v>
      </c>
      <c r="BV248" s="11" t="s">
        <v>2055</v>
      </c>
    </row>
    <row r="249">
      <c r="A249" s="11" t="s">
        <v>2619</v>
      </c>
      <c r="B249" s="11" t="s">
        <v>78</v>
      </c>
      <c r="C249" s="23">
        <v>45810.0</v>
      </c>
      <c r="D249" s="11" t="s">
        <v>2622</v>
      </c>
      <c r="F249" s="11" t="s">
        <v>2623</v>
      </c>
      <c r="G249" s="11" t="s">
        <v>648</v>
      </c>
      <c r="H249" s="11">
        <v>1.0</v>
      </c>
      <c r="I249" s="20">
        <v>30.0</v>
      </c>
      <c r="J249" s="20">
        <v>30.0</v>
      </c>
      <c r="BO249" s="20">
        <v>30.0</v>
      </c>
      <c r="BR249" s="20">
        <v>30.0</v>
      </c>
      <c r="BU249" s="11" t="s">
        <v>187</v>
      </c>
    </row>
    <row r="250">
      <c r="A250" s="11" t="s">
        <v>2755</v>
      </c>
      <c r="B250" s="11" t="s">
        <v>78</v>
      </c>
      <c r="C250" s="23">
        <v>45810.0</v>
      </c>
      <c r="D250" s="11" t="s">
        <v>605</v>
      </c>
      <c r="F250" s="11" t="s">
        <v>2759</v>
      </c>
      <c r="G250" s="11" t="s">
        <v>2761</v>
      </c>
      <c r="H250" s="11">
        <v>1.0</v>
      </c>
      <c r="I250" s="20">
        <v>1423.0</v>
      </c>
      <c r="J250" s="20">
        <v>1423.0</v>
      </c>
      <c r="BO250" s="20">
        <v>1423.0</v>
      </c>
      <c r="BR250" s="20">
        <v>1423.0</v>
      </c>
      <c r="BU250" s="11" t="s">
        <v>187</v>
      </c>
    </row>
    <row r="251">
      <c r="A251" s="11" t="s">
        <v>2767</v>
      </c>
      <c r="B251" s="11" t="s">
        <v>78</v>
      </c>
      <c r="C251" s="23">
        <v>45810.0</v>
      </c>
      <c r="D251" s="11" t="s">
        <v>415</v>
      </c>
      <c r="F251" s="11" t="s">
        <v>2770</v>
      </c>
      <c r="G251" s="11" t="s">
        <v>419</v>
      </c>
      <c r="H251" s="11">
        <v>1.0</v>
      </c>
      <c r="I251" s="20">
        <v>1895.0</v>
      </c>
      <c r="J251" s="20">
        <v>1895.0</v>
      </c>
      <c r="BO251" s="20">
        <v>1895.0</v>
      </c>
      <c r="BR251" s="20">
        <v>1895.0</v>
      </c>
      <c r="BU251" s="11" t="s">
        <v>187</v>
      </c>
    </row>
    <row r="252">
      <c r="A252" s="11" t="s">
        <v>2780</v>
      </c>
      <c r="B252" s="11" t="s">
        <v>78</v>
      </c>
      <c r="C252" s="23">
        <v>45803.0</v>
      </c>
      <c r="F252" s="11" t="s">
        <v>1666</v>
      </c>
      <c r="G252" s="11" t="s">
        <v>350</v>
      </c>
      <c r="H252" s="11">
        <v>1.0</v>
      </c>
      <c r="I252" s="20">
        <v>350.0</v>
      </c>
      <c r="J252" s="20">
        <v>350.0</v>
      </c>
      <c r="BO252" s="20">
        <v>350.0</v>
      </c>
      <c r="BR252" s="20">
        <v>350.0</v>
      </c>
      <c r="BU252" s="11" t="s">
        <v>187</v>
      </c>
      <c r="BV252" s="11" t="s">
        <v>113</v>
      </c>
    </row>
    <row r="253">
      <c r="A253" s="11" t="s">
        <v>2787</v>
      </c>
      <c r="B253" s="11" t="s">
        <v>78</v>
      </c>
      <c r="C253" s="23">
        <v>45834.0</v>
      </c>
      <c r="F253" s="11" t="s">
        <v>1666</v>
      </c>
      <c r="G253" s="11" t="s">
        <v>350</v>
      </c>
      <c r="H253" s="11">
        <v>1.0</v>
      </c>
      <c r="I253" s="20">
        <v>500.0</v>
      </c>
      <c r="J253" s="20">
        <v>500.0</v>
      </c>
      <c r="BO253" s="20">
        <v>500.0</v>
      </c>
      <c r="BR253" s="20">
        <v>500.0</v>
      </c>
      <c r="BU253" s="11" t="s">
        <v>187</v>
      </c>
      <c r="BV253" s="11" t="s">
        <v>126</v>
      </c>
    </row>
    <row r="254">
      <c r="A254" s="11" t="s">
        <v>2798</v>
      </c>
      <c r="B254" s="11" t="s">
        <v>78</v>
      </c>
      <c r="C254" s="23">
        <v>45817.0</v>
      </c>
      <c r="D254" s="11" t="s">
        <v>1676</v>
      </c>
      <c r="F254" s="11" t="s">
        <v>2802</v>
      </c>
      <c r="G254" s="11" t="s">
        <v>1902</v>
      </c>
      <c r="H254" s="11">
        <v>1.0</v>
      </c>
      <c r="I254" s="20">
        <v>853.22</v>
      </c>
      <c r="J254" s="20">
        <v>853.22</v>
      </c>
      <c r="BO254" s="20">
        <v>853.22</v>
      </c>
      <c r="BR254" s="20">
        <v>853.22</v>
      </c>
      <c r="BU254" s="11" t="s">
        <v>187</v>
      </c>
    </row>
    <row r="255">
      <c r="A255" s="11" t="s">
        <v>1436</v>
      </c>
      <c r="B255" s="11" t="s">
        <v>78</v>
      </c>
      <c r="C255" s="23">
        <v>45817.0</v>
      </c>
      <c r="D255" s="11" t="s">
        <v>176</v>
      </c>
      <c r="F255" s="11" t="s">
        <v>1440</v>
      </c>
      <c r="G255" s="11" t="s">
        <v>179</v>
      </c>
      <c r="H255" s="11">
        <v>1.0</v>
      </c>
      <c r="I255" s="20">
        <v>500.0</v>
      </c>
      <c r="J255" s="20">
        <v>500.0</v>
      </c>
      <c r="BO255" s="20">
        <v>500.0</v>
      </c>
      <c r="BR255" s="20">
        <v>500.0</v>
      </c>
      <c r="BU255" s="11" t="s">
        <v>187</v>
      </c>
    </row>
    <row r="256">
      <c r="A256" s="11" t="s">
        <v>2843</v>
      </c>
      <c r="B256" s="11" t="s">
        <v>78</v>
      </c>
      <c r="C256" s="23">
        <v>45817.0</v>
      </c>
      <c r="D256" s="11" t="s">
        <v>2509</v>
      </c>
      <c r="F256" s="11" t="s">
        <v>2638</v>
      </c>
      <c r="G256" s="11" t="s">
        <v>1898</v>
      </c>
      <c r="H256" s="11">
        <v>1.0</v>
      </c>
      <c r="I256" s="20">
        <v>130.5</v>
      </c>
      <c r="J256" s="20">
        <v>130.5</v>
      </c>
      <c r="BO256" s="20">
        <v>130.5</v>
      </c>
      <c r="BR256" s="20">
        <v>130.5</v>
      </c>
      <c r="BU256" s="11" t="s">
        <v>187</v>
      </c>
    </row>
    <row r="257">
      <c r="A257" s="11" t="s">
        <v>2159</v>
      </c>
      <c r="B257" s="11" t="s">
        <v>78</v>
      </c>
      <c r="C257" s="23">
        <v>45817.0</v>
      </c>
      <c r="D257" s="20">
        <v>3.6037127E7</v>
      </c>
      <c r="F257" s="11" t="s">
        <v>2162</v>
      </c>
      <c r="G257" s="11" t="s">
        <v>1726</v>
      </c>
      <c r="H257" s="11">
        <v>1.0</v>
      </c>
      <c r="I257" s="20">
        <v>120.0</v>
      </c>
      <c r="J257" s="20">
        <v>120.0</v>
      </c>
      <c r="BO257" s="20">
        <v>120.0</v>
      </c>
      <c r="BR257" s="20">
        <v>120.0</v>
      </c>
      <c r="BU257" s="11" t="s">
        <v>187</v>
      </c>
    </row>
    <row r="258">
      <c r="A258" s="11" t="s">
        <v>2870</v>
      </c>
      <c r="B258" s="11" t="s">
        <v>78</v>
      </c>
      <c r="C258" s="23">
        <v>45817.0</v>
      </c>
      <c r="D258" s="11" t="s">
        <v>2535</v>
      </c>
      <c r="F258" s="11" t="s">
        <v>2874</v>
      </c>
      <c r="G258" s="11" t="s">
        <v>1906</v>
      </c>
      <c r="H258" s="11">
        <v>1.0</v>
      </c>
      <c r="I258" s="20">
        <v>59.53</v>
      </c>
      <c r="J258" s="20">
        <v>59.53</v>
      </c>
      <c r="BO258" s="20">
        <v>59.53</v>
      </c>
      <c r="BR258" s="20">
        <v>59.53</v>
      </c>
      <c r="BU258" s="11" t="s">
        <v>187</v>
      </c>
    </row>
    <row r="259">
      <c r="A259" s="11" t="s">
        <v>1214</v>
      </c>
      <c r="B259" s="11" t="s">
        <v>78</v>
      </c>
      <c r="C259" s="23">
        <v>45817.0</v>
      </c>
      <c r="D259" s="11" t="s">
        <v>1217</v>
      </c>
      <c r="F259" s="11" t="s">
        <v>1218</v>
      </c>
      <c r="G259" s="11" t="s">
        <v>502</v>
      </c>
      <c r="H259" s="11">
        <v>1.0</v>
      </c>
      <c r="I259" s="20">
        <v>119.0</v>
      </c>
      <c r="J259" s="20">
        <v>119.0</v>
      </c>
      <c r="BO259" s="20">
        <v>119.0</v>
      </c>
      <c r="BR259" s="20">
        <v>119.0</v>
      </c>
      <c r="BU259" s="11" t="s">
        <v>187</v>
      </c>
    </row>
    <row r="260">
      <c r="A260" s="11" t="s">
        <v>1207</v>
      </c>
      <c r="B260" s="11" t="s">
        <v>78</v>
      </c>
      <c r="C260" s="23">
        <v>45817.0</v>
      </c>
      <c r="D260" s="11" t="s">
        <v>192</v>
      </c>
      <c r="F260" s="11" t="s">
        <v>195</v>
      </c>
      <c r="G260" s="11" t="s">
        <v>196</v>
      </c>
      <c r="H260" s="11">
        <v>1.0</v>
      </c>
      <c r="I260" s="20">
        <v>2500.0</v>
      </c>
      <c r="J260" s="20">
        <v>2500.0</v>
      </c>
      <c r="BO260" s="20">
        <v>2500.0</v>
      </c>
      <c r="BR260" s="20">
        <v>2500.0</v>
      </c>
      <c r="BU260" s="11" t="s">
        <v>187</v>
      </c>
    </row>
    <row r="261">
      <c r="A261" s="11" t="s">
        <v>1493</v>
      </c>
      <c r="B261" s="11" t="s">
        <v>78</v>
      </c>
      <c r="C261" s="23">
        <v>45817.0</v>
      </c>
      <c r="D261" s="11" t="s">
        <v>415</v>
      </c>
      <c r="F261" s="11" t="s">
        <v>2911</v>
      </c>
      <c r="G261" s="11" t="s">
        <v>1497</v>
      </c>
      <c r="H261" s="11">
        <v>1.0</v>
      </c>
      <c r="I261" s="20">
        <v>253.0</v>
      </c>
      <c r="J261" s="20">
        <v>253.0</v>
      </c>
      <c r="BO261" s="20">
        <v>253.0</v>
      </c>
      <c r="BR261" s="20">
        <v>253.0</v>
      </c>
      <c r="BU261" s="11" t="s">
        <v>187</v>
      </c>
    </row>
    <row r="262">
      <c r="A262" s="11" t="s">
        <v>2916</v>
      </c>
      <c r="B262" s="11" t="s">
        <v>78</v>
      </c>
      <c r="C262" s="23">
        <v>45810.0</v>
      </c>
      <c r="F262" s="11" t="s">
        <v>2920</v>
      </c>
      <c r="G262" s="11" t="s">
        <v>376</v>
      </c>
      <c r="H262" s="11">
        <v>1.0</v>
      </c>
      <c r="I262" s="20">
        <v>3147.94</v>
      </c>
      <c r="J262" s="20">
        <v>3147.94</v>
      </c>
      <c r="BO262" s="20">
        <v>3147.94</v>
      </c>
      <c r="BR262" s="20">
        <v>3147.94</v>
      </c>
      <c r="BU262" s="11" t="s">
        <v>187</v>
      </c>
      <c r="BV262" s="11" t="s">
        <v>225</v>
      </c>
    </row>
    <row r="263">
      <c r="A263" s="11" t="s">
        <v>2925</v>
      </c>
      <c r="B263" s="11" t="s">
        <v>78</v>
      </c>
      <c r="C263" s="23">
        <v>45810.0</v>
      </c>
      <c r="F263" s="11" t="s">
        <v>2920</v>
      </c>
      <c r="G263" s="11" t="s">
        <v>376</v>
      </c>
      <c r="H263" s="11">
        <v>1.0</v>
      </c>
      <c r="I263" s="20">
        <v>1886.19</v>
      </c>
      <c r="J263" s="20">
        <v>1886.19</v>
      </c>
      <c r="BO263" s="20">
        <v>1886.19</v>
      </c>
      <c r="BR263" s="20">
        <v>1886.19</v>
      </c>
      <c r="BU263" s="11" t="s">
        <v>187</v>
      </c>
      <c r="BV263" s="11" t="s">
        <v>2055</v>
      </c>
    </row>
    <row r="264">
      <c r="A264" s="11" t="s">
        <v>2935</v>
      </c>
      <c r="B264" s="11" t="s">
        <v>78</v>
      </c>
      <c r="C264" s="23">
        <v>45810.0</v>
      </c>
      <c r="F264" s="11" t="s">
        <v>2920</v>
      </c>
      <c r="G264" s="11" t="s">
        <v>376</v>
      </c>
      <c r="H264" s="11">
        <v>1.0</v>
      </c>
      <c r="I264" s="20">
        <v>1653.03</v>
      </c>
      <c r="J264" s="20">
        <v>1653.03</v>
      </c>
      <c r="BO264" s="20">
        <v>1653.03</v>
      </c>
      <c r="BR264" s="20">
        <v>1653.03</v>
      </c>
      <c r="BU264" s="11" t="s">
        <v>187</v>
      </c>
      <c r="BV264" s="11" t="s">
        <v>113</v>
      </c>
    </row>
    <row r="265">
      <c r="A265" s="11" t="s">
        <v>2945</v>
      </c>
      <c r="B265" s="11" t="s">
        <v>78</v>
      </c>
      <c r="C265" s="23">
        <v>45810.0</v>
      </c>
      <c r="F265" s="11" t="s">
        <v>2920</v>
      </c>
      <c r="G265" s="11" t="s">
        <v>376</v>
      </c>
      <c r="H265" s="11">
        <v>1.0</v>
      </c>
      <c r="I265" s="20">
        <v>1356.73</v>
      </c>
      <c r="J265" s="20">
        <v>1356.73</v>
      </c>
      <c r="BO265" s="20">
        <v>1356.73</v>
      </c>
      <c r="BR265" s="20">
        <v>1356.73</v>
      </c>
      <c r="BU265" s="11" t="s">
        <v>187</v>
      </c>
      <c r="BV265" s="11" t="s">
        <v>126</v>
      </c>
    </row>
    <row r="266">
      <c r="A266" s="11" t="s">
        <v>960</v>
      </c>
      <c r="B266" s="11" t="s">
        <v>78</v>
      </c>
      <c r="C266" s="23">
        <v>45824.0</v>
      </c>
      <c r="D266" s="11" t="s">
        <v>547</v>
      </c>
      <c r="F266" s="11" t="s">
        <v>964</v>
      </c>
      <c r="G266" s="11" t="s">
        <v>648</v>
      </c>
      <c r="H266" s="11">
        <v>1.0</v>
      </c>
      <c r="I266" s="20">
        <v>625.0</v>
      </c>
      <c r="J266" s="20">
        <v>625.0</v>
      </c>
      <c r="BO266" s="20">
        <v>625.0</v>
      </c>
      <c r="BR266" s="20">
        <v>625.0</v>
      </c>
      <c r="BU266" s="11" t="s">
        <v>187</v>
      </c>
    </row>
    <row r="267">
      <c r="A267" s="11" t="s">
        <v>2968</v>
      </c>
      <c r="B267" s="11" t="s">
        <v>78</v>
      </c>
      <c r="C267" s="23">
        <v>45824.0</v>
      </c>
      <c r="D267" s="11" t="s">
        <v>451</v>
      </c>
      <c r="F267" s="11" t="s">
        <v>2974</v>
      </c>
      <c r="G267" s="11" t="s">
        <v>1570</v>
      </c>
      <c r="H267" s="11">
        <v>1.0</v>
      </c>
      <c r="I267" s="20">
        <v>1700.0</v>
      </c>
      <c r="J267" s="20">
        <v>1700.0</v>
      </c>
      <c r="BO267" s="20">
        <v>1700.0</v>
      </c>
      <c r="BR267" s="20">
        <v>1700.0</v>
      </c>
      <c r="BU267" s="11" t="s">
        <v>187</v>
      </c>
    </row>
    <row r="268">
      <c r="A268" s="11" t="s">
        <v>2985</v>
      </c>
      <c r="B268" s="11" t="s">
        <v>78</v>
      </c>
      <c r="C268" s="23">
        <v>45824.0</v>
      </c>
      <c r="D268" s="11" t="s">
        <v>1046</v>
      </c>
      <c r="F268" s="11" t="s">
        <v>2638</v>
      </c>
      <c r="G268" s="11" t="s">
        <v>1936</v>
      </c>
      <c r="H268" s="11">
        <v>1.0</v>
      </c>
      <c r="I268" s="20">
        <v>901.52</v>
      </c>
      <c r="J268" s="20">
        <v>901.52</v>
      </c>
      <c r="BO268" s="20">
        <v>901.52</v>
      </c>
      <c r="BR268" s="20">
        <v>901.52</v>
      </c>
      <c r="BU268" s="11" t="s">
        <v>187</v>
      </c>
    </row>
    <row r="269">
      <c r="A269" s="11" t="s">
        <v>2999</v>
      </c>
      <c r="B269" s="11" t="s">
        <v>78</v>
      </c>
      <c r="C269" s="23">
        <v>45824.0</v>
      </c>
      <c r="D269" s="11" t="s">
        <v>415</v>
      </c>
      <c r="F269" s="11" t="s">
        <v>3004</v>
      </c>
      <c r="G269" s="11" t="s">
        <v>3007</v>
      </c>
      <c r="H269" s="11">
        <v>1.0</v>
      </c>
      <c r="I269" s="20">
        <v>106.0</v>
      </c>
      <c r="J269" s="20">
        <v>106.0</v>
      </c>
      <c r="BO269" s="20">
        <v>106.0</v>
      </c>
      <c r="BR269" s="20">
        <v>106.0</v>
      </c>
      <c r="BU269" s="11" t="s">
        <v>187</v>
      </c>
    </row>
    <row r="270">
      <c r="A270" s="11" t="s">
        <v>2634</v>
      </c>
      <c r="B270" s="11" t="s">
        <v>78</v>
      </c>
      <c r="C270" s="23">
        <v>45824.0</v>
      </c>
      <c r="D270" s="11" t="s">
        <v>1046</v>
      </c>
      <c r="F270" s="11" t="s">
        <v>2638</v>
      </c>
      <c r="G270" s="11" t="s">
        <v>1944</v>
      </c>
      <c r="H270" s="11">
        <v>1.0</v>
      </c>
      <c r="I270" s="20">
        <v>719.29</v>
      </c>
      <c r="J270" s="20">
        <v>719.29</v>
      </c>
      <c r="BO270" s="20">
        <v>719.29</v>
      </c>
      <c r="BR270" s="20">
        <v>719.29</v>
      </c>
      <c r="BU270" s="11" t="s">
        <v>187</v>
      </c>
    </row>
    <row r="271">
      <c r="A271" s="11" t="s">
        <v>1554</v>
      </c>
      <c r="B271" s="11" t="s">
        <v>78</v>
      </c>
      <c r="C271" s="23">
        <v>45824.0</v>
      </c>
      <c r="D271" s="11" t="s">
        <v>1046</v>
      </c>
      <c r="F271" s="11" t="s">
        <v>1557</v>
      </c>
      <c r="G271" s="11" t="s">
        <v>1049</v>
      </c>
      <c r="H271" s="11">
        <v>1.0</v>
      </c>
      <c r="I271" s="20">
        <v>6236.98</v>
      </c>
      <c r="J271" s="20">
        <v>6236.98</v>
      </c>
      <c r="BO271" s="20">
        <v>6236.98</v>
      </c>
      <c r="BR271" s="20">
        <v>6236.98</v>
      </c>
      <c r="BU271" s="11" t="s">
        <v>187</v>
      </c>
    </row>
    <row r="272">
      <c r="A272" s="11" t="s">
        <v>3038</v>
      </c>
      <c r="B272" s="11" t="s">
        <v>78</v>
      </c>
      <c r="C272" s="23">
        <v>45828.0</v>
      </c>
      <c r="D272" s="11" t="s">
        <v>3042</v>
      </c>
      <c r="F272" s="11" t="s">
        <v>3044</v>
      </c>
      <c r="G272" s="11" t="s">
        <v>3047</v>
      </c>
      <c r="H272" s="11">
        <v>1.0</v>
      </c>
      <c r="I272" s="20">
        <v>232.18</v>
      </c>
      <c r="J272" s="20">
        <v>232.18</v>
      </c>
      <c r="BO272" s="20">
        <v>232.18</v>
      </c>
      <c r="BR272" s="20">
        <v>232.18</v>
      </c>
      <c r="BU272" s="11" t="s">
        <v>187</v>
      </c>
    </row>
    <row r="273">
      <c r="A273" s="11" t="s">
        <v>3056</v>
      </c>
      <c r="B273" s="11" t="s">
        <v>78</v>
      </c>
      <c r="C273" s="23">
        <v>45831.0</v>
      </c>
      <c r="F273" s="11" t="s">
        <v>783</v>
      </c>
      <c r="G273" s="11" t="s">
        <v>350</v>
      </c>
      <c r="H273" s="11">
        <v>1.0</v>
      </c>
      <c r="I273" s="20">
        <v>300.0</v>
      </c>
      <c r="J273" s="20">
        <v>300.0</v>
      </c>
      <c r="BO273" s="20">
        <v>300.0</v>
      </c>
      <c r="BR273" s="20">
        <v>300.0</v>
      </c>
      <c r="BU273" s="11" t="s">
        <v>187</v>
      </c>
      <c r="BV273" s="11" t="s">
        <v>113</v>
      </c>
    </row>
    <row r="274">
      <c r="A274" s="11" t="s">
        <v>950</v>
      </c>
      <c r="B274" s="11" t="s">
        <v>78</v>
      </c>
      <c r="C274" s="23">
        <v>45831.0</v>
      </c>
      <c r="D274" s="11" t="s">
        <v>547</v>
      </c>
      <c r="F274" s="11" t="s">
        <v>955</v>
      </c>
      <c r="G274" s="11" t="s">
        <v>957</v>
      </c>
      <c r="H274" s="11">
        <v>1.0</v>
      </c>
      <c r="I274" s="20">
        <v>375.0</v>
      </c>
      <c r="J274" s="20">
        <v>375.0</v>
      </c>
      <c r="BO274" s="20">
        <v>375.0</v>
      </c>
      <c r="BR274" s="20">
        <v>375.0</v>
      </c>
      <c r="BU274" s="11" t="s">
        <v>187</v>
      </c>
    </row>
    <row r="275">
      <c r="A275" s="11" t="s">
        <v>971</v>
      </c>
      <c r="B275" s="11" t="s">
        <v>78</v>
      </c>
      <c r="C275" s="23">
        <v>45831.0</v>
      </c>
      <c r="D275" s="11" t="s">
        <v>547</v>
      </c>
      <c r="F275" s="11" t="s">
        <v>973</v>
      </c>
      <c r="G275" s="11" t="s">
        <v>975</v>
      </c>
      <c r="H275" s="11">
        <v>1.0</v>
      </c>
      <c r="I275" s="20">
        <v>1045.0</v>
      </c>
      <c r="J275" s="20">
        <v>1045.0</v>
      </c>
      <c r="BO275" s="20">
        <v>1045.0</v>
      </c>
      <c r="BR275" s="20">
        <v>1045.0</v>
      </c>
      <c r="BU275" s="11" t="s">
        <v>187</v>
      </c>
    </row>
    <row r="276">
      <c r="A276" s="11" t="s">
        <v>3105</v>
      </c>
      <c r="B276" s="11" t="s">
        <v>78</v>
      </c>
      <c r="C276" s="23">
        <v>45834.0</v>
      </c>
      <c r="F276" s="11" t="s">
        <v>1666</v>
      </c>
      <c r="G276" s="11" t="s">
        <v>350</v>
      </c>
      <c r="H276" s="11">
        <v>1.0</v>
      </c>
      <c r="I276" s="20">
        <v>500.0</v>
      </c>
      <c r="J276" s="20">
        <v>500.0</v>
      </c>
      <c r="BO276" s="20">
        <v>500.0</v>
      </c>
      <c r="BR276" s="20">
        <v>500.0</v>
      </c>
      <c r="BU276" s="11" t="s">
        <v>187</v>
      </c>
      <c r="BV276" s="11" t="s">
        <v>126</v>
      </c>
    </row>
    <row r="277">
      <c r="A277" s="11" t="s">
        <v>1976</v>
      </c>
      <c r="B277" s="11" t="s">
        <v>78</v>
      </c>
      <c r="C277" s="23">
        <v>45838.0</v>
      </c>
      <c r="D277" s="11" t="s">
        <v>629</v>
      </c>
      <c r="F277" s="11" t="s">
        <v>633</v>
      </c>
      <c r="G277" s="11" t="s">
        <v>1870</v>
      </c>
      <c r="H277" s="11">
        <v>1.0</v>
      </c>
      <c r="I277" s="20">
        <v>1849.28</v>
      </c>
      <c r="J277" s="20">
        <v>1849.28</v>
      </c>
      <c r="BO277" s="20">
        <v>1849.28</v>
      </c>
      <c r="BR277" s="20">
        <v>1849.28</v>
      </c>
      <c r="BU277" s="11" t="s">
        <v>187</v>
      </c>
    </row>
    <row r="278">
      <c r="A278" s="11" t="s">
        <v>3131</v>
      </c>
      <c r="B278" s="11" t="s">
        <v>78</v>
      </c>
      <c r="C278" s="23">
        <v>45839.0</v>
      </c>
      <c r="D278" s="11" t="s">
        <v>237</v>
      </c>
      <c r="F278" s="11" t="s">
        <v>3136</v>
      </c>
      <c r="G278" s="11" t="s">
        <v>788</v>
      </c>
      <c r="H278" s="11">
        <v>1.0</v>
      </c>
      <c r="I278" s="20">
        <v>1141.84</v>
      </c>
      <c r="J278" s="20">
        <v>1141.84</v>
      </c>
      <c r="BO278" s="20">
        <v>1141.84</v>
      </c>
      <c r="BR278" s="20">
        <v>1141.84</v>
      </c>
      <c r="BU278" s="11" t="s">
        <v>187</v>
      </c>
    </row>
    <row r="279">
      <c r="A279" s="11" t="s">
        <v>2159</v>
      </c>
      <c r="B279" s="11" t="s">
        <v>78</v>
      </c>
      <c r="C279" s="23">
        <v>45846.0</v>
      </c>
      <c r="D279" s="20">
        <v>3.6037127E7</v>
      </c>
      <c r="F279" s="11" t="s">
        <v>2162</v>
      </c>
      <c r="G279" s="11" t="s">
        <v>1726</v>
      </c>
      <c r="H279" s="11">
        <v>1.0</v>
      </c>
      <c r="I279" s="20">
        <v>120.0</v>
      </c>
      <c r="J279" s="20">
        <v>120.0</v>
      </c>
      <c r="BO279" s="20">
        <v>120.0</v>
      </c>
      <c r="BR279" s="20">
        <v>120.0</v>
      </c>
      <c r="BU279" s="11" t="s">
        <v>187</v>
      </c>
    </row>
    <row r="280">
      <c r="A280" s="11" t="s">
        <v>1436</v>
      </c>
      <c r="B280" s="11" t="s">
        <v>78</v>
      </c>
      <c r="C280" s="23">
        <v>45846.0</v>
      </c>
      <c r="D280" s="11" t="s">
        <v>176</v>
      </c>
      <c r="F280" s="11" t="s">
        <v>1440</v>
      </c>
      <c r="G280" s="11" t="s">
        <v>179</v>
      </c>
      <c r="H280" s="11">
        <v>1.0</v>
      </c>
      <c r="I280" s="20">
        <v>500.0</v>
      </c>
      <c r="J280" s="20">
        <v>500.0</v>
      </c>
      <c r="BO280" s="20">
        <v>500.0</v>
      </c>
      <c r="BR280" s="20">
        <v>500.0</v>
      </c>
      <c r="BU280" s="11" t="s">
        <v>187</v>
      </c>
    </row>
    <row r="281">
      <c r="A281" s="11" t="s">
        <v>677</v>
      </c>
      <c r="B281" s="11" t="s">
        <v>78</v>
      </c>
      <c r="C281" s="23">
        <v>45847.0</v>
      </c>
      <c r="F281" s="11" t="s">
        <v>681</v>
      </c>
      <c r="G281" s="11" t="s">
        <v>376</v>
      </c>
      <c r="H281" s="11">
        <v>1.0</v>
      </c>
      <c r="I281" s="20">
        <v>3470.0</v>
      </c>
      <c r="J281" s="20">
        <v>3470.0</v>
      </c>
      <c r="BO281" s="20">
        <v>3470.0</v>
      </c>
      <c r="BR281" s="20">
        <v>3470.0</v>
      </c>
      <c r="BU281" s="11" t="s">
        <v>187</v>
      </c>
      <c r="BV281" s="11" t="s">
        <v>685</v>
      </c>
    </row>
    <row r="282">
      <c r="A282" s="11" t="s">
        <v>686</v>
      </c>
      <c r="B282" s="11" t="s">
        <v>78</v>
      </c>
      <c r="C282" s="23">
        <v>45847.0</v>
      </c>
      <c r="F282" s="11" t="s">
        <v>687</v>
      </c>
      <c r="G282" s="11" t="s">
        <v>376</v>
      </c>
      <c r="H282" s="11">
        <v>1.0</v>
      </c>
      <c r="I282" s="20">
        <v>289.5</v>
      </c>
      <c r="J282" s="20">
        <v>289.5</v>
      </c>
      <c r="BO282" s="20">
        <v>289.5</v>
      </c>
      <c r="BR282" s="20">
        <v>289.5</v>
      </c>
      <c r="BU282" s="11" t="s">
        <v>187</v>
      </c>
      <c r="BV282" s="20">
        <v>3.3095275E7</v>
      </c>
    </row>
    <row r="283">
      <c r="A283" s="11" t="s">
        <v>694</v>
      </c>
      <c r="B283" s="11" t="s">
        <v>78</v>
      </c>
      <c r="C283" s="23">
        <v>45847.0</v>
      </c>
      <c r="F283" s="11" t="s">
        <v>687</v>
      </c>
      <c r="G283" s="11" t="s">
        <v>376</v>
      </c>
      <c r="H283" s="11">
        <v>1.0</v>
      </c>
      <c r="I283" s="20">
        <v>289.5</v>
      </c>
      <c r="J283" s="20">
        <v>289.5</v>
      </c>
      <c r="BO283" s="20">
        <v>289.5</v>
      </c>
      <c r="BR283" s="20">
        <v>289.5</v>
      </c>
      <c r="BU283" s="11" t="s">
        <v>187</v>
      </c>
      <c r="BV283" s="11" t="s">
        <v>704</v>
      </c>
    </row>
    <row r="284">
      <c r="A284" s="11" t="s">
        <v>1010</v>
      </c>
      <c r="B284" s="11" t="s">
        <v>78</v>
      </c>
      <c r="C284" s="23">
        <v>45847.0</v>
      </c>
      <c r="D284" s="11" t="s">
        <v>415</v>
      </c>
      <c r="F284" s="11" t="s">
        <v>1015</v>
      </c>
      <c r="G284" s="11" t="s">
        <v>1017</v>
      </c>
      <c r="H284" s="11">
        <v>1.0</v>
      </c>
      <c r="I284" s="20">
        <v>22.0</v>
      </c>
      <c r="J284" s="20">
        <v>22.0</v>
      </c>
      <c r="BO284" s="20">
        <v>22.0</v>
      </c>
      <c r="BR284" s="20">
        <v>22.0</v>
      </c>
      <c r="BU284" s="11" t="s">
        <v>187</v>
      </c>
    </row>
    <row r="285">
      <c r="A285" s="11" t="s">
        <v>1020</v>
      </c>
      <c r="B285" s="11" t="s">
        <v>78</v>
      </c>
      <c r="C285" s="23">
        <v>45847.0</v>
      </c>
      <c r="D285" s="11" t="s">
        <v>415</v>
      </c>
      <c r="F285" s="11" t="s">
        <v>1022</v>
      </c>
      <c r="G285" s="11" t="s">
        <v>1023</v>
      </c>
      <c r="H285" s="11">
        <v>1.0</v>
      </c>
      <c r="I285" s="20">
        <v>10.0</v>
      </c>
      <c r="J285" s="20">
        <v>10.0</v>
      </c>
      <c r="BO285" s="20">
        <v>10.0</v>
      </c>
      <c r="BR285" s="20">
        <v>10.0</v>
      </c>
      <c r="BU285" s="11" t="s">
        <v>187</v>
      </c>
    </row>
    <row r="286">
      <c r="A286" s="11" t="s">
        <v>2798</v>
      </c>
      <c r="B286" s="11" t="s">
        <v>78</v>
      </c>
      <c r="C286" s="23">
        <v>45847.0</v>
      </c>
      <c r="D286" s="11" t="s">
        <v>1676</v>
      </c>
      <c r="F286" s="11" t="s">
        <v>2802</v>
      </c>
      <c r="G286" s="11" t="s">
        <v>1902</v>
      </c>
      <c r="H286" s="11">
        <v>1.0</v>
      </c>
      <c r="I286" s="20">
        <v>856.54</v>
      </c>
      <c r="J286" s="20">
        <v>856.54</v>
      </c>
      <c r="BO286" s="20">
        <v>856.54</v>
      </c>
      <c r="BR286" s="20">
        <v>856.54</v>
      </c>
      <c r="BU286" s="11" t="s">
        <v>187</v>
      </c>
    </row>
    <row r="287">
      <c r="A287" s="11" t="s">
        <v>3222</v>
      </c>
      <c r="B287" s="11" t="s">
        <v>78</v>
      </c>
      <c r="C287" s="23">
        <v>45847.0</v>
      </c>
      <c r="D287" s="11" t="s">
        <v>2535</v>
      </c>
      <c r="F287" s="11" t="s">
        <v>3225</v>
      </c>
      <c r="G287" s="11" t="s">
        <v>1906</v>
      </c>
      <c r="H287" s="11">
        <v>1.0</v>
      </c>
      <c r="I287" s="20">
        <v>59.5</v>
      </c>
      <c r="J287" s="20">
        <v>59.5</v>
      </c>
      <c r="BO287" s="20">
        <v>59.5</v>
      </c>
      <c r="BR287" s="20">
        <v>59.5</v>
      </c>
      <c r="BU287" s="11" t="s">
        <v>187</v>
      </c>
    </row>
    <row r="288">
      <c r="A288" s="11" t="s">
        <v>2843</v>
      </c>
      <c r="B288" s="11" t="s">
        <v>78</v>
      </c>
      <c r="C288" s="23">
        <v>45847.0</v>
      </c>
      <c r="D288" s="11" t="s">
        <v>2509</v>
      </c>
      <c r="F288" s="11" t="s">
        <v>2638</v>
      </c>
      <c r="G288" s="11" t="s">
        <v>1898</v>
      </c>
      <c r="H288" s="11">
        <v>1.0</v>
      </c>
      <c r="I288" s="20">
        <v>104.4</v>
      </c>
      <c r="J288" s="20">
        <v>104.4</v>
      </c>
      <c r="BO288" s="20">
        <v>104.4</v>
      </c>
      <c r="BR288" s="20">
        <v>104.4</v>
      </c>
      <c r="BU288" s="11" t="s">
        <v>187</v>
      </c>
    </row>
    <row r="289">
      <c r="A289" s="11">
        <v>1.38241833E8</v>
      </c>
      <c r="B289" s="11" t="s">
        <v>78</v>
      </c>
      <c r="C289" s="23">
        <v>45848.0</v>
      </c>
      <c r="D289" s="11" t="s">
        <v>3248</v>
      </c>
      <c r="F289" s="11" t="s">
        <v>3251</v>
      </c>
      <c r="G289" s="11" t="s">
        <v>1392</v>
      </c>
      <c r="H289" s="11">
        <v>1.0</v>
      </c>
      <c r="I289" s="20">
        <v>644.0</v>
      </c>
      <c r="J289" s="20">
        <v>644.0</v>
      </c>
      <c r="BO289" s="20">
        <v>644.0</v>
      </c>
      <c r="BR289" s="20">
        <v>644.0</v>
      </c>
      <c r="BU289" s="11" t="s">
        <v>235</v>
      </c>
    </row>
    <row r="290">
      <c r="A290" s="11" t="s">
        <v>1214</v>
      </c>
      <c r="B290" s="11" t="s">
        <v>78</v>
      </c>
      <c r="C290" s="23">
        <v>45853.0</v>
      </c>
      <c r="D290" s="11" t="s">
        <v>1217</v>
      </c>
      <c r="F290" s="11" t="s">
        <v>1218</v>
      </c>
      <c r="G290" s="11" t="s">
        <v>502</v>
      </c>
      <c r="H290" s="11">
        <v>1.0</v>
      </c>
      <c r="I290" s="20">
        <v>119.0</v>
      </c>
      <c r="J290" s="20">
        <v>119.0</v>
      </c>
      <c r="BO290" s="20">
        <v>119.0</v>
      </c>
      <c r="BR290" s="20">
        <v>119.0</v>
      </c>
      <c r="BU290" s="11" t="s">
        <v>187</v>
      </c>
    </row>
    <row r="291">
      <c r="A291" s="11" t="s">
        <v>971</v>
      </c>
      <c r="B291" s="11" t="s">
        <v>78</v>
      </c>
      <c r="C291" s="23">
        <v>45853.0</v>
      </c>
      <c r="D291" s="11" t="s">
        <v>547</v>
      </c>
      <c r="F291" s="11" t="s">
        <v>973</v>
      </c>
      <c r="G291" s="11" t="s">
        <v>975</v>
      </c>
      <c r="H291" s="11">
        <v>1.0</v>
      </c>
      <c r="I291" s="20">
        <v>1045.0</v>
      </c>
      <c r="J291" s="20">
        <v>1045.0</v>
      </c>
      <c r="BO291" s="20">
        <v>1045.0</v>
      </c>
      <c r="BR291" s="20">
        <v>1045.0</v>
      </c>
      <c r="BU291" s="11" t="s">
        <v>187</v>
      </c>
    </row>
    <row r="292">
      <c r="A292" s="11" t="s">
        <v>960</v>
      </c>
      <c r="B292" s="11" t="s">
        <v>78</v>
      </c>
      <c r="C292" s="23">
        <v>45853.0</v>
      </c>
      <c r="D292" s="11" t="s">
        <v>547</v>
      </c>
      <c r="F292" s="11" t="s">
        <v>964</v>
      </c>
      <c r="G292" s="11" t="s">
        <v>648</v>
      </c>
      <c r="H292" s="11">
        <v>1.0</v>
      </c>
      <c r="I292" s="20">
        <v>625.0</v>
      </c>
      <c r="J292" s="20">
        <v>625.0</v>
      </c>
      <c r="BO292" s="20">
        <v>625.0</v>
      </c>
      <c r="BR292" s="20">
        <v>625.0</v>
      </c>
      <c r="BU292" s="11" t="s">
        <v>187</v>
      </c>
    </row>
    <row r="293">
      <c r="A293" s="11" t="s">
        <v>950</v>
      </c>
      <c r="B293" s="11" t="s">
        <v>78</v>
      </c>
      <c r="C293" s="23">
        <v>45853.0</v>
      </c>
      <c r="D293" s="11" t="s">
        <v>547</v>
      </c>
      <c r="F293" s="11" t="s">
        <v>955</v>
      </c>
      <c r="G293" s="11" t="s">
        <v>957</v>
      </c>
      <c r="H293" s="11">
        <v>1.0</v>
      </c>
      <c r="I293" s="20">
        <v>375.0</v>
      </c>
      <c r="J293" s="20">
        <v>375.0</v>
      </c>
      <c r="BO293" s="20">
        <v>375.0</v>
      </c>
      <c r="BR293" s="20">
        <v>375.0</v>
      </c>
      <c r="BU293" s="11" t="s">
        <v>187</v>
      </c>
    </row>
    <row r="294">
      <c r="A294" s="11" t="s">
        <v>1207</v>
      </c>
      <c r="B294" s="11" t="s">
        <v>78</v>
      </c>
      <c r="C294" s="23">
        <v>45853.0</v>
      </c>
      <c r="D294" s="11" t="s">
        <v>192</v>
      </c>
      <c r="F294" s="11" t="s">
        <v>195</v>
      </c>
      <c r="G294" s="11" t="s">
        <v>196</v>
      </c>
      <c r="H294" s="11">
        <v>1.0</v>
      </c>
      <c r="I294" s="20">
        <v>2500.0</v>
      </c>
      <c r="J294" s="20">
        <v>2500.0</v>
      </c>
      <c r="BO294" s="20">
        <v>2500.0</v>
      </c>
      <c r="BR294" s="20">
        <v>2500.0</v>
      </c>
      <c r="BU294" s="11" t="s">
        <v>187</v>
      </c>
    </row>
    <row r="295">
      <c r="A295" s="11" t="s">
        <v>1493</v>
      </c>
      <c r="B295" s="11" t="s">
        <v>78</v>
      </c>
      <c r="C295" s="23">
        <v>45853.0</v>
      </c>
      <c r="D295" s="11" t="s">
        <v>415</v>
      </c>
      <c r="F295" s="11" t="s">
        <v>3318</v>
      </c>
      <c r="G295" s="11" t="s">
        <v>1497</v>
      </c>
      <c r="H295" s="11">
        <v>1.0</v>
      </c>
      <c r="I295" s="20">
        <v>253.0</v>
      </c>
      <c r="J295" s="20">
        <v>253.0</v>
      </c>
      <c r="BO295" s="20">
        <v>253.0</v>
      </c>
      <c r="BR295" s="20">
        <v>253.0</v>
      </c>
      <c r="BU295" s="11" t="s">
        <v>187</v>
      </c>
    </row>
    <row r="296">
      <c r="A296" s="11" t="s">
        <v>3330</v>
      </c>
      <c r="B296" s="11" t="s">
        <v>78</v>
      </c>
      <c r="C296" s="23">
        <v>45853.0</v>
      </c>
      <c r="D296" s="11" t="s">
        <v>237</v>
      </c>
      <c r="F296" s="11" t="s">
        <v>3136</v>
      </c>
      <c r="G296" s="11" t="s">
        <v>788</v>
      </c>
      <c r="H296" s="11">
        <v>1.0</v>
      </c>
      <c r="I296" s="20">
        <v>3632.13</v>
      </c>
      <c r="J296" s="20">
        <v>3632.13</v>
      </c>
      <c r="BO296" s="20">
        <v>3632.13</v>
      </c>
      <c r="BR296" s="20">
        <v>3632.13</v>
      </c>
      <c r="BU296" s="11" t="s">
        <v>187</v>
      </c>
    </row>
    <row r="297">
      <c r="A297" s="11" t="s">
        <v>3342</v>
      </c>
      <c r="B297" s="11" t="s">
        <v>78</v>
      </c>
      <c r="C297" s="23">
        <v>45853.0</v>
      </c>
      <c r="D297" s="11" t="s">
        <v>237</v>
      </c>
      <c r="F297" s="11" t="s">
        <v>3136</v>
      </c>
      <c r="G297" s="11" t="s">
        <v>788</v>
      </c>
      <c r="H297" s="11">
        <v>1.0</v>
      </c>
      <c r="I297" s="20">
        <v>2252.29</v>
      </c>
      <c r="J297" s="20">
        <v>2252.29</v>
      </c>
      <c r="BO297" s="20">
        <v>2252.29</v>
      </c>
      <c r="BR297" s="20">
        <v>2252.29</v>
      </c>
      <c r="BU297" s="11" t="s">
        <v>187</v>
      </c>
    </row>
    <row r="298">
      <c r="A298" s="11" t="s">
        <v>3355</v>
      </c>
      <c r="B298" s="11" t="s">
        <v>78</v>
      </c>
      <c r="C298" s="23">
        <v>45853.0</v>
      </c>
      <c r="D298" s="11" t="s">
        <v>237</v>
      </c>
      <c r="F298" s="11" t="s">
        <v>3136</v>
      </c>
      <c r="G298" s="11" t="s">
        <v>788</v>
      </c>
      <c r="H298" s="11">
        <v>1.0</v>
      </c>
      <c r="I298" s="20">
        <v>776.0</v>
      </c>
      <c r="J298" s="20">
        <v>776.0</v>
      </c>
      <c r="BO298" s="20">
        <v>776.0</v>
      </c>
      <c r="BR298" s="20">
        <v>776.0</v>
      </c>
      <c r="BU298" s="11" t="s">
        <v>187</v>
      </c>
    </row>
    <row r="299">
      <c r="A299" s="11" t="s">
        <v>3369</v>
      </c>
      <c r="B299" s="11" t="s">
        <v>78</v>
      </c>
      <c r="C299" s="23">
        <v>45853.0</v>
      </c>
      <c r="D299" s="11" t="s">
        <v>237</v>
      </c>
      <c r="F299" s="11" t="s">
        <v>3136</v>
      </c>
      <c r="G299" s="11" t="s">
        <v>788</v>
      </c>
      <c r="H299" s="11">
        <v>1.0</v>
      </c>
      <c r="I299" s="20">
        <v>490.64</v>
      </c>
      <c r="J299" s="20">
        <v>490.64</v>
      </c>
      <c r="BO299" s="20">
        <v>490.64</v>
      </c>
      <c r="BR299" s="20">
        <v>490.64</v>
      </c>
      <c r="BU299" s="11" t="s">
        <v>187</v>
      </c>
    </row>
    <row r="300">
      <c r="A300" s="11" t="s">
        <v>2985</v>
      </c>
      <c r="B300" s="11" t="s">
        <v>78</v>
      </c>
      <c r="C300" s="23">
        <v>45853.0</v>
      </c>
      <c r="D300" s="11" t="s">
        <v>1046</v>
      </c>
      <c r="F300" s="11" t="s">
        <v>2638</v>
      </c>
      <c r="G300" s="11" t="s">
        <v>1936</v>
      </c>
      <c r="H300" s="11">
        <v>1.0</v>
      </c>
      <c r="I300" s="20">
        <v>916.18</v>
      </c>
      <c r="J300" s="20">
        <v>916.18</v>
      </c>
      <c r="BO300" s="20">
        <v>916.18</v>
      </c>
      <c r="BR300" s="20">
        <v>916.18</v>
      </c>
      <c r="BU300" s="11" t="s">
        <v>187</v>
      </c>
    </row>
    <row r="301">
      <c r="A301" s="11" t="s">
        <v>2634</v>
      </c>
      <c r="B301" s="11" t="s">
        <v>78</v>
      </c>
      <c r="C301" s="23">
        <v>45853.0</v>
      </c>
      <c r="D301" s="11" t="s">
        <v>1046</v>
      </c>
      <c r="F301" s="11" t="s">
        <v>2638</v>
      </c>
      <c r="G301" s="11" t="s">
        <v>1944</v>
      </c>
      <c r="H301" s="11">
        <v>1.0</v>
      </c>
      <c r="I301" s="20">
        <v>716.0</v>
      </c>
      <c r="J301" s="20">
        <v>716.0</v>
      </c>
      <c r="BO301" s="20">
        <v>716.0</v>
      </c>
      <c r="BR301" s="20">
        <v>716.0</v>
      </c>
      <c r="BU301" s="11" t="s">
        <v>187</v>
      </c>
    </row>
    <row r="302">
      <c r="A302" s="11" t="s">
        <v>1554</v>
      </c>
      <c r="B302" s="11" t="s">
        <v>78</v>
      </c>
      <c r="C302" s="23">
        <v>45853.0</v>
      </c>
      <c r="D302" s="11" t="s">
        <v>1046</v>
      </c>
      <c r="F302" s="11" t="s">
        <v>1557</v>
      </c>
      <c r="G302" s="11" t="s">
        <v>1049</v>
      </c>
      <c r="H302" s="11">
        <v>1.0</v>
      </c>
      <c r="I302" s="20">
        <v>4372.48</v>
      </c>
      <c r="J302" s="20">
        <v>4372.48</v>
      </c>
      <c r="BO302" s="20">
        <v>4372.48</v>
      </c>
      <c r="BR302" s="20">
        <v>4372.48</v>
      </c>
      <c r="BU302" s="11" t="s">
        <v>187</v>
      </c>
    </row>
    <row r="303">
      <c r="A303" s="11" t="s">
        <v>3418</v>
      </c>
      <c r="B303" s="11" t="s">
        <v>78</v>
      </c>
      <c r="C303" s="23">
        <v>45859.0</v>
      </c>
      <c r="D303" s="11" t="s">
        <v>3421</v>
      </c>
      <c r="F303" s="11" t="s">
        <v>3423</v>
      </c>
      <c r="G303" s="11" t="s">
        <v>3426</v>
      </c>
      <c r="H303" s="11">
        <v>1.0</v>
      </c>
      <c r="I303" s="20">
        <v>38.65</v>
      </c>
      <c r="J303" s="20">
        <v>38.65</v>
      </c>
      <c r="BO303" s="20">
        <v>38.65</v>
      </c>
      <c r="BR303" s="20">
        <v>38.65</v>
      </c>
      <c r="BU303" s="11" t="s">
        <v>235</v>
      </c>
    </row>
    <row r="304">
      <c r="A304" s="11" t="s">
        <v>3435</v>
      </c>
      <c r="B304" s="11" t="s">
        <v>78</v>
      </c>
      <c r="C304" s="23">
        <v>45843.0</v>
      </c>
      <c r="F304" s="11" t="s">
        <v>2638</v>
      </c>
      <c r="G304" s="11" t="s">
        <v>376</v>
      </c>
      <c r="H304" s="11">
        <v>1.0</v>
      </c>
      <c r="I304" s="20">
        <v>3033.92</v>
      </c>
      <c r="J304" s="20">
        <v>3033.92</v>
      </c>
      <c r="BO304" s="20">
        <v>3033.92</v>
      </c>
      <c r="BR304" s="20">
        <v>3033.92</v>
      </c>
      <c r="BU304" s="11" t="s">
        <v>187</v>
      </c>
      <c r="BV304" s="11" t="s">
        <v>225</v>
      </c>
    </row>
    <row r="305">
      <c r="A305" s="11" t="s">
        <v>3448</v>
      </c>
      <c r="B305" s="11" t="s">
        <v>78</v>
      </c>
      <c r="C305" s="23">
        <v>45843.0</v>
      </c>
      <c r="F305" s="11" t="s">
        <v>2638</v>
      </c>
      <c r="G305" s="11" t="s">
        <v>376</v>
      </c>
      <c r="H305" s="11">
        <v>1.0</v>
      </c>
      <c r="I305" s="20">
        <v>975.76</v>
      </c>
      <c r="J305" s="20">
        <v>975.76</v>
      </c>
      <c r="BO305" s="20">
        <v>975.76</v>
      </c>
      <c r="BR305" s="20">
        <v>975.76</v>
      </c>
      <c r="BU305" s="11" t="s">
        <v>187</v>
      </c>
      <c r="BV305" s="11" t="s">
        <v>113</v>
      </c>
    </row>
    <row r="306">
      <c r="A306" s="11" t="s">
        <v>3457</v>
      </c>
      <c r="B306" s="11" t="s">
        <v>78</v>
      </c>
      <c r="C306" s="23">
        <v>45843.0</v>
      </c>
      <c r="F306" s="11" t="s">
        <v>2638</v>
      </c>
      <c r="G306" s="11" t="s">
        <v>376</v>
      </c>
      <c r="H306" s="11">
        <v>1.0</v>
      </c>
      <c r="I306" s="20">
        <v>1601.74</v>
      </c>
      <c r="J306" s="20">
        <v>1601.74</v>
      </c>
      <c r="BO306" s="20">
        <v>1601.74</v>
      </c>
      <c r="BR306" s="20">
        <v>1601.74</v>
      </c>
      <c r="BU306" s="11" t="s">
        <v>187</v>
      </c>
      <c r="BV306" s="11" t="s">
        <v>2055</v>
      </c>
    </row>
    <row r="307">
      <c r="A307" s="11" t="s">
        <v>3475</v>
      </c>
      <c r="B307" s="11" t="s">
        <v>78</v>
      </c>
      <c r="C307" s="23">
        <v>45843.0</v>
      </c>
      <c r="F307" s="11" t="s">
        <v>3477</v>
      </c>
      <c r="G307" s="11" t="s">
        <v>376</v>
      </c>
      <c r="H307" s="11">
        <v>1.0</v>
      </c>
      <c r="I307" s="20">
        <v>1601.74</v>
      </c>
      <c r="J307" s="20">
        <v>1601.74</v>
      </c>
      <c r="BO307" s="20">
        <v>1601.74</v>
      </c>
      <c r="BR307" s="20">
        <v>1601.74</v>
      </c>
      <c r="BU307" s="11" t="s">
        <v>187</v>
      </c>
      <c r="BV307" s="11" t="s">
        <v>126</v>
      </c>
    </row>
    <row r="308">
      <c r="A308" s="11" t="s">
        <v>3488</v>
      </c>
      <c r="B308" s="11" t="s">
        <v>78</v>
      </c>
      <c r="C308" s="23">
        <v>45863.0</v>
      </c>
      <c r="F308" s="11" t="s">
        <v>3492</v>
      </c>
      <c r="G308" s="11" t="s">
        <v>350</v>
      </c>
      <c r="H308" s="11">
        <v>1.0</v>
      </c>
      <c r="I308" s="20">
        <v>50.0</v>
      </c>
      <c r="J308" s="20">
        <v>50.0</v>
      </c>
      <c r="BO308" s="20">
        <v>50.0</v>
      </c>
      <c r="BR308" s="20">
        <v>50.0</v>
      </c>
      <c r="BU308" s="11" t="s">
        <v>187</v>
      </c>
      <c r="BV308" s="11" t="s">
        <v>113</v>
      </c>
    </row>
    <row r="309">
      <c r="A309" s="11" t="s">
        <v>3502</v>
      </c>
      <c r="B309" s="11" t="s">
        <v>78</v>
      </c>
      <c r="C309" s="23">
        <v>45864.0</v>
      </c>
      <c r="F309" s="11" t="s">
        <v>783</v>
      </c>
      <c r="G309" s="11" t="s">
        <v>350</v>
      </c>
      <c r="H309" s="11">
        <v>1.0</v>
      </c>
      <c r="I309" s="20">
        <v>330.0</v>
      </c>
      <c r="J309" s="20">
        <v>330.0</v>
      </c>
      <c r="BO309" s="20">
        <v>330.0</v>
      </c>
      <c r="BR309" s="20">
        <v>330.0</v>
      </c>
      <c r="BU309" s="11" t="s">
        <v>187</v>
      </c>
      <c r="BV309" s="11" t="s">
        <v>113</v>
      </c>
    </row>
    <row r="310">
      <c r="A310" s="11" t="s">
        <v>3513</v>
      </c>
      <c r="B310" s="11" t="s">
        <v>78</v>
      </c>
      <c r="C310" s="23">
        <v>45866.0</v>
      </c>
      <c r="D310" s="11" t="s">
        <v>228</v>
      </c>
      <c r="F310" s="11" t="s">
        <v>3518</v>
      </c>
      <c r="G310" s="11" t="s">
        <v>419</v>
      </c>
      <c r="H310" s="11">
        <v>1.0</v>
      </c>
      <c r="I310" s="20">
        <v>159.35</v>
      </c>
      <c r="J310" s="20">
        <v>159.35</v>
      </c>
      <c r="BO310" s="20">
        <v>159.35</v>
      </c>
      <c r="BR310" s="20">
        <v>159.35</v>
      </c>
      <c r="BU310" s="11" t="s">
        <v>187</v>
      </c>
    </row>
    <row r="311">
      <c r="A311" s="11" t="s">
        <v>3528</v>
      </c>
      <c r="B311" s="11" t="s">
        <v>78</v>
      </c>
      <c r="C311" s="23">
        <v>45866.0</v>
      </c>
      <c r="F311" s="11" t="s">
        <v>3492</v>
      </c>
      <c r="G311" s="11" t="s">
        <v>350</v>
      </c>
      <c r="H311" s="11">
        <v>1.0</v>
      </c>
      <c r="I311" s="20">
        <v>400.0</v>
      </c>
      <c r="J311" s="20">
        <v>400.0</v>
      </c>
      <c r="BO311" s="20">
        <v>400.0</v>
      </c>
      <c r="BR311" s="20">
        <v>400.0</v>
      </c>
      <c r="BU311" s="11" t="s">
        <v>187</v>
      </c>
      <c r="BV311" s="11" t="s">
        <v>2055</v>
      </c>
    </row>
    <row r="312">
      <c r="A312" s="11" t="s">
        <v>3541</v>
      </c>
      <c r="B312" s="11" t="s">
        <v>78</v>
      </c>
      <c r="C312" s="23">
        <v>45866.0</v>
      </c>
      <c r="D312" s="11" t="s">
        <v>451</v>
      </c>
      <c r="F312" s="11" t="s">
        <v>3547</v>
      </c>
      <c r="G312" s="20">
        <v>7.9792017E7</v>
      </c>
      <c r="H312" s="11">
        <v>1.0</v>
      </c>
      <c r="I312" s="20">
        <v>1528.0</v>
      </c>
      <c r="J312" s="20">
        <v>1528.0</v>
      </c>
      <c r="BO312" s="20">
        <v>1528.0</v>
      </c>
      <c r="BR312" s="20">
        <v>1528.0</v>
      </c>
      <c r="BU312" s="11" t="s">
        <v>187</v>
      </c>
    </row>
    <row r="313">
      <c r="A313" s="11" t="s">
        <v>3556</v>
      </c>
      <c r="B313" s="11" t="s">
        <v>78</v>
      </c>
      <c r="C313" s="23">
        <v>45866.0</v>
      </c>
      <c r="D313" s="11" t="s">
        <v>237</v>
      </c>
      <c r="F313" s="11" t="s">
        <v>3560</v>
      </c>
      <c r="G313" s="11" t="s">
        <v>788</v>
      </c>
      <c r="H313" s="11">
        <v>1.0</v>
      </c>
      <c r="I313" s="20">
        <v>3449.96</v>
      </c>
      <c r="J313" s="20">
        <v>3449.96</v>
      </c>
      <c r="BO313" s="20">
        <v>3449.96</v>
      </c>
      <c r="BR313" s="20">
        <v>3449.96</v>
      </c>
      <c r="BU313" s="11" t="s">
        <v>187</v>
      </c>
    </row>
    <row r="314">
      <c r="A314" s="11" t="s">
        <v>3568</v>
      </c>
      <c r="B314" s="11" t="s">
        <v>78</v>
      </c>
      <c r="C314" s="23">
        <v>45866.0</v>
      </c>
      <c r="D314" s="11" t="s">
        <v>237</v>
      </c>
      <c r="F314" s="11" t="s">
        <v>3573</v>
      </c>
      <c r="G314" s="11" t="s">
        <v>788</v>
      </c>
      <c r="H314" s="11">
        <v>1.0</v>
      </c>
      <c r="I314" s="20">
        <v>1169.28</v>
      </c>
      <c r="J314" s="20">
        <v>1169.28</v>
      </c>
      <c r="BO314" s="20">
        <v>1169.28</v>
      </c>
      <c r="BR314" s="20">
        <v>1169.28</v>
      </c>
      <c r="BU314" s="11" t="s">
        <v>187</v>
      </c>
    </row>
    <row r="315">
      <c r="A315" s="11" t="s">
        <v>3582</v>
      </c>
      <c r="B315" s="11" t="s">
        <v>78</v>
      </c>
      <c r="C315" s="23">
        <v>45866.0</v>
      </c>
      <c r="D315" s="11" t="s">
        <v>237</v>
      </c>
      <c r="F315" s="11" t="s">
        <v>3588</v>
      </c>
      <c r="G315" s="11" t="s">
        <v>788</v>
      </c>
      <c r="H315" s="11">
        <v>1.0</v>
      </c>
      <c r="I315" s="20">
        <v>28.0</v>
      </c>
      <c r="J315" s="20">
        <v>28.0</v>
      </c>
      <c r="BO315" s="20">
        <v>28.0</v>
      </c>
      <c r="BR315" s="20">
        <v>28.0</v>
      </c>
      <c r="BU315" s="11" t="s">
        <v>187</v>
      </c>
    </row>
    <row r="316">
      <c r="A316" s="11" t="s">
        <v>3597</v>
      </c>
      <c r="B316" s="11" t="s">
        <v>78</v>
      </c>
      <c r="C316" s="23">
        <v>45866.0</v>
      </c>
      <c r="D316" s="11" t="s">
        <v>237</v>
      </c>
      <c r="F316" s="11" t="s">
        <v>3602</v>
      </c>
      <c r="G316" s="11" t="s">
        <v>788</v>
      </c>
      <c r="H316" s="11">
        <v>1.0</v>
      </c>
      <c r="I316" s="20">
        <v>28.0</v>
      </c>
      <c r="J316" s="20">
        <v>28.0</v>
      </c>
      <c r="BO316" s="20">
        <v>28.0</v>
      </c>
      <c r="BR316" s="20">
        <v>28.0</v>
      </c>
      <c r="BU316" s="11" t="s">
        <v>187</v>
      </c>
    </row>
    <row r="317">
      <c r="A317" s="11" t="s">
        <v>677</v>
      </c>
      <c r="B317" s="11" t="s">
        <v>78</v>
      </c>
      <c r="C317" s="23">
        <v>45866.0</v>
      </c>
      <c r="F317" s="11" t="s">
        <v>681</v>
      </c>
      <c r="G317" s="11" t="s">
        <v>376</v>
      </c>
      <c r="H317" s="11">
        <v>1.0</v>
      </c>
      <c r="I317" s="20">
        <v>3498.0</v>
      </c>
      <c r="J317" s="20">
        <v>3498.0</v>
      </c>
      <c r="BO317" s="20">
        <v>3498.0</v>
      </c>
      <c r="BR317" s="20">
        <v>3498.0</v>
      </c>
      <c r="BU317" s="11" t="s">
        <v>187</v>
      </c>
      <c r="BV317" s="11" t="s">
        <v>685</v>
      </c>
    </row>
    <row r="318">
      <c r="A318" s="11" t="s">
        <v>694</v>
      </c>
      <c r="B318" s="11" t="s">
        <v>78</v>
      </c>
      <c r="C318" s="23">
        <v>45866.0</v>
      </c>
      <c r="F318" s="11" t="s">
        <v>687</v>
      </c>
      <c r="G318" s="11" t="s">
        <v>376</v>
      </c>
      <c r="H318" s="11">
        <v>1.0</v>
      </c>
      <c r="I318" s="20">
        <v>292.0</v>
      </c>
      <c r="J318" s="20">
        <v>292.0</v>
      </c>
      <c r="BO318" s="20">
        <v>292.0</v>
      </c>
      <c r="BR318" s="20">
        <v>292.0</v>
      </c>
      <c r="BU318" s="11" t="s">
        <v>187</v>
      </c>
      <c r="BV318" s="11" t="s">
        <v>704</v>
      </c>
    </row>
    <row r="319">
      <c r="A319" s="11" t="s">
        <v>1020</v>
      </c>
      <c r="B319" s="11" t="s">
        <v>78</v>
      </c>
      <c r="C319" s="23">
        <v>45866.0</v>
      </c>
      <c r="D319" s="11" t="s">
        <v>415</v>
      </c>
      <c r="F319" s="11" t="s">
        <v>1022</v>
      </c>
      <c r="G319" s="11" t="s">
        <v>1023</v>
      </c>
      <c r="H319" s="11">
        <v>1.0</v>
      </c>
      <c r="I319" s="20">
        <v>10.0</v>
      </c>
      <c r="J319" s="20">
        <v>10.0</v>
      </c>
      <c r="BO319" s="20">
        <v>10.0</v>
      </c>
      <c r="BR319" s="20">
        <v>10.0</v>
      </c>
      <c r="BU319" s="11" t="s">
        <v>187</v>
      </c>
    </row>
    <row r="320">
      <c r="A320" s="11" t="s">
        <v>1020</v>
      </c>
      <c r="B320" s="11" t="s">
        <v>78</v>
      </c>
      <c r="C320" s="23">
        <v>45866.0</v>
      </c>
      <c r="D320" s="11" t="s">
        <v>415</v>
      </c>
      <c r="F320" s="11" t="s">
        <v>1022</v>
      </c>
      <c r="G320" s="11" t="s">
        <v>1023</v>
      </c>
      <c r="H320" s="11">
        <v>1.0</v>
      </c>
      <c r="I320" s="20">
        <v>10.0</v>
      </c>
      <c r="J320" s="20">
        <v>10.0</v>
      </c>
      <c r="BO320" s="20">
        <v>10.0</v>
      </c>
      <c r="BR320" s="20">
        <v>10.0</v>
      </c>
      <c r="BU320" s="11" t="s">
        <v>187</v>
      </c>
    </row>
    <row r="321">
      <c r="A321" s="11" t="s">
        <v>686</v>
      </c>
      <c r="B321" s="11" t="s">
        <v>78</v>
      </c>
      <c r="C321" s="23">
        <v>45866.0</v>
      </c>
      <c r="F321" s="11" t="s">
        <v>687</v>
      </c>
      <c r="G321" s="11" t="s">
        <v>376</v>
      </c>
      <c r="H321" s="11">
        <v>1.0</v>
      </c>
      <c r="I321" s="20">
        <v>292.0</v>
      </c>
      <c r="J321" s="20">
        <v>292.0</v>
      </c>
      <c r="BO321" s="20">
        <v>292.0</v>
      </c>
      <c r="BR321" s="20">
        <v>292.0</v>
      </c>
      <c r="BU321" s="11" t="s">
        <v>187</v>
      </c>
      <c r="BV321" s="11" t="s">
        <v>3675</v>
      </c>
    </row>
    <row r="322">
      <c r="A322" s="11" t="s">
        <v>1010</v>
      </c>
      <c r="B322" s="11" t="s">
        <v>78</v>
      </c>
      <c r="C322" s="23">
        <v>45866.0</v>
      </c>
      <c r="D322" s="11" t="s">
        <v>415</v>
      </c>
      <c r="F322" s="11" t="s">
        <v>1015</v>
      </c>
      <c r="G322" s="11" t="s">
        <v>1017</v>
      </c>
      <c r="H322" s="11">
        <v>1.0</v>
      </c>
      <c r="I322" s="20">
        <v>22.0</v>
      </c>
      <c r="J322" s="20">
        <v>22.0</v>
      </c>
      <c r="BO322" s="20">
        <v>22.0</v>
      </c>
      <c r="BR322" s="20">
        <v>22.0</v>
      </c>
      <c r="BU322" s="11" t="s">
        <v>187</v>
      </c>
    </row>
    <row r="323">
      <c r="A323" s="11" t="s">
        <v>1976</v>
      </c>
      <c r="B323" s="11" t="s">
        <v>78</v>
      </c>
      <c r="C323" s="23">
        <v>45866.0</v>
      </c>
      <c r="D323" s="11" t="s">
        <v>629</v>
      </c>
      <c r="F323" s="11" t="s">
        <v>633</v>
      </c>
      <c r="G323" s="11" t="s">
        <v>1870</v>
      </c>
      <c r="H323" s="11">
        <v>1.0</v>
      </c>
      <c r="I323" s="20">
        <v>1983.07</v>
      </c>
      <c r="J323" s="20">
        <v>1983.07</v>
      </c>
      <c r="BO323" s="20">
        <v>1983.07</v>
      </c>
      <c r="BR323" s="20">
        <v>1983.07</v>
      </c>
      <c r="BU323" s="11" t="s">
        <v>187</v>
      </c>
    </row>
    <row r="324">
      <c r="A324" s="11" t="s">
        <v>3694</v>
      </c>
      <c r="B324" s="11" t="s">
        <v>78</v>
      </c>
      <c r="C324" s="23">
        <v>45873.0</v>
      </c>
      <c r="F324" s="11" t="s">
        <v>2638</v>
      </c>
      <c r="G324" s="11" t="s">
        <v>376</v>
      </c>
      <c r="H324" s="11">
        <v>1.0</v>
      </c>
      <c r="I324" s="20">
        <v>2928.42</v>
      </c>
      <c r="J324" s="20">
        <v>2928.42</v>
      </c>
      <c r="BO324" s="20">
        <v>2928.42</v>
      </c>
      <c r="BR324" s="20">
        <v>2928.42</v>
      </c>
      <c r="BU324" s="11" t="s">
        <v>187</v>
      </c>
      <c r="BV324" s="11" t="s">
        <v>225</v>
      </c>
    </row>
    <row r="325">
      <c r="A325" s="11" t="s">
        <v>3704</v>
      </c>
      <c r="B325" s="11" t="s">
        <v>78</v>
      </c>
      <c r="C325" s="23">
        <v>45873.0</v>
      </c>
      <c r="F325" s="11" t="s">
        <v>2638</v>
      </c>
      <c r="G325" s="11" t="s">
        <v>376</v>
      </c>
      <c r="H325" s="11">
        <v>1.0</v>
      </c>
      <c r="I325" s="20">
        <v>1775.57</v>
      </c>
      <c r="J325" s="20">
        <v>1775.57</v>
      </c>
      <c r="BO325" s="20">
        <v>1775.57</v>
      </c>
      <c r="BR325" s="20">
        <v>1775.57</v>
      </c>
      <c r="BU325" s="11" t="s">
        <v>187</v>
      </c>
      <c r="BV325" s="11" t="s">
        <v>113</v>
      </c>
    </row>
    <row r="326">
      <c r="A326" s="11" t="s">
        <v>3710</v>
      </c>
      <c r="B326" s="11" t="s">
        <v>78</v>
      </c>
      <c r="C326" s="23">
        <v>45873.0</v>
      </c>
      <c r="F326" s="11" t="s">
        <v>2638</v>
      </c>
      <c r="G326" s="11" t="s">
        <v>376</v>
      </c>
      <c r="H326" s="11">
        <v>1.0</v>
      </c>
      <c r="I326" s="20">
        <v>1677.02</v>
      </c>
      <c r="J326" s="20">
        <v>1677.02</v>
      </c>
      <c r="BO326" s="20">
        <v>1677.02</v>
      </c>
      <c r="BR326" s="20">
        <v>1677.02</v>
      </c>
      <c r="BU326" s="11" t="s">
        <v>187</v>
      </c>
      <c r="BV326" s="11" t="s">
        <v>2055</v>
      </c>
    </row>
    <row r="327">
      <c r="A327" s="11" t="s">
        <v>3721</v>
      </c>
      <c r="B327" s="11" t="s">
        <v>78</v>
      </c>
      <c r="C327" s="23">
        <v>45873.0</v>
      </c>
      <c r="F327" s="11" t="s">
        <v>3725</v>
      </c>
      <c r="G327" s="11" t="s">
        <v>376</v>
      </c>
      <c r="H327" s="11">
        <v>1.0</v>
      </c>
      <c r="I327" s="20">
        <v>1388.57</v>
      </c>
      <c r="J327" s="20">
        <v>1388.57</v>
      </c>
      <c r="BO327" s="20">
        <v>1388.57</v>
      </c>
      <c r="BR327" s="20">
        <v>1388.57</v>
      </c>
      <c r="BU327" s="11" t="s">
        <v>187</v>
      </c>
      <c r="BV327" s="11" t="s">
        <v>3739</v>
      </c>
    </row>
    <row r="328">
      <c r="A328" s="11" t="s">
        <v>1436</v>
      </c>
      <c r="B328" s="11" t="s">
        <v>78</v>
      </c>
      <c r="C328" s="23">
        <v>45873.0</v>
      </c>
      <c r="D328" s="11" t="s">
        <v>176</v>
      </c>
      <c r="F328" s="11" t="s">
        <v>1440</v>
      </c>
      <c r="G328" s="11" t="s">
        <v>179</v>
      </c>
      <c r="H328" s="11">
        <v>1.0</v>
      </c>
      <c r="I328" s="20">
        <v>550.0</v>
      </c>
      <c r="J328" s="20">
        <v>550.0</v>
      </c>
      <c r="BO328" s="20">
        <v>550.0</v>
      </c>
      <c r="BR328" s="20">
        <v>550.0</v>
      </c>
      <c r="BU328" s="11" t="s">
        <v>187</v>
      </c>
    </row>
    <row r="329">
      <c r="A329" s="11" t="s">
        <v>2159</v>
      </c>
      <c r="B329" s="11" t="s">
        <v>78</v>
      </c>
      <c r="C329" s="23">
        <v>45873.0</v>
      </c>
      <c r="D329" s="20">
        <v>3.6037127E7</v>
      </c>
      <c r="F329" s="11" t="s">
        <v>2162</v>
      </c>
      <c r="G329" s="11" t="s">
        <v>1726</v>
      </c>
      <c r="H329" s="11">
        <v>1.0</v>
      </c>
      <c r="I329" s="20">
        <v>120.0</v>
      </c>
      <c r="J329" s="20">
        <v>120.0</v>
      </c>
      <c r="BO329" s="20">
        <v>120.0</v>
      </c>
      <c r="BR329" s="20">
        <v>120.0</v>
      </c>
      <c r="BU329" s="11" t="s">
        <v>187</v>
      </c>
    </row>
    <row r="330">
      <c r="A330" s="11" t="s">
        <v>2843</v>
      </c>
      <c r="B330" s="11" t="s">
        <v>78</v>
      </c>
      <c r="C330" s="23">
        <v>45873.0</v>
      </c>
      <c r="D330" s="11" t="s">
        <v>2509</v>
      </c>
      <c r="F330" s="11" t="s">
        <v>2638</v>
      </c>
      <c r="G330" s="11" t="s">
        <v>1898</v>
      </c>
      <c r="H330" s="11">
        <v>1.0</v>
      </c>
      <c r="I330" s="20">
        <v>104.4</v>
      </c>
      <c r="J330" s="20">
        <v>104.4</v>
      </c>
      <c r="BO330" s="20">
        <v>104.4</v>
      </c>
      <c r="BR330" s="20">
        <v>104.4</v>
      </c>
      <c r="BU330" s="11" t="s">
        <v>187</v>
      </c>
    </row>
    <row r="331">
      <c r="A331" s="11" t="s">
        <v>3762</v>
      </c>
      <c r="B331" s="11" t="s">
        <v>78</v>
      </c>
      <c r="C331" s="23">
        <v>45873.0</v>
      </c>
      <c r="D331" s="11" t="s">
        <v>237</v>
      </c>
      <c r="F331" s="11" t="s">
        <v>3766</v>
      </c>
      <c r="G331" s="11" t="s">
        <v>788</v>
      </c>
      <c r="H331" s="11">
        <v>1.0</v>
      </c>
      <c r="I331" s="20">
        <v>1214.32</v>
      </c>
      <c r="J331" s="20">
        <v>1214.32</v>
      </c>
      <c r="BO331" s="20">
        <v>1214.32</v>
      </c>
      <c r="BR331" s="20">
        <v>1214.32</v>
      </c>
      <c r="BU331" s="11" t="s">
        <v>187</v>
      </c>
    </row>
    <row r="332">
      <c r="A332" s="11" t="s">
        <v>3773</v>
      </c>
      <c r="B332" s="11" t="s">
        <v>78</v>
      </c>
      <c r="C332" s="23">
        <v>45873.0</v>
      </c>
      <c r="D332" s="11" t="s">
        <v>2535</v>
      </c>
      <c r="F332" s="11" t="s">
        <v>3779</v>
      </c>
      <c r="G332" s="11" t="s">
        <v>1906</v>
      </c>
      <c r="H332" s="11">
        <v>1.0</v>
      </c>
      <c r="I332" s="20">
        <v>69.89</v>
      </c>
      <c r="J332" s="20">
        <v>69.89</v>
      </c>
      <c r="BO332" s="20">
        <v>69.89</v>
      </c>
      <c r="BR332" s="20">
        <v>69.89</v>
      </c>
      <c r="BU332" s="11" t="s">
        <v>187</v>
      </c>
    </row>
    <row r="333">
      <c r="A333" s="11" t="s">
        <v>3787</v>
      </c>
      <c r="B333" s="11" t="s">
        <v>78</v>
      </c>
      <c r="C333" s="23">
        <v>45874.0</v>
      </c>
      <c r="D333" s="11" t="s">
        <v>2535</v>
      </c>
      <c r="F333" s="11" t="s">
        <v>3790</v>
      </c>
      <c r="G333" s="11" t="s">
        <v>1906</v>
      </c>
      <c r="H333" s="11">
        <v>1.0</v>
      </c>
      <c r="I333" s="20">
        <v>78.86</v>
      </c>
      <c r="J333" s="20">
        <v>78.86</v>
      </c>
      <c r="BO333" s="20">
        <v>78.86</v>
      </c>
      <c r="BR333" s="20">
        <v>78.86</v>
      </c>
      <c r="BU333" s="11" t="s">
        <v>187</v>
      </c>
    </row>
    <row r="334">
      <c r="A334" s="11" t="s">
        <v>3802</v>
      </c>
      <c r="B334" s="11" t="s">
        <v>78</v>
      </c>
      <c r="C334" s="23">
        <v>45877.0</v>
      </c>
      <c r="D334" s="11" t="s">
        <v>3805</v>
      </c>
      <c r="F334" s="11" t="s">
        <v>3808</v>
      </c>
      <c r="G334" s="11" t="s">
        <v>1392</v>
      </c>
      <c r="H334" s="11">
        <v>1.0</v>
      </c>
      <c r="I334" s="20">
        <v>350.0</v>
      </c>
      <c r="J334" s="20">
        <v>350.0</v>
      </c>
      <c r="BO334" s="20">
        <v>350.0</v>
      </c>
      <c r="BR334" s="20">
        <v>350.0</v>
      </c>
      <c r="BU334" s="11" t="s">
        <v>235</v>
      </c>
    </row>
    <row r="335">
      <c r="A335" s="11" t="s">
        <v>2798</v>
      </c>
      <c r="B335" s="11" t="s">
        <v>78</v>
      </c>
      <c r="C335" s="23">
        <v>45880.0</v>
      </c>
      <c r="D335" s="11" t="s">
        <v>1676</v>
      </c>
      <c r="F335" s="11" t="s">
        <v>2802</v>
      </c>
      <c r="G335" s="11" t="s">
        <v>1902</v>
      </c>
      <c r="H335" s="11">
        <v>1.0</v>
      </c>
      <c r="I335" s="20">
        <v>1013.35</v>
      </c>
      <c r="J335" s="20">
        <v>1013.35</v>
      </c>
      <c r="BO335" s="20">
        <v>1013.35</v>
      </c>
      <c r="BR335" s="20">
        <v>1013.35</v>
      </c>
      <c r="BU335" s="11" t="s">
        <v>187</v>
      </c>
    </row>
    <row r="336">
      <c r="A336" s="11" t="s">
        <v>3829</v>
      </c>
      <c r="B336" s="11" t="s">
        <v>78</v>
      </c>
      <c r="C336" s="23">
        <v>45880.0</v>
      </c>
      <c r="F336" s="11" t="s">
        <v>783</v>
      </c>
      <c r="G336" s="11" t="s">
        <v>350</v>
      </c>
      <c r="H336" s="11">
        <v>1.0</v>
      </c>
      <c r="I336" s="20">
        <v>120.0</v>
      </c>
      <c r="J336" s="20">
        <v>120.0</v>
      </c>
      <c r="BO336" s="20">
        <v>120.0</v>
      </c>
      <c r="BR336" s="20">
        <v>120.0</v>
      </c>
      <c r="BU336" s="11" t="s">
        <v>187</v>
      </c>
      <c r="BV336" s="11" t="s">
        <v>113</v>
      </c>
    </row>
    <row r="337">
      <c r="A337" s="11" t="s">
        <v>3840</v>
      </c>
      <c r="B337" s="11" t="s">
        <v>78</v>
      </c>
      <c r="C337" s="23">
        <v>45880.0</v>
      </c>
      <c r="D337" s="11" t="s">
        <v>237</v>
      </c>
      <c r="F337" s="11" t="s">
        <v>3845</v>
      </c>
      <c r="G337" s="11" t="s">
        <v>788</v>
      </c>
      <c r="H337" s="11">
        <v>1.0</v>
      </c>
      <c r="I337" s="20">
        <v>2816.0</v>
      </c>
      <c r="J337" s="20">
        <v>2816.0</v>
      </c>
      <c r="BO337" s="20">
        <v>2816.0</v>
      </c>
      <c r="BR337" s="20">
        <v>2816.0</v>
      </c>
      <c r="BU337" s="11" t="s">
        <v>187</v>
      </c>
    </row>
    <row r="338">
      <c r="A338" s="11" t="s">
        <v>3852</v>
      </c>
      <c r="B338" s="11" t="s">
        <v>78</v>
      </c>
      <c r="C338" s="23">
        <v>45880.0</v>
      </c>
      <c r="D338" s="11" t="s">
        <v>237</v>
      </c>
      <c r="F338" s="11" t="s">
        <v>3855</v>
      </c>
      <c r="G338" s="11" t="s">
        <v>788</v>
      </c>
      <c r="H338" s="11">
        <v>1.0</v>
      </c>
      <c r="I338" s="20">
        <v>85.2</v>
      </c>
      <c r="J338" s="20">
        <v>85.2</v>
      </c>
      <c r="BO338" s="20">
        <v>85.2</v>
      </c>
      <c r="BR338" s="20">
        <v>85.2</v>
      </c>
      <c r="BU338" s="11" t="s">
        <v>187</v>
      </c>
    </row>
    <row r="339">
      <c r="A339" s="11" t="s">
        <v>1207</v>
      </c>
      <c r="B339" s="11" t="s">
        <v>78</v>
      </c>
      <c r="C339" s="23">
        <v>45880.0</v>
      </c>
      <c r="D339" s="11" t="s">
        <v>192</v>
      </c>
      <c r="F339" s="11" t="s">
        <v>195</v>
      </c>
      <c r="G339" s="11" t="s">
        <v>196</v>
      </c>
      <c r="H339" s="11">
        <v>1.0</v>
      </c>
      <c r="I339" s="20">
        <v>2500.0</v>
      </c>
      <c r="J339" s="20">
        <v>2500.0</v>
      </c>
      <c r="BO339" s="20">
        <v>2500.0</v>
      </c>
      <c r="BR339" s="20">
        <v>2500.0</v>
      </c>
      <c r="BU339" s="11" t="s">
        <v>187</v>
      </c>
    </row>
    <row r="340">
      <c r="A340" s="11" t="s">
        <v>1214</v>
      </c>
      <c r="B340" s="11" t="s">
        <v>78</v>
      </c>
      <c r="C340" s="23">
        <v>45880.0</v>
      </c>
      <c r="D340" s="11" t="s">
        <v>1217</v>
      </c>
      <c r="F340" s="11" t="s">
        <v>1218</v>
      </c>
      <c r="G340" s="11" t="s">
        <v>502</v>
      </c>
      <c r="H340" s="11">
        <v>1.0</v>
      </c>
      <c r="I340" s="20">
        <v>119.0</v>
      </c>
      <c r="J340" s="20">
        <v>119.0</v>
      </c>
      <c r="BO340" s="20">
        <v>119.0</v>
      </c>
      <c r="BR340" s="20">
        <v>119.0</v>
      </c>
      <c r="BU340" s="11" t="s">
        <v>187</v>
      </c>
    </row>
    <row r="341">
      <c r="A341" s="11" t="s">
        <v>1493</v>
      </c>
      <c r="B341" s="11" t="s">
        <v>78</v>
      </c>
      <c r="C341" s="23">
        <v>45880.0</v>
      </c>
      <c r="D341" s="11" t="s">
        <v>415</v>
      </c>
      <c r="F341" s="11" t="s">
        <v>3887</v>
      </c>
      <c r="G341" s="11" t="s">
        <v>1497</v>
      </c>
      <c r="H341" s="11">
        <v>1.0</v>
      </c>
      <c r="I341" s="20">
        <v>253.0</v>
      </c>
      <c r="J341" s="20">
        <v>253.0</v>
      </c>
      <c r="BO341" s="20">
        <v>253.0</v>
      </c>
      <c r="BR341" s="20">
        <v>253.0</v>
      </c>
      <c r="BU341" s="11" t="s">
        <v>187</v>
      </c>
    </row>
    <row r="342">
      <c r="A342" s="11" t="s">
        <v>2985</v>
      </c>
      <c r="B342" s="11" t="s">
        <v>78</v>
      </c>
      <c r="C342" s="23">
        <v>45880.0</v>
      </c>
      <c r="D342" s="11" t="s">
        <v>1046</v>
      </c>
      <c r="F342" s="11" t="s">
        <v>2638</v>
      </c>
      <c r="G342" s="11" t="s">
        <v>1936</v>
      </c>
      <c r="H342" s="11">
        <v>1.0</v>
      </c>
      <c r="I342" s="20">
        <v>938.31</v>
      </c>
      <c r="J342" s="20">
        <v>938.31</v>
      </c>
      <c r="BO342" s="20">
        <v>938.31</v>
      </c>
      <c r="BR342" s="20">
        <v>938.31</v>
      </c>
      <c r="BU342" s="11" t="s">
        <v>187</v>
      </c>
    </row>
    <row r="343">
      <c r="A343" s="11" t="s">
        <v>971</v>
      </c>
      <c r="B343" s="11" t="s">
        <v>78</v>
      </c>
      <c r="C343" s="23">
        <v>45884.0</v>
      </c>
      <c r="D343" s="11" t="s">
        <v>547</v>
      </c>
      <c r="F343" s="11" t="s">
        <v>973</v>
      </c>
      <c r="G343" s="11" t="s">
        <v>975</v>
      </c>
      <c r="H343" s="11">
        <v>1.0</v>
      </c>
      <c r="I343" s="20">
        <v>1045.0</v>
      </c>
      <c r="J343" s="20">
        <v>1045.0</v>
      </c>
      <c r="BO343" s="20">
        <v>1045.0</v>
      </c>
      <c r="BR343" s="20">
        <v>1045.0</v>
      </c>
      <c r="BU343" s="11" t="s">
        <v>187</v>
      </c>
    </row>
    <row r="344">
      <c r="A344" s="11" t="s">
        <v>971</v>
      </c>
      <c r="B344" s="11" t="s">
        <v>78</v>
      </c>
      <c r="C344" s="23">
        <v>45884.0</v>
      </c>
      <c r="D344" s="11" t="s">
        <v>547</v>
      </c>
      <c r="F344" s="11" t="s">
        <v>973</v>
      </c>
      <c r="G344" s="11" t="s">
        <v>975</v>
      </c>
      <c r="H344" s="11">
        <v>1.0</v>
      </c>
      <c r="I344" s="20">
        <v>1045.0</v>
      </c>
      <c r="J344" s="20">
        <v>1045.0</v>
      </c>
      <c r="BO344" s="20">
        <v>1045.0</v>
      </c>
      <c r="BR344" s="20">
        <v>1045.0</v>
      </c>
      <c r="BU344" s="11" t="s">
        <v>187</v>
      </c>
    </row>
    <row r="345">
      <c r="A345" s="11" t="s">
        <v>960</v>
      </c>
      <c r="B345" s="11" t="s">
        <v>78</v>
      </c>
      <c r="C345" s="23">
        <v>45884.0</v>
      </c>
      <c r="D345" s="11" t="s">
        <v>547</v>
      </c>
      <c r="F345" s="11" t="s">
        <v>964</v>
      </c>
      <c r="G345" s="11" t="s">
        <v>648</v>
      </c>
      <c r="H345" s="11">
        <v>1.0</v>
      </c>
      <c r="I345" s="20">
        <v>625.0</v>
      </c>
      <c r="J345" s="20">
        <v>625.0</v>
      </c>
      <c r="BO345" s="20">
        <v>625.0</v>
      </c>
      <c r="BR345" s="20">
        <v>625.0</v>
      </c>
      <c r="BU345" s="11" t="s">
        <v>187</v>
      </c>
    </row>
    <row r="346">
      <c r="A346" s="11" t="s">
        <v>960</v>
      </c>
      <c r="B346" s="11" t="s">
        <v>78</v>
      </c>
      <c r="C346" s="23">
        <v>45884.0</v>
      </c>
      <c r="D346" s="11" t="s">
        <v>547</v>
      </c>
      <c r="F346" s="11" t="s">
        <v>964</v>
      </c>
      <c r="G346" s="11" t="s">
        <v>648</v>
      </c>
      <c r="H346" s="11">
        <v>1.0</v>
      </c>
      <c r="I346" s="20">
        <v>625.0</v>
      </c>
      <c r="J346" s="20">
        <v>625.0</v>
      </c>
      <c r="BO346" s="20">
        <v>625.0</v>
      </c>
      <c r="BR346" s="20">
        <v>625.0</v>
      </c>
      <c r="BU346" s="11" t="s">
        <v>187</v>
      </c>
    </row>
    <row r="347">
      <c r="A347" s="11" t="s">
        <v>950</v>
      </c>
      <c r="B347" s="11" t="s">
        <v>78</v>
      </c>
      <c r="C347" s="23">
        <v>45884.0</v>
      </c>
      <c r="D347" s="11" t="s">
        <v>547</v>
      </c>
      <c r="F347" s="11" t="s">
        <v>955</v>
      </c>
      <c r="G347" s="11" t="s">
        <v>957</v>
      </c>
      <c r="H347" s="11">
        <v>1.0</v>
      </c>
      <c r="I347" s="20">
        <v>375.0</v>
      </c>
      <c r="J347" s="20">
        <v>375.0</v>
      </c>
      <c r="BO347" s="20">
        <v>375.0</v>
      </c>
      <c r="BR347" s="20">
        <v>375.0</v>
      </c>
      <c r="BU347" s="11" t="s">
        <v>187</v>
      </c>
    </row>
    <row r="348">
      <c r="A348" s="11" t="s">
        <v>3968</v>
      </c>
      <c r="B348" s="11" t="s">
        <v>78</v>
      </c>
      <c r="C348" s="23">
        <v>45887.0</v>
      </c>
      <c r="D348" s="11" t="s">
        <v>3972</v>
      </c>
      <c r="F348" s="11" t="s">
        <v>3974</v>
      </c>
      <c r="G348" s="11" t="s">
        <v>3976</v>
      </c>
      <c r="H348" s="11">
        <v>1.0</v>
      </c>
      <c r="I348" s="20">
        <v>572.64</v>
      </c>
      <c r="J348" s="20">
        <v>572.64</v>
      </c>
      <c r="BO348" s="20">
        <v>572.64</v>
      </c>
      <c r="BR348" s="20">
        <v>572.64</v>
      </c>
      <c r="BU348" s="11" t="s">
        <v>235</v>
      </c>
    </row>
    <row r="349">
      <c r="A349" s="11" t="s">
        <v>1554</v>
      </c>
      <c r="B349" s="11" t="s">
        <v>78</v>
      </c>
      <c r="C349" s="23">
        <v>45887.0</v>
      </c>
      <c r="D349" s="11" t="s">
        <v>1046</v>
      </c>
      <c r="F349" s="11" t="s">
        <v>1557</v>
      </c>
      <c r="G349" s="11" t="s">
        <v>1049</v>
      </c>
      <c r="H349" s="11">
        <v>1.0</v>
      </c>
      <c r="I349" s="20">
        <v>6464.77</v>
      </c>
      <c r="J349" s="20">
        <v>6464.77</v>
      </c>
      <c r="BO349" s="20">
        <v>6464.77</v>
      </c>
      <c r="BR349" s="20">
        <v>6464.77</v>
      </c>
      <c r="BU349" s="11" t="s">
        <v>187</v>
      </c>
    </row>
    <row r="350">
      <c r="A350" s="11" t="s">
        <v>2634</v>
      </c>
      <c r="B350" s="11" t="s">
        <v>78</v>
      </c>
      <c r="C350" s="23">
        <v>45887.0</v>
      </c>
      <c r="D350" s="11" t="s">
        <v>1046</v>
      </c>
      <c r="F350" s="11" t="s">
        <v>2638</v>
      </c>
      <c r="G350" s="11" t="s">
        <v>1944</v>
      </c>
      <c r="H350" s="11">
        <v>1.0</v>
      </c>
      <c r="I350" s="20">
        <v>771.81</v>
      </c>
      <c r="J350" s="20">
        <v>771.81</v>
      </c>
      <c r="BO350" s="20">
        <v>771.81</v>
      </c>
      <c r="BR350" s="20">
        <v>771.81</v>
      </c>
      <c r="BU350" s="11" t="s">
        <v>187</v>
      </c>
    </row>
    <row r="351">
      <c r="A351" s="11" t="s">
        <v>4008</v>
      </c>
      <c r="B351" s="11" t="s">
        <v>78</v>
      </c>
      <c r="C351" s="23">
        <v>45894.0</v>
      </c>
      <c r="D351" s="11" t="s">
        <v>237</v>
      </c>
      <c r="F351" s="11" t="s">
        <v>4012</v>
      </c>
      <c r="G351" s="11" t="s">
        <v>788</v>
      </c>
      <c r="H351" s="11">
        <v>1.0</v>
      </c>
      <c r="I351" s="20">
        <v>977.0</v>
      </c>
      <c r="J351" s="20">
        <v>977.0</v>
      </c>
      <c r="BO351" s="20">
        <v>977.0</v>
      </c>
      <c r="BR351" s="20">
        <v>977.0</v>
      </c>
      <c r="BU351" s="11" t="s">
        <v>187</v>
      </c>
    </row>
    <row r="352">
      <c r="A352" s="11" t="s">
        <v>4019</v>
      </c>
      <c r="B352" s="11" t="s">
        <v>78</v>
      </c>
      <c r="C352" s="23">
        <v>45894.0</v>
      </c>
      <c r="D352" s="11" t="s">
        <v>237</v>
      </c>
      <c r="F352" s="11" t="s">
        <v>4023</v>
      </c>
      <c r="G352" s="11" t="s">
        <v>788</v>
      </c>
      <c r="H352" s="11">
        <v>1.0</v>
      </c>
      <c r="I352" s="20">
        <v>882.11</v>
      </c>
      <c r="J352" s="20">
        <v>882.11</v>
      </c>
      <c r="BO352" s="20">
        <v>882.11</v>
      </c>
      <c r="BR352" s="20">
        <v>882.11</v>
      </c>
      <c r="BU352" s="11" t="s">
        <v>187</v>
      </c>
    </row>
    <row r="353">
      <c r="A353" s="11" t="s">
        <v>4033</v>
      </c>
      <c r="B353" s="11" t="s">
        <v>78</v>
      </c>
      <c r="C353" s="23">
        <v>45894.0</v>
      </c>
      <c r="D353" s="11" t="s">
        <v>237</v>
      </c>
      <c r="F353" s="11" t="s">
        <v>4037</v>
      </c>
      <c r="G353" s="11" t="s">
        <v>788</v>
      </c>
      <c r="H353" s="11">
        <v>1.0</v>
      </c>
      <c r="I353" s="20">
        <v>36.91</v>
      </c>
      <c r="J353" s="20">
        <v>36.91</v>
      </c>
      <c r="BO353" s="20">
        <v>36.91</v>
      </c>
      <c r="BR353" s="20">
        <v>36.91</v>
      </c>
      <c r="BU353" s="11" t="s">
        <v>187</v>
      </c>
    </row>
    <row r="354">
      <c r="A354" s="11" t="s">
        <v>4042</v>
      </c>
      <c r="B354" s="11" t="s">
        <v>78</v>
      </c>
      <c r="C354" s="23">
        <v>45894.0</v>
      </c>
      <c r="D354" s="11" t="s">
        <v>237</v>
      </c>
      <c r="F354" s="11" t="s">
        <v>4037</v>
      </c>
      <c r="G354" s="11" t="s">
        <v>788</v>
      </c>
      <c r="H354" s="11">
        <v>1.0</v>
      </c>
      <c r="I354" s="20">
        <v>8.0</v>
      </c>
      <c r="J354" s="20">
        <v>8.0</v>
      </c>
      <c r="BO354" s="20">
        <v>8.0</v>
      </c>
      <c r="BR354" s="20">
        <v>8.0</v>
      </c>
      <c r="BU354" s="11" t="s">
        <v>187</v>
      </c>
    </row>
    <row r="355">
      <c r="A355" s="11" t="s">
        <v>4050</v>
      </c>
      <c r="B355" s="11" t="s">
        <v>78</v>
      </c>
      <c r="C355" s="23">
        <v>45894.0</v>
      </c>
      <c r="D355" s="11" t="s">
        <v>415</v>
      </c>
      <c r="F355" s="11" t="s">
        <v>4053</v>
      </c>
      <c r="G355" s="11" t="s">
        <v>2186</v>
      </c>
      <c r="H355" s="11">
        <v>1.0</v>
      </c>
      <c r="I355" s="20">
        <v>20.0</v>
      </c>
      <c r="J355" s="20">
        <v>20.0</v>
      </c>
      <c r="BO355" s="20">
        <v>20.0</v>
      </c>
      <c r="BR355" s="20">
        <v>20.0</v>
      </c>
      <c r="BU355" s="11" t="s">
        <v>187</v>
      </c>
    </row>
    <row r="356">
      <c r="A356" s="11" t="s">
        <v>677</v>
      </c>
      <c r="B356" s="11" t="s">
        <v>78</v>
      </c>
      <c r="C356" s="23">
        <v>45894.0</v>
      </c>
      <c r="F356" s="11" t="s">
        <v>681</v>
      </c>
      <c r="G356" s="11" t="s">
        <v>376</v>
      </c>
      <c r="H356" s="11">
        <v>1.0</v>
      </c>
      <c r="I356" s="20">
        <v>3498.0</v>
      </c>
      <c r="J356" s="20">
        <v>3498.0</v>
      </c>
      <c r="BO356" s="20">
        <v>3498.0</v>
      </c>
      <c r="BR356" s="20">
        <v>3498.0</v>
      </c>
      <c r="BU356" s="11" t="s">
        <v>187</v>
      </c>
      <c r="BV356" s="11" t="s">
        <v>685</v>
      </c>
    </row>
    <row r="357">
      <c r="A357" s="11" t="s">
        <v>686</v>
      </c>
      <c r="B357" s="11" t="s">
        <v>78</v>
      </c>
      <c r="C357" s="23">
        <v>45894.0</v>
      </c>
      <c r="F357" s="11" t="s">
        <v>687</v>
      </c>
      <c r="G357" s="11" t="s">
        <v>376</v>
      </c>
      <c r="H357" s="11">
        <v>1.0</v>
      </c>
      <c r="I357" s="20">
        <v>292.0</v>
      </c>
      <c r="J357" s="20">
        <v>292.0</v>
      </c>
      <c r="BO357" s="20">
        <v>292.0</v>
      </c>
      <c r="BR357" s="20">
        <v>292.0</v>
      </c>
      <c r="BU357" s="11" t="s">
        <v>187</v>
      </c>
      <c r="BV357" s="11" t="s">
        <v>3675</v>
      </c>
    </row>
    <row r="358">
      <c r="A358" s="11" t="s">
        <v>694</v>
      </c>
      <c r="B358" s="11" t="s">
        <v>78</v>
      </c>
      <c r="C358" s="23">
        <v>45894.0</v>
      </c>
      <c r="F358" s="11" t="s">
        <v>687</v>
      </c>
      <c r="G358" s="11" t="s">
        <v>376</v>
      </c>
      <c r="H358" s="11">
        <v>1.0</v>
      </c>
      <c r="I358" s="20">
        <v>292.0</v>
      </c>
      <c r="J358" s="20">
        <v>292.0</v>
      </c>
      <c r="BO358" s="20">
        <v>292.0</v>
      </c>
      <c r="BR358" s="20">
        <v>292.0</v>
      </c>
      <c r="BU358" s="11" t="s">
        <v>187</v>
      </c>
      <c r="BV358" s="11" t="s">
        <v>704</v>
      </c>
    </row>
    <row r="359">
      <c r="A359" s="11" t="s">
        <v>1010</v>
      </c>
      <c r="B359" s="11" t="s">
        <v>78</v>
      </c>
      <c r="C359" s="23">
        <v>45894.0</v>
      </c>
      <c r="D359" s="11" t="s">
        <v>415</v>
      </c>
      <c r="F359" s="11" t="s">
        <v>1015</v>
      </c>
      <c r="G359" s="11" t="s">
        <v>1017</v>
      </c>
      <c r="H359" s="11">
        <v>1.0</v>
      </c>
      <c r="I359" s="20">
        <v>22.0</v>
      </c>
      <c r="J359" s="20">
        <v>22.0</v>
      </c>
      <c r="BO359" s="20">
        <v>22.0</v>
      </c>
      <c r="BR359" s="20">
        <v>22.0</v>
      </c>
      <c r="BU359" s="11" t="s">
        <v>187</v>
      </c>
    </row>
    <row r="360">
      <c r="A360" s="11" t="s">
        <v>1020</v>
      </c>
      <c r="B360" s="11" t="s">
        <v>78</v>
      </c>
      <c r="C360" s="23">
        <v>45894.0</v>
      </c>
      <c r="D360" s="11" t="s">
        <v>415</v>
      </c>
      <c r="F360" s="11" t="s">
        <v>1022</v>
      </c>
      <c r="G360" s="11" t="s">
        <v>1023</v>
      </c>
      <c r="H360" s="11">
        <v>1.0</v>
      </c>
      <c r="I360" s="20">
        <v>10.0</v>
      </c>
      <c r="J360" s="20">
        <v>10.0</v>
      </c>
      <c r="BO360" s="20">
        <v>10.0</v>
      </c>
      <c r="BR360" s="20">
        <v>10.0</v>
      </c>
      <c r="BU360" s="11" t="s">
        <v>187</v>
      </c>
    </row>
    <row r="361">
      <c r="A361" s="11" t="s">
        <v>1976</v>
      </c>
      <c r="B361" s="11" t="s">
        <v>78</v>
      </c>
      <c r="C361" s="23">
        <v>45894.0</v>
      </c>
      <c r="D361" s="11" t="s">
        <v>629</v>
      </c>
      <c r="F361" s="11" t="s">
        <v>633</v>
      </c>
      <c r="G361" s="11" t="s">
        <v>1870</v>
      </c>
      <c r="H361" s="11">
        <v>1.0</v>
      </c>
      <c r="I361" s="20">
        <v>1633.01</v>
      </c>
      <c r="J361" s="20">
        <v>1633.01</v>
      </c>
      <c r="BO361" s="20">
        <v>1633.01</v>
      </c>
      <c r="BR361" s="20">
        <v>1633.01</v>
      </c>
      <c r="BU361" s="11" t="s">
        <v>187</v>
      </c>
    </row>
    <row r="362">
      <c r="A362" s="11" t="s">
        <v>4117</v>
      </c>
      <c r="B362" s="11" t="s">
        <v>78</v>
      </c>
      <c r="C362" s="23">
        <v>45896.0</v>
      </c>
      <c r="F362" s="11" t="s">
        <v>783</v>
      </c>
      <c r="G362" s="11" t="s">
        <v>350</v>
      </c>
      <c r="H362" s="11">
        <v>1.0</v>
      </c>
      <c r="I362" s="20">
        <v>500.0</v>
      </c>
      <c r="J362" s="20">
        <v>500.0</v>
      </c>
      <c r="BO362" s="20">
        <v>500.0</v>
      </c>
      <c r="BR362" s="20">
        <v>500.0</v>
      </c>
      <c r="BU362" s="11" t="s">
        <v>187</v>
      </c>
      <c r="BV362" s="11" t="s">
        <v>113</v>
      </c>
    </row>
    <row r="363">
      <c r="A363" s="11" t="s">
        <v>4130</v>
      </c>
      <c r="B363" s="11" t="s">
        <v>78</v>
      </c>
      <c r="C363" s="23">
        <v>45903.0</v>
      </c>
      <c r="F363" s="11" t="s">
        <v>3779</v>
      </c>
      <c r="G363" s="11" t="s">
        <v>376</v>
      </c>
      <c r="H363" s="11">
        <v>1.0</v>
      </c>
      <c r="I363" s="20">
        <v>1347.1</v>
      </c>
      <c r="J363" s="20">
        <v>1347.1</v>
      </c>
      <c r="BO363" s="20">
        <v>1347.1</v>
      </c>
      <c r="BR363" s="20">
        <v>1347.1</v>
      </c>
      <c r="BU363" s="11" t="s">
        <v>187</v>
      </c>
      <c r="BV363" s="11" t="s">
        <v>113</v>
      </c>
    </row>
    <row r="364">
      <c r="A364" s="11" t="s">
        <v>4141</v>
      </c>
      <c r="B364" s="11" t="s">
        <v>78</v>
      </c>
      <c r="C364" s="23">
        <v>45903.0</v>
      </c>
      <c r="F364" s="11" t="s">
        <v>3779</v>
      </c>
      <c r="G364" s="11" t="s">
        <v>376</v>
      </c>
      <c r="H364" s="11">
        <v>1.0</v>
      </c>
      <c r="I364" s="20">
        <v>662.8</v>
      </c>
      <c r="J364" s="20">
        <v>662.8</v>
      </c>
      <c r="BO364" s="20">
        <v>662.8</v>
      </c>
      <c r="BR364" s="20">
        <v>662.8</v>
      </c>
      <c r="BU364" s="11" t="s">
        <v>187</v>
      </c>
      <c r="BV364" s="11" t="s">
        <v>2055</v>
      </c>
    </row>
    <row r="365">
      <c r="A365" s="11" t="s">
        <v>4152</v>
      </c>
      <c r="B365" s="11" t="s">
        <v>78</v>
      </c>
      <c r="C365" s="23">
        <v>45903.0</v>
      </c>
      <c r="F365" s="11" t="s">
        <v>3779</v>
      </c>
      <c r="G365" s="11" t="s">
        <v>376</v>
      </c>
      <c r="H365" s="11">
        <v>1.0</v>
      </c>
      <c r="I365" s="20">
        <v>1700.36</v>
      </c>
      <c r="J365" s="20">
        <v>1700.36</v>
      </c>
      <c r="BO365" s="20">
        <v>1700.36</v>
      </c>
      <c r="BR365" s="20">
        <v>1700.36</v>
      </c>
      <c r="BU365" s="11" t="s">
        <v>187</v>
      </c>
      <c r="BV365" s="11" t="s">
        <v>3739</v>
      </c>
    </row>
    <row r="366">
      <c r="A366" s="11" t="s">
        <v>4162</v>
      </c>
      <c r="B366" s="11" t="s">
        <v>78</v>
      </c>
      <c r="C366" s="23">
        <v>45904.0</v>
      </c>
      <c r="F366" s="11" t="s">
        <v>2638</v>
      </c>
      <c r="G366" s="11" t="s">
        <v>376</v>
      </c>
      <c r="H366" s="11">
        <v>1.0</v>
      </c>
      <c r="I366" s="20">
        <v>3116.79</v>
      </c>
      <c r="J366" s="20">
        <v>3116.79</v>
      </c>
      <c r="BO366" s="20">
        <v>3116.79</v>
      </c>
      <c r="BR366" s="20">
        <v>3116.79</v>
      </c>
      <c r="BU366" s="11" t="s">
        <v>187</v>
      </c>
      <c r="BV366" s="11" t="s">
        <v>225</v>
      </c>
    </row>
    <row r="367">
      <c r="A367" s="11" t="s">
        <v>4174</v>
      </c>
      <c r="B367" s="11" t="s">
        <v>78</v>
      </c>
      <c r="C367" s="23">
        <v>45908.0</v>
      </c>
      <c r="D367" s="11" t="s">
        <v>237</v>
      </c>
      <c r="F367" s="11" t="s">
        <v>4178</v>
      </c>
      <c r="G367" s="11" t="s">
        <v>788</v>
      </c>
      <c r="H367" s="11">
        <v>1.0</v>
      </c>
      <c r="I367" s="20">
        <v>1694.0</v>
      </c>
      <c r="J367" s="20">
        <v>1694.0</v>
      </c>
      <c r="BO367" s="20">
        <v>1694.0</v>
      </c>
      <c r="BR367" s="20">
        <v>1694.0</v>
      </c>
      <c r="BU367" s="11" t="s">
        <v>187</v>
      </c>
    </row>
    <row r="368">
      <c r="A368" s="11" t="s">
        <v>4185</v>
      </c>
      <c r="B368" s="11" t="s">
        <v>78</v>
      </c>
      <c r="C368" s="23">
        <v>45908.0</v>
      </c>
      <c r="D368" s="11" t="s">
        <v>237</v>
      </c>
      <c r="F368" s="11" t="s">
        <v>4190</v>
      </c>
      <c r="G368" s="11" t="s">
        <v>788</v>
      </c>
      <c r="H368" s="11">
        <v>1.0</v>
      </c>
      <c r="I368" s="20">
        <v>84.0</v>
      </c>
      <c r="J368" s="20">
        <v>84.0</v>
      </c>
      <c r="BO368" s="20">
        <v>84.0</v>
      </c>
      <c r="BR368" s="20">
        <v>84.0</v>
      </c>
      <c r="BU368" s="11" t="s">
        <v>187</v>
      </c>
    </row>
    <row r="369">
      <c r="A369" s="11" t="s">
        <v>1436</v>
      </c>
      <c r="B369" s="11" t="s">
        <v>78</v>
      </c>
      <c r="C369" s="23">
        <v>45908.0</v>
      </c>
      <c r="D369" s="11" t="s">
        <v>176</v>
      </c>
      <c r="F369" s="11" t="s">
        <v>1440</v>
      </c>
      <c r="G369" s="11" t="s">
        <v>179</v>
      </c>
      <c r="H369" s="11">
        <v>1.0</v>
      </c>
      <c r="I369" s="20">
        <v>500.0</v>
      </c>
      <c r="J369" s="20">
        <v>500.0</v>
      </c>
      <c r="BO369" s="20">
        <v>500.0</v>
      </c>
      <c r="BR369" s="20">
        <v>500.0</v>
      </c>
      <c r="BU369" s="11" t="s">
        <v>187</v>
      </c>
    </row>
    <row r="370">
      <c r="A370" s="11" t="s">
        <v>2843</v>
      </c>
      <c r="B370" s="11" t="s">
        <v>78</v>
      </c>
      <c r="C370" s="23">
        <v>45908.0</v>
      </c>
      <c r="D370" s="11" t="s">
        <v>2509</v>
      </c>
      <c r="F370" s="11" t="s">
        <v>2638</v>
      </c>
      <c r="G370" s="11" t="s">
        <v>1898</v>
      </c>
      <c r="H370" s="11">
        <v>1.0</v>
      </c>
      <c r="I370" s="20">
        <v>130.5</v>
      </c>
      <c r="J370" s="20">
        <v>130.5</v>
      </c>
      <c r="BO370" s="20">
        <v>130.5</v>
      </c>
      <c r="BR370" s="20">
        <v>130.5</v>
      </c>
      <c r="BU370" s="11" t="s">
        <v>187</v>
      </c>
    </row>
    <row r="371">
      <c r="A371" s="11" t="s">
        <v>2159</v>
      </c>
      <c r="B371" s="11" t="s">
        <v>78</v>
      </c>
      <c r="C371" s="23">
        <v>45908.0</v>
      </c>
      <c r="D371" s="20">
        <v>3.6037127E7</v>
      </c>
      <c r="F371" s="11" t="s">
        <v>2162</v>
      </c>
      <c r="G371" s="11" t="s">
        <v>1726</v>
      </c>
      <c r="H371" s="11">
        <v>1.0</v>
      </c>
      <c r="I371" s="20">
        <v>120.0</v>
      </c>
      <c r="J371" s="20">
        <v>120.0</v>
      </c>
      <c r="BO371" s="20">
        <v>120.0</v>
      </c>
      <c r="BR371" s="20">
        <v>120.0</v>
      </c>
      <c r="BU371" s="11" t="s">
        <v>187</v>
      </c>
    </row>
    <row r="372">
      <c r="A372" s="11" t="s">
        <v>971</v>
      </c>
      <c r="B372" s="11" t="s">
        <v>78</v>
      </c>
      <c r="C372" s="23">
        <v>45908.0</v>
      </c>
      <c r="D372" s="11" t="s">
        <v>547</v>
      </c>
      <c r="F372" s="11" t="s">
        <v>973</v>
      </c>
      <c r="G372" s="11" t="s">
        <v>975</v>
      </c>
      <c r="H372" s="11">
        <v>1.0</v>
      </c>
      <c r="I372" s="20">
        <v>1045.0</v>
      </c>
      <c r="J372" s="20">
        <v>1045.0</v>
      </c>
      <c r="BO372" s="20">
        <v>1045.0</v>
      </c>
      <c r="BR372" s="20">
        <v>1045.0</v>
      </c>
      <c r="BU372" s="11" t="s">
        <v>187</v>
      </c>
    </row>
    <row r="373">
      <c r="A373" s="11" t="s">
        <v>4245</v>
      </c>
      <c r="B373" s="11" t="s">
        <v>78</v>
      </c>
      <c r="C373" s="23">
        <v>45910.0</v>
      </c>
      <c r="D373" s="11" t="s">
        <v>4249</v>
      </c>
      <c r="F373" s="11" t="s">
        <v>4251</v>
      </c>
      <c r="G373" s="11" t="s">
        <v>1392</v>
      </c>
      <c r="H373" s="11">
        <v>1.0</v>
      </c>
      <c r="I373" s="20">
        <v>350.0</v>
      </c>
      <c r="J373" s="20">
        <v>350.0</v>
      </c>
      <c r="BO373" s="20">
        <v>350.0</v>
      </c>
      <c r="BR373" s="20">
        <v>350.0</v>
      </c>
      <c r="BU373" s="11" t="s">
        <v>235</v>
      </c>
    </row>
    <row r="374">
      <c r="A374" s="11" t="s">
        <v>2798</v>
      </c>
      <c r="B374" s="11" t="s">
        <v>78</v>
      </c>
      <c r="C374" s="23">
        <v>45910.0</v>
      </c>
      <c r="D374" s="11" t="s">
        <v>1676</v>
      </c>
      <c r="F374" s="11" t="s">
        <v>2802</v>
      </c>
      <c r="G374" s="11" t="s">
        <v>1902</v>
      </c>
      <c r="H374" s="11">
        <v>1.0</v>
      </c>
      <c r="I374" s="20">
        <v>1419.64</v>
      </c>
      <c r="J374" s="20">
        <v>1419.64</v>
      </c>
      <c r="BO374" s="20">
        <v>1419.64</v>
      </c>
      <c r="BR374" s="20">
        <v>1419.64</v>
      </c>
      <c r="BU374" s="11" t="s">
        <v>187</v>
      </c>
    </row>
    <row r="375">
      <c r="A375" s="11" t="s">
        <v>4270</v>
      </c>
      <c r="B375" s="11" t="s">
        <v>78</v>
      </c>
      <c r="C375" s="23">
        <v>45910.0</v>
      </c>
      <c r="D375" s="11" t="s">
        <v>2535</v>
      </c>
      <c r="F375" s="11" t="s">
        <v>2638</v>
      </c>
      <c r="G375" s="11" t="s">
        <v>1906</v>
      </c>
      <c r="H375" s="11">
        <v>1.0</v>
      </c>
      <c r="I375" s="20">
        <v>59.45</v>
      </c>
      <c r="J375" s="20">
        <v>59.45</v>
      </c>
      <c r="BO375" s="20">
        <v>59.45</v>
      </c>
      <c r="BR375" s="20">
        <v>59.45</v>
      </c>
      <c r="BU375" s="11" t="s">
        <v>187</v>
      </c>
    </row>
    <row r="376">
      <c r="A376" s="11" t="s">
        <v>4281</v>
      </c>
      <c r="B376" s="11" t="s">
        <v>78</v>
      </c>
      <c r="C376" s="23">
        <v>45910.0</v>
      </c>
      <c r="D376" s="11" t="s">
        <v>237</v>
      </c>
      <c r="F376" s="11" t="s">
        <v>4286</v>
      </c>
      <c r="G376" s="11" t="s">
        <v>788</v>
      </c>
      <c r="H376" s="11">
        <v>1.0</v>
      </c>
      <c r="I376" s="20">
        <v>711.43</v>
      </c>
      <c r="J376" s="20">
        <v>711.43</v>
      </c>
      <c r="BO376" s="20">
        <v>711.43</v>
      </c>
      <c r="BR376" s="20">
        <v>711.43</v>
      </c>
      <c r="BU376" s="11" t="s">
        <v>187</v>
      </c>
    </row>
    <row r="377">
      <c r="A377" s="11" t="s">
        <v>960</v>
      </c>
      <c r="B377" s="11" t="s">
        <v>78</v>
      </c>
      <c r="C377" s="23">
        <v>45910.0</v>
      </c>
      <c r="D377" s="11" t="s">
        <v>547</v>
      </c>
      <c r="F377" s="11" t="s">
        <v>964</v>
      </c>
      <c r="G377" s="11" t="s">
        <v>648</v>
      </c>
      <c r="H377" s="11">
        <v>1.0</v>
      </c>
      <c r="I377" s="20">
        <v>625.0</v>
      </c>
      <c r="J377" s="20">
        <v>625.0</v>
      </c>
      <c r="BO377" s="20">
        <v>625.0</v>
      </c>
      <c r="BR377" s="20">
        <v>625.0</v>
      </c>
      <c r="BU377" s="11" t="s">
        <v>187</v>
      </c>
    </row>
    <row r="378">
      <c r="A378" s="11" t="s">
        <v>950</v>
      </c>
      <c r="B378" s="11" t="s">
        <v>78</v>
      </c>
      <c r="C378" s="23">
        <v>45910.0</v>
      </c>
      <c r="D378" s="11" t="s">
        <v>547</v>
      </c>
      <c r="F378" s="11" t="s">
        <v>955</v>
      </c>
      <c r="G378" s="11" t="s">
        <v>957</v>
      </c>
      <c r="H378" s="11">
        <v>1.0</v>
      </c>
      <c r="I378" s="20">
        <v>375.0</v>
      </c>
      <c r="J378" s="20">
        <v>375.0</v>
      </c>
      <c r="BO378" s="20">
        <v>375.0</v>
      </c>
      <c r="BR378" s="20">
        <v>375.0</v>
      </c>
      <c r="BU378" s="11" t="s">
        <v>187</v>
      </c>
    </row>
    <row r="379">
      <c r="A379" s="11" t="s">
        <v>1207</v>
      </c>
      <c r="B379" s="11" t="s">
        <v>78</v>
      </c>
      <c r="C379" s="23">
        <v>45910.0</v>
      </c>
      <c r="D379" s="11" t="s">
        <v>192</v>
      </c>
      <c r="F379" s="11" t="s">
        <v>195</v>
      </c>
      <c r="G379" s="11" t="s">
        <v>196</v>
      </c>
      <c r="H379" s="11">
        <v>1.0</v>
      </c>
      <c r="I379" s="20">
        <v>2500.0</v>
      </c>
      <c r="J379" s="20">
        <v>2500.0</v>
      </c>
      <c r="BO379" s="20">
        <v>2500.0</v>
      </c>
      <c r="BR379" s="20">
        <v>2500.0</v>
      </c>
      <c r="BU379" s="11" t="s">
        <v>187</v>
      </c>
    </row>
    <row r="380">
      <c r="A380" s="11" t="s">
        <v>1214</v>
      </c>
      <c r="B380" s="11" t="s">
        <v>78</v>
      </c>
      <c r="C380" s="23">
        <v>45910.0</v>
      </c>
      <c r="D380" s="11" t="s">
        <v>1217</v>
      </c>
      <c r="F380" s="11" t="s">
        <v>1218</v>
      </c>
      <c r="G380" s="11" t="s">
        <v>502</v>
      </c>
      <c r="H380" s="11">
        <v>1.0</v>
      </c>
      <c r="I380" s="20">
        <v>131.9</v>
      </c>
      <c r="J380" s="20">
        <v>131.9</v>
      </c>
      <c r="BO380" s="20">
        <v>131.9</v>
      </c>
      <c r="BR380" s="20">
        <v>131.9</v>
      </c>
      <c r="BU380" s="11" t="s">
        <v>187</v>
      </c>
    </row>
    <row r="381">
      <c r="A381" s="11" t="s">
        <v>1493</v>
      </c>
      <c r="B381" s="11" t="s">
        <v>78</v>
      </c>
      <c r="C381" s="23">
        <v>45910.0</v>
      </c>
      <c r="D381" s="11" t="s">
        <v>415</v>
      </c>
      <c r="F381" s="11" t="s">
        <v>4356</v>
      </c>
      <c r="G381" s="11" t="s">
        <v>1497</v>
      </c>
      <c r="H381" s="11">
        <v>1.0</v>
      </c>
      <c r="I381" s="20">
        <v>253.0</v>
      </c>
      <c r="J381" s="20">
        <v>253.0</v>
      </c>
      <c r="BO381" s="20">
        <v>253.0</v>
      </c>
      <c r="BR381" s="20">
        <v>253.0</v>
      </c>
      <c r="BU381" s="11" t="s">
        <v>187</v>
      </c>
    </row>
    <row r="382">
      <c r="A382" s="11" t="s">
        <v>2985</v>
      </c>
      <c r="B382" s="11" t="s">
        <v>78</v>
      </c>
      <c r="C382" s="23">
        <v>45915.0</v>
      </c>
      <c r="D382" s="11" t="s">
        <v>1046</v>
      </c>
      <c r="F382" s="11" t="s">
        <v>2638</v>
      </c>
      <c r="G382" s="11" t="s">
        <v>1936</v>
      </c>
      <c r="H382" s="11">
        <v>1.0</v>
      </c>
      <c r="I382" s="20">
        <v>725.51</v>
      </c>
      <c r="J382" s="20">
        <v>725.51</v>
      </c>
      <c r="BO382" s="20">
        <v>725.51</v>
      </c>
      <c r="BR382" s="20">
        <v>725.51</v>
      </c>
      <c r="BU382" s="11" t="s">
        <v>187</v>
      </c>
    </row>
    <row r="383">
      <c r="A383" s="11" t="s">
        <v>2634</v>
      </c>
      <c r="B383" s="11" t="s">
        <v>78</v>
      </c>
      <c r="C383" s="23">
        <v>45915.0</v>
      </c>
      <c r="D383" s="11" t="s">
        <v>1046</v>
      </c>
      <c r="F383" s="11" t="s">
        <v>2638</v>
      </c>
      <c r="G383" s="11" t="s">
        <v>1944</v>
      </c>
      <c r="H383" s="11">
        <v>1.0</v>
      </c>
      <c r="I383" s="20">
        <v>621.01</v>
      </c>
      <c r="J383" s="20">
        <v>621.01</v>
      </c>
      <c r="BO383" s="20">
        <v>621.01</v>
      </c>
      <c r="BR383" s="20">
        <v>621.01</v>
      </c>
      <c r="BU383" s="11" t="s">
        <v>187</v>
      </c>
    </row>
    <row r="384">
      <c r="A384" s="11" t="s">
        <v>4389</v>
      </c>
      <c r="B384" s="11" t="s">
        <v>78</v>
      </c>
      <c r="C384" s="23">
        <v>45917.0</v>
      </c>
      <c r="D384" s="11" t="s">
        <v>4392</v>
      </c>
      <c r="F384" s="11" t="s">
        <v>4394</v>
      </c>
      <c r="G384" s="11" t="s">
        <v>609</v>
      </c>
      <c r="H384" s="11">
        <v>1.0</v>
      </c>
      <c r="I384" s="20">
        <v>910.0</v>
      </c>
      <c r="J384" s="20">
        <v>910.0</v>
      </c>
      <c r="BO384" s="20">
        <v>910.0</v>
      </c>
      <c r="BR384" s="20">
        <v>910.0</v>
      </c>
      <c r="BU384" s="11" t="s">
        <v>235</v>
      </c>
    </row>
    <row r="385">
      <c r="A385" s="11" t="s">
        <v>4404</v>
      </c>
      <c r="B385" s="11" t="s">
        <v>78</v>
      </c>
      <c r="C385" s="23">
        <v>45917.0</v>
      </c>
      <c r="F385" s="11" t="s">
        <v>4407</v>
      </c>
      <c r="G385" s="11" t="s">
        <v>1944</v>
      </c>
      <c r="H385" s="11">
        <v>1.0</v>
      </c>
      <c r="I385" s="20">
        <v>743.76</v>
      </c>
      <c r="J385" s="20">
        <v>743.76</v>
      </c>
      <c r="BO385" s="20">
        <v>743.76</v>
      </c>
      <c r="BR385" s="20">
        <v>743.76</v>
      </c>
      <c r="BU385" s="11" t="s">
        <v>187</v>
      </c>
      <c r="BV385" s="11" t="s">
        <v>2055</v>
      </c>
    </row>
    <row r="386">
      <c r="A386" s="11" t="s">
        <v>1554</v>
      </c>
      <c r="B386" s="11" t="s">
        <v>78</v>
      </c>
      <c r="C386" s="23">
        <v>45917.0</v>
      </c>
      <c r="D386" s="11" t="s">
        <v>1046</v>
      </c>
      <c r="F386" s="11" t="s">
        <v>1557</v>
      </c>
      <c r="G386" s="11" t="s">
        <v>1049</v>
      </c>
      <c r="H386" s="11">
        <v>1.0</v>
      </c>
      <c r="I386" s="20">
        <v>6977.93</v>
      </c>
      <c r="J386" s="20">
        <v>6977.93</v>
      </c>
      <c r="BO386" s="20">
        <v>6977.93</v>
      </c>
      <c r="BR386" s="20">
        <v>6977.93</v>
      </c>
      <c r="BU386" s="11" t="s">
        <v>187</v>
      </c>
    </row>
    <row r="387">
      <c r="A387" s="11" t="s">
        <v>4428</v>
      </c>
      <c r="B387" s="11" t="s">
        <v>78</v>
      </c>
      <c r="C387" s="23">
        <v>45918.0</v>
      </c>
      <c r="F387" s="11" t="s">
        <v>4432</v>
      </c>
      <c r="G387" s="11" t="s">
        <v>376</v>
      </c>
      <c r="H387" s="11">
        <v>1.0</v>
      </c>
      <c r="I387" s="20">
        <v>5086.39</v>
      </c>
      <c r="J387" s="20">
        <v>5086.39</v>
      </c>
      <c r="BO387" s="20">
        <v>5086.39</v>
      </c>
      <c r="BR387" s="20">
        <v>5086.39</v>
      </c>
      <c r="BU387" s="11" t="s">
        <v>187</v>
      </c>
      <c r="BV387" s="11" t="s">
        <v>2055</v>
      </c>
    </row>
    <row r="388">
      <c r="A388" s="11" t="s">
        <v>4443</v>
      </c>
      <c r="B388" s="11" t="s">
        <v>78</v>
      </c>
      <c r="C388" s="23">
        <v>45922.0</v>
      </c>
      <c r="D388" s="11" t="s">
        <v>237</v>
      </c>
      <c r="F388" s="11" t="s">
        <v>4448</v>
      </c>
      <c r="G388" s="11" t="s">
        <v>788</v>
      </c>
      <c r="H388" s="11">
        <v>1.0</v>
      </c>
      <c r="I388" s="20">
        <v>1603.96</v>
      </c>
      <c r="J388" s="20">
        <v>1603.96</v>
      </c>
      <c r="BO388" s="20">
        <v>1603.96</v>
      </c>
      <c r="BR388" s="20">
        <v>1603.96</v>
      </c>
      <c r="BU388" s="11" t="s">
        <v>187</v>
      </c>
    </row>
    <row r="389">
      <c r="A389" s="11" t="s">
        <v>4456</v>
      </c>
      <c r="B389" s="11" t="s">
        <v>78</v>
      </c>
      <c r="C389" s="23">
        <v>45922.0</v>
      </c>
      <c r="D389" s="11" t="s">
        <v>237</v>
      </c>
      <c r="F389" s="11" t="s">
        <v>4460</v>
      </c>
      <c r="G389" s="11" t="s">
        <v>788</v>
      </c>
      <c r="H389" s="11">
        <v>1.0</v>
      </c>
      <c r="I389" s="20">
        <v>490.01</v>
      </c>
      <c r="J389" s="20">
        <v>490.01</v>
      </c>
      <c r="BO389" s="20">
        <v>490.01</v>
      </c>
      <c r="BR389" s="20">
        <v>490.01</v>
      </c>
      <c r="BU389" s="11" t="s">
        <v>187</v>
      </c>
    </row>
    <row r="390">
      <c r="A390" s="11" t="s">
        <v>4473</v>
      </c>
      <c r="B390" s="11" t="s">
        <v>78</v>
      </c>
      <c r="C390" s="23">
        <v>45922.0</v>
      </c>
      <c r="D390" s="11" t="s">
        <v>176</v>
      </c>
      <c r="F390" s="11" t="s">
        <v>4479</v>
      </c>
      <c r="G390" s="11" t="s">
        <v>4481</v>
      </c>
      <c r="H390" s="11">
        <v>1.0</v>
      </c>
      <c r="I390" s="20">
        <v>179.0</v>
      </c>
      <c r="J390" s="20">
        <v>179.0</v>
      </c>
      <c r="BO390" s="20">
        <v>179.0</v>
      </c>
      <c r="BR390" s="20">
        <v>179.0</v>
      </c>
      <c r="BU390" s="11" t="s">
        <v>187</v>
      </c>
    </row>
    <row r="391">
      <c r="A391" s="11" t="s">
        <v>4487</v>
      </c>
      <c r="B391" s="11" t="s">
        <v>78</v>
      </c>
      <c r="C391" s="23">
        <v>45925.0</v>
      </c>
      <c r="D391" s="11" t="s">
        <v>4492</v>
      </c>
      <c r="F391" s="11" t="s">
        <v>4494</v>
      </c>
      <c r="G391" s="11" t="s">
        <v>4495</v>
      </c>
      <c r="H391" s="11">
        <v>1.0</v>
      </c>
      <c r="I391" s="20">
        <v>204.0</v>
      </c>
      <c r="J391" s="20">
        <v>204.0</v>
      </c>
      <c r="BO391" s="20">
        <v>204.0</v>
      </c>
      <c r="BR391" s="20">
        <v>204.0</v>
      </c>
      <c r="BU391" s="11" t="s">
        <v>187</v>
      </c>
    </row>
    <row r="392">
      <c r="A392" s="11" t="s">
        <v>4505</v>
      </c>
      <c r="B392" s="11" t="s">
        <v>78</v>
      </c>
      <c r="C392" s="23">
        <v>45929.0</v>
      </c>
      <c r="D392" s="11" t="s">
        <v>4510</v>
      </c>
      <c r="F392" s="11" t="s">
        <v>4512</v>
      </c>
      <c r="G392" s="11" t="s">
        <v>419</v>
      </c>
      <c r="H392" s="11">
        <v>1.0</v>
      </c>
      <c r="I392" s="20">
        <v>0.0</v>
      </c>
      <c r="J392" s="20">
        <v>0.0</v>
      </c>
      <c r="BO392" s="20">
        <v>0.0</v>
      </c>
      <c r="BR392" s="20">
        <v>0.0</v>
      </c>
      <c r="BU392" s="11" t="s">
        <v>187</v>
      </c>
    </row>
    <row r="393">
      <c r="A393" s="11" t="s">
        <v>677</v>
      </c>
      <c r="B393" s="11" t="s">
        <v>78</v>
      </c>
      <c r="C393" s="23">
        <v>45929.0</v>
      </c>
      <c r="F393" s="11" t="s">
        <v>681</v>
      </c>
      <c r="G393" s="11" t="s">
        <v>376</v>
      </c>
      <c r="H393" s="11">
        <v>1.0</v>
      </c>
      <c r="I393" s="20">
        <v>3498.0</v>
      </c>
      <c r="J393" s="20">
        <v>3498.0</v>
      </c>
      <c r="BO393" s="20">
        <v>3498.0</v>
      </c>
      <c r="BR393" s="20">
        <v>3498.0</v>
      </c>
      <c r="BU393" s="11" t="s">
        <v>187</v>
      </c>
      <c r="BV393" s="11" t="s">
        <v>685</v>
      </c>
    </row>
    <row r="394">
      <c r="A394" s="11" t="s">
        <v>686</v>
      </c>
      <c r="B394" s="11" t="s">
        <v>78</v>
      </c>
      <c r="C394" s="23">
        <v>45929.0</v>
      </c>
      <c r="F394" s="11" t="s">
        <v>687</v>
      </c>
      <c r="G394" s="11" t="s">
        <v>376</v>
      </c>
      <c r="H394" s="11">
        <v>1.0</v>
      </c>
      <c r="I394" s="20">
        <v>292.0</v>
      </c>
      <c r="J394" s="20">
        <v>292.0</v>
      </c>
      <c r="BO394" s="20">
        <v>292.0</v>
      </c>
      <c r="BR394" s="20">
        <v>292.0</v>
      </c>
      <c r="BU394" s="11" t="s">
        <v>187</v>
      </c>
      <c r="BV394" s="11" t="s">
        <v>3675</v>
      </c>
    </row>
    <row r="395">
      <c r="A395" s="11" t="s">
        <v>694</v>
      </c>
      <c r="B395" s="11" t="s">
        <v>78</v>
      </c>
      <c r="C395" s="23">
        <v>45929.0</v>
      </c>
      <c r="F395" s="11" t="s">
        <v>687</v>
      </c>
      <c r="G395" s="11" t="s">
        <v>376</v>
      </c>
      <c r="H395" s="11">
        <v>1.0</v>
      </c>
      <c r="I395" s="20">
        <v>292.0</v>
      </c>
      <c r="J395" s="20">
        <v>292.0</v>
      </c>
      <c r="BO395" s="20">
        <v>292.0</v>
      </c>
      <c r="BR395" s="20">
        <v>292.0</v>
      </c>
      <c r="BU395" s="11" t="s">
        <v>187</v>
      </c>
      <c r="BV395" s="11" t="s">
        <v>704</v>
      </c>
    </row>
    <row r="396">
      <c r="A396" s="11" t="s">
        <v>1010</v>
      </c>
      <c r="B396" s="11" t="s">
        <v>78</v>
      </c>
      <c r="C396" s="23">
        <v>45929.0</v>
      </c>
      <c r="D396" s="11" t="s">
        <v>415</v>
      </c>
      <c r="F396" s="11" t="s">
        <v>1015</v>
      </c>
      <c r="G396" s="11" t="s">
        <v>1017</v>
      </c>
      <c r="H396" s="11">
        <v>1.0</v>
      </c>
      <c r="I396" s="20">
        <v>22.0</v>
      </c>
      <c r="J396" s="20">
        <v>22.0</v>
      </c>
      <c r="BO396" s="20">
        <v>22.0</v>
      </c>
      <c r="BR396" s="20">
        <v>22.0</v>
      </c>
      <c r="BU396" s="11" t="s">
        <v>187</v>
      </c>
    </row>
    <row r="397">
      <c r="A397" s="11" t="s">
        <v>1020</v>
      </c>
      <c r="B397" s="11" t="s">
        <v>78</v>
      </c>
      <c r="C397" s="23">
        <v>45929.0</v>
      </c>
      <c r="D397" s="11" t="s">
        <v>415</v>
      </c>
      <c r="F397" s="11" t="s">
        <v>1022</v>
      </c>
      <c r="G397" s="11" t="s">
        <v>1023</v>
      </c>
      <c r="H397" s="11">
        <v>1.0</v>
      </c>
      <c r="I397" s="20">
        <v>10.0</v>
      </c>
      <c r="J397" s="20">
        <v>10.0</v>
      </c>
      <c r="BO397" s="20">
        <v>10.0</v>
      </c>
      <c r="BR397" s="20">
        <v>10.0</v>
      </c>
      <c r="BU397" s="11" t="s">
        <v>187</v>
      </c>
    </row>
    <row r="398">
      <c r="A398" s="11" t="s">
        <v>1976</v>
      </c>
      <c r="B398" s="11" t="s">
        <v>78</v>
      </c>
      <c r="C398" s="23">
        <v>45929.0</v>
      </c>
      <c r="D398" s="11" t="s">
        <v>629</v>
      </c>
      <c r="F398" s="11" t="s">
        <v>633</v>
      </c>
      <c r="G398" s="11" t="s">
        <v>1870</v>
      </c>
      <c r="H398" s="11">
        <v>1.0</v>
      </c>
      <c r="I398" s="20">
        <v>1868.97</v>
      </c>
      <c r="J398" s="20">
        <v>1868.97</v>
      </c>
      <c r="BO398" s="20">
        <v>1868.97</v>
      </c>
      <c r="BR398" s="20">
        <v>1868.97</v>
      </c>
      <c r="BU398" s="11" t="s">
        <v>187</v>
      </c>
    </row>
    <row r="399">
      <c r="A399" s="11" t="s">
        <v>4588</v>
      </c>
      <c r="B399" s="11" t="s">
        <v>78</v>
      </c>
      <c r="C399" s="23">
        <v>45929.0</v>
      </c>
      <c r="D399" s="11" t="s">
        <v>451</v>
      </c>
      <c r="F399" s="11" t="s">
        <v>4592</v>
      </c>
      <c r="G399" s="20">
        <v>7.9792017E7</v>
      </c>
      <c r="H399" s="11">
        <v>1.0</v>
      </c>
      <c r="I399" s="20">
        <v>6675.74</v>
      </c>
      <c r="J399" s="20">
        <v>6675.74</v>
      </c>
      <c r="BO399" s="20">
        <v>6675.74</v>
      </c>
      <c r="BR399" s="20">
        <v>6675.74</v>
      </c>
      <c r="BU399" s="11" t="s">
        <v>187</v>
      </c>
    </row>
    <row r="400">
      <c r="A400" s="11" t="s">
        <v>4599</v>
      </c>
      <c r="C400" s="23">
        <v>46174.0</v>
      </c>
      <c r="D400" s="11" t="s">
        <v>4602</v>
      </c>
      <c r="E400" s="11" t="s">
        <v>4604</v>
      </c>
      <c r="F400" s="11" t="s">
        <v>4605</v>
      </c>
      <c r="BP400" s="11" t="s">
        <v>4608</v>
      </c>
      <c r="BS400" s="19" t="s">
        <v>4611</v>
      </c>
      <c r="BT400" s="11" t="b">
        <v>0</v>
      </c>
    </row>
    <row r="401">
      <c r="C401" s="23"/>
    </row>
    <row r="402">
      <c r="C402" s="23"/>
    </row>
    <row r="403">
      <c r="C403" s="23"/>
    </row>
    <row r="404">
      <c r="C404" s="23"/>
    </row>
    <row r="405">
      <c r="C405" s="23"/>
    </row>
    <row r="406">
      <c r="C406" s="23"/>
    </row>
    <row r="407">
      <c r="C407" s="23"/>
    </row>
    <row r="408">
      <c r="C408" s="23"/>
    </row>
    <row r="409">
      <c r="C409" s="23"/>
    </row>
    <row r="410">
      <c r="C410" s="23"/>
    </row>
    <row r="411">
      <c r="C411" s="23"/>
    </row>
    <row r="412">
      <c r="C412" s="23"/>
    </row>
    <row r="413">
      <c r="C413" s="23"/>
    </row>
    <row r="414">
      <c r="C414" s="23"/>
    </row>
    <row r="415">
      <c r="C415" s="23"/>
    </row>
    <row r="416">
      <c r="C416" s="23"/>
    </row>
    <row r="417">
      <c r="C417" s="23"/>
    </row>
    <row r="418">
      <c r="C418" s="23"/>
    </row>
    <row r="419">
      <c r="C419" s="23"/>
    </row>
    <row r="420">
      <c r="C420" s="23"/>
    </row>
    <row r="421">
      <c r="C421" s="23"/>
    </row>
    <row r="422">
      <c r="C422" s="23"/>
    </row>
    <row r="423">
      <c r="C423" s="23"/>
    </row>
    <row r="424">
      <c r="C424" s="23"/>
    </row>
    <row r="425">
      <c r="C425" s="23"/>
    </row>
    <row r="426">
      <c r="C426" s="23"/>
    </row>
    <row r="427">
      <c r="C427" s="23"/>
    </row>
    <row r="428">
      <c r="C428" s="23"/>
    </row>
    <row r="429">
      <c r="C429" s="23"/>
    </row>
    <row r="430">
      <c r="C430" s="23"/>
    </row>
    <row r="431">
      <c r="C431" s="23"/>
    </row>
    <row r="432">
      <c r="C432" s="23"/>
    </row>
    <row r="433">
      <c r="C433" s="23"/>
    </row>
    <row r="434">
      <c r="C434" s="23"/>
    </row>
    <row r="435">
      <c r="C435" s="23"/>
    </row>
    <row r="436">
      <c r="C436" s="23"/>
    </row>
    <row r="437">
      <c r="C437" s="23"/>
    </row>
    <row r="438">
      <c r="C438" s="23"/>
    </row>
    <row r="439">
      <c r="C439" s="23"/>
    </row>
    <row r="440">
      <c r="C440" s="23"/>
    </row>
    <row r="441">
      <c r="C441" s="23"/>
    </row>
    <row r="442">
      <c r="C442" s="23"/>
    </row>
    <row r="443">
      <c r="C443" s="23"/>
    </row>
    <row r="444">
      <c r="C444" s="23"/>
    </row>
    <row r="445">
      <c r="C445" s="23"/>
    </row>
    <row r="446">
      <c r="C446" s="23"/>
    </row>
    <row r="447">
      <c r="C447" s="23"/>
    </row>
    <row r="448">
      <c r="C448" s="23"/>
    </row>
    <row r="449">
      <c r="C449" s="23"/>
    </row>
    <row r="450">
      <c r="C450" s="23"/>
    </row>
    <row r="451">
      <c r="C451" s="23"/>
    </row>
    <row r="452">
      <c r="C452" s="23"/>
    </row>
    <row r="453">
      <c r="C453" s="23"/>
    </row>
    <row r="454">
      <c r="C454" s="23"/>
    </row>
    <row r="455">
      <c r="C455" s="23"/>
    </row>
    <row r="456">
      <c r="C456" s="23"/>
    </row>
    <row r="457">
      <c r="C457" s="23"/>
    </row>
    <row r="458">
      <c r="C458" s="23"/>
    </row>
    <row r="459">
      <c r="C459" s="23"/>
    </row>
    <row r="460">
      <c r="C460" s="23"/>
    </row>
    <row r="461">
      <c r="C461" s="23"/>
    </row>
    <row r="462">
      <c r="C462" s="23"/>
    </row>
    <row r="463">
      <c r="C463" s="23"/>
    </row>
    <row r="464">
      <c r="C464" s="23"/>
    </row>
    <row r="465">
      <c r="C465" s="23"/>
    </row>
    <row r="466">
      <c r="C466" s="23"/>
    </row>
    <row r="467">
      <c r="C467" s="23"/>
    </row>
    <row r="468">
      <c r="C468" s="23"/>
    </row>
    <row r="469">
      <c r="C469" s="23"/>
    </row>
    <row r="470">
      <c r="C470" s="23"/>
    </row>
    <row r="471">
      <c r="C471" s="23"/>
    </row>
    <row r="472">
      <c r="C472" s="23"/>
    </row>
    <row r="473">
      <c r="C473" s="23"/>
    </row>
    <row r="474">
      <c r="C474" s="23"/>
    </row>
    <row r="475">
      <c r="C475" s="23"/>
    </row>
    <row r="476">
      <c r="C476" s="23"/>
    </row>
    <row r="477">
      <c r="C477" s="23"/>
    </row>
    <row r="478">
      <c r="C478" s="23"/>
    </row>
    <row r="479">
      <c r="C479" s="23"/>
    </row>
    <row r="480">
      <c r="C480" s="23"/>
    </row>
    <row r="481">
      <c r="C481" s="23"/>
    </row>
    <row r="482">
      <c r="C482" s="23"/>
    </row>
    <row r="483">
      <c r="C483" s="23"/>
    </row>
    <row r="484">
      <c r="C484" s="23"/>
    </row>
    <row r="485">
      <c r="C485" s="23"/>
    </row>
    <row r="486">
      <c r="C486" s="23"/>
    </row>
    <row r="487">
      <c r="C487" s="23"/>
    </row>
    <row r="488">
      <c r="C488" s="23"/>
    </row>
    <row r="489">
      <c r="C489" s="23"/>
    </row>
    <row r="490">
      <c r="C490" s="23"/>
    </row>
    <row r="491">
      <c r="C491" s="23"/>
    </row>
    <row r="492">
      <c r="C492" s="23"/>
    </row>
    <row r="493">
      <c r="C493" s="23"/>
    </row>
    <row r="494">
      <c r="C494" s="23"/>
    </row>
    <row r="495">
      <c r="C495" s="23"/>
    </row>
    <row r="496">
      <c r="C496" s="23"/>
    </row>
    <row r="497">
      <c r="C497" s="23"/>
    </row>
    <row r="498">
      <c r="C498" s="23"/>
    </row>
    <row r="499">
      <c r="C499" s="23"/>
    </row>
    <row r="500">
      <c r="C500" s="23"/>
    </row>
    <row r="501">
      <c r="C501" s="23"/>
    </row>
    <row r="502">
      <c r="C502" s="23"/>
    </row>
    <row r="503">
      <c r="C503" s="23"/>
    </row>
    <row r="504">
      <c r="C504" s="23"/>
    </row>
    <row r="505">
      <c r="C505" s="23"/>
    </row>
    <row r="506">
      <c r="C506" s="23"/>
    </row>
    <row r="507">
      <c r="C507" s="23"/>
    </row>
    <row r="508">
      <c r="C508" s="23"/>
    </row>
    <row r="509">
      <c r="C509" s="23"/>
    </row>
    <row r="510">
      <c r="C510" s="23"/>
    </row>
    <row r="511">
      <c r="C511" s="23"/>
    </row>
    <row r="512">
      <c r="C512" s="23"/>
    </row>
    <row r="513">
      <c r="C513" s="23"/>
    </row>
    <row r="514">
      <c r="C514" s="23"/>
    </row>
    <row r="515">
      <c r="C515" s="23"/>
    </row>
    <row r="516">
      <c r="C516" s="23"/>
    </row>
    <row r="517">
      <c r="C517" s="23"/>
    </row>
    <row r="518">
      <c r="C518" s="23"/>
    </row>
    <row r="519">
      <c r="C519" s="23"/>
    </row>
    <row r="520">
      <c r="C520" s="23"/>
    </row>
    <row r="521">
      <c r="C521" s="23"/>
    </row>
    <row r="522">
      <c r="C522" s="23"/>
    </row>
    <row r="523">
      <c r="C523" s="23"/>
    </row>
    <row r="524">
      <c r="C524" s="23"/>
    </row>
    <row r="525">
      <c r="C525" s="23"/>
    </row>
    <row r="526">
      <c r="C526" s="23"/>
    </row>
    <row r="527">
      <c r="C527" s="23"/>
    </row>
    <row r="528">
      <c r="C528" s="23"/>
    </row>
    <row r="529">
      <c r="C529" s="23"/>
    </row>
    <row r="530">
      <c r="C530" s="23"/>
    </row>
    <row r="531">
      <c r="C531" s="23"/>
    </row>
    <row r="532">
      <c r="C532" s="23"/>
    </row>
    <row r="533">
      <c r="C533" s="23"/>
    </row>
    <row r="534">
      <c r="C534" s="23"/>
    </row>
    <row r="535">
      <c r="C535" s="23"/>
    </row>
    <row r="536">
      <c r="C536" s="23"/>
    </row>
    <row r="537">
      <c r="C537" s="23"/>
    </row>
    <row r="538">
      <c r="C538" s="23"/>
    </row>
    <row r="539">
      <c r="C539" s="23"/>
    </row>
    <row r="540">
      <c r="C540" s="23"/>
    </row>
    <row r="541">
      <c r="C541" s="23"/>
    </row>
    <row r="542">
      <c r="C542" s="23"/>
    </row>
    <row r="543">
      <c r="C543" s="23"/>
    </row>
    <row r="544">
      <c r="C544" s="23"/>
    </row>
    <row r="545">
      <c r="C545" s="23"/>
    </row>
    <row r="546">
      <c r="C546" s="23"/>
    </row>
    <row r="547">
      <c r="C547" s="23"/>
    </row>
    <row r="548">
      <c r="C548" s="23"/>
    </row>
    <row r="549">
      <c r="C549" s="23"/>
    </row>
    <row r="550">
      <c r="C550" s="23"/>
    </row>
    <row r="551">
      <c r="C551" s="23"/>
    </row>
    <row r="552">
      <c r="C552" s="23"/>
    </row>
    <row r="553">
      <c r="C553" s="23"/>
    </row>
    <row r="554">
      <c r="C554" s="23"/>
    </row>
    <row r="555">
      <c r="C555" s="23"/>
    </row>
    <row r="556">
      <c r="C556" s="23"/>
    </row>
    <row r="557">
      <c r="C557" s="23"/>
    </row>
    <row r="558">
      <c r="C558" s="23"/>
    </row>
    <row r="559">
      <c r="C559" s="23"/>
    </row>
    <row r="560">
      <c r="C560" s="23"/>
    </row>
    <row r="561">
      <c r="C561" s="23"/>
    </row>
    <row r="562">
      <c r="C562" s="23"/>
    </row>
    <row r="563">
      <c r="C563" s="23"/>
    </row>
    <row r="564">
      <c r="C564" s="23"/>
    </row>
    <row r="565">
      <c r="C565" s="23"/>
    </row>
    <row r="566">
      <c r="C566" s="23"/>
    </row>
    <row r="567">
      <c r="C567" s="23"/>
    </row>
    <row r="568">
      <c r="C568" s="23"/>
    </row>
    <row r="569">
      <c r="C569" s="23"/>
    </row>
    <row r="570">
      <c r="C570" s="23"/>
    </row>
    <row r="571">
      <c r="C571" s="23"/>
    </row>
    <row r="572">
      <c r="C572" s="23"/>
    </row>
    <row r="573">
      <c r="C573" s="23"/>
    </row>
    <row r="574">
      <c r="C574" s="23"/>
    </row>
    <row r="575">
      <c r="C575" s="23"/>
    </row>
    <row r="576">
      <c r="C576" s="23"/>
    </row>
    <row r="577">
      <c r="C577" s="23"/>
    </row>
    <row r="578">
      <c r="C578" s="23"/>
    </row>
    <row r="579">
      <c r="C579" s="23"/>
    </row>
    <row r="580">
      <c r="C580" s="23"/>
    </row>
    <row r="581">
      <c r="C581" s="23"/>
    </row>
    <row r="582">
      <c r="C582" s="23"/>
    </row>
    <row r="583">
      <c r="C583" s="23"/>
    </row>
    <row r="584">
      <c r="C584" s="23"/>
    </row>
    <row r="585">
      <c r="C585" s="23"/>
    </row>
    <row r="586">
      <c r="C586" s="23"/>
    </row>
    <row r="587">
      <c r="C587" s="23"/>
    </row>
    <row r="588">
      <c r="C588" s="23"/>
    </row>
    <row r="589">
      <c r="C589" s="23"/>
    </row>
    <row r="590">
      <c r="C590" s="23"/>
    </row>
    <row r="591">
      <c r="C591" s="23"/>
    </row>
    <row r="592">
      <c r="C592" s="23"/>
    </row>
    <row r="593">
      <c r="C593" s="23"/>
    </row>
    <row r="594">
      <c r="C594" s="23"/>
    </row>
    <row r="595">
      <c r="C595" s="23"/>
    </row>
    <row r="596">
      <c r="C596" s="23"/>
    </row>
    <row r="597">
      <c r="C597" s="23"/>
    </row>
    <row r="598">
      <c r="C598" s="23"/>
    </row>
    <row r="599">
      <c r="C599" s="23"/>
    </row>
    <row r="600">
      <c r="C600" s="23"/>
    </row>
    <row r="601">
      <c r="C601" s="23"/>
    </row>
    <row r="602">
      <c r="C602" s="23"/>
    </row>
    <row r="603">
      <c r="C603" s="23"/>
    </row>
    <row r="604">
      <c r="C604" s="23"/>
    </row>
    <row r="605">
      <c r="C605" s="23"/>
    </row>
    <row r="606">
      <c r="C606" s="23"/>
    </row>
    <row r="607">
      <c r="C607" s="23"/>
    </row>
    <row r="608">
      <c r="C608" s="23"/>
    </row>
    <row r="609">
      <c r="C609" s="23"/>
    </row>
    <row r="610">
      <c r="C610" s="23"/>
    </row>
    <row r="611">
      <c r="C611" s="23"/>
    </row>
    <row r="612">
      <c r="C612" s="23"/>
    </row>
    <row r="613">
      <c r="C613" s="23"/>
    </row>
    <row r="614">
      <c r="C614" s="23"/>
    </row>
    <row r="615">
      <c r="C615" s="23"/>
    </row>
    <row r="616">
      <c r="C616" s="23"/>
    </row>
    <row r="617">
      <c r="C617" s="23"/>
    </row>
    <row r="618">
      <c r="C618" s="23"/>
    </row>
    <row r="619">
      <c r="C619" s="23"/>
    </row>
    <row r="620">
      <c r="C620" s="23"/>
    </row>
    <row r="621">
      <c r="C621" s="23"/>
    </row>
    <row r="622">
      <c r="C622" s="23"/>
    </row>
    <row r="623">
      <c r="C623" s="23"/>
    </row>
    <row r="624">
      <c r="C624" s="23"/>
    </row>
    <row r="625">
      <c r="C625" s="23"/>
    </row>
    <row r="626">
      <c r="C626" s="23"/>
    </row>
    <row r="627">
      <c r="C627" s="23"/>
    </row>
    <row r="628">
      <c r="C628" s="23"/>
    </row>
    <row r="629">
      <c r="C629" s="23"/>
    </row>
    <row r="630">
      <c r="C630" s="23"/>
    </row>
    <row r="631">
      <c r="C631" s="23"/>
    </row>
    <row r="632">
      <c r="C632" s="23"/>
    </row>
    <row r="633">
      <c r="C633" s="23"/>
    </row>
    <row r="634">
      <c r="C634" s="23"/>
    </row>
    <row r="635">
      <c r="C635" s="23"/>
    </row>
    <row r="636">
      <c r="C636" s="23"/>
    </row>
    <row r="637">
      <c r="C637" s="23"/>
    </row>
    <row r="638">
      <c r="C638" s="23"/>
    </row>
    <row r="639">
      <c r="C639" s="23"/>
    </row>
    <row r="640">
      <c r="C640" s="23"/>
    </row>
    <row r="641">
      <c r="C641" s="23"/>
    </row>
    <row r="642">
      <c r="C642" s="23"/>
    </row>
    <row r="643">
      <c r="C643" s="23"/>
    </row>
    <row r="644">
      <c r="C644" s="23"/>
    </row>
    <row r="645">
      <c r="C645" s="23"/>
    </row>
    <row r="646">
      <c r="C646" s="23"/>
    </row>
    <row r="647">
      <c r="C647" s="23"/>
    </row>
    <row r="648">
      <c r="C648" s="23"/>
    </row>
    <row r="649">
      <c r="C649" s="23"/>
    </row>
    <row r="650">
      <c r="C650" s="23"/>
    </row>
    <row r="651">
      <c r="C651" s="23"/>
    </row>
    <row r="652">
      <c r="C652" s="23"/>
    </row>
    <row r="653">
      <c r="C653" s="23"/>
    </row>
    <row r="654">
      <c r="C654" s="23"/>
    </row>
    <row r="655">
      <c r="C655" s="23"/>
    </row>
    <row r="656">
      <c r="C656" s="23"/>
    </row>
    <row r="657">
      <c r="C657" s="23"/>
    </row>
    <row r="658">
      <c r="C658" s="23"/>
    </row>
    <row r="659">
      <c r="C659" s="23"/>
    </row>
    <row r="660">
      <c r="C660" s="23"/>
    </row>
    <row r="661">
      <c r="C661" s="23"/>
    </row>
    <row r="662">
      <c r="C662" s="23"/>
    </row>
    <row r="663">
      <c r="C663" s="23"/>
    </row>
    <row r="664">
      <c r="C664" s="23"/>
    </row>
    <row r="665">
      <c r="C665" s="23"/>
    </row>
    <row r="666">
      <c r="C666" s="23"/>
    </row>
    <row r="667">
      <c r="C667" s="23"/>
    </row>
    <row r="668">
      <c r="C668" s="23"/>
    </row>
    <row r="669">
      <c r="C669" s="23"/>
    </row>
    <row r="670">
      <c r="C670" s="23"/>
    </row>
    <row r="671">
      <c r="C671" s="23"/>
    </row>
    <row r="672">
      <c r="C672" s="23"/>
    </row>
    <row r="673">
      <c r="C673" s="23"/>
    </row>
    <row r="674">
      <c r="C674" s="23"/>
    </row>
    <row r="675">
      <c r="C675" s="23"/>
    </row>
    <row r="676">
      <c r="C676" s="23"/>
    </row>
    <row r="677">
      <c r="C677" s="23"/>
    </row>
    <row r="678">
      <c r="C678" s="23"/>
    </row>
    <row r="679">
      <c r="C679" s="23"/>
    </row>
    <row r="680">
      <c r="C680" s="23"/>
    </row>
    <row r="681">
      <c r="C681" s="23"/>
    </row>
    <row r="682">
      <c r="C682" s="23"/>
    </row>
    <row r="683">
      <c r="C683" s="23"/>
    </row>
    <row r="684">
      <c r="C684" s="23"/>
    </row>
    <row r="685">
      <c r="C685" s="23"/>
    </row>
    <row r="686">
      <c r="C686" s="23"/>
    </row>
    <row r="687">
      <c r="C687" s="23"/>
    </row>
    <row r="688">
      <c r="C688" s="23"/>
    </row>
    <row r="689">
      <c r="C689" s="23"/>
    </row>
    <row r="690">
      <c r="C690" s="23"/>
    </row>
    <row r="691">
      <c r="C691" s="23"/>
    </row>
    <row r="692">
      <c r="C692" s="23"/>
    </row>
    <row r="693">
      <c r="C693" s="23"/>
    </row>
    <row r="694">
      <c r="C694" s="23"/>
    </row>
    <row r="695">
      <c r="C695" s="23"/>
    </row>
    <row r="696">
      <c r="C696" s="23"/>
    </row>
    <row r="697">
      <c r="C697" s="23"/>
    </row>
    <row r="698">
      <c r="C698" s="23"/>
    </row>
    <row r="699">
      <c r="C699" s="23"/>
    </row>
    <row r="700">
      <c r="C700" s="23"/>
    </row>
    <row r="701">
      <c r="C701" s="23"/>
    </row>
    <row r="702">
      <c r="C702" s="23"/>
    </row>
    <row r="703">
      <c r="C703" s="23"/>
    </row>
    <row r="704">
      <c r="C704" s="23"/>
    </row>
    <row r="705">
      <c r="C705" s="23"/>
    </row>
    <row r="706">
      <c r="C706" s="23"/>
    </row>
    <row r="707">
      <c r="C707" s="23"/>
    </row>
    <row r="708">
      <c r="C708" s="23"/>
    </row>
    <row r="709">
      <c r="C709" s="23"/>
    </row>
    <row r="710">
      <c r="C710" s="23"/>
    </row>
    <row r="711">
      <c r="C711" s="23"/>
    </row>
    <row r="712">
      <c r="C712" s="23"/>
    </row>
    <row r="713">
      <c r="C713" s="23"/>
    </row>
    <row r="714">
      <c r="C714" s="23"/>
    </row>
    <row r="715">
      <c r="C715" s="23"/>
    </row>
    <row r="716">
      <c r="C716" s="23"/>
    </row>
    <row r="717">
      <c r="C717" s="23"/>
    </row>
    <row r="718">
      <c r="C718" s="23"/>
    </row>
    <row r="719">
      <c r="C719" s="23"/>
    </row>
    <row r="720">
      <c r="C720" s="23"/>
    </row>
    <row r="721">
      <c r="C721" s="23"/>
    </row>
    <row r="722">
      <c r="C722" s="23"/>
    </row>
    <row r="723">
      <c r="C723" s="23"/>
    </row>
    <row r="724">
      <c r="C724" s="23"/>
    </row>
    <row r="725">
      <c r="C725" s="23"/>
    </row>
    <row r="726">
      <c r="C726" s="23"/>
    </row>
    <row r="727">
      <c r="C727" s="23"/>
    </row>
    <row r="728">
      <c r="C728" s="23"/>
    </row>
    <row r="729">
      <c r="C729" s="23"/>
    </row>
    <row r="730">
      <c r="C730" s="23"/>
    </row>
    <row r="731">
      <c r="C731" s="23"/>
    </row>
    <row r="732">
      <c r="C732" s="23"/>
    </row>
    <row r="733">
      <c r="C733" s="23"/>
    </row>
    <row r="734">
      <c r="C734" s="23"/>
    </row>
    <row r="735">
      <c r="C735" s="23"/>
    </row>
    <row r="736">
      <c r="C736" s="23"/>
    </row>
    <row r="737">
      <c r="C737" s="23"/>
    </row>
    <row r="738">
      <c r="C738" s="23"/>
    </row>
    <row r="739">
      <c r="C739" s="23"/>
    </row>
    <row r="740">
      <c r="C740" s="23"/>
    </row>
    <row r="741">
      <c r="C741" s="23"/>
    </row>
    <row r="742">
      <c r="C742" s="23"/>
    </row>
    <row r="743">
      <c r="C743" s="23"/>
    </row>
    <row r="744">
      <c r="C744" s="23"/>
    </row>
    <row r="745">
      <c r="C745" s="23"/>
    </row>
    <row r="746">
      <c r="C746" s="23"/>
    </row>
    <row r="747">
      <c r="C747" s="23"/>
    </row>
    <row r="748">
      <c r="C748" s="23"/>
    </row>
    <row r="749">
      <c r="C749" s="23"/>
    </row>
    <row r="750">
      <c r="C750" s="23"/>
    </row>
    <row r="751">
      <c r="C751" s="23"/>
    </row>
    <row r="752">
      <c r="C752" s="23"/>
    </row>
    <row r="753">
      <c r="C753" s="23"/>
    </row>
    <row r="754">
      <c r="C754" s="23"/>
    </row>
    <row r="755">
      <c r="C755" s="23"/>
    </row>
    <row r="756">
      <c r="C756" s="23"/>
    </row>
    <row r="757">
      <c r="C757" s="23"/>
    </row>
    <row r="758">
      <c r="C758" s="23"/>
    </row>
    <row r="759">
      <c r="C759" s="23"/>
    </row>
    <row r="760">
      <c r="C760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19</v>
      </c>
      <c r="R1" s="1" t="s">
        <v>20</v>
      </c>
      <c r="S1" s="1" t="s">
        <v>22</v>
      </c>
      <c r="T1" s="1" t="s">
        <v>23</v>
      </c>
      <c r="U1" s="1" t="s">
        <v>25</v>
      </c>
      <c r="V1" s="1" t="s">
        <v>27</v>
      </c>
      <c r="W1" s="1" t="s">
        <v>29</v>
      </c>
      <c r="X1" s="1" t="s">
        <v>30</v>
      </c>
      <c r="Y1" s="1" t="s">
        <v>31</v>
      </c>
      <c r="Z1" s="1" t="s">
        <v>33</v>
      </c>
      <c r="AA1" s="1" t="s">
        <v>35</v>
      </c>
      <c r="AB1" s="1" t="s">
        <v>37</v>
      </c>
      <c r="AC1" s="1" t="s">
        <v>39</v>
      </c>
      <c r="AD1" s="1" t="s">
        <v>40</v>
      </c>
      <c r="AE1" s="1" t="s">
        <v>41</v>
      </c>
      <c r="AF1" s="1" t="s">
        <v>44</v>
      </c>
      <c r="AG1" s="1" t="s">
        <v>46</v>
      </c>
      <c r="AH1" s="1" t="s">
        <v>48</v>
      </c>
      <c r="AI1" s="1" t="s">
        <v>50</v>
      </c>
      <c r="AJ1" s="1" t="s">
        <v>53</v>
      </c>
      <c r="AK1" s="1" t="s">
        <v>54</v>
      </c>
      <c r="AL1" s="1" t="s">
        <v>56</v>
      </c>
      <c r="AM1" s="1" t="s">
        <v>58</v>
      </c>
      <c r="AN1" s="1" t="s">
        <v>60</v>
      </c>
      <c r="AO1" s="1" t="s">
        <v>62</v>
      </c>
      <c r="AP1" s="1" t="s">
        <v>63</v>
      </c>
      <c r="AQ1" s="1" t="s">
        <v>64</v>
      </c>
      <c r="AR1" s="1" t="s">
        <v>65</v>
      </c>
      <c r="AS1" s="1" t="s">
        <v>66</v>
      </c>
      <c r="AT1" s="1" t="s">
        <v>67</v>
      </c>
      <c r="AU1" s="1" t="s">
        <v>69</v>
      </c>
      <c r="AV1" s="1" t="s">
        <v>71</v>
      </c>
      <c r="AW1" s="1" t="s">
        <v>72</v>
      </c>
      <c r="AX1" s="1" t="s">
        <v>74</v>
      </c>
      <c r="AY1" s="1" t="s">
        <v>76</v>
      </c>
      <c r="AZ1" s="1" t="s">
        <v>79</v>
      </c>
      <c r="BA1" s="1" t="s">
        <v>81</v>
      </c>
      <c r="BB1" s="1" t="s">
        <v>84</v>
      </c>
      <c r="BC1" s="1" t="s">
        <v>86</v>
      </c>
      <c r="BD1" s="1" t="s">
        <v>87</v>
      </c>
      <c r="BE1" s="1" t="s">
        <v>89</v>
      </c>
      <c r="BF1" s="1" t="s">
        <v>91</v>
      </c>
      <c r="BG1" s="1" t="s">
        <v>93</v>
      </c>
      <c r="BH1" s="1" t="s">
        <v>94</v>
      </c>
      <c r="BI1" s="1" t="s">
        <v>96</v>
      </c>
      <c r="BJ1" s="1" t="s">
        <v>98</v>
      </c>
      <c r="BK1" s="1" t="s">
        <v>99</v>
      </c>
      <c r="BL1" s="1" t="s">
        <v>102</v>
      </c>
      <c r="BM1" s="1" t="s">
        <v>103</v>
      </c>
      <c r="BN1" s="1" t="s">
        <v>105</v>
      </c>
      <c r="BO1" s="1" t="s">
        <v>107</v>
      </c>
      <c r="BP1" s="1" t="s">
        <v>28</v>
      </c>
      <c r="BQ1" s="1" t="s">
        <v>55</v>
      </c>
      <c r="BR1" s="1" t="s">
        <v>111</v>
      </c>
      <c r="BS1" s="1" t="s">
        <v>1</v>
      </c>
      <c r="BT1" s="1" t="s">
        <v>32</v>
      </c>
      <c r="BU1" s="1" t="s">
        <v>36</v>
      </c>
      <c r="BV1" s="1" t="s">
        <v>38</v>
      </c>
      <c r="BW1" s="1" t="s">
        <v>117</v>
      </c>
      <c r="BX1" s="1" t="s">
        <v>119</v>
      </c>
      <c r="BY1" s="1" t="s">
        <v>121</v>
      </c>
    </row>
    <row r="2">
      <c r="A2" s="11" t="s">
        <v>73</v>
      </c>
      <c r="B2" s="11" t="s">
        <v>78</v>
      </c>
      <c r="C2" s="12">
        <v>45611.0</v>
      </c>
      <c r="D2" s="11" t="s">
        <v>85</v>
      </c>
      <c r="E2" s="11" t="s">
        <v>88</v>
      </c>
      <c r="F2" s="11" t="s">
        <v>92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P2" s="11"/>
      <c r="AT2" s="11"/>
      <c r="AX2" s="11"/>
      <c r="BB2" s="11"/>
      <c r="BF2" s="11"/>
      <c r="BJ2" s="11"/>
      <c r="BN2" s="11"/>
      <c r="BO2" s="11"/>
      <c r="BP2" s="11" t="s">
        <v>90</v>
      </c>
      <c r="BQ2" s="11" t="b">
        <v>0</v>
      </c>
      <c r="BR2" s="11"/>
      <c r="BS2" s="11"/>
      <c r="BT2" s="11" t="b">
        <v>0</v>
      </c>
      <c r="BU2" s="11" t="s">
        <v>95</v>
      </c>
      <c r="BV2" s="11"/>
      <c r="BW2" s="11"/>
      <c r="BX2" s="11"/>
      <c r="BY2" s="11"/>
    </row>
    <row r="3">
      <c r="A3" s="11" t="s">
        <v>100</v>
      </c>
      <c r="B3" s="11" t="s">
        <v>78</v>
      </c>
      <c r="C3" s="12">
        <v>45611.0</v>
      </c>
      <c r="D3" s="11" t="s">
        <v>104</v>
      </c>
      <c r="E3" s="11" t="s">
        <v>106</v>
      </c>
      <c r="F3" s="11" t="s">
        <v>110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P3" s="11"/>
      <c r="AT3" s="11"/>
      <c r="AX3" s="11"/>
      <c r="BB3" s="11"/>
      <c r="BF3" s="11"/>
      <c r="BJ3" s="11"/>
      <c r="BN3" s="11"/>
      <c r="BO3" s="11"/>
      <c r="BP3" s="11" t="s">
        <v>108</v>
      </c>
      <c r="BQ3" s="11" t="b">
        <v>0</v>
      </c>
      <c r="BR3" s="11"/>
      <c r="BS3" s="19" t="s">
        <v>161</v>
      </c>
      <c r="BT3" s="11" t="b">
        <v>1</v>
      </c>
      <c r="BU3" s="11" t="s">
        <v>95</v>
      </c>
      <c r="BV3" s="11"/>
      <c r="BW3" s="11"/>
      <c r="BX3" s="11"/>
      <c r="BY3" s="11"/>
    </row>
    <row r="4">
      <c r="A4" s="11" t="s">
        <v>114</v>
      </c>
      <c r="B4" s="11" t="s">
        <v>78</v>
      </c>
      <c r="C4" s="12">
        <v>45612.0</v>
      </c>
      <c r="D4" s="11" t="s">
        <v>116</v>
      </c>
      <c r="E4" s="11" t="s">
        <v>118</v>
      </c>
      <c r="F4" s="11" t="s">
        <v>122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X4" s="11"/>
      <c r="BB4" s="11"/>
      <c r="BF4" s="11"/>
      <c r="BJ4" s="11"/>
      <c r="BN4" s="11"/>
      <c r="BO4" s="11"/>
      <c r="BP4" s="11" t="s">
        <v>120</v>
      </c>
      <c r="BQ4" s="11" t="b">
        <v>0</v>
      </c>
      <c r="BR4" s="11"/>
      <c r="BS4" s="11"/>
      <c r="BT4" s="11" t="b">
        <v>0</v>
      </c>
      <c r="BU4" s="11" t="s">
        <v>95</v>
      </c>
      <c r="BV4" s="11"/>
      <c r="BW4" s="11"/>
      <c r="BX4" s="11"/>
      <c r="BY4" s="11"/>
    </row>
    <row r="5">
      <c r="A5" s="11" t="s">
        <v>125</v>
      </c>
      <c r="B5" s="11" t="s">
        <v>78</v>
      </c>
      <c r="C5" s="12">
        <v>45613.0</v>
      </c>
      <c r="D5" s="11" t="s">
        <v>127</v>
      </c>
      <c r="E5" s="11" t="s">
        <v>128</v>
      </c>
      <c r="F5" s="11" t="s">
        <v>131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L5" s="11"/>
      <c r="AP5" s="11"/>
      <c r="AT5" s="11"/>
      <c r="AX5" s="11"/>
      <c r="BB5" s="11"/>
      <c r="BF5" s="11"/>
      <c r="BJ5" s="11"/>
      <c r="BN5" s="11"/>
      <c r="BO5" s="11"/>
      <c r="BP5" s="11" t="s">
        <v>130</v>
      </c>
      <c r="BQ5" s="11" t="b">
        <v>0</v>
      </c>
      <c r="BR5" s="11"/>
      <c r="BS5" s="11"/>
      <c r="BT5" s="11" t="b">
        <v>0</v>
      </c>
      <c r="BU5" s="11" t="s">
        <v>95</v>
      </c>
      <c r="BV5" s="11"/>
      <c r="BW5" s="11"/>
      <c r="BX5" s="11"/>
      <c r="BY5" s="11"/>
    </row>
    <row r="6">
      <c r="A6" s="11" t="s">
        <v>132</v>
      </c>
      <c r="B6" s="11" t="s">
        <v>78</v>
      </c>
      <c r="C6" s="12">
        <v>45613.0</v>
      </c>
      <c r="D6" s="11" t="s">
        <v>127</v>
      </c>
      <c r="E6" s="11" t="s">
        <v>128</v>
      </c>
      <c r="F6" s="11" t="s">
        <v>131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BB6" s="11"/>
      <c r="BF6" s="11"/>
      <c r="BJ6" s="11"/>
      <c r="BN6" s="11"/>
      <c r="BO6" s="11"/>
      <c r="BP6" s="11" t="s">
        <v>135</v>
      </c>
      <c r="BQ6" s="11" t="b">
        <v>0</v>
      </c>
      <c r="BR6" s="11"/>
      <c r="BS6" s="11"/>
      <c r="BT6" s="11" t="b">
        <v>0</v>
      </c>
      <c r="BU6" s="11" t="s">
        <v>95</v>
      </c>
      <c r="BV6" s="11"/>
      <c r="BW6" s="11"/>
      <c r="BX6" s="11"/>
      <c r="BY6" s="11"/>
    </row>
    <row r="7">
      <c r="A7" s="11" t="s">
        <v>139</v>
      </c>
      <c r="B7" s="11" t="s">
        <v>78</v>
      </c>
      <c r="C7" s="12">
        <v>45615.0</v>
      </c>
      <c r="D7" s="11" t="s">
        <v>104</v>
      </c>
      <c r="E7" s="11" t="s">
        <v>140</v>
      </c>
      <c r="F7" s="11" t="s">
        <v>110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T7" s="11"/>
      <c r="AX7" s="11"/>
      <c r="BB7" s="11"/>
      <c r="BF7" s="11"/>
      <c r="BJ7" s="11"/>
      <c r="BN7" s="11"/>
      <c r="BO7" s="11"/>
      <c r="BP7" s="11" t="s">
        <v>142</v>
      </c>
      <c r="BQ7" s="11" t="b">
        <v>0</v>
      </c>
      <c r="BR7" s="11"/>
      <c r="BS7" s="19" t="s">
        <v>276</v>
      </c>
      <c r="BT7" s="11" t="b">
        <v>1</v>
      </c>
      <c r="BU7" s="11" t="s">
        <v>95</v>
      </c>
      <c r="BV7" s="11"/>
      <c r="BW7" s="11"/>
      <c r="BX7" s="11"/>
      <c r="BY7" s="11"/>
    </row>
    <row r="8">
      <c r="A8" s="11" t="s">
        <v>144</v>
      </c>
      <c r="B8" s="11" t="s">
        <v>78</v>
      </c>
      <c r="C8" s="18">
        <v>45616.0</v>
      </c>
      <c r="D8" s="11" t="s">
        <v>85</v>
      </c>
      <c r="E8" s="11" t="s">
        <v>147</v>
      </c>
      <c r="F8" s="11" t="s">
        <v>149</v>
      </c>
      <c r="BP8" s="11" t="s">
        <v>148</v>
      </c>
      <c r="BQ8" s="11" t="b">
        <v>0</v>
      </c>
      <c r="BS8" s="19" t="s">
        <v>289</v>
      </c>
      <c r="BT8" s="11" t="b">
        <v>1</v>
      </c>
      <c r="BU8" s="11" t="s">
        <v>95</v>
      </c>
      <c r="BV8" s="11"/>
      <c r="BW8" s="11"/>
      <c r="BX8" s="11"/>
      <c r="BY8" s="11"/>
    </row>
    <row r="9">
      <c r="A9" s="11" t="s">
        <v>152</v>
      </c>
      <c r="B9" s="11" t="s">
        <v>78</v>
      </c>
      <c r="C9" s="12">
        <v>45616.0</v>
      </c>
      <c r="D9" s="11" t="s">
        <v>104</v>
      </c>
      <c r="E9" s="11" t="s">
        <v>154</v>
      </c>
      <c r="F9" s="11" t="s">
        <v>110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X9" s="11"/>
      <c r="BB9" s="11"/>
      <c r="BF9" s="11"/>
      <c r="BJ9" s="11"/>
      <c r="BN9" s="11"/>
      <c r="BO9" s="11"/>
      <c r="BP9" s="11" t="s">
        <v>155</v>
      </c>
      <c r="BQ9" s="11" t="b">
        <v>0</v>
      </c>
      <c r="BR9" s="11"/>
      <c r="BS9" s="19" t="s">
        <v>323</v>
      </c>
      <c r="BT9" s="11" t="b">
        <v>1</v>
      </c>
      <c r="BU9" s="11" t="s">
        <v>95</v>
      </c>
      <c r="BV9" s="11"/>
      <c r="BW9" s="11"/>
      <c r="BX9" s="11"/>
      <c r="BY9" s="11"/>
    </row>
    <row r="10">
      <c r="A10" s="11" t="s">
        <v>158</v>
      </c>
      <c r="B10" s="11" t="s">
        <v>78</v>
      </c>
      <c r="C10" s="18">
        <v>45616.0</v>
      </c>
      <c r="D10" s="11" t="s">
        <v>85</v>
      </c>
      <c r="E10" s="11" t="s">
        <v>160</v>
      </c>
      <c r="F10" s="11" t="s">
        <v>164</v>
      </c>
      <c r="G10" s="11"/>
      <c r="H10" s="11"/>
      <c r="I10" s="11"/>
      <c r="J10" s="11"/>
      <c r="N10" s="11"/>
      <c r="R10" s="11"/>
      <c r="V10" s="11"/>
      <c r="Z10" s="11"/>
      <c r="AD10" s="11"/>
      <c r="AH10" s="11"/>
      <c r="AL10" s="11"/>
      <c r="AP10" s="11"/>
      <c r="AT10" s="11"/>
      <c r="AX10" s="11"/>
      <c r="BB10" s="11"/>
      <c r="BF10" s="11"/>
      <c r="BJ10" s="11"/>
      <c r="BN10" s="11"/>
      <c r="BO10" s="11"/>
      <c r="BP10" s="11" t="s">
        <v>162</v>
      </c>
      <c r="BQ10" s="11" t="b">
        <v>0</v>
      </c>
      <c r="BR10" s="11"/>
      <c r="BS10" s="19" t="s">
        <v>340</v>
      </c>
      <c r="BT10" s="11" t="b">
        <v>1</v>
      </c>
      <c r="BU10" s="11" t="s">
        <v>95</v>
      </c>
      <c r="BV10" s="11"/>
      <c r="BW10" s="11"/>
      <c r="BX10" s="11"/>
      <c r="BY10" s="11"/>
    </row>
    <row r="11">
      <c r="A11" s="11" t="s">
        <v>166</v>
      </c>
      <c r="B11" s="11" t="s">
        <v>78</v>
      </c>
      <c r="C11" s="18">
        <v>45616.0</v>
      </c>
      <c r="D11" s="11" t="s">
        <v>168</v>
      </c>
      <c r="E11" s="11" t="s">
        <v>169</v>
      </c>
      <c r="F11" s="11" t="s">
        <v>172</v>
      </c>
      <c r="G11" s="11"/>
      <c r="H11" s="11"/>
      <c r="I11" s="11"/>
      <c r="J11" s="11"/>
      <c r="N11" s="11"/>
      <c r="R11" s="11"/>
      <c r="V11" s="11"/>
      <c r="Z11" s="11"/>
      <c r="AD11" s="11"/>
      <c r="AH11" s="11"/>
      <c r="AL11" s="11"/>
      <c r="AP11" s="11"/>
      <c r="AT11" s="11"/>
      <c r="AX11" s="11"/>
      <c r="BB11" s="11"/>
      <c r="BF11" s="11"/>
      <c r="BJ11" s="11"/>
      <c r="BN11" s="11"/>
      <c r="BO11" s="11"/>
      <c r="BP11" s="11" t="s">
        <v>171</v>
      </c>
      <c r="BQ11" s="11" t="b">
        <v>0</v>
      </c>
      <c r="BR11" s="11"/>
      <c r="BS11" s="19" t="s">
        <v>361</v>
      </c>
      <c r="BT11" s="11" t="b">
        <v>1</v>
      </c>
      <c r="BU11" s="11" t="s">
        <v>95</v>
      </c>
      <c r="BV11" s="11"/>
      <c r="BW11" s="11"/>
      <c r="BX11" s="11"/>
      <c r="BY11" s="11"/>
    </row>
    <row r="12">
      <c r="A12" s="11" t="s">
        <v>177</v>
      </c>
      <c r="B12" s="11" t="s">
        <v>78</v>
      </c>
      <c r="C12" s="18">
        <v>45616.0</v>
      </c>
      <c r="D12" s="11" t="s">
        <v>168</v>
      </c>
      <c r="E12" s="11" t="s">
        <v>180</v>
      </c>
      <c r="F12" s="11" t="s">
        <v>182</v>
      </c>
      <c r="BP12" s="11" t="s">
        <v>181</v>
      </c>
      <c r="BQ12" s="11" t="b">
        <v>0</v>
      </c>
      <c r="BS12" s="19" t="s">
        <v>372</v>
      </c>
      <c r="BT12" s="11" t="b">
        <v>1</v>
      </c>
      <c r="BU12" s="11" t="s">
        <v>95</v>
      </c>
      <c r="BV12" s="11"/>
      <c r="BW12" s="11"/>
      <c r="BX12" s="11"/>
      <c r="BY12" s="11"/>
    </row>
    <row r="13">
      <c r="A13" s="11" t="s">
        <v>183</v>
      </c>
      <c r="B13" s="11" t="s">
        <v>78</v>
      </c>
      <c r="C13" s="12">
        <v>45617.0</v>
      </c>
      <c r="D13" s="11" t="s">
        <v>185</v>
      </c>
      <c r="E13" s="11" t="s">
        <v>186</v>
      </c>
      <c r="F13" s="11" t="s">
        <v>189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P13" s="11"/>
      <c r="AT13" s="11"/>
      <c r="AX13" s="11"/>
      <c r="BB13" s="11"/>
      <c r="BF13" s="11"/>
      <c r="BJ13" s="11"/>
      <c r="BN13" s="11"/>
      <c r="BO13" s="11"/>
      <c r="BP13" s="11" t="s">
        <v>188</v>
      </c>
      <c r="BQ13" s="11" t="b">
        <v>0</v>
      </c>
      <c r="BR13" s="11"/>
      <c r="BS13" s="19" t="s">
        <v>387</v>
      </c>
      <c r="BT13" s="11" t="b">
        <v>1</v>
      </c>
      <c r="BU13" s="11" t="s">
        <v>95</v>
      </c>
    </row>
    <row r="14">
      <c r="A14" s="11" t="s">
        <v>194</v>
      </c>
      <c r="B14" s="11" t="s">
        <v>78</v>
      </c>
      <c r="C14" s="18">
        <v>45618.0</v>
      </c>
      <c r="D14" s="11" t="s">
        <v>197</v>
      </c>
      <c r="E14" s="11" t="s">
        <v>198</v>
      </c>
      <c r="F14" s="11" t="s">
        <v>201</v>
      </c>
      <c r="BP14" s="11" t="s">
        <v>200</v>
      </c>
      <c r="BQ14" s="11" t="b">
        <v>0</v>
      </c>
      <c r="BS14" s="19" t="s">
        <v>393</v>
      </c>
      <c r="BT14" s="11" t="b">
        <v>1</v>
      </c>
      <c r="BU14" s="11" t="s">
        <v>95</v>
      </c>
    </row>
    <row r="15">
      <c r="A15" s="11" t="s">
        <v>205</v>
      </c>
      <c r="B15" s="11" t="s">
        <v>78</v>
      </c>
      <c r="C15" s="18">
        <v>45618.0</v>
      </c>
      <c r="D15" s="11" t="s">
        <v>85</v>
      </c>
      <c r="E15" s="11" t="s">
        <v>210</v>
      </c>
      <c r="F15" s="11" t="s">
        <v>122</v>
      </c>
      <c r="BP15" s="11" t="s">
        <v>211</v>
      </c>
      <c r="BQ15" s="11" t="b">
        <v>0</v>
      </c>
      <c r="BS15" s="19" t="s">
        <v>401</v>
      </c>
      <c r="BT15" s="11" t="b">
        <v>1</v>
      </c>
      <c r="BU15" s="11" t="s">
        <v>95</v>
      </c>
    </row>
    <row r="16">
      <c r="A16" s="11" t="s">
        <v>215</v>
      </c>
      <c r="B16" s="11" t="s">
        <v>78</v>
      </c>
      <c r="C16" s="18">
        <v>45619.0</v>
      </c>
      <c r="D16" s="11" t="s">
        <v>217</v>
      </c>
      <c r="E16" s="11" t="s">
        <v>220</v>
      </c>
      <c r="F16" s="11" t="s">
        <v>222</v>
      </c>
      <c r="BP16" s="11" t="s">
        <v>221</v>
      </c>
      <c r="BQ16" s="11" t="b">
        <v>0</v>
      </c>
      <c r="BS16" s="19" t="s">
        <v>410</v>
      </c>
      <c r="BT16" s="11" t="b">
        <v>1</v>
      </c>
      <c r="BU16" s="11" t="s">
        <v>95</v>
      </c>
    </row>
    <row r="17">
      <c r="A17" s="11" t="s">
        <v>224</v>
      </c>
      <c r="B17" s="11" t="s">
        <v>78</v>
      </c>
      <c r="C17" s="18">
        <v>45621.0</v>
      </c>
      <c r="D17" s="11" t="s">
        <v>228</v>
      </c>
      <c r="E17" s="11" t="s">
        <v>229</v>
      </c>
      <c r="F17" s="11" t="s">
        <v>231</v>
      </c>
      <c r="BP17" s="11" t="s">
        <v>230</v>
      </c>
      <c r="BQ17" s="11" t="b">
        <v>0</v>
      </c>
      <c r="BS17" s="11"/>
      <c r="BT17" s="11" t="b">
        <v>0</v>
      </c>
      <c r="BU17" s="11" t="s">
        <v>235</v>
      </c>
    </row>
    <row r="18">
      <c r="A18" s="11" t="s">
        <v>236</v>
      </c>
      <c r="B18" s="11" t="s">
        <v>78</v>
      </c>
      <c r="C18" s="18">
        <v>45616.0</v>
      </c>
      <c r="D18" s="11" t="s">
        <v>237</v>
      </c>
      <c r="E18" s="11" t="s">
        <v>238</v>
      </c>
      <c r="F18" s="11" t="s">
        <v>241</v>
      </c>
      <c r="BP18" s="11" t="s">
        <v>240</v>
      </c>
      <c r="BQ18" s="11" t="b">
        <v>0</v>
      </c>
      <c r="BS18" s="11"/>
      <c r="BT18" s="11" t="b">
        <v>0</v>
      </c>
      <c r="BU18" s="11" t="s">
        <v>213</v>
      </c>
    </row>
    <row r="19">
      <c r="A19" s="11" t="s">
        <v>244</v>
      </c>
      <c r="B19" s="11" t="s">
        <v>78</v>
      </c>
      <c r="C19" s="18">
        <v>45616.0</v>
      </c>
      <c r="D19" s="11" t="s">
        <v>237</v>
      </c>
      <c r="E19" s="11" t="s">
        <v>247</v>
      </c>
      <c r="F19" s="11" t="s">
        <v>249</v>
      </c>
      <c r="BP19" s="11" t="s">
        <v>248</v>
      </c>
      <c r="BQ19" s="11" t="b">
        <v>0</v>
      </c>
      <c r="BS19" s="11"/>
      <c r="BT19" s="11" t="b">
        <v>0</v>
      </c>
      <c r="BU19" s="11" t="s">
        <v>95</v>
      </c>
      <c r="BW19" s="11" t="s">
        <v>250</v>
      </c>
      <c r="BX19" s="11" t="s">
        <v>251</v>
      </c>
    </row>
    <row r="20">
      <c r="A20" s="11" t="s">
        <v>253</v>
      </c>
      <c r="B20" s="11" t="s">
        <v>78</v>
      </c>
      <c r="C20" s="18">
        <v>45621.0</v>
      </c>
      <c r="D20" s="11" t="s">
        <v>254</v>
      </c>
      <c r="E20" s="11" t="s">
        <v>255</v>
      </c>
      <c r="F20" s="11" t="s">
        <v>257</v>
      </c>
      <c r="BP20" s="11" t="s">
        <v>256</v>
      </c>
      <c r="BQ20" s="11" t="b">
        <v>0</v>
      </c>
      <c r="BS20" s="19" t="s">
        <v>433</v>
      </c>
      <c r="BT20" s="11" t="b">
        <v>1</v>
      </c>
      <c r="BU20" s="11" t="s">
        <v>235</v>
      </c>
    </row>
    <row r="21">
      <c r="A21" s="11" t="s">
        <v>261</v>
      </c>
      <c r="B21" s="11" t="s">
        <v>78</v>
      </c>
      <c r="C21" s="18">
        <v>45622.0</v>
      </c>
      <c r="D21" s="11" t="s">
        <v>104</v>
      </c>
      <c r="E21" s="11" t="s">
        <v>264</v>
      </c>
      <c r="F21" s="11" t="s">
        <v>267</v>
      </c>
      <c r="BP21" s="11" t="s">
        <v>265</v>
      </c>
      <c r="BQ21" s="11" t="b">
        <v>0</v>
      </c>
      <c r="BS21" s="19" t="s">
        <v>441</v>
      </c>
      <c r="BT21" s="11" t="b">
        <v>1</v>
      </c>
      <c r="BU21" s="11" t="s">
        <v>95</v>
      </c>
    </row>
    <row r="22">
      <c r="A22" s="11" t="s">
        <v>271</v>
      </c>
      <c r="B22" s="11" t="s">
        <v>78</v>
      </c>
      <c r="C22" s="18">
        <v>45620.0</v>
      </c>
      <c r="D22" s="11" t="s">
        <v>274</v>
      </c>
      <c r="E22" s="11" t="s">
        <v>275</v>
      </c>
      <c r="F22" s="11" t="s">
        <v>279</v>
      </c>
      <c r="BP22" s="11" t="s">
        <v>277</v>
      </c>
      <c r="BQ22" s="11" t="b">
        <v>0</v>
      </c>
      <c r="BS22" s="11"/>
      <c r="BT22" s="11" t="b">
        <v>0</v>
      </c>
      <c r="BU22" s="11" t="s">
        <v>235</v>
      </c>
    </row>
    <row r="23">
      <c r="A23" s="11" t="s">
        <v>283</v>
      </c>
      <c r="B23" s="11" t="s">
        <v>78</v>
      </c>
      <c r="C23" s="18">
        <v>45622.0</v>
      </c>
      <c r="D23" s="11" t="s">
        <v>285</v>
      </c>
      <c r="E23" s="11" t="s">
        <v>287</v>
      </c>
      <c r="F23" s="11" t="s">
        <v>291</v>
      </c>
      <c r="BP23" s="11" t="s">
        <v>288</v>
      </c>
      <c r="BQ23" s="11" t="b">
        <v>0</v>
      </c>
      <c r="BS23" s="11"/>
      <c r="BT23" s="11" t="b">
        <v>0</v>
      </c>
      <c r="BU23" s="11" t="s">
        <v>235</v>
      </c>
    </row>
    <row r="24">
      <c r="A24" s="11" t="s">
        <v>294</v>
      </c>
      <c r="B24" s="11" t="s">
        <v>78</v>
      </c>
      <c r="C24" s="18">
        <v>45622.0</v>
      </c>
      <c r="D24" s="11" t="s">
        <v>297</v>
      </c>
      <c r="E24" s="11" t="s">
        <v>299</v>
      </c>
      <c r="F24" s="11" t="s">
        <v>131</v>
      </c>
      <c r="BP24" s="11" t="s">
        <v>300</v>
      </c>
      <c r="BQ24" s="11" t="b">
        <v>0</v>
      </c>
      <c r="BS24" s="11"/>
      <c r="BT24" s="11" t="b">
        <v>0</v>
      </c>
      <c r="BU24" s="11" t="s">
        <v>235</v>
      </c>
    </row>
    <row r="25">
      <c r="A25" s="11" t="s">
        <v>305</v>
      </c>
      <c r="B25" s="11" t="s">
        <v>78</v>
      </c>
      <c r="C25" s="18">
        <v>45623.0</v>
      </c>
      <c r="D25" s="11" t="s">
        <v>237</v>
      </c>
      <c r="E25" s="11" t="s">
        <v>307</v>
      </c>
      <c r="F25" s="11" t="s">
        <v>311</v>
      </c>
      <c r="BP25" s="11" t="s">
        <v>309</v>
      </c>
      <c r="BQ25" s="11" t="b">
        <v>0</v>
      </c>
      <c r="BS25" s="11"/>
      <c r="BT25" s="11" t="b">
        <v>0</v>
      </c>
      <c r="BU25" s="11" t="s">
        <v>213</v>
      </c>
      <c r="BW25" s="11" t="s">
        <v>313</v>
      </c>
      <c r="BX25" s="11" t="s">
        <v>316</v>
      </c>
    </row>
    <row r="26">
      <c r="A26" s="11" t="s">
        <v>318</v>
      </c>
      <c r="B26" s="11" t="s">
        <v>78</v>
      </c>
      <c r="C26" s="18">
        <v>45625.0</v>
      </c>
      <c r="D26" s="11" t="s">
        <v>197</v>
      </c>
      <c r="E26" s="11" t="s">
        <v>321</v>
      </c>
      <c r="F26" s="11" t="s">
        <v>325</v>
      </c>
      <c r="BP26" s="11" t="s">
        <v>322</v>
      </c>
      <c r="BQ26" s="11" t="b">
        <v>0</v>
      </c>
      <c r="BS26" s="19" t="s">
        <v>476</v>
      </c>
      <c r="BT26" s="11" t="b">
        <v>1</v>
      </c>
      <c r="BU26" s="11" t="s">
        <v>95</v>
      </c>
    </row>
    <row r="27">
      <c r="A27" s="11" t="s">
        <v>329</v>
      </c>
      <c r="B27" s="11" t="s">
        <v>78</v>
      </c>
      <c r="C27" s="18">
        <v>45626.0</v>
      </c>
      <c r="D27" s="11" t="s">
        <v>197</v>
      </c>
      <c r="E27" s="11" t="s">
        <v>331</v>
      </c>
      <c r="F27" s="11" t="s">
        <v>335</v>
      </c>
      <c r="BP27" s="11" t="s">
        <v>332</v>
      </c>
      <c r="BQ27" s="11" t="b">
        <v>0</v>
      </c>
      <c r="BS27" s="19" t="s">
        <v>490</v>
      </c>
      <c r="BT27" s="11" t="b">
        <v>1</v>
      </c>
      <c r="BU27" s="11" t="s">
        <v>95</v>
      </c>
    </row>
    <row r="28">
      <c r="A28" s="11" t="s">
        <v>337</v>
      </c>
      <c r="B28" s="11" t="s">
        <v>78</v>
      </c>
      <c r="C28" s="18">
        <v>45628.0</v>
      </c>
      <c r="D28" s="11" t="s">
        <v>339</v>
      </c>
      <c r="E28" s="11" t="s">
        <v>341</v>
      </c>
      <c r="F28" s="11" t="s">
        <v>344</v>
      </c>
      <c r="BP28" s="11" t="s">
        <v>342</v>
      </c>
      <c r="BQ28" s="11" t="b">
        <v>0</v>
      </c>
      <c r="BS28" s="19" t="s">
        <v>498</v>
      </c>
      <c r="BT28" s="11" t="b">
        <v>1</v>
      </c>
      <c r="BU28" s="11" t="s">
        <v>95</v>
      </c>
    </row>
    <row r="29">
      <c r="A29" s="11">
        <v>8.0950878E7</v>
      </c>
      <c r="B29" s="11" t="s">
        <v>78</v>
      </c>
      <c r="C29" s="18">
        <v>45617.0</v>
      </c>
      <c r="D29" s="19" t="s">
        <v>504</v>
      </c>
      <c r="E29" s="11" t="s">
        <v>352</v>
      </c>
      <c r="F29" s="11" t="s">
        <v>355</v>
      </c>
      <c r="BP29" s="11" t="s">
        <v>354</v>
      </c>
      <c r="BQ29" s="11" t="b">
        <v>0</v>
      </c>
      <c r="BS29" s="11"/>
      <c r="BT29" s="11" t="b">
        <v>0</v>
      </c>
      <c r="BU29" s="11" t="s">
        <v>95</v>
      </c>
    </row>
    <row r="30">
      <c r="A30" s="11" t="s">
        <v>358</v>
      </c>
      <c r="B30" s="11" t="s">
        <v>78</v>
      </c>
      <c r="C30" s="18">
        <v>45644.0</v>
      </c>
      <c r="D30" s="11" t="s">
        <v>237</v>
      </c>
      <c r="E30" s="11" t="s">
        <v>363</v>
      </c>
      <c r="F30" s="19" t="s">
        <v>516</v>
      </c>
      <c r="BP30" s="11" t="s">
        <v>365</v>
      </c>
      <c r="BQ30" s="11" t="b">
        <v>0</v>
      </c>
      <c r="BS30" s="11"/>
      <c r="BT30" s="11" t="b">
        <v>0</v>
      </c>
      <c r="BU30" s="11" t="s">
        <v>95</v>
      </c>
    </row>
    <row r="31">
      <c r="A31" s="11" t="s">
        <v>369</v>
      </c>
      <c r="B31" s="11" t="s">
        <v>78</v>
      </c>
      <c r="C31" s="18">
        <v>45625.0</v>
      </c>
      <c r="D31" s="11" t="s">
        <v>104</v>
      </c>
      <c r="E31" s="11" t="s">
        <v>377</v>
      </c>
      <c r="F31" s="11" t="s">
        <v>380</v>
      </c>
      <c r="BP31" s="11" t="s">
        <v>379</v>
      </c>
      <c r="BQ31" s="11" t="b">
        <v>0</v>
      </c>
      <c r="BS31" s="19" t="s">
        <v>525</v>
      </c>
      <c r="BT31" s="11" t="b">
        <v>1</v>
      </c>
      <c r="BU31" s="11" t="s">
        <v>95</v>
      </c>
    </row>
    <row r="32">
      <c r="A32" s="11" t="s">
        <v>392</v>
      </c>
      <c r="B32" s="11" t="s">
        <v>78</v>
      </c>
      <c r="C32" s="18">
        <v>45626.0</v>
      </c>
      <c r="D32" s="11" t="s">
        <v>104</v>
      </c>
      <c r="E32" s="11" t="s">
        <v>397</v>
      </c>
      <c r="F32" s="11" t="s">
        <v>380</v>
      </c>
      <c r="BP32" s="11" t="s">
        <v>399</v>
      </c>
      <c r="BQ32" s="11" t="b">
        <v>0</v>
      </c>
      <c r="BS32" s="19" t="s">
        <v>536</v>
      </c>
      <c r="BT32" s="11" t="b">
        <v>1</v>
      </c>
      <c r="BU32" s="11" t="s">
        <v>95</v>
      </c>
    </row>
    <row r="33">
      <c r="A33" s="11" t="s">
        <v>407</v>
      </c>
      <c r="B33" s="11" t="s">
        <v>78</v>
      </c>
      <c r="C33" s="18">
        <v>45626.0</v>
      </c>
      <c r="D33" s="11" t="s">
        <v>409</v>
      </c>
      <c r="E33" s="11" t="s">
        <v>411</v>
      </c>
      <c r="F33" s="11" t="s">
        <v>380</v>
      </c>
      <c r="BP33" s="11" t="s">
        <v>412</v>
      </c>
      <c r="BQ33" s="11" t="b">
        <v>0</v>
      </c>
      <c r="BS33" s="19" t="s">
        <v>546</v>
      </c>
      <c r="BT33" s="11" t="b">
        <v>1</v>
      </c>
      <c r="BU33" s="11" t="s">
        <v>95</v>
      </c>
    </row>
    <row r="34">
      <c r="A34" s="11" t="s">
        <v>418</v>
      </c>
      <c r="B34" s="11" t="s">
        <v>78</v>
      </c>
      <c r="C34" s="18">
        <v>45628.0</v>
      </c>
      <c r="D34" s="11" t="s">
        <v>104</v>
      </c>
      <c r="E34" s="11" t="s">
        <v>421</v>
      </c>
      <c r="F34" s="11" t="s">
        <v>380</v>
      </c>
      <c r="BP34" s="11" t="s">
        <v>423</v>
      </c>
      <c r="BQ34" s="11" t="b">
        <v>0</v>
      </c>
      <c r="BS34" s="19" t="s">
        <v>555</v>
      </c>
      <c r="BT34" s="11" t="b">
        <v>1</v>
      </c>
      <c r="BU34" s="11" t="s">
        <v>95</v>
      </c>
    </row>
    <row r="35">
      <c r="A35" s="11" t="s">
        <v>425</v>
      </c>
      <c r="B35" s="11" t="s">
        <v>78</v>
      </c>
      <c r="C35" s="12">
        <v>45625.0</v>
      </c>
      <c r="D35" s="11" t="s">
        <v>168</v>
      </c>
      <c r="E35" s="11" t="s">
        <v>427</v>
      </c>
      <c r="F35" s="11" t="s">
        <v>429</v>
      </c>
      <c r="BP35" s="11" t="s">
        <v>428</v>
      </c>
      <c r="BQ35" s="11" t="b">
        <v>0</v>
      </c>
      <c r="BS35" s="19" t="s">
        <v>562</v>
      </c>
      <c r="BT35" s="11" t="b">
        <v>1</v>
      </c>
      <c r="BU35" s="11" t="s">
        <v>95</v>
      </c>
    </row>
    <row r="36">
      <c r="A36" s="11" t="s">
        <v>432</v>
      </c>
      <c r="B36" s="11" t="s">
        <v>78</v>
      </c>
      <c r="C36" s="18">
        <v>45628.0</v>
      </c>
      <c r="D36" s="11" t="s">
        <v>85</v>
      </c>
      <c r="E36" s="11" t="s">
        <v>435</v>
      </c>
      <c r="F36" s="11" t="s">
        <v>438</v>
      </c>
      <c r="BP36" s="11" t="s">
        <v>437</v>
      </c>
      <c r="BQ36" s="11" t="b">
        <v>0</v>
      </c>
      <c r="BS36" s="19" t="s">
        <v>570</v>
      </c>
      <c r="BT36" s="11" t="b">
        <v>1</v>
      </c>
      <c r="BU36" s="11" t="s">
        <v>95</v>
      </c>
    </row>
    <row r="37">
      <c r="A37" s="11" t="s">
        <v>443</v>
      </c>
      <c r="B37" s="11" t="s">
        <v>78</v>
      </c>
      <c r="C37" s="18">
        <v>45630.0</v>
      </c>
      <c r="D37" s="11" t="s">
        <v>445</v>
      </c>
      <c r="E37" s="11" t="s">
        <v>447</v>
      </c>
      <c r="F37" s="11" t="s">
        <v>450</v>
      </c>
      <c r="BP37" s="11" t="s">
        <v>449</v>
      </c>
      <c r="BQ37" s="11" t="b">
        <v>0</v>
      </c>
      <c r="BS37" s="19" t="s">
        <v>578</v>
      </c>
      <c r="BT37" s="11" t="b">
        <v>1</v>
      </c>
      <c r="BU37" s="11" t="s">
        <v>95</v>
      </c>
    </row>
    <row r="38">
      <c r="A38" s="11" t="s">
        <v>455</v>
      </c>
      <c r="B38" s="11" t="s">
        <v>78</v>
      </c>
      <c r="C38" s="18">
        <v>45633.0</v>
      </c>
      <c r="D38" s="11" t="s">
        <v>85</v>
      </c>
      <c r="E38" s="11" t="s">
        <v>456</v>
      </c>
      <c r="F38" s="11" t="s">
        <v>460</v>
      </c>
      <c r="BP38" s="11" t="s">
        <v>459</v>
      </c>
      <c r="BQ38" s="11" t="b">
        <v>0</v>
      </c>
      <c r="BS38" s="19" t="s">
        <v>589</v>
      </c>
      <c r="BT38" s="11" t="b">
        <v>1</v>
      </c>
      <c r="BU38" s="11" t="s">
        <v>95</v>
      </c>
    </row>
    <row r="39">
      <c r="A39" s="11" t="s">
        <v>463</v>
      </c>
      <c r="B39" s="11" t="s">
        <v>78</v>
      </c>
      <c r="C39" s="18">
        <v>45633.0</v>
      </c>
      <c r="D39" s="11" t="s">
        <v>465</v>
      </c>
      <c r="E39" s="11" t="s">
        <v>466</v>
      </c>
      <c r="F39" s="11" t="s">
        <v>470</v>
      </c>
      <c r="BP39" s="11" t="s">
        <v>469</v>
      </c>
      <c r="BQ39" s="11" t="b">
        <v>0</v>
      </c>
      <c r="BS39" s="19" t="s">
        <v>614</v>
      </c>
      <c r="BT39" s="11" t="b">
        <v>1</v>
      </c>
      <c r="BU39" s="11" t="s">
        <v>95</v>
      </c>
    </row>
    <row r="40">
      <c r="A40" s="11" t="s">
        <v>474</v>
      </c>
      <c r="B40" s="11" t="s">
        <v>78</v>
      </c>
      <c r="C40" s="18">
        <v>45634.0</v>
      </c>
      <c r="D40" s="11" t="s">
        <v>477</v>
      </c>
      <c r="E40" s="11" t="s">
        <v>479</v>
      </c>
      <c r="F40" s="11" t="s">
        <v>483</v>
      </c>
      <c r="BP40" s="11" t="s">
        <v>480</v>
      </c>
      <c r="BQ40" s="11" t="b">
        <v>0</v>
      </c>
      <c r="BS40" s="19" t="s">
        <v>624</v>
      </c>
      <c r="BT40" s="11" t="b">
        <v>1</v>
      </c>
      <c r="BU40" s="11" t="s">
        <v>95</v>
      </c>
    </row>
    <row r="41">
      <c r="A41" s="11" t="s">
        <v>488</v>
      </c>
      <c r="B41" s="11" t="s">
        <v>78</v>
      </c>
      <c r="C41" s="18">
        <v>45632.0</v>
      </c>
      <c r="D41" s="11" t="s">
        <v>254</v>
      </c>
      <c r="E41" s="11" t="s">
        <v>493</v>
      </c>
      <c r="F41" s="11" t="s">
        <v>380</v>
      </c>
      <c r="BP41" s="11" t="s">
        <v>494</v>
      </c>
      <c r="BQ41" s="11" t="b">
        <v>0</v>
      </c>
      <c r="BS41" s="19" t="s">
        <v>632</v>
      </c>
      <c r="BT41" s="11" t="b">
        <v>1</v>
      </c>
      <c r="BU41" s="11" t="s">
        <v>95</v>
      </c>
    </row>
    <row r="42">
      <c r="A42" s="11" t="s">
        <v>499</v>
      </c>
      <c r="B42" s="11" t="s">
        <v>78</v>
      </c>
      <c r="C42" s="18">
        <v>45631.0</v>
      </c>
      <c r="D42" s="11" t="s">
        <v>505</v>
      </c>
      <c r="E42" s="11" t="s">
        <v>506</v>
      </c>
      <c r="F42" s="11" t="s">
        <v>508</v>
      </c>
      <c r="BP42" s="11" t="s">
        <v>507</v>
      </c>
      <c r="BQ42" s="11" t="b">
        <v>0</v>
      </c>
      <c r="BS42" s="19" t="s">
        <v>643</v>
      </c>
      <c r="BT42" s="11" t="b">
        <v>1</v>
      </c>
      <c r="BU42" s="11" t="s">
        <v>95</v>
      </c>
    </row>
    <row r="43">
      <c r="A43" s="11" t="s">
        <v>512</v>
      </c>
      <c r="B43" s="11" t="s">
        <v>78</v>
      </c>
      <c r="C43" s="18">
        <v>45630.0</v>
      </c>
      <c r="D43" s="11" t="s">
        <v>514</v>
      </c>
      <c r="E43" s="11" t="s">
        <v>517</v>
      </c>
      <c r="F43" s="11" t="s">
        <v>519</v>
      </c>
      <c r="BP43" s="11" t="s">
        <v>518</v>
      </c>
      <c r="BQ43" s="11" t="b">
        <v>0</v>
      </c>
      <c r="BS43" s="19" t="s">
        <v>654</v>
      </c>
      <c r="BT43" s="11" t="b">
        <v>1</v>
      </c>
      <c r="BU43" s="11" t="s">
        <v>95</v>
      </c>
    </row>
    <row r="44">
      <c r="A44" s="11" t="s">
        <v>524</v>
      </c>
      <c r="B44" s="11" t="s">
        <v>78</v>
      </c>
      <c r="C44" s="18">
        <v>45631.0</v>
      </c>
      <c r="D44" s="11" t="s">
        <v>513</v>
      </c>
      <c r="E44" s="11" t="s">
        <v>528</v>
      </c>
      <c r="F44" s="11" t="s">
        <v>531</v>
      </c>
      <c r="BP44" s="11" t="s">
        <v>530</v>
      </c>
      <c r="BQ44" s="11" t="b">
        <v>0</v>
      </c>
      <c r="BS44" s="19" t="s">
        <v>661</v>
      </c>
      <c r="BT44" s="11" t="b">
        <v>1</v>
      </c>
      <c r="BU44" s="11" t="s">
        <v>95</v>
      </c>
    </row>
    <row r="45">
      <c r="A45" s="11" t="s">
        <v>534</v>
      </c>
      <c r="B45" s="11" t="s">
        <v>78</v>
      </c>
      <c r="C45" s="18">
        <v>45633.0</v>
      </c>
      <c r="D45" s="11" t="s">
        <v>537</v>
      </c>
      <c r="E45" s="11" t="s">
        <v>540</v>
      </c>
      <c r="F45" s="11" t="s">
        <v>542</v>
      </c>
      <c r="BP45" s="11" t="s">
        <v>541</v>
      </c>
      <c r="BQ45" s="11" t="b">
        <v>0</v>
      </c>
      <c r="BT45" s="11" t="b">
        <v>0</v>
      </c>
      <c r="BU45" s="11" t="s">
        <v>95</v>
      </c>
    </row>
    <row r="46">
      <c r="A46" s="11" t="s">
        <v>544</v>
      </c>
      <c r="B46" s="11" t="s">
        <v>78</v>
      </c>
      <c r="C46" s="18">
        <v>45632.0</v>
      </c>
      <c r="D46" s="11" t="s">
        <v>547</v>
      </c>
      <c r="E46" s="11" t="s">
        <v>548</v>
      </c>
      <c r="F46" s="11" t="s">
        <v>553</v>
      </c>
      <c r="BP46" s="11" t="s">
        <v>550</v>
      </c>
      <c r="BQ46" s="11" t="b">
        <v>0</v>
      </c>
      <c r="BT46" s="11" t="b">
        <v>0</v>
      </c>
      <c r="BU46" s="11" t="s">
        <v>95</v>
      </c>
    </row>
    <row r="47">
      <c r="A47" s="11" t="s">
        <v>557</v>
      </c>
      <c r="B47" s="11" t="s">
        <v>78</v>
      </c>
      <c r="C47" s="18">
        <v>45632.0</v>
      </c>
      <c r="D47" s="11" t="s">
        <v>237</v>
      </c>
      <c r="E47" s="11" t="s">
        <v>559</v>
      </c>
      <c r="F47" s="11" t="s">
        <v>561</v>
      </c>
      <c r="BP47" s="11" t="s">
        <v>560</v>
      </c>
      <c r="BQ47" s="11" t="b">
        <v>0</v>
      </c>
      <c r="BT47" s="11" t="b">
        <v>0</v>
      </c>
      <c r="BU47" s="11" t="s">
        <v>95</v>
      </c>
    </row>
    <row r="48">
      <c r="A48" s="11" t="s">
        <v>566</v>
      </c>
      <c r="B48" s="11" t="s">
        <v>78</v>
      </c>
      <c r="C48" s="18">
        <v>45633.0</v>
      </c>
      <c r="D48" s="11" t="s">
        <v>237</v>
      </c>
      <c r="E48" s="11" t="s">
        <v>571</v>
      </c>
      <c r="F48" s="11" t="s">
        <v>573</v>
      </c>
      <c r="BP48" s="11" t="s">
        <v>572</v>
      </c>
      <c r="BQ48" s="11" t="b">
        <v>0</v>
      </c>
      <c r="BT48" s="11" t="b">
        <v>0</v>
      </c>
      <c r="BU48" s="11" t="s">
        <v>95</v>
      </c>
      <c r="BW48" s="11" t="s">
        <v>575</v>
      </c>
    </row>
    <row r="49">
      <c r="A49" s="11" t="s">
        <v>577</v>
      </c>
      <c r="B49" s="11" t="s">
        <v>78</v>
      </c>
      <c r="C49" s="12">
        <v>45626.0</v>
      </c>
      <c r="D49" s="11" t="s">
        <v>85</v>
      </c>
      <c r="E49" s="11" t="s">
        <v>581</v>
      </c>
      <c r="F49" s="11" t="s">
        <v>586</v>
      </c>
      <c r="BP49" s="11" t="s">
        <v>584</v>
      </c>
      <c r="BQ49" s="11" t="b">
        <v>0</v>
      </c>
      <c r="BT49" s="11" t="b">
        <v>0</v>
      </c>
      <c r="BU49" s="11" t="s">
        <v>235</v>
      </c>
    </row>
    <row r="50">
      <c r="A50" s="11" t="s">
        <v>590</v>
      </c>
      <c r="B50" s="11" t="s">
        <v>78</v>
      </c>
      <c r="C50" s="12">
        <v>45626.0</v>
      </c>
      <c r="D50" s="11" t="s">
        <v>85</v>
      </c>
      <c r="E50" s="11" t="s">
        <v>592</v>
      </c>
      <c r="F50" s="11" t="s">
        <v>594</v>
      </c>
      <c r="BP50" s="11" t="s">
        <v>593</v>
      </c>
      <c r="BQ50" s="11" t="b">
        <v>0</v>
      </c>
      <c r="BT50" s="11" t="b">
        <v>0</v>
      </c>
      <c r="BU50" s="11" t="s">
        <v>235</v>
      </c>
    </row>
    <row r="51">
      <c r="A51" s="11" t="s">
        <v>595</v>
      </c>
      <c r="B51" s="11" t="s">
        <v>78</v>
      </c>
      <c r="C51" s="12">
        <v>45625.0</v>
      </c>
      <c r="D51" s="11" t="s">
        <v>596</v>
      </c>
      <c r="E51" s="11" t="s">
        <v>597</v>
      </c>
      <c r="F51" s="11" t="s">
        <v>599</v>
      </c>
      <c r="BP51" s="11" t="s">
        <v>598</v>
      </c>
      <c r="BQ51" s="11" t="b">
        <v>0</v>
      </c>
      <c r="BT51" s="11" t="b">
        <v>0</v>
      </c>
      <c r="BU51" s="11" t="s">
        <v>235</v>
      </c>
    </row>
    <row r="52">
      <c r="A52" s="11" t="s">
        <v>600</v>
      </c>
      <c r="B52" s="11" t="s">
        <v>78</v>
      </c>
      <c r="C52" s="12">
        <v>45626.0</v>
      </c>
      <c r="D52" s="11" t="s">
        <v>274</v>
      </c>
      <c r="E52" s="11" t="s">
        <v>602</v>
      </c>
      <c r="F52" s="11" t="s">
        <v>604</v>
      </c>
      <c r="BP52" s="11" t="s">
        <v>603</v>
      </c>
      <c r="BQ52" s="11" t="b">
        <v>0</v>
      </c>
      <c r="BT52" s="11" t="b">
        <v>0</v>
      </c>
      <c r="BU52" s="11" t="s">
        <v>235</v>
      </c>
    </row>
    <row r="53">
      <c r="A53" s="11" t="s">
        <v>607</v>
      </c>
      <c r="B53" s="11" t="s">
        <v>78</v>
      </c>
      <c r="C53" s="12">
        <v>45623.0</v>
      </c>
      <c r="D53" s="11" t="s">
        <v>610</v>
      </c>
      <c r="E53" s="11" t="s">
        <v>611</v>
      </c>
      <c r="F53" s="11" t="s">
        <v>613</v>
      </c>
      <c r="BP53" s="11" t="s">
        <v>612</v>
      </c>
      <c r="BQ53" s="11" t="b">
        <v>0</v>
      </c>
      <c r="BT53" s="11" t="b">
        <v>0</v>
      </c>
      <c r="BU53" s="11" t="s">
        <v>235</v>
      </c>
    </row>
    <row r="54">
      <c r="A54" s="11" t="s">
        <v>616</v>
      </c>
      <c r="B54" s="11" t="s">
        <v>78</v>
      </c>
      <c r="C54" s="12">
        <v>45637.0</v>
      </c>
      <c r="D54" s="11" t="s">
        <v>617</v>
      </c>
      <c r="E54" s="11" t="s">
        <v>618</v>
      </c>
      <c r="F54" s="11" t="s">
        <v>622</v>
      </c>
      <c r="BP54" s="11" t="s">
        <v>620</v>
      </c>
      <c r="BQ54" s="11" t="b">
        <v>0</v>
      </c>
      <c r="BS54" s="19" t="s">
        <v>740</v>
      </c>
      <c r="BT54" s="11" t="b">
        <v>1</v>
      </c>
      <c r="BU54" s="11" t="s">
        <v>235</v>
      </c>
    </row>
    <row r="55">
      <c r="A55" s="11" t="s">
        <v>626</v>
      </c>
      <c r="B55" s="11" t="s">
        <v>78</v>
      </c>
      <c r="C55" s="12">
        <v>45581.0</v>
      </c>
      <c r="D55" s="11" t="s">
        <v>629</v>
      </c>
      <c r="E55" s="11" t="s">
        <v>630</v>
      </c>
      <c r="F55" s="11" t="s">
        <v>633</v>
      </c>
      <c r="BP55" s="11" t="s">
        <v>631</v>
      </c>
      <c r="BQ55" s="11" t="b">
        <v>0</v>
      </c>
      <c r="BT55" s="11" t="b">
        <v>0</v>
      </c>
      <c r="BU55" s="11" t="s">
        <v>235</v>
      </c>
    </row>
    <row r="56">
      <c r="A56" s="11" t="s">
        <v>637</v>
      </c>
      <c r="B56" s="11" t="s">
        <v>78</v>
      </c>
      <c r="C56" s="18">
        <v>45600.0</v>
      </c>
      <c r="D56" s="11" t="s">
        <v>629</v>
      </c>
      <c r="E56" s="11" t="s">
        <v>640</v>
      </c>
      <c r="F56" s="11" t="s">
        <v>633</v>
      </c>
      <c r="BP56" s="11" t="s">
        <v>641</v>
      </c>
      <c r="BQ56" s="11" t="b">
        <v>0</v>
      </c>
      <c r="BT56" s="11" t="b">
        <v>0</v>
      </c>
      <c r="BU56" s="11" t="s">
        <v>235</v>
      </c>
    </row>
    <row r="57">
      <c r="A57" s="11" t="s">
        <v>647</v>
      </c>
      <c r="B57" s="11" t="s">
        <v>78</v>
      </c>
      <c r="C57" s="18">
        <v>45631.0</v>
      </c>
      <c r="D57" s="19" t="s">
        <v>504</v>
      </c>
      <c r="E57" s="11" t="s">
        <v>649</v>
      </c>
      <c r="F57" s="11" t="s">
        <v>652</v>
      </c>
      <c r="BP57" s="11" t="s">
        <v>651</v>
      </c>
      <c r="BQ57" s="11" t="b">
        <v>0</v>
      </c>
      <c r="BT57" s="11" t="b">
        <v>0</v>
      </c>
      <c r="BU57" s="11" t="s">
        <v>235</v>
      </c>
    </row>
    <row r="58">
      <c r="A58" s="11" t="s">
        <v>655</v>
      </c>
      <c r="B58" s="11" t="s">
        <v>78</v>
      </c>
      <c r="C58" s="12">
        <v>45636.0</v>
      </c>
      <c r="D58" s="11" t="s">
        <v>168</v>
      </c>
      <c r="E58" s="11" t="s">
        <v>657</v>
      </c>
      <c r="F58" s="11" t="s">
        <v>659</v>
      </c>
      <c r="BP58" s="11" t="s">
        <v>658</v>
      </c>
      <c r="BQ58" s="11" t="b">
        <v>0</v>
      </c>
      <c r="BS58" s="19" t="s">
        <v>785</v>
      </c>
      <c r="BT58" s="11" t="b">
        <v>1</v>
      </c>
      <c r="BU58" s="11" t="s">
        <v>95</v>
      </c>
    </row>
    <row r="59">
      <c r="A59" s="11" t="s">
        <v>665</v>
      </c>
      <c r="B59" s="11" t="s">
        <v>78</v>
      </c>
      <c r="C59" s="12">
        <v>45641.0</v>
      </c>
      <c r="D59" s="11" t="s">
        <v>667</v>
      </c>
      <c r="E59" s="11" t="s">
        <v>670</v>
      </c>
      <c r="F59" s="11" t="s">
        <v>672</v>
      </c>
      <c r="BP59" s="11" t="s">
        <v>671</v>
      </c>
      <c r="BQ59" s="11" t="b">
        <v>0</v>
      </c>
      <c r="BS59" s="19" t="s">
        <v>798</v>
      </c>
      <c r="BT59" s="11" t="b">
        <v>1</v>
      </c>
      <c r="BU59" s="11" t="s">
        <v>95</v>
      </c>
    </row>
    <row r="60">
      <c r="A60" s="11" t="s">
        <v>675</v>
      </c>
      <c r="B60" s="11" t="s">
        <v>78</v>
      </c>
      <c r="C60" s="12">
        <v>45640.0</v>
      </c>
      <c r="D60" s="11" t="s">
        <v>676</v>
      </c>
      <c r="E60" s="11" t="s">
        <v>679</v>
      </c>
      <c r="F60" s="11" t="s">
        <v>682</v>
      </c>
      <c r="BP60" s="11" t="s">
        <v>680</v>
      </c>
      <c r="BQ60" s="11" t="b">
        <v>0</v>
      </c>
      <c r="BS60" s="19" t="s">
        <v>811</v>
      </c>
      <c r="BT60" s="11" t="b">
        <v>1</v>
      </c>
      <c r="BU60" s="11" t="s">
        <v>95</v>
      </c>
    </row>
    <row r="61">
      <c r="A61" s="11" t="s">
        <v>684</v>
      </c>
      <c r="B61" s="11" t="s">
        <v>78</v>
      </c>
      <c r="C61" s="12">
        <v>45639.0</v>
      </c>
      <c r="D61" s="11" t="s">
        <v>168</v>
      </c>
      <c r="E61" s="11" t="s">
        <v>689</v>
      </c>
      <c r="F61" s="11" t="s">
        <v>693</v>
      </c>
      <c r="BP61" s="11" t="s">
        <v>692</v>
      </c>
      <c r="BQ61" s="11" t="b">
        <v>0</v>
      </c>
      <c r="BS61" s="19" t="s">
        <v>822</v>
      </c>
      <c r="BT61" s="11" t="b">
        <v>1</v>
      </c>
      <c r="BU61" s="11" t="s">
        <v>95</v>
      </c>
    </row>
    <row r="62">
      <c r="A62" s="11" t="s">
        <v>697</v>
      </c>
      <c r="B62" s="11" t="s">
        <v>78</v>
      </c>
      <c r="C62" s="12">
        <v>45644.0</v>
      </c>
      <c r="D62" s="11" t="s">
        <v>104</v>
      </c>
      <c r="E62" s="11" t="s">
        <v>700</v>
      </c>
      <c r="F62" s="11" t="s">
        <v>702</v>
      </c>
      <c r="BP62" s="11" t="s">
        <v>701</v>
      </c>
      <c r="BQ62" s="11" t="b">
        <v>0</v>
      </c>
      <c r="BS62" s="19" t="s">
        <v>833</v>
      </c>
      <c r="BT62" s="11" t="b">
        <v>1</v>
      </c>
      <c r="BU62" s="11" t="s">
        <v>95</v>
      </c>
    </row>
    <row r="63">
      <c r="A63" s="11" t="s">
        <v>707</v>
      </c>
      <c r="B63" s="11" t="s">
        <v>78</v>
      </c>
      <c r="C63" s="12">
        <v>45644.0</v>
      </c>
      <c r="D63" s="11" t="s">
        <v>708</v>
      </c>
      <c r="E63" s="11" t="s">
        <v>710</v>
      </c>
      <c r="F63" s="11" t="s">
        <v>713</v>
      </c>
      <c r="BP63" s="11" t="s">
        <v>712</v>
      </c>
      <c r="BQ63" s="11" t="b">
        <v>0</v>
      </c>
      <c r="BS63" s="19" t="s">
        <v>847</v>
      </c>
      <c r="BT63" s="11" t="b">
        <v>1</v>
      </c>
      <c r="BU63" s="11" t="s">
        <v>95</v>
      </c>
    </row>
    <row r="64">
      <c r="A64" s="11" t="s">
        <v>726</v>
      </c>
      <c r="B64" s="11" t="s">
        <v>78</v>
      </c>
      <c r="C64" s="12">
        <v>45645.0</v>
      </c>
      <c r="D64" s="11" t="s">
        <v>168</v>
      </c>
      <c r="E64" s="11" t="s">
        <v>729</v>
      </c>
      <c r="F64" s="11" t="s">
        <v>732</v>
      </c>
      <c r="BP64" s="11" t="s">
        <v>730</v>
      </c>
      <c r="BQ64" s="11" t="b">
        <v>0</v>
      </c>
      <c r="BS64" s="19" t="s">
        <v>855</v>
      </c>
      <c r="BT64" s="11" t="b">
        <v>1</v>
      </c>
      <c r="BU64" s="11" t="s">
        <v>95</v>
      </c>
    </row>
    <row r="65">
      <c r="A65" s="11" t="s">
        <v>735</v>
      </c>
      <c r="B65" s="11" t="s">
        <v>78</v>
      </c>
      <c r="C65" s="12">
        <v>45645.0</v>
      </c>
      <c r="D65" s="11" t="s">
        <v>739</v>
      </c>
      <c r="E65" s="11" t="s">
        <v>742</v>
      </c>
      <c r="F65" s="11" t="s">
        <v>744</v>
      </c>
      <c r="BP65" s="11" t="s">
        <v>743</v>
      </c>
      <c r="BQ65" s="11" t="b">
        <v>0</v>
      </c>
      <c r="BS65" s="19" t="s">
        <v>868</v>
      </c>
      <c r="BT65" s="11" t="b">
        <v>1</v>
      </c>
      <c r="BU65" s="11" t="s">
        <v>95</v>
      </c>
    </row>
    <row r="66">
      <c r="A66" s="11" t="s">
        <v>748</v>
      </c>
      <c r="B66" s="11" t="s">
        <v>78</v>
      </c>
      <c r="C66" s="12">
        <v>45642.0</v>
      </c>
      <c r="D66" s="11" t="s">
        <v>104</v>
      </c>
      <c r="E66" s="11" t="s">
        <v>751</v>
      </c>
      <c r="F66" s="11" t="s">
        <v>754</v>
      </c>
      <c r="BP66" s="11" t="s">
        <v>753</v>
      </c>
      <c r="BQ66" s="11" t="b">
        <v>0</v>
      </c>
      <c r="BS66" s="19" t="s">
        <v>878</v>
      </c>
      <c r="BT66" s="11" t="b">
        <v>1</v>
      </c>
      <c r="BU66" s="11" t="s">
        <v>95</v>
      </c>
    </row>
    <row r="67">
      <c r="A67" s="11" t="s">
        <v>758</v>
      </c>
      <c r="B67" s="11" t="s">
        <v>78</v>
      </c>
      <c r="C67" s="12">
        <v>45645.0</v>
      </c>
      <c r="D67" s="11" t="s">
        <v>168</v>
      </c>
      <c r="E67" s="11" t="s">
        <v>762</v>
      </c>
      <c r="F67" s="11" t="s">
        <v>766</v>
      </c>
      <c r="BP67" s="11" t="s">
        <v>764</v>
      </c>
      <c r="BQ67" s="11" t="b">
        <v>0</v>
      </c>
      <c r="BS67" s="19" t="s">
        <v>855</v>
      </c>
      <c r="BT67" s="11" t="b">
        <v>1</v>
      </c>
      <c r="BU67" s="11" t="s">
        <v>95</v>
      </c>
    </row>
    <row r="68">
      <c r="A68" s="11" t="s">
        <v>773</v>
      </c>
      <c r="B68" s="11" t="s">
        <v>78</v>
      </c>
      <c r="C68" s="12">
        <v>45645.0</v>
      </c>
      <c r="D68" s="11" t="s">
        <v>445</v>
      </c>
      <c r="E68" s="11" t="s">
        <v>777</v>
      </c>
      <c r="F68" s="11" t="s">
        <v>781</v>
      </c>
      <c r="BP68" s="11" t="s">
        <v>779</v>
      </c>
      <c r="BQ68" s="11" t="b">
        <v>0</v>
      </c>
      <c r="BS68" s="19" t="s">
        <v>903</v>
      </c>
      <c r="BT68" s="11" t="b">
        <v>1</v>
      </c>
      <c r="BU68" s="11" t="s">
        <v>95</v>
      </c>
    </row>
    <row r="69">
      <c r="A69" s="11" t="s">
        <v>786</v>
      </c>
      <c r="B69" s="11" t="s">
        <v>78</v>
      </c>
      <c r="C69" s="12">
        <v>45645.0</v>
      </c>
      <c r="D69" s="11" t="s">
        <v>445</v>
      </c>
      <c r="E69" s="11" t="s">
        <v>777</v>
      </c>
      <c r="F69" s="11" t="s">
        <v>781</v>
      </c>
      <c r="BP69" s="11" t="s">
        <v>791</v>
      </c>
      <c r="BQ69" s="11" t="b">
        <v>0</v>
      </c>
      <c r="BS69" s="19" t="s">
        <v>914</v>
      </c>
      <c r="BT69" s="11" t="b">
        <v>1</v>
      </c>
      <c r="BU69" s="11" t="s">
        <v>95</v>
      </c>
    </row>
    <row r="70">
      <c r="A70" s="11" t="s">
        <v>796</v>
      </c>
      <c r="B70" s="11" t="s">
        <v>78</v>
      </c>
      <c r="C70" s="12">
        <v>45636.0</v>
      </c>
      <c r="D70" s="11" t="s">
        <v>799</v>
      </c>
      <c r="E70" s="11" t="s">
        <v>801</v>
      </c>
      <c r="F70" s="11" t="s">
        <v>805</v>
      </c>
      <c r="BP70" s="11" t="s">
        <v>803</v>
      </c>
      <c r="BQ70" s="11" t="b">
        <v>0</v>
      </c>
      <c r="BT70" s="11" t="b">
        <v>0</v>
      </c>
      <c r="BU70" s="11" t="s">
        <v>95</v>
      </c>
    </row>
    <row r="71">
      <c r="A71" s="11" t="s">
        <v>808</v>
      </c>
      <c r="B71" s="11" t="s">
        <v>78</v>
      </c>
      <c r="C71" s="12">
        <v>45644.0</v>
      </c>
      <c r="D71" s="11" t="s">
        <v>793</v>
      </c>
      <c r="E71" s="11" t="s">
        <v>812</v>
      </c>
      <c r="F71" s="11" t="s">
        <v>816</v>
      </c>
      <c r="BP71" s="11" t="s">
        <v>813</v>
      </c>
      <c r="BQ71" s="11" t="b">
        <v>0</v>
      </c>
      <c r="BT71" s="11" t="b">
        <v>0</v>
      </c>
      <c r="BU71" s="11" t="s">
        <v>235</v>
      </c>
    </row>
    <row r="72">
      <c r="A72" s="11" t="s">
        <v>820</v>
      </c>
      <c r="B72" s="11" t="s">
        <v>78</v>
      </c>
      <c r="C72" s="12">
        <v>45645.0</v>
      </c>
      <c r="D72" s="11" t="s">
        <v>237</v>
      </c>
      <c r="E72" s="11" t="s">
        <v>823</v>
      </c>
      <c r="F72" s="11" t="s">
        <v>826</v>
      </c>
      <c r="BP72" s="11" t="s">
        <v>824</v>
      </c>
      <c r="BQ72" s="11" t="b">
        <v>0</v>
      </c>
      <c r="BT72" s="11" t="b">
        <v>0</v>
      </c>
      <c r="BU72" s="11" t="s">
        <v>95</v>
      </c>
      <c r="BW72" s="11" t="s">
        <v>828</v>
      </c>
    </row>
    <row r="73">
      <c r="A73" s="11" t="s">
        <v>830</v>
      </c>
      <c r="B73" s="11" t="s">
        <v>78</v>
      </c>
      <c r="C73" s="12">
        <v>45645.0</v>
      </c>
      <c r="D73" s="11" t="s">
        <v>835</v>
      </c>
      <c r="E73" s="11" t="s">
        <v>837</v>
      </c>
      <c r="F73" s="11" t="s">
        <v>843</v>
      </c>
      <c r="BP73" s="11" t="s">
        <v>841</v>
      </c>
      <c r="BQ73" s="11" t="b">
        <v>0</v>
      </c>
      <c r="BT73" s="11" t="b">
        <v>0</v>
      </c>
      <c r="BU73" s="11" t="s">
        <v>95</v>
      </c>
    </row>
    <row r="74">
      <c r="A74" s="11" t="s">
        <v>844</v>
      </c>
      <c r="B74" s="11" t="s">
        <v>78</v>
      </c>
      <c r="C74" s="12">
        <v>45645.0</v>
      </c>
      <c r="D74" s="11" t="s">
        <v>676</v>
      </c>
      <c r="E74" s="11" t="s">
        <v>850</v>
      </c>
      <c r="F74" s="11" t="s">
        <v>853</v>
      </c>
      <c r="BP74" s="11" t="s">
        <v>852</v>
      </c>
      <c r="BQ74" s="11" t="b">
        <v>0</v>
      </c>
      <c r="BS74" s="19" t="s">
        <v>956</v>
      </c>
      <c r="BT74" s="11" t="b">
        <v>1</v>
      </c>
      <c r="BU74" s="11" t="s">
        <v>95</v>
      </c>
    </row>
    <row r="75">
      <c r="A75" s="11" t="s">
        <v>856</v>
      </c>
      <c r="B75" s="11" t="s">
        <v>78</v>
      </c>
      <c r="C75" s="12">
        <v>45647.0</v>
      </c>
      <c r="D75" s="11" t="s">
        <v>676</v>
      </c>
      <c r="E75" s="11" t="s">
        <v>861</v>
      </c>
      <c r="F75" s="11" t="s">
        <v>864</v>
      </c>
      <c r="BP75" s="11" t="s">
        <v>863</v>
      </c>
      <c r="BQ75" s="11" t="b">
        <v>0</v>
      </c>
      <c r="BS75" s="19" t="s">
        <v>966</v>
      </c>
      <c r="BT75" s="11" t="b">
        <v>1</v>
      </c>
      <c r="BU75" s="11" t="s">
        <v>95</v>
      </c>
    </row>
    <row r="76">
      <c r="A76" s="11" t="s">
        <v>869</v>
      </c>
      <c r="B76" s="11" t="s">
        <v>78</v>
      </c>
      <c r="C76" s="12">
        <v>45646.0</v>
      </c>
      <c r="D76" s="11" t="s">
        <v>513</v>
      </c>
      <c r="E76" s="11" t="s">
        <v>871</v>
      </c>
      <c r="F76" s="11" t="s">
        <v>875</v>
      </c>
      <c r="BP76" s="11" t="s">
        <v>873</v>
      </c>
      <c r="BQ76" s="11" t="b">
        <v>0</v>
      </c>
      <c r="BS76" s="19" t="s">
        <v>977</v>
      </c>
      <c r="BT76" s="11" t="b">
        <v>1</v>
      </c>
      <c r="BU76" s="11" t="s">
        <v>95</v>
      </c>
    </row>
    <row r="77">
      <c r="A77" s="11" t="s">
        <v>880</v>
      </c>
      <c r="B77" s="11" t="s">
        <v>78</v>
      </c>
      <c r="C77" s="12">
        <v>45654.0</v>
      </c>
      <c r="D77" s="11" t="s">
        <v>885</v>
      </c>
      <c r="E77" s="11" t="s">
        <v>886</v>
      </c>
      <c r="F77" s="11" t="s">
        <v>889</v>
      </c>
      <c r="BP77" s="11" t="s">
        <v>888</v>
      </c>
      <c r="BQ77" s="11" t="b">
        <v>0</v>
      </c>
      <c r="BS77" s="19" t="s">
        <v>983</v>
      </c>
      <c r="BT77" s="11" t="b">
        <v>1</v>
      </c>
      <c r="BU77" s="11" t="s">
        <v>95</v>
      </c>
    </row>
    <row r="78">
      <c r="A78" s="11" t="s">
        <v>895</v>
      </c>
      <c r="B78" s="11" t="s">
        <v>78</v>
      </c>
      <c r="C78" s="12">
        <v>45654.0</v>
      </c>
      <c r="D78" s="11" t="s">
        <v>104</v>
      </c>
      <c r="E78" s="11" t="s">
        <v>898</v>
      </c>
      <c r="F78" s="11" t="s">
        <v>902</v>
      </c>
      <c r="BP78" s="11" t="s">
        <v>899</v>
      </c>
      <c r="BQ78" s="11" t="b">
        <v>0</v>
      </c>
      <c r="BS78" s="19" t="s">
        <v>991</v>
      </c>
      <c r="BT78" s="11" t="b">
        <v>1</v>
      </c>
      <c r="BU78" s="11" t="s">
        <v>95</v>
      </c>
    </row>
    <row r="79">
      <c r="A79" s="11" t="s">
        <v>907</v>
      </c>
      <c r="B79" s="11" t="s">
        <v>78</v>
      </c>
      <c r="C79" s="12">
        <v>45653.0</v>
      </c>
      <c r="D79" s="11" t="s">
        <v>104</v>
      </c>
      <c r="E79" s="11" t="s">
        <v>909</v>
      </c>
      <c r="F79" s="11" t="s">
        <v>380</v>
      </c>
      <c r="BP79" s="11" t="s">
        <v>912</v>
      </c>
      <c r="BQ79" s="11" t="b">
        <v>0</v>
      </c>
      <c r="BS79" s="19" t="s">
        <v>1000</v>
      </c>
      <c r="BT79" s="11" t="b">
        <v>1</v>
      </c>
      <c r="BU79" s="11" t="s">
        <v>95</v>
      </c>
    </row>
    <row r="80">
      <c r="A80" s="11" t="s">
        <v>918</v>
      </c>
      <c r="B80" s="11" t="s">
        <v>78</v>
      </c>
      <c r="C80" s="12">
        <v>45653.0</v>
      </c>
      <c r="D80" s="11" t="s">
        <v>274</v>
      </c>
      <c r="E80" s="11" t="s">
        <v>922</v>
      </c>
      <c r="F80" s="11" t="s">
        <v>925</v>
      </c>
      <c r="BP80" s="11" t="s">
        <v>923</v>
      </c>
      <c r="BQ80" s="11" t="b">
        <v>0</v>
      </c>
      <c r="BS80" s="19" t="s">
        <v>1007</v>
      </c>
      <c r="BT80" s="11" t="b">
        <v>1</v>
      </c>
      <c r="BU80" s="11" t="s">
        <v>95</v>
      </c>
    </row>
    <row r="81">
      <c r="A81" s="11" t="s">
        <v>927</v>
      </c>
      <c r="B81" s="11" t="s">
        <v>78</v>
      </c>
      <c r="C81" s="12">
        <v>45652.0</v>
      </c>
      <c r="D81" s="19" t="s">
        <v>504</v>
      </c>
      <c r="E81" s="11" t="s">
        <v>930</v>
      </c>
      <c r="F81" s="11" t="s">
        <v>933</v>
      </c>
      <c r="BP81" s="11" t="s">
        <v>931</v>
      </c>
      <c r="BQ81" s="11" t="b">
        <v>0</v>
      </c>
      <c r="BS81" s="11"/>
      <c r="BT81" s="11" t="b">
        <v>0</v>
      </c>
      <c r="BU81" s="11" t="s">
        <v>95</v>
      </c>
    </row>
    <row r="82">
      <c r="A82" s="11" t="s">
        <v>936</v>
      </c>
      <c r="B82" s="11" t="s">
        <v>78</v>
      </c>
      <c r="C82" s="12">
        <v>45653.0</v>
      </c>
      <c r="D82" s="11" t="s">
        <v>237</v>
      </c>
      <c r="E82" s="11" t="s">
        <v>938</v>
      </c>
      <c r="F82" s="11" t="s">
        <v>941</v>
      </c>
      <c r="BP82" s="11" t="s">
        <v>940</v>
      </c>
      <c r="BQ82" s="11" t="b">
        <v>0</v>
      </c>
      <c r="BT82" s="11" t="b">
        <v>0</v>
      </c>
      <c r="BU82" s="11" t="s">
        <v>95</v>
      </c>
    </row>
    <row r="83">
      <c r="A83" s="11" t="s">
        <v>944</v>
      </c>
      <c r="B83" s="11" t="s">
        <v>78</v>
      </c>
      <c r="C83" s="12">
        <v>45653.0</v>
      </c>
      <c r="D83" s="11" t="s">
        <v>835</v>
      </c>
      <c r="E83" s="11" t="s">
        <v>949</v>
      </c>
      <c r="F83" s="11" t="s">
        <v>954</v>
      </c>
      <c r="BP83" s="11" t="s">
        <v>952</v>
      </c>
      <c r="BQ83" s="11" t="b">
        <v>0</v>
      </c>
      <c r="BT83" s="11" t="b">
        <v>0</v>
      </c>
      <c r="BU83" s="11" t="s">
        <v>95</v>
      </c>
    </row>
    <row r="84">
      <c r="A84" s="11" t="s">
        <v>959</v>
      </c>
      <c r="B84" s="11" t="s">
        <v>78</v>
      </c>
      <c r="C84" s="18">
        <v>45658.0</v>
      </c>
      <c r="D84" s="11" t="s">
        <v>962</v>
      </c>
      <c r="E84" s="11" t="s">
        <v>963</v>
      </c>
      <c r="F84" s="11" t="s">
        <v>968</v>
      </c>
      <c r="BP84" s="11" t="s">
        <v>965</v>
      </c>
      <c r="BQ84" s="11" t="b">
        <v>0</v>
      </c>
      <c r="BS84" s="19" t="s">
        <v>1041</v>
      </c>
      <c r="BT84" s="11" t="b">
        <v>1</v>
      </c>
      <c r="BU84" s="11" t="s">
        <v>95</v>
      </c>
    </row>
    <row r="85">
      <c r="A85" s="11" t="s">
        <v>970</v>
      </c>
      <c r="B85" s="11" t="s">
        <v>78</v>
      </c>
      <c r="C85" s="18">
        <v>45658.0</v>
      </c>
      <c r="D85" s="11" t="s">
        <v>885</v>
      </c>
      <c r="E85" s="11" t="s">
        <v>974</v>
      </c>
      <c r="F85" s="11" t="s">
        <v>470</v>
      </c>
      <c r="BP85" s="11" t="s">
        <v>978</v>
      </c>
      <c r="BQ85" s="11" t="b">
        <v>0</v>
      </c>
      <c r="BS85" s="19" t="s">
        <v>1052</v>
      </c>
      <c r="BT85" s="11" t="b">
        <v>1</v>
      </c>
      <c r="BU85" s="11" t="s">
        <v>95</v>
      </c>
    </row>
    <row r="86">
      <c r="A86" s="11" t="s">
        <v>981</v>
      </c>
      <c r="B86" s="11" t="s">
        <v>78</v>
      </c>
      <c r="C86" s="18">
        <v>45659.0</v>
      </c>
      <c r="D86" s="11" t="s">
        <v>104</v>
      </c>
      <c r="E86" s="11" t="s">
        <v>984</v>
      </c>
      <c r="F86" s="11" t="s">
        <v>987</v>
      </c>
      <c r="BP86" s="11" t="s">
        <v>985</v>
      </c>
      <c r="BQ86" s="11" t="b">
        <v>0</v>
      </c>
      <c r="BS86" s="19" t="s">
        <v>1062</v>
      </c>
      <c r="BT86" s="11" t="b">
        <v>1</v>
      </c>
      <c r="BU86" s="11" t="s">
        <v>95</v>
      </c>
    </row>
    <row r="87">
      <c r="A87" s="11" t="s">
        <v>989</v>
      </c>
      <c r="B87" s="11" t="s">
        <v>78</v>
      </c>
      <c r="C87" s="18">
        <v>45659.0</v>
      </c>
      <c r="D87" s="11" t="s">
        <v>992</v>
      </c>
      <c r="E87" s="11" t="s">
        <v>994</v>
      </c>
      <c r="F87" s="11" t="s">
        <v>335</v>
      </c>
      <c r="BP87" s="11" t="s">
        <v>995</v>
      </c>
      <c r="BQ87" s="11" t="b">
        <v>0</v>
      </c>
      <c r="BS87" s="19" t="s">
        <v>1062</v>
      </c>
      <c r="BT87" s="11" t="b">
        <v>1</v>
      </c>
      <c r="BU87" s="11" t="s">
        <v>95</v>
      </c>
    </row>
    <row r="88">
      <c r="A88" s="11" t="s">
        <v>999</v>
      </c>
      <c r="B88" s="11" t="s">
        <v>78</v>
      </c>
      <c r="C88" s="18">
        <v>45660.0</v>
      </c>
      <c r="D88" s="11" t="s">
        <v>104</v>
      </c>
      <c r="E88" s="11" t="s">
        <v>1002</v>
      </c>
      <c r="F88" s="11" t="s">
        <v>1004</v>
      </c>
      <c r="BP88" s="11" t="s">
        <v>1003</v>
      </c>
      <c r="BQ88" s="11" t="b">
        <v>0</v>
      </c>
      <c r="BS88" s="19" t="s">
        <v>1080</v>
      </c>
      <c r="BT88" s="11" t="b">
        <v>1</v>
      </c>
      <c r="BU88" s="11" t="s">
        <v>95</v>
      </c>
    </row>
    <row r="89">
      <c r="A89" s="11" t="s">
        <v>1008</v>
      </c>
      <c r="B89" s="11" t="s">
        <v>78</v>
      </c>
      <c r="C89" s="18">
        <v>45659.0</v>
      </c>
      <c r="D89" s="11" t="s">
        <v>1011</v>
      </c>
      <c r="E89" s="11" t="s">
        <v>1012</v>
      </c>
      <c r="F89" s="11" t="s">
        <v>1016</v>
      </c>
      <c r="BP89" s="11" t="s">
        <v>1014</v>
      </c>
      <c r="BQ89" s="11" t="b">
        <v>0</v>
      </c>
      <c r="BS89" s="19" t="s">
        <v>1084</v>
      </c>
      <c r="BT89" s="11" t="b">
        <v>1</v>
      </c>
      <c r="BU89" s="11" t="s">
        <v>95</v>
      </c>
    </row>
    <row r="90">
      <c r="A90" s="11" t="s">
        <v>1019</v>
      </c>
      <c r="B90" s="11" t="s">
        <v>78</v>
      </c>
      <c r="C90" s="18">
        <v>45660.0</v>
      </c>
      <c r="D90" s="11" t="s">
        <v>513</v>
      </c>
      <c r="E90" s="11" t="s">
        <v>1021</v>
      </c>
      <c r="F90" s="11" t="s">
        <v>460</v>
      </c>
      <c r="BP90" s="11" t="s">
        <v>1024</v>
      </c>
      <c r="BQ90" s="11" t="b">
        <v>0</v>
      </c>
      <c r="BS90" s="19" t="s">
        <v>1101</v>
      </c>
      <c r="BT90" s="11" t="b">
        <v>1</v>
      </c>
      <c r="BU90" s="11" t="s">
        <v>95</v>
      </c>
    </row>
    <row r="91">
      <c r="A91" s="11" t="s">
        <v>1028</v>
      </c>
      <c r="B91" s="11" t="s">
        <v>78</v>
      </c>
      <c r="C91" s="18">
        <v>45665.0</v>
      </c>
      <c r="D91" s="11" t="s">
        <v>237</v>
      </c>
      <c r="E91" s="11" t="s">
        <v>1030</v>
      </c>
      <c r="F91" s="11" t="s">
        <v>1033</v>
      </c>
      <c r="BP91" s="11" t="s">
        <v>1032</v>
      </c>
      <c r="BQ91" s="11" t="b">
        <v>0</v>
      </c>
      <c r="BT91" s="11" t="b">
        <v>0</v>
      </c>
      <c r="BU91" s="11" t="s">
        <v>213</v>
      </c>
    </row>
    <row r="92">
      <c r="A92" s="11" t="s">
        <v>1036</v>
      </c>
      <c r="B92" s="11" t="s">
        <v>78</v>
      </c>
      <c r="C92" s="12">
        <v>45656.0</v>
      </c>
      <c r="D92" s="11" t="s">
        <v>835</v>
      </c>
      <c r="E92" s="11" t="s">
        <v>1038</v>
      </c>
      <c r="F92" s="11" t="s">
        <v>843</v>
      </c>
      <c r="BP92" s="11" t="s">
        <v>1040</v>
      </c>
      <c r="BQ92" s="11" t="b">
        <v>0</v>
      </c>
      <c r="BT92" s="11" t="b">
        <v>0</v>
      </c>
      <c r="BU92" s="11" t="s">
        <v>95</v>
      </c>
    </row>
    <row r="93">
      <c r="A93" s="11" t="s">
        <v>1044</v>
      </c>
      <c r="B93" s="11" t="s">
        <v>78</v>
      </c>
      <c r="C93" s="18">
        <v>45663.0</v>
      </c>
      <c r="D93" s="11" t="s">
        <v>1048</v>
      </c>
      <c r="E93" s="11" t="s">
        <v>1051</v>
      </c>
      <c r="F93" s="11" t="s">
        <v>1054</v>
      </c>
      <c r="BP93" s="11" t="s">
        <v>1053</v>
      </c>
      <c r="BQ93" s="11" t="b">
        <v>0</v>
      </c>
      <c r="BS93" s="19" t="s">
        <v>1131</v>
      </c>
      <c r="BT93" s="11" t="b">
        <v>1</v>
      </c>
      <c r="BU93" s="11" t="s">
        <v>95</v>
      </c>
    </row>
    <row r="94">
      <c r="A94" s="11" t="s">
        <v>1058</v>
      </c>
      <c r="B94" s="11" t="s">
        <v>78</v>
      </c>
      <c r="C94" s="18">
        <v>45663.0</v>
      </c>
      <c r="D94" s="11" t="s">
        <v>992</v>
      </c>
      <c r="E94" s="11" t="s">
        <v>1063</v>
      </c>
      <c r="F94" s="11" t="s">
        <v>1066</v>
      </c>
      <c r="BP94" s="11" t="s">
        <v>1065</v>
      </c>
      <c r="BQ94" s="11" t="b">
        <v>0</v>
      </c>
      <c r="BS94" s="19" t="s">
        <v>1141</v>
      </c>
      <c r="BT94" s="11" t="b">
        <v>1</v>
      </c>
      <c r="BU94" s="11" t="s">
        <v>95</v>
      </c>
    </row>
    <row r="95">
      <c r="A95" s="11" t="s">
        <v>1073</v>
      </c>
      <c r="B95" s="11" t="s">
        <v>78</v>
      </c>
      <c r="C95" s="18">
        <v>45663.0</v>
      </c>
      <c r="D95" s="11" t="s">
        <v>1076</v>
      </c>
      <c r="E95" s="11" t="s">
        <v>1078</v>
      </c>
      <c r="F95" s="11" t="s">
        <v>1081</v>
      </c>
      <c r="BP95" s="11" t="s">
        <v>1079</v>
      </c>
      <c r="BQ95" s="11" t="b">
        <v>0</v>
      </c>
      <c r="BS95" s="19" t="s">
        <v>1150</v>
      </c>
      <c r="BT95" s="11" t="b">
        <v>1</v>
      </c>
      <c r="BU95" s="11" t="s">
        <v>95</v>
      </c>
    </row>
    <row r="96">
      <c r="A96" s="11" t="s">
        <v>1082</v>
      </c>
      <c r="B96" s="11" t="s">
        <v>78</v>
      </c>
      <c r="C96" s="18">
        <v>45662.0</v>
      </c>
      <c r="D96" s="11" t="s">
        <v>168</v>
      </c>
      <c r="E96" s="11" t="s">
        <v>1085</v>
      </c>
      <c r="F96" s="11" t="s">
        <v>1089</v>
      </c>
      <c r="BP96" s="11" t="s">
        <v>1087</v>
      </c>
      <c r="BQ96" s="11" t="b">
        <v>0</v>
      </c>
      <c r="BS96" s="19" t="s">
        <v>1161</v>
      </c>
      <c r="BT96" s="11" t="b">
        <v>1</v>
      </c>
      <c r="BU96" s="11" t="s">
        <v>95</v>
      </c>
    </row>
    <row r="97">
      <c r="A97" s="11" t="s">
        <v>1093</v>
      </c>
      <c r="B97" s="11" t="s">
        <v>78</v>
      </c>
      <c r="C97" s="18">
        <v>45663.0</v>
      </c>
      <c r="D97" s="11" t="s">
        <v>1094</v>
      </c>
      <c r="E97" s="11" t="s">
        <v>1096</v>
      </c>
      <c r="F97" s="11" t="s">
        <v>1099</v>
      </c>
      <c r="BP97" s="11" t="s">
        <v>1097</v>
      </c>
      <c r="BQ97" s="11" t="b">
        <v>0</v>
      </c>
      <c r="BS97" s="19" t="s">
        <v>1168</v>
      </c>
      <c r="BT97" s="11" t="b">
        <v>1</v>
      </c>
      <c r="BU97" s="11" t="s">
        <v>95</v>
      </c>
    </row>
    <row r="98">
      <c r="A98" s="11" t="s">
        <v>1102</v>
      </c>
      <c r="B98" s="11" t="s">
        <v>78</v>
      </c>
      <c r="C98" s="18">
        <v>45663.0</v>
      </c>
      <c r="D98" s="11" t="s">
        <v>1105</v>
      </c>
      <c r="E98" s="11" t="s">
        <v>1106</v>
      </c>
      <c r="F98" s="11" t="s">
        <v>1110</v>
      </c>
      <c r="BP98" s="11" t="s">
        <v>1107</v>
      </c>
      <c r="BQ98" s="11" t="b">
        <v>0</v>
      </c>
      <c r="BS98" s="19" t="s">
        <v>1176</v>
      </c>
      <c r="BT98" s="11" t="b">
        <v>1</v>
      </c>
      <c r="BU98" s="11" t="s">
        <v>95</v>
      </c>
    </row>
    <row r="99">
      <c r="A99" s="11" t="s">
        <v>1115</v>
      </c>
      <c r="B99" s="11" t="s">
        <v>78</v>
      </c>
      <c r="C99" s="18">
        <v>45661.0</v>
      </c>
      <c r="D99" s="11" t="s">
        <v>1011</v>
      </c>
      <c r="E99" s="11" t="s">
        <v>1118</v>
      </c>
      <c r="F99" s="11" t="s">
        <v>1121</v>
      </c>
      <c r="BP99" s="11" t="s">
        <v>1119</v>
      </c>
      <c r="BQ99" s="11" t="b">
        <v>0</v>
      </c>
      <c r="BS99" s="19" t="s">
        <v>1185</v>
      </c>
      <c r="BT99" s="11" t="b">
        <v>1</v>
      </c>
      <c r="BU99" s="11" t="s">
        <v>95</v>
      </c>
    </row>
    <row r="100">
      <c r="A100" s="11" t="s">
        <v>1125</v>
      </c>
      <c r="B100" s="11" t="s">
        <v>78</v>
      </c>
      <c r="C100" s="18">
        <v>45663.0</v>
      </c>
      <c r="D100" s="11" t="s">
        <v>168</v>
      </c>
      <c r="E100" s="11" t="s">
        <v>1127</v>
      </c>
      <c r="F100" s="11" t="s">
        <v>1130</v>
      </c>
      <c r="BP100" s="11" t="s">
        <v>1129</v>
      </c>
      <c r="BQ100" s="11" t="b">
        <v>0</v>
      </c>
      <c r="BS100" s="19" t="s">
        <v>1195</v>
      </c>
      <c r="BT100" s="11" t="b">
        <v>1</v>
      </c>
      <c r="BU100" s="11" t="s">
        <v>95</v>
      </c>
    </row>
    <row r="101">
      <c r="A101" s="11" t="s">
        <v>1133</v>
      </c>
      <c r="B101" s="11" t="s">
        <v>78</v>
      </c>
      <c r="C101" s="18">
        <v>45656.0</v>
      </c>
      <c r="D101" s="11" t="s">
        <v>237</v>
      </c>
      <c r="E101" s="11" t="s">
        <v>1137</v>
      </c>
      <c r="F101" s="11" t="s">
        <v>1140</v>
      </c>
      <c r="BP101" s="11" t="s">
        <v>1138</v>
      </c>
      <c r="BQ101" s="11" t="b">
        <v>0</v>
      </c>
      <c r="BT101" s="11" t="b">
        <v>0</v>
      </c>
      <c r="BU101" s="11" t="s">
        <v>95</v>
      </c>
      <c r="BW101" s="11" t="s">
        <v>1142</v>
      </c>
    </row>
    <row r="102">
      <c r="A102" s="11" t="s">
        <v>1144</v>
      </c>
      <c r="B102" s="11" t="s">
        <v>78</v>
      </c>
      <c r="C102" s="12">
        <v>45656.0</v>
      </c>
      <c r="D102" s="11" t="s">
        <v>835</v>
      </c>
      <c r="E102" s="11" t="s">
        <v>1038</v>
      </c>
      <c r="F102" s="11" t="s">
        <v>843</v>
      </c>
      <c r="BP102" s="11" t="s">
        <v>1147</v>
      </c>
      <c r="BQ102" s="11" t="b">
        <v>0</v>
      </c>
      <c r="BT102" s="11" t="b">
        <v>0</v>
      </c>
      <c r="BU102" s="11" t="s">
        <v>95</v>
      </c>
    </row>
    <row r="103">
      <c r="A103" s="11" t="s">
        <v>1152</v>
      </c>
      <c r="B103" s="11" t="s">
        <v>78</v>
      </c>
      <c r="C103" s="18">
        <v>45665.0</v>
      </c>
      <c r="D103" s="11" t="s">
        <v>1154</v>
      </c>
      <c r="E103" s="11" t="s">
        <v>1156</v>
      </c>
      <c r="F103" s="11" t="s">
        <v>1158</v>
      </c>
      <c r="BP103" s="11" t="s">
        <v>1157</v>
      </c>
      <c r="BQ103" s="11" t="b">
        <v>0</v>
      </c>
      <c r="BS103" s="19" t="s">
        <v>1219</v>
      </c>
      <c r="BT103" s="11" t="b">
        <v>1</v>
      </c>
      <c r="BU103" s="11" t="s">
        <v>95</v>
      </c>
    </row>
    <row r="104">
      <c r="A104" s="11" t="s">
        <v>1163</v>
      </c>
      <c r="B104" s="11" t="s">
        <v>78</v>
      </c>
      <c r="C104" s="18">
        <v>45665.0</v>
      </c>
      <c r="D104" s="11" t="s">
        <v>104</v>
      </c>
      <c r="E104" s="11" t="s">
        <v>1167</v>
      </c>
      <c r="F104" s="11" t="s">
        <v>1172</v>
      </c>
      <c r="BP104" s="11" t="s">
        <v>1169</v>
      </c>
      <c r="BQ104" s="11" t="b">
        <v>0</v>
      </c>
      <c r="BS104" s="19" t="s">
        <v>1225</v>
      </c>
      <c r="BT104" s="11" t="b">
        <v>1</v>
      </c>
      <c r="BU104" s="11" t="s">
        <v>95</v>
      </c>
    </row>
    <row r="105">
      <c r="A105" s="11" t="s">
        <v>1173</v>
      </c>
      <c r="B105" s="11" t="s">
        <v>78</v>
      </c>
      <c r="C105" s="18">
        <v>45663.0</v>
      </c>
      <c r="D105" s="19" t="s">
        <v>504</v>
      </c>
      <c r="E105" s="11" t="s">
        <v>1177</v>
      </c>
      <c r="F105" s="11" t="s">
        <v>1181</v>
      </c>
      <c r="BP105" s="11" t="s">
        <v>1178</v>
      </c>
      <c r="BQ105" s="11" t="b">
        <v>0</v>
      </c>
      <c r="BT105" s="11" t="b">
        <v>0</v>
      </c>
      <c r="BU105" s="11" t="s">
        <v>95</v>
      </c>
    </row>
    <row r="106">
      <c r="A106" s="11" t="s">
        <v>1183</v>
      </c>
      <c r="B106" s="11" t="s">
        <v>78</v>
      </c>
      <c r="C106" s="18">
        <v>45666.0</v>
      </c>
      <c r="D106" s="11" t="s">
        <v>168</v>
      </c>
      <c r="E106" s="11" t="s">
        <v>1188</v>
      </c>
      <c r="F106" s="11" t="s">
        <v>1193</v>
      </c>
      <c r="BP106" s="11" t="s">
        <v>1190</v>
      </c>
      <c r="BQ106" s="11" t="b">
        <v>0</v>
      </c>
      <c r="BS106" s="19" t="s">
        <v>1235</v>
      </c>
      <c r="BT106" s="11" t="b">
        <v>1</v>
      </c>
      <c r="BU106" s="11" t="s">
        <v>95</v>
      </c>
    </row>
    <row r="107">
      <c r="A107" s="11" t="s">
        <v>1198</v>
      </c>
      <c r="B107" s="11" t="s">
        <v>78</v>
      </c>
      <c r="C107" s="18">
        <v>45666.0</v>
      </c>
      <c r="D107" s="11" t="s">
        <v>1201</v>
      </c>
      <c r="E107" s="11" t="s">
        <v>1202</v>
      </c>
      <c r="F107" s="11" t="s">
        <v>1205</v>
      </c>
      <c r="BP107" s="11" t="s">
        <v>1203</v>
      </c>
      <c r="BQ107" s="11" t="b">
        <v>0</v>
      </c>
      <c r="BS107" s="19" t="s">
        <v>1240</v>
      </c>
      <c r="BT107" s="11" t="b">
        <v>1</v>
      </c>
      <c r="BU107" s="11" t="s">
        <v>95</v>
      </c>
    </row>
    <row r="108">
      <c r="A108" s="11" t="s">
        <v>1208</v>
      </c>
      <c r="B108" s="11" t="s">
        <v>78</v>
      </c>
      <c r="C108" s="18">
        <v>45667.0</v>
      </c>
      <c r="D108" s="11" t="s">
        <v>992</v>
      </c>
      <c r="E108" s="11" t="s">
        <v>1211</v>
      </c>
      <c r="F108" s="11" t="s">
        <v>1215</v>
      </c>
      <c r="BP108" s="11" t="s">
        <v>1213</v>
      </c>
      <c r="BQ108" s="11" t="b">
        <v>0</v>
      </c>
      <c r="BS108" s="19" t="s">
        <v>1248</v>
      </c>
      <c r="BT108" s="11" t="b">
        <v>1</v>
      </c>
      <c r="BU108" s="11" t="s">
        <v>95</v>
      </c>
    </row>
    <row r="109">
      <c r="A109" s="11" t="s">
        <v>1223</v>
      </c>
      <c r="B109" s="11" t="s">
        <v>78</v>
      </c>
      <c r="C109" s="18">
        <v>45668.0</v>
      </c>
      <c r="D109" s="11" t="s">
        <v>1011</v>
      </c>
      <c r="E109" s="11" t="s">
        <v>1227</v>
      </c>
      <c r="F109" s="11" t="s">
        <v>1230</v>
      </c>
      <c r="BP109" s="11" t="s">
        <v>1228</v>
      </c>
      <c r="BQ109" s="11" t="b">
        <v>0</v>
      </c>
      <c r="BS109" s="19" t="s">
        <v>1256</v>
      </c>
      <c r="BT109" s="11" t="b">
        <v>1</v>
      </c>
      <c r="BU109" s="11" t="s">
        <v>95</v>
      </c>
    </row>
    <row r="110">
      <c r="A110" s="11" t="s">
        <v>1232</v>
      </c>
      <c r="B110" s="11" t="s">
        <v>78</v>
      </c>
      <c r="C110" s="18">
        <v>45667.0</v>
      </c>
      <c r="D110" s="19" t="s">
        <v>504</v>
      </c>
      <c r="E110" s="11" t="s">
        <v>1233</v>
      </c>
      <c r="F110" s="11" t="s">
        <v>1237</v>
      </c>
      <c r="BP110" s="11" t="s">
        <v>1236</v>
      </c>
      <c r="BQ110" s="11" t="b">
        <v>0</v>
      </c>
      <c r="BT110" s="11" t="b">
        <v>0</v>
      </c>
      <c r="BU110" s="11" t="s">
        <v>95</v>
      </c>
    </row>
    <row r="111">
      <c r="A111" s="11">
        <v>9.3234044E7</v>
      </c>
      <c r="B111" s="11" t="s">
        <v>78</v>
      </c>
      <c r="C111" s="18">
        <v>45671.0</v>
      </c>
      <c r="D111" s="11" t="s">
        <v>274</v>
      </c>
      <c r="E111" s="11" t="s">
        <v>1243</v>
      </c>
      <c r="F111" s="11" t="s">
        <v>1247</v>
      </c>
      <c r="BP111" s="11" t="s">
        <v>1244</v>
      </c>
      <c r="BQ111" s="11" t="b">
        <v>0</v>
      </c>
      <c r="BS111" s="19" t="s">
        <v>1270</v>
      </c>
      <c r="BT111" s="11" t="b">
        <v>1</v>
      </c>
      <c r="BU111" s="11" t="s">
        <v>95</v>
      </c>
    </row>
    <row r="112">
      <c r="A112" s="11" t="s">
        <v>1250</v>
      </c>
      <c r="B112" s="11" t="s">
        <v>78</v>
      </c>
      <c r="C112" s="18">
        <v>45671.0</v>
      </c>
      <c r="D112" s="11" t="s">
        <v>1251</v>
      </c>
      <c r="E112" s="11" t="s">
        <v>1252</v>
      </c>
      <c r="F112" s="11" t="s">
        <v>1254</v>
      </c>
      <c r="BP112" s="11" t="s">
        <v>1253</v>
      </c>
      <c r="BQ112" s="11" t="b">
        <v>0</v>
      </c>
      <c r="BS112" s="19" t="s">
        <v>1281</v>
      </c>
      <c r="BT112" s="11" t="b">
        <v>1</v>
      </c>
      <c r="BU112" s="11" t="s">
        <v>95</v>
      </c>
    </row>
    <row r="113">
      <c r="A113" s="11" t="s">
        <v>1259</v>
      </c>
      <c r="B113" s="11" t="s">
        <v>78</v>
      </c>
      <c r="C113" s="18">
        <v>45671.0</v>
      </c>
      <c r="D113" s="11" t="s">
        <v>104</v>
      </c>
      <c r="E113" s="11" t="s">
        <v>1261</v>
      </c>
      <c r="F113" s="11" t="s">
        <v>902</v>
      </c>
      <c r="BP113" s="11" t="s">
        <v>1263</v>
      </c>
      <c r="BQ113" s="11" t="b">
        <v>0</v>
      </c>
      <c r="BS113" s="19" t="s">
        <v>1289</v>
      </c>
      <c r="BT113" s="11" t="b">
        <v>1</v>
      </c>
      <c r="BU113" s="11" t="s">
        <v>95</v>
      </c>
    </row>
    <row r="114">
      <c r="A114" s="11" t="s">
        <v>1268</v>
      </c>
      <c r="B114" s="11" t="s">
        <v>78</v>
      </c>
      <c r="C114" s="18">
        <v>45672.0</v>
      </c>
      <c r="D114" s="11" t="s">
        <v>992</v>
      </c>
      <c r="E114" s="11" t="s">
        <v>1272</v>
      </c>
      <c r="F114" s="11" t="s">
        <v>1275</v>
      </c>
      <c r="BP114" s="11" t="s">
        <v>1274</v>
      </c>
      <c r="BQ114" s="11" t="b">
        <v>0</v>
      </c>
      <c r="BS114" s="19" t="s">
        <v>1298</v>
      </c>
      <c r="BT114" s="11" t="b">
        <v>1</v>
      </c>
      <c r="BU114" s="11" t="s">
        <v>95</v>
      </c>
    </row>
    <row r="115">
      <c r="A115" s="11" t="s">
        <v>1280</v>
      </c>
      <c r="B115" s="11" t="s">
        <v>78</v>
      </c>
      <c r="C115" s="18">
        <v>45672.0</v>
      </c>
      <c r="D115" s="11" t="s">
        <v>1154</v>
      </c>
      <c r="E115" s="11" t="s">
        <v>1285</v>
      </c>
      <c r="F115" s="11" t="s">
        <v>781</v>
      </c>
      <c r="BP115" s="11" t="s">
        <v>1286</v>
      </c>
      <c r="BQ115" s="11" t="b">
        <v>0</v>
      </c>
      <c r="BS115" s="19" t="s">
        <v>1307</v>
      </c>
      <c r="BT115" s="11" t="b">
        <v>1</v>
      </c>
      <c r="BU115" s="11" t="s">
        <v>95</v>
      </c>
    </row>
    <row r="116">
      <c r="A116" s="11" t="s">
        <v>1291</v>
      </c>
      <c r="B116" s="11" t="s">
        <v>78</v>
      </c>
      <c r="C116" s="18">
        <v>45672.0</v>
      </c>
      <c r="D116" s="11" t="s">
        <v>1293</v>
      </c>
      <c r="E116" s="11" t="s">
        <v>1294</v>
      </c>
      <c r="F116" s="11" t="s">
        <v>1297</v>
      </c>
      <c r="BP116" s="11" t="s">
        <v>1295</v>
      </c>
      <c r="BQ116" s="11" t="b">
        <v>0</v>
      </c>
      <c r="BS116" s="19" t="s">
        <v>1313</v>
      </c>
      <c r="BT116" s="11" t="b">
        <v>1</v>
      </c>
      <c r="BU116" s="11" t="s">
        <v>95</v>
      </c>
    </row>
    <row r="117">
      <c r="A117" s="11" t="s">
        <v>1300</v>
      </c>
      <c r="B117" s="11" t="s">
        <v>78</v>
      </c>
      <c r="C117" s="18">
        <v>45672.0</v>
      </c>
      <c r="D117" s="11" t="s">
        <v>708</v>
      </c>
      <c r="E117" s="11" t="s">
        <v>1304</v>
      </c>
      <c r="F117" s="11" t="s">
        <v>1308</v>
      </c>
      <c r="BP117" s="11" t="s">
        <v>1306</v>
      </c>
      <c r="BQ117" s="11" t="b">
        <v>0</v>
      </c>
      <c r="BS117" s="19" t="s">
        <v>1320</v>
      </c>
      <c r="BT117" s="11" t="b">
        <v>1</v>
      </c>
      <c r="BU117" s="11" t="s">
        <v>95</v>
      </c>
    </row>
    <row r="118">
      <c r="A118" s="11" t="s">
        <v>1311</v>
      </c>
      <c r="B118" s="11" t="s">
        <v>78</v>
      </c>
      <c r="C118" s="18">
        <v>45670.0</v>
      </c>
      <c r="D118" s="11" t="s">
        <v>237</v>
      </c>
      <c r="E118" s="11" t="s">
        <v>1315</v>
      </c>
      <c r="F118" s="11" t="s">
        <v>1318</v>
      </c>
      <c r="BP118" s="11" t="s">
        <v>1316</v>
      </c>
      <c r="BQ118" s="11" t="b">
        <v>0</v>
      </c>
      <c r="BT118" s="11" t="b">
        <v>0</v>
      </c>
      <c r="BU118" s="11" t="s">
        <v>95</v>
      </c>
    </row>
    <row r="119">
      <c r="A119" s="11" t="s">
        <v>1319</v>
      </c>
      <c r="B119" s="11" t="s">
        <v>78</v>
      </c>
      <c r="C119" s="18">
        <v>45670.0</v>
      </c>
      <c r="D119" s="11" t="s">
        <v>835</v>
      </c>
      <c r="E119" s="11" t="s">
        <v>1324</v>
      </c>
      <c r="F119" s="11" t="s">
        <v>843</v>
      </c>
      <c r="BP119" s="11" t="s">
        <v>1325</v>
      </c>
      <c r="BQ119" s="11" t="b">
        <v>0</v>
      </c>
      <c r="BT119" s="11" t="b">
        <v>0</v>
      </c>
      <c r="BU119" s="11" t="s">
        <v>95</v>
      </c>
    </row>
    <row r="120">
      <c r="A120" s="11" t="s">
        <v>1329</v>
      </c>
      <c r="B120" s="11" t="s">
        <v>78</v>
      </c>
      <c r="C120" s="18">
        <v>45671.0</v>
      </c>
      <c r="D120" s="11" t="s">
        <v>237</v>
      </c>
      <c r="E120" s="11" t="s">
        <v>1331</v>
      </c>
      <c r="F120" s="11" t="s">
        <v>1334</v>
      </c>
      <c r="BP120" s="11" t="s">
        <v>1332</v>
      </c>
      <c r="BQ120" s="11" t="b">
        <v>0</v>
      </c>
      <c r="BT120" s="11" t="b">
        <v>0</v>
      </c>
      <c r="BU120" s="11" t="s">
        <v>95</v>
      </c>
    </row>
    <row r="121">
      <c r="A121" s="11" t="s">
        <v>1337</v>
      </c>
      <c r="B121" s="11" t="s">
        <v>78</v>
      </c>
      <c r="C121" s="18">
        <v>45671.0</v>
      </c>
      <c r="D121" s="11" t="s">
        <v>835</v>
      </c>
      <c r="E121" s="11" t="s">
        <v>1340</v>
      </c>
      <c r="F121" s="11" t="s">
        <v>843</v>
      </c>
      <c r="BP121" s="11" t="s">
        <v>1342</v>
      </c>
      <c r="BQ121" s="11" t="b">
        <v>0</v>
      </c>
      <c r="BT121" s="11" t="b">
        <v>0</v>
      </c>
      <c r="BU121" s="11" t="s">
        <v>95</v>
      </c>
    </row>
    <row r="122">
      <c r="A122" s="11" t="s">
        <v>1345</v>
      </c>
      <c r="B122" s="11" t="s">
        <v>78</v>
      </c>
      <c r="C122" s="18">
        <v>45673.0</v>
      </c>
      <c r="D122" s="11" t="s">
        <v>513</v>
      </c>
      <c r="E122" s="11" t="s">
        <v>1347</v>
      </c>
      <c r="F122" s="11" t="s">
        <v>1350</v>
      </c>
      <c r="BP122" s="11" t="s">
        <v>1349</v>
      </c>
      <c r="BQ122" s="11" t="b">
        <v>0</v>
      </c>
      <c r="BT122" s="11" t="b">
        <v>0</v>
      </c>
      <c r="BU122" s="11" t="s">
        <v>95</v>
      </c>
    </row>
    <row r="123">
      <c r="A123" s="11" t="s">
        <v>1353</v>
      </c>
      <c r="B123" s="11" t="s">
        <v>78</v>
      </c>
      <c r="C123" s="18">
        <v>45673.0</v>
      </c>
      <c r="D123" s="11" t="s">
        <v>237</v>
      </c>
      <c r="E123" s="11" t="s">
        <v>1355</v>
      </c>
      <c r="F123" s="11" t="s">
        <v>1359</v>
      </c>
      <c r="BP123" s="11" t="s">
        <v>1357</v>
      </c>
      <c r="BQ123" s="11" t="b">
        <v>0</v>
      </c>
      <c r="BT123" s="11" t="b">
        <v>0</v>
      </c>
      <c r="BU123" s="11" t="s">
        <v>95</v>
      </c>
      <c r="BW123" s="11" t="s">
        <v>1362</v>
      </c>
      <c r="BX123" s="11" t="s">
        <v>1363</v>
      </c>
    </row>
    <row r="124">
      <c r="A124" s="11" t="s">
        <v>1364</v>
      </c>
      <c r="B124" s="11" t="s">
        <v>78</v>
      </c>
      <c r="C124" s="18">
        <v>45673.0</v>
      </c>
      <c r="D124" s="11" t="s">
        <v>835</v>
      </c>
      <c r="E124" s="11" t="s">
        <v>1366</v>
      </c>
      <c r="F124" s="11" t="s">
        <v>843</v>
      </c>
      <c r="BP124" s="11" t="s">
        <v>1368</v>
      </c>
      <c r="BQ124" s="11" t="b">
        <v>0</v>
      </c>
      <c r="BT124" s="11" t="b">
        <v>0</v>
      </c>
      <c r="BU124" s="11" t="s">
        <v>95</v>
      </c>
    </row>
    <row r="125">
      <c r="A125" s="11" t="s">
        <v>1371</v>
      </c>
      <c r="B125" s="11" t="s">
        <v>78</v>
      </c>
      <c r="C125" s="18">
        <v>45673.0</v>
      </c>
      <c r="D125" s="11" t="s">
        <v>104</v>
      </c>
      <c r="E125" s="11" t="s">
        <v>1373</v>
      </c>
      <c r="F125" s="11" t="s">
        <v>1375</v>
      </c>
      <c r="BP125" s="11" t="s">
        <v>1376</v>
      </c>
      <c r="BQ125" s="11" t="b">
        <v>0</v>
      </c>
      <c r="BS125" s="19" t="s">
        <v>1377</v>
      </c>
      <c r="BT125" s="11" t="b">
        <v>1</v>
      </c>
      <c r="BU125" s="11" t="s">
        <v>95</v>
      </c>
    </row>
    <row r="126">
      <c r="A126" s="11" t="s">
        <v>1379</v>
      </c>
      <c r="B126" s="11" t="s">
        <v>78</v>
      </c>
      <c r="C126" s="18">
        <v>45675.0</v>
      </c>
      <c r="D126" s="11" t="s">
        <v>104</v>
      </c>
      <c r="E126" s="11" t="s">
        <v>1381</v>
      </c>
      <c r="F126" s="11" t="s">
        <v>1382</v>
      </c>
      <c r="BP126" s="11" t="s">
        <v>1385</v>
      </c>
      <c r="BQ126" s="11" t="b">
        <v>0</v>
      </c>
      <c r="BS126" s="19" t="s">
        <v>1387</v>
      </c>
      <c r="BT126" s="11" t="b">
        <v>1</v>
      </c>
      <c r="BU126" s="11" t="s">
        <v>95</v>
      </c>
    </row>
    <row r="127">
      <c r="A127" s="11" t="s">
        <v>1390</v>
      </c>
      <c r="B127" s="11" t="s">
        <v>78</v>
      </c>
      <c r="C127" s="18">
        <v>45675.0</v>
      </c>
      <c r="D127" s="11" t="s">
        <v>1394</v>
      </c>
      <c r="E127" s="11" t="s">
        <v>1395</v>
      </c>
      <c r="F127" s="11" t="s">
        <v>1396</v>
      </c>
      <c r="BP127" s="11" t="s">
        <v>1398</v>
      </c>
      <c r="BQ127" s="11" t="b">
        <v>0</v>
      </c>
      <c r="BS127" s="19" t="s">
        <v>1400</v>
      </c>
      <c r="BT127" s="11" t="b">
        <v>1</v>
      </c>
      <c r="BU127" s="11" t="s">
        <v>95</v>
      </c>
    </row>
    <row r="128">
      <c r="A128" s="11" t="s">
        <v>1402</v>
      </c>
      <c r="B128" s="11" t="s">
        <v>78</v>
      </c>
      <c r="C128" s="18">
        <v>45681.0</v>
      </c>
      <c r="D128" s="11" t="s">
        <v>513</v>
      </c>
      <c r="E128" s="11" t="s">
        <v>1404</v>
      </c>
      <c r="F128" s="11" t="s">
        <v>1406</v>
      </c>
      <c r="BP128" s="11" t="s">
        <v>1407</v>
      </c>
      <c r="BQ128" s="11" t="b">
        <v>0</v>
      </c>
      <c r="BS128" s="19" t="s">
        <v>1409</v>
      </c>
      <c r="BT128" s="11" t="b">
        <v>1</v>
      </c>
      <c r="BU128" s="11" t="s">
        <v>95</v>
      </c>
    </row>
    <row r="129">
      <c r="A129" s="11" t="s">
        <v>1410</v>
      </c>
      <c r="B129" s="11" t="s">
        <v>78</v>
      </c>
      <c r="C129" s="18">
        <v>45681.0</v>
      </c>
      <c r="D129" s="11" t="s">
        <v>197</v>
      </c>
      <c r="E129" s="11" t="s">
        <v>1414</v>
      </c>
      <c r="F129" s="11" t="s">
        <v>1416</v>
      </c>
      <c r="BP129" s="11" t="s">
        <v>1417</v>
      </c>
      <c r="BQ129" s="11" t="b">
        <v>0</v>
      </c>
      <c r="BS129" s="19" t="s">
        <v>1419</v>
      </c>
      <c r="BT129" s="11" t="b">
        <v>1</v>
      </c>
      <c r="BU129" s="11" t="s">
        <v>95</v>
      </c>
    </row>
    <row r="130">
      <c r="A130" s="11" t="s">
        <v>1421</v>
      </c>
      <c r="B130" s="11" t="s">
        <v>78</v>
      </c>
      <c r="C130" s="18">
        <v>45681.0</v>
      </c>
      <c r="D130" s="11" t="s">
        <v>104</v>
      </c>
      <c r="E130" s="11" t="s">
        <v>1423</v>
      </c>
      <c r="F130" s="11" t="s">
        <v>1425</v>
      </c>
      <c r="BP130" s="11" t="s">
        <v>1427</v>
      </c>
      <c r="BQ130" s="11" t="b">
        <v>0</v>
      </c>
      <c r="BS130" s="19" t="s">
        <v>1428</v>
      </c>
      <c r="BT130" s="11" t="b">
        <v>1</v>
      </c>
      <c r="BU130" s="11" t="s">
        <v>95</v>
      </c>
    </row>
    <row r="131">
      <c r="A131" s="11" t="s">
        <v>1430</v>
      </c>
      <c r="B131" s="11" t="s">
        <v>78</v>
      </c>
      <c r="C131" s="18">
        <v>45682.0</v>
      </c>
      <c r="D131" s="11" t="s">
        <v>1011</v>
      </c>
      <c r="E131" s="11" t="s">
        <v>1432</v>
      </c>
      <c r="F131" s="11" t="s">
        <v>1433</v>
      </c>
      <c r="BP131" s="11" t="s">
        <v>1435</v>
      </c>
      <c r="BQ131" s="11" t="b">
        <v>0</v>
      </c>
      <c r="BS131" s="19" t="s">
        <v>1437</v>
      </c>
      <c r="BT131" s="11" t="b">
        <v>1</v>
      </c>
      <c r="BU131" s="11" t="s">
        <v>95</v>
      </c>
    </row>
    <row r="132">
      <c r="A132" s="11" t="s">
        <v>1438</v>
      </c>
      <c r="B132" s="11" t="s">
        <v>78</v>
      </c>
      <c r="C132" s="18">
        <v>45681.0</v>
      </c>
      <c r="D132" s="11" t="s">
        <v>1154</v>
      </c>
      <c r="E132" s="11" t="s">
        <v>1441</v>
      </c>
      <c r="F132" s="11" t="s">
        <v>1442</v>
      </c>
      <c r="BP132" s="11" t="s">
        <v>1444</v>
      </c>
      <c r="BQ132" s="11" t="b">
        <v>0</v>
      </c>
      <c r="BS132" s="19" t="s">
        <v>1445</v>
      </c>
      <c r="BT132" s="11" t="b">
        <v>1</v>
      </c>
      <c r="BU132" s="11" t="s">
        <v>95</v>
      </c>
    </row>
    <row r="133">
      <c r="A133" s="11" t="s">
        <v>1447</v>
      </c>
      <c r="B133" s="11" t="s">
        <v>78</v>
      </c>
      <c r="C133" s="18">
        <v>45677.0</v>
      </c>
      <c r="D133" s="11" t="s">
        <v>104</v>
      </c>
      <c r="E133" s="11" t="s">
        <v>1450</v>
      </c>
      <c r="F133" s="11" t="s">
        <v>1451</v>
      </c>
      <c r="BP133" s="11" t="s">
        <v>1456</v>
      </c>
      <c r="BQ133" s="11" t="b">
        <v>0</v>
      </c>
      <c r="BS133" s="19" t="s">
        <v>1457</v>
      </c>
      <c r="BT133" s="11" t="b">
        <v>1</v>
      </c>
      <c r="BU133" s="11" t="s">
        <v>95</v>
      </c>
    </row>
    <row r="134">
      <c r="A134" s="11" t="s">
        <v>1459</v>
      </c>
      <c r="B134" s="11" t="s">
        <v>78</v>
      </c>
      <c r="C134" s="18">
        <v>45679.0</v>
      </c>
      <c r="D134" s="11" t="s">
        <v>1460</v>
      </c>
      <c r="E134" s="11" t="s">
        <v>1461</v>
      </c>
      <c r="F134" s="11" t="s">
        <v>1462</v>
      </c>
      <c r="BP134" s="11" t="s">
        <v>1463</v>
      </c>
      <c r="BQ134" s="11" t="b">
        <v>0</v>
      </c>
      <c r="BS134" s="19" t="s">
        <v>1464</v>
      </c>
      <c r="BT134" s="11" t="b">
        <v>1</v>
      </c>
      <c r="BU134" s="11" t="s">
        <v>95</v>
      </c>
    </row>
    <row r="135">
      <c r="A135" s="11" t="s">
        <v>1467</v>
      </c>
      <c r="B135" s="11" t="s">
        <v>78</v>
      </c>
      <c r="C135" s="18">
        <v>45684.0</v>
      </c>
      <c r="D135" s="11" t="s">
        <v>676</v>
      </c>
      <c r="E135" s="11" t="s">
        <v>1469</v>
      </c>
      <c r="F135" s="11" t="s">
        <v>1470</v>
      </c>
      <c r="BP135" s="11" t="s">
        <v>1471</v>
      </c>
      <c r="BQ135" s="11" t="b">
        <v>0</v>
      </c>
      <c r="BS135" s="19" t="s">
        <v>1473</v>
      </c>
      <c r="BT135" s="11" t="b">
        <v>1</v>
      </c>
      <c r="BU135" s="11" t="s">
        <v>95</v>
      </c>
    </row>
    <row r="136">
      <c r="A136" s="11" t="s">
        <v>1475</v>
      </c>
      <c r="B136" s="11" t="s">
        <v>78</v>
      </c>
      <c r="C136" s="18">
        <v>45686.0</v>
      </c>
      <c r="D136" s="11" t="s">
        <v>708</v>
      </c>
      <c r="E136" s="11" t="s">
        <v>1477</v>
      </c>
      <c r="F136" s="11" t="s">
        <v>1478</v>
      </c>
      <c r="BP136" s="11" t="s">
        <v>1480</v>
      </c>
      <c r="BQ136" s="11" t="b">
        <v>0</v>
      </c>
      <c r="BS136" s="19" t="s">
        <v>1482</v>
      </c>
      <c r="BT136" s="11" t="b">
        <v>1</v>
      </c>
      <c r="BU136" s="11" t="s">
        <v>95</v>
      </c>
    </row>
    <row r="137">
      <c r="A137" s="11" t="s">
        <v>1483</v>
      </c>
      <c r="B137" s="11" t="s">
        <v>78</v>
      </c>
      <c r="C137" s="18">
        <v>45684.0</v>
      </c>
      <c r="D137" s="11" t="s">
        <v>104</v>
      </c>
      <c r="E137" s="11" t="s">
        <v>1486</v>
      </c>
      <c r="F137" s="11" t="s">
        <v>702</v>
      </c>
      <c r="BP137" s="11" t="s">
        <v>1488</v>
      </c>
      <c r="BQ137" s="11" t="b">
        <v>0</v>
      </c>
      <c r="BS137" s="19" t="s">
        <v>1489</v>
      </c>
      <c r="BT137" s="11" t="b">
        <v>1</v>
      </c>
      <c r="BU137" s="11" t="s">
        <v>95</v>
      </c>
    </row>
    <row r="138">
      <c r="A138" s="11" t="s">
        <v>1498</v>
      </c>
      <c r="B138" s="11" t="s">
        <v>78</v>
      </c>
      <c r="C138" s="18">
        <v>45684.0</v>
      </c>
      <c r="D138" s="11" t="s">
        <v>992</v>
      </c>
      <c r="E138" s="11" t="s">
        <v>1501</v>
      </c>
      <c r="F138" s="11" t="s">
        <v>335</v>
      </c>
      <c r="BP138" s="11" t="s">
        <v>1503</v>
      </c>
      <c r="BQ138" s="11" t="b">
        <v>0</v>
      </c>
      <c r="BS138" s="19" t="s">
        <v>1505</v>
      </c>
      <c r="BT138" s="11" t="b">
        <v>1</v>
      </c>
      <c r="BU138" s="11" t="s">
        <v>95</v>
      </c>
    </row>
    <row r="139">
      <c r="A139" s="11" t="s">
        <v>1507</v>
      </c>
      <c r="B139" s="11" t="s">
        <v>78</v>
      </c>
      <c r="C139" s="18">
        <v>45680.0</v>
      </c>
      <c r="D139" s="19" t="s">
        <v>504</v>
      </c>
      <c r="E139" s="11" t="s">
        <v>1509</v>
      </c>
      <c r="F139" s="11" t="s">
        <v>1511</v>
      </c>
      <c r="BP139" s="11" t="s">
        <v>1512</v>
      </c>
      <c r="BQ139" s="11" t="b">
        <v>0</v>
      </c>
      <c r="BT139" s="11" t="b">
        <v>0</v>
      </c>
      <c r="BU139" s="11" t="s">
        <v>95</v>
      </c>
      <c r="BW139" s="11" t="s">
        <v>1514</v>
      </c>
      <c r="BX139" s="11" t="s">
        <v>1515</v>
      </c>
    </row>
    <row r="140">
      <c r="A140" s="11" t="s">
        <v>1516</v>
      </c>
      <c r="B140" s="11" t="s">
        <v>78</v>
      </c>
      <c r="C140" s="18">
        <v>45713.0</v>
      </c>
      <c r="D140" s="11" t="s">
        <v>817</v>
      </c>
      <c r="E140" s="11" t="s">
        <v>1519</v>
      </c>
      <c r="F140" s="11" t="s">
        <v>818</v>
      </c>
      <c r="BP140" s="11" t="s">
        <v>1522</v>
      </c>
      <c r="BQ140" s="11" t="b">
        <v>0</v>
      </c>
      <c r="BT140" s="11" t="b">
        <v>0</v>
      </c>
      <c r="BU140" s="11" t="s">
        <v>95</v>
      </c>
    </row>
    <row r="141">
      <c r="A141" s="11" t="s">
        <v>1523</v>
      </c>
      <c r="B141" s="11" t="s">
        <v>78</v>
      </c>
      <c r="C141" s="18">
        <v>45698.0</v>
      </c>
      <c r="D141" s="11" t="s">
        <v>835</v>
      </c>
      <c r="E141" s="11" t="s">
        <v>1525</v>
      </c>
      <c r="F141" s="11" t="s">
        <v>1526</v>
      </c>
      <c r="BP141" s="11" t="s">
        <v>1527</v>
      </c>
      <c r="BQ141" s="11" t="b">
        <v>0</v>
      </c>
      <c r="BT141" s="11" t="b">
        <v>0</v>
      </c>
      <c r="BU141" s="11" t="s">
        <v>95</v>
      </c>
    </row>
    <row r="142">
      <c r="A142" s="11" t="s">
        <v>1528</v>
      </c>
      <c r="B142" s="11" t="s">
        <v>78</v>
      </c>
      <c r="C142" s="18">
        <v>45698.0</v>
      </c>
      <c r="D142" s="11" t="s">
        <v>237</v>
      </c>
      <c r="E142" s="11" t="s">
        <v>1530</v>
      </c>
      <c r="F142" s="11" t="s">
        <v>1531</v>
      </c>
      <c r="BP142" s="11" t="s">
        <v>1533</v>
      </c>
      <c r="BQ142" s="11" t="b">
        <v>0</v>
      </c>
      <c r="BT142" s="11" t="b">
        <v>0</v>
      </c>
      <c r="BU142" s="11" t="s">
        <v>95</v>
      </c>
    </row>
    <row r="143">
      <c r="A143" s="11" t="s">
        <v>1536</v>
      </c>
      <c r="B143" s="11" t="s">
        <v>78</v>
      </c>
      <c r="C143" s="18">
        <v>45684.0</v>
      </c>
      <c r="D143" s="11" t="s">
        <v>237</v>
      </c>
      <c r="E143" s="11" t="s">
        <v>1538</v>
      </c>
      <c r="F143" s="11" t="s">
        <v>843</v>
      </c>
      <c r="BP143" s="11" t="s">
        <v>1543</v>
      </c>
      <c r="BQ143" s="11" t="b">
        <v>0</v>
      </c>
      <c r="BT143" s="11" t="b">
        <v>0</v>
      </c>
      <c r="BU143" s="11" t="s">
        <v>235</v>
      </c>
    </row>
    <row r="144">
      <c r="A144" s="11" t="s">
        <v>1545</v>
      </c>
      <c r="B144" s="11" t="s">
        <v>78</v>
      </c>
      <c r="C144" s="18">
        <v>45684.0</v>
      </c>
      <c r="D144" s="11" t="s">
        <v>237</v>
      </c>
      <c r="E144" s="11" t="s">
        <v>1548</v>
      </c>
      <c r="F144" s="11" t="s">
        <v>1549</v>
      </c>
      <c r="BP144" s="11" t="s">
        <v>1551</v>
      </c>
      <c r="BQ144" s="11" t="b">
        <v>0</v>
      </c>
      <c r="BT144" s="11" t="b">
        <v>0</v>
      </c>
      <c r="BU144" s="11" t="s">
        <v>235</v>
      </c>
      <c r="BW144" s="11" t="s">
        <v>1552</v>
      </c>
      <c r="BX144" s="11" t="s">
        <v>1553</v>
      </c>
    </row>
    <row r="145">
      <c r="A145" s="11" t="s">
        <v>1556</v>
      </c>
      <c r="B145" s="11" t="s">
        <v>78</v>
      </c>
      <c r="C145" s="18">
        <v>45688.0</v>
      </c>
      <c r="D145" s="11" t="s">
        <v>254</v>
      </c>
      <c r="E145" s="11" t="s">
        <v>1558</v>
      </c>
      <c r="F145" s="11" t="s">
        <v>1559</v>
      </c>
      <c r="BP145" s="11" t="s">
        <v>1560</v>
      </c>
      <c r="BQ145" s="11" t="b">
        <v>0</v>
      </c>
      <c r="BS145" s="19" t="s">
        <v>1561</v>
      </c>
      <c r="BT145" s="11" t="b">
        <v>1</v>
      </c>
      <c r="BU145" s="11" t="s">
        <v>95</v>
      </c>
    </row>
    <row r="146">
      <c r="A146" s="11" t="s">
        <v>1563</v>
      </c>
      <c r="B146" s="11" t="s">
        <v>78</v>
      </c>
      <c r="C146" s="18">
        <v>45686.0</v>
      </c>
      <c r="D146" s="11" t="s">
        <v>1389</v>
      </c>
      <c r="E146" s="11" t="s">
        <v>1565</v>
      </c>
      <c r="F146" s="11" t="s">
        <v>1566</v>
      </c>
      <c r="BP146" s="11" t="s">
        <v>1571</v>
      </c>
      <c r="BQ146" s="11" t="b">
        <v>0</v>
      </c>
      <c r="BT146" s="11" t="b">
        <v>0</v>
      </c>
      <c r="BU146" s="11" t="s">
        <v>95</v>
      </c>
    </row>
    <row r="147">
      <c r="A147" s="11" t="s">
        <v>1573</v>
      </c>
      <c r="B147" s="11" t="s">
        <v>78</v>
      </c>
      <c r="C147" s="18">
        <v>45687.0</v>
      </c>
      <c r="D147" s="11" t="s">
        <v>168</v>
      </c>
      <c r="E147" s="11" t="s">
        <v>1575</v>
      </c>
      <c r="F147" s="11" t="s">
        <v>1576</v>
      </c>
      <c r="BP147" s="11" t="s">
        <v>1579</v>
      </c>
      <c r="BQ147" s="11" t="b">
        <v>0</v>
      </c>
      <c r="BS147" s="19" t="s">
        <v>1581</v>
      </c>
      <c r="BT147" s="11" t="b">
        <v>1</v>
      </c>
      <c r="BU147" s="11" t="s">
        <v>95</v>
      </c>
    </row>
    <row r="148">
      <c r="A148" s="11" t="s">
        <v>1584</v>
      </c>
      <c r="B148" s="11" t="s">
        <v>78</v>
      </c>
      <c r="C148" s="18">
        <v>45688.0</v>
      </c>
      <c r="D148" s="11" t="s">
        <v>513</v>
      </c>
      <c r="E148" s="11" t="s">
        <v>1586</v>
      </c>
      <c r="F148" s="11" t="s">
        <v>1587</v>
      </c>
      <c r="BP148" s="11" t="s">
        <v>1589</v>
      </c>
      <c r="BQ148" s="11" t="b">
        <v>0</v>
      </c>
      <c r="BS148" s="19" t="s">
        <v>1591</v>
      </c>
      <c r="BT148" s="11" t="b">
        <v>1</v>
      </c>
      <c r="BU148" s="11" t="s">
        <v>95</v>
      </c>
    </row>
    <row r="149">
      <c r="A149" s="11" t="s">
        <v>1592</v>
      </c>
      <c r="B149" s="11" t="s">
        <v>78</v>
      </c>
      <c r="C149" s="18">
        <v>45690.0</v>
      </c>
      <c r="D149" s="11" t="s">
        <v>168</v>
      </c>
      <c r="E149" s="11" t="s">
        <v>1595</v>
      </c>
      <c r="F149" s="11" t="s">
        <v>1596</v>
      </c>
      <c r="BP149" s="11" t="s">
        <v>1599</v>
      </c>
      <c r="BQ149" s="11" t="b">
        <v>0</v>
      </c>
      <c r="BS149" s="19" t="s">
        <v>1601</v>
      </c>
      <c r="BT149" s="11" t="b">
        <v>1</v>
      </c>
      <c r="BU149" s="11" t="s">
        <v>95</v>
      </c>
    </row>
    <row r="150">
      <c r="A150" s="11" t="s">
        <v>1602</v>
      </c>
      <c r="B150" s="11" t="s">
        <v>78</v>
      </c>
      <c r="C150" s="18">
        <v>45689.0</v>
      </c>
      <c r="D150" s="11" t="s">
        <v>676</v>
      </c>
      <c r="E150" s="11" t="s">
        <v>1604</v>
      </c>
      <c r="F150" s="11" t="s">
        <v>1605</v>
      </c>
      <c r="BP150" s="11" t="s">
        <v>1608</v>
      </c>
      <c r="BQ150" s="11" t="b">
        <v>0</v>
      </c>
      <c r="BS150" s="19" t="s">
        <v>1609</v>
      </c>
      <c r="BT150" s="11" t="b">
        <v>1</v>
      </c>
      <c r="BU150" s="11" t="s">
        <v>95</v>
      </c>
    </row>
    <row r="151">
      <c r="A151" s="11" t="s">
        <v>1610</v>
      </c>
      <c r="B151" s="11" t="s">
        <v>78</v>
      </c>
      <c r="C151" s="18">
        <v>45692.0</v>
      </c>
      <c r="D151" s="11" t="s">
        <v>1612</v>
      </c>
      <c r="E151" s="11" t="s">
        <v>1613</v>
      </c>
      <c r="F151" s="11" t="s">
        <v>1615</v>
      </c>
      <c r="BP151" s="11" t="s">
        <v>1616</v>
      </c>
      <c r="BQ151" s="11" t="b">
        <v>0</v>
      </c>
      <c r="BS151" s="19" t="s">
        <v>1618</v>
      </c>
      <c r="BT151" s="11" t="b">
        <v>1</v>
      </c>
      <c r="BU151" s="11" t="s">
        <v>95</v>
      </c>
    </row>
    <row r="152">
      <c r="A152" s="11" t="s">
        <v>1620</v>
      </c>
      <c r="B152" s="11" t="s">
        <v>78</v>
      </c>
      <c r="C152" s="18">
        <v>45692.0</v>
      </c>
      <c r="D152" s="11" t="s">
        <v>1612</v>
      </c>
      <c r="E152" s="11" t="s">
        <v>1613</v>
      </c>
      <c r="F152" s="11" t="s">
        <v>1615</v>
      </c>
      <c r="BP152" s="11" t="s">
        <v>1623</v>
      </c>
      <c r="BQ152" s="11" t="b">
        <v>0</v>
      </c>
      <c r="BS152" s="19" t="s">
        <v>1624</v>
      </c>
      <c r="BT152" s="11" t="b">
        <v>1</v>
      </c>
      <c r="BU152" s="11" t="s">
        <v>95</v>
      </c>
    </row>
    <row r="153">
      <c r="A153" s="11" t="s">
        <v>1626</v>
      </c>
      <c r="B153" s="11" t="s">
        <v>78</v>
      </c>
      <c r="C153" s="18">
        <v>45692.0</v>
      </c>
      <c r="D153" s="11" t="s">
        <v>1627</v>
      </c>
      <c r="E153" s="11" t="s">
        <v>1628</v>
      </c>
      <c r="F153" s="11" t="s">
        <v>1630</v>
      </c>
      <c r="BP153" s="11" t="s">
        <v>1632</v>
      </c>
      <c r="BQ153" s="11" t="b">
        <v>0</v>
      </c>
      <c r="BS153" s="19" t="s">
        <v>1634</v>
      </c>
      <c r="BT153" s="11" t="b">
        <v>1</v>
      </c>
      <c r="BU153" s="11" t="s">
        <v>95</v>
      </c>
    </row>
    <row r="154">
      <c r="A154" s="11" t="s">
        <v>1636</v>
      </c>
      <c r="B154" s="11" t="s">
        <v>78</v>
      </c>
      <c r="C154" s="18">
        <v>45692.0</v>
      </c>
      <c r="D154" s="11" t="s">
        <v>1094</v>
      </c>
      <c r="E154" s="11" t="s">
        <v>1637</v>
      </c>
      <c r="F154" s="11" t="s">
        <v>1638</v>
      </c>
      <c r="BP154" s="11" t="s">
        <v>1640</v>
      </c>
      <c r="BQ154" s="11" t="b">
        <v>0</v>
      </c>
      <c r="BS154" s="19" t="s">
        <v>1641</v>
      </c>
      <c r="BT154" s="11" t="b">
        <v>1</v>
      </c>
      <c r="BU154" s="11" t="s">
        <v>95</v>
      </c>
    </row>
    <row r="155">
      <c r="A155" s="11" t="s">
        <v>1642</v>
      </c>
      <c r="B155" s="11" t="s">
        <v>78</v>
      </c>
      <c r="C155" s="18">
        <v>45695.0</v>
      </c>
      <c r="D155" s="11" t="s">
        <v>992</v>
      </c>
      <c r="E155" s="11" t="s">
        <v>1643</v>
      </c>
      <c r="F155" s="11" t="s">
        <v>1645</v>
      </c>
      <c r="BP155" s="11" t="s">
        <v>1646</v>
      </c>
      <c r="BQ155" s="11" t="b">
        <v>0</v>
      </c>
      <c r="BS155" s="19" t="s">
        <v>1648</v>
      </c>
      <c r="BT155" s="11" t="b">
        <v>1</v>
      </c>
      <c r="BU155" s="11" t="s">
        <v>95</v>
      </c>
    </row>
    <row r="156">
      <c r="A156" s="11" t="s">
        <v>1649</v>
      </c>
      <c r="B156" s="11" t="s">
        <v>78</v>
      </c>
      <c r="C156" s="18">
        <v>45692.0</v>
      </c>
      <c r="D156" s="11" t="s">
        <v>104</v>
      </c>
      <c r="E156" s="11" t="s">
        <v>1651</v>
      </c>
      <c r="F156" s="11" t="s">
        <v>1652</v>
      </c>
      <c r="BP156" s="11" t="s">
        <v>1655</v>
      </c>
      <c r="BQ156" s="11" t="b">
        <v>0</v>
      </c>
      <c r="BS156" s="19" t="s">
        <v>1656</v>
      </c>
      <c r="BT156" s="11" t="b">
        <v>1</v>
      </c>
      <c r="BU156" s="11" t="s">
        <v>95</v>
      </c>
    </row>
    <row r="157">
      <c r="A157" s="11" t="s">
        <v>1658</v>
      </c>
      <c r="B157" s="11" t="s">
        <v>78</v>
      </c>
      <c r="C157" s="18">
        <v>45695.0</v>
      </c>
      <c r="D157" s="11" t="s">
        <v>104</v>
      </c>
      <c r="E157" s="11" t="s">
        <v>1659</v>
      </c>
      <c r="F157" s="11" t="s">
        <v>1660</v>
      </c>
      <c r="BP157" s="11" t="s">
        <v>1661</v>
      </c>
      <c r="BQ157" s="11" t="b">
        <v>0</v>
      </c>
      <c r="BS157" s="19" t="s">
        <v>1663</v>
      </c>
      <c r="BT157" s="11" t="b">
        <v>1</v>
      </c>
      <c r="BU157" s="11" t="s">
        <v>95</v>
      </c>
    </row>
    <row r="158">
      <c r="A158" s="11" t="s">
        <v>1665</v>
      </c>
      <c r="B158" s="11" t="s">
        <v>78</v>
      </c>
      <c r="C158" s="18">
        <v>45695.0</v>
      </c>
      <c r="D158" s="11" t="s">
        <v>339</v>
      </c>
      <c r="E158" s="11" t="s">
        <v>1667</v>
      </c>
      <c r="F158" s="11" t="s">
        <v>1668</v>
      </c>
      <c r="BP158" s="11" t="s">
        <v>1670</v>
      </c>
      <c r="BQ158" s="11" t="b">
        <v>0</v>
      </c>
      <c r="BS158" s="19" t="s">
        <v>1671</v>
      </c>
      <c r="BT158" s="11" t="b">
        <v>1</v>
      </c>
      <c r="BU158" s="11" t="s">
        <v>95</v>
      </c>
    </row>
    <row r="159">
      <c r="A159" s="11" t="s">
        <v>1675</v>
      </c>
      <c r="B159" s="11" t="s">
        <v>78</v>
      </c>
      <c r="C159" s="18">
        <v>45699.0</v>
      </c>
      <c r="D159" s="11" t="s">
        <v>1676</v>
      </c>
      <c r="E159" s="11" t="s">
        <v>1678</v>
      </c>
      <c r="F159" s="11" t="s">
        <v>1679</v>
      </c>
      <c r="BP159" s="11" t="s">
        <v>1680</v>
      </c>
      <c r="BQ159" s="11" t="b">
        <v>0</v>
      </c>
      <c r="BS159" s="19" t="s">
        <v>1681</v>
      </c>
      <c r="BT159" s="11" t="b">
        <v>1</v>
      </c>
      <c r="BU159" s="11" t="s">
        <v>95</v>
      </c>
    </row>
    <row r="160">
      <c r="A160" s="11" t="s">
        <v>1682</v>
      </c>
      <c r="B160" s="11" t="s">
        <v>78</v>
      </c>
      <c r="C160" s="18">
        <v>45698.0</v>
      </c>
      <c r="D160" s="11" t="s">
        <v>104</v>
      </c>
      <c r="E160" s="11" t="s">
        <v>1683</v>
      </c>
      <c r="F160" s="11" t="s">
        <v>110</v>
      </c>
      <c r="BP160" s="11" t="s">
        <v>1684</v>
      </c>
      <c r="BQ160" s="11" t="b">
        <v>0</v>
      </c>
      <c r="BS160" s="19" t="s">
        <v>1685</v>
      </c>
      <c r="BT160" s="11" t="b">
        <v>1</v>
      </c>
      <c r="BU160" s="11" t="s">
        <v>95</v>
      </c>
    </row>
    <row r="161">
      <c r="A161" s="11" t="s">
        <v>1686</v>
      </c>
      <c r="B161" s="11" t="s">
        <v>78</v>
      </c>
      <c r="C161" s="18">
        <v>45695.0</v>
      </c>
      <c r="D161" s="11" t="s">
        <v>992</v>
      </c>
      <c r="E161" s="11" t="s">
        <v>1687</v>
      </c>
      <c r="F161" s="11" t="s">
        <v>1688</v>
      </c>
      <c r="BP161" s="11" t="s">
        <v>1691</v>
      </c>
      <c r="BQ161" s="11" t="b">
        <v>0</v>
      </c>
      <c r="BS161" s="19" t="s">
        <v>1692</v>
      </c>
      <c r="BT161" s="11" t="b">
        <v>1</v>
      </c>
      <c r="BU161" s="11" t="s">
        <v>95</v>
      </c>
    </row>
    <row r="162">
      <c r="A162" s="11" t="s">
        <v>1695</v>
      </c>
      <c r="B162" s="11" t="s">
        <v>78</v>
      </c>
      <c r="C162" s="18">
        <v>45700.0</v>
      </c>
      <c r="D162" s="11" t="s">
        <v>708</v>
      </c>
      <c r="E162" s="11" t="s">
        <v>1696</v>
      </c>
      <c r="F162" s="11" t="s">
        <v>1697</v>
      </c>
      <c r="BP162" s="11" t="s">
        <v>1699</v>
      </c>
      <c r="BQ162" s="11" t="b">
        <v>0</v>
      </c>
      <c r="BS162" s="19" t="s">
        <v>1701</v>
      </c>
      <c r="BT162" s="11" t="b">
        <v>1</v>
      </c>
      <c r="BU162" s="11" t="s">
        <v>95</v>
      </c>
    </row>
    <row r="163">
      <c r="A163" s="11" t="s">
        <v>1704</v>
      </c>
      <c r="B163" s="11" t="s">
        <v>78</v>
      </c>
      <c r="C163" s="18">
        <v>45693.0</v>
      </c>
      <c r="D163" s="11" t="s">
        <v>1706</v>
      </c>
      <c r="E163" s="11" t="s">
        <v>1708</v>
      </c>
      <c r="F163" s="11" t="s">
        <v>1709</v>
      </c>
      <c r="BP163" s="11" t="s">
        <v>1710</v>
      </c>
      <c r="BQ163" s="11" t="b">
        <v>0</v>
      </c>
      <c r="BS163" s="19" t="s">
        <v>1712</v>
      </c>
      <c r="BT163" s="11" t="b">
        <v>1</v>
      </c>
      <c r="BU163" s="11" t="s">
        <v>95</v>
      </c>
    </row>
    <row r="164">
      <c r="A164" s="11" t="s">
        <v>1714</v>
      </c>
      <c r="B164" s="11" t="s">
        <v>78</v>
      </c>
      <c r="C164" s="18">
        <v>45700.0</v>
      </c>
      <c r="D164" s="11" t="s">
        <v>739</v>
      </c>
      <c r="E164" s="11" t="s">
        <v>1716</v>
      </c>
      <c r="F164" s="11" t="s">
        <v>1717</v>
      </c>
      <c r="BP164" s="11" t="s">
        <v>1719</v>
      </c>
      <c r="BQ164" s="11" t="b">
        <v>0</v>
      </c>
      <c r="BS164" s="19" t="s">
        <v>1720</v>
      </c>
      <c r="BT164" s="11" t="b">
        <v>1</v>
      </c>
      <c r="BU164" s="11" t="s">
        <v>95</v>
      </c>
    </row>
    <row r="165">
      <c r="A165" s="11" t="s">
        <v>1721</v>
      </c>
      <c r="B165" s="11" t="s">
        <v>78</v>
      </c>
      <c r="C165" s="18">
        <v>45696.0</v>
      </c>
      <c r="D165" s="11" t="s">
        <v>168</v>
      </c>
      <c r="E165" s="11" t="s">
        <v>1725</v>
      </c>
      <c r="F165" s="11" t="s">
        <v>1727</v>
      </c>
      <c r="BP165" s="11" t="s">
        <v>1729</v>
      </c>
      <c r="BQ165" s="11" t="b">
        <v>0</v>
      </c>
      <c r="BS165" s="19" t="s">
        <v>1730</v>
      </c>
      <c r="BT165" s="11" t="b">
        <v>1</v>
      </c>
      <c r="BU165" s="11" t="s">
        <v>95</v>
      </c>
    </row>
    <row r="166">
      <c r="A166" s="11" t="s">
        <v>1732</v>
      </c>
      <c r="B166" s="11" t="s">
        <v>78</v>
      </c>
      <c r="C166" s="18">
        <v>45699.0</v>
      </c>
      <c r="D166" s="11" t="s">
        <v>237</v>
      </c>
      <c r="E166" s="11" t="s">
        <v>1733</v>
      </c>
      <c r="F166" s="11" t="s">
        <v>1734</v>
      </c>
      <c r="BP166" s="11" t="s">
        <v>1736</v>
      </c>
      <c r="BQ166" s="11" t="b">
        <v>0</v>
      </c>
      <c r="BT166" s="11" t="b">
        <v>0</v>
      </c>
      <c r="BU166" s="11" t="s">
        <v>95</v>
      </c>
    </row>
    <row r="167">
      <c r="A167" s="11" t="s">
        <v>1738</v>
      </c>
      <c r="B167" s="11" t="s">
        <v>78</v>
      </c>
      <c r="C167" s="18">
        <v>45699.0</v>
      </c>
      <c r="D167" s="11" t="s">
        <v>835</v>
      </c>
      <c r="E167" s="11" t="s">
        <v>1741</v>
      </c>
      <c r="F167" s="11" t="s">
        <v>1742</v>
      </c>
      <c r="BP167" s="11" t="s">
        <v>1744</v>
      </c>
      <c r="BQ167" s="11" t="b">
        <v>0</v>
      </c>
      <c r="BT167" s="11" t="b">
        <v>0</v>
      </c>
      <c r="BU167" s="11" t="s">
        <v>95</v>
      </c>
    </row>
    <row r="168">
      <c r="A168" s="11" t="s">
        <v>1746</v>
      </c>
      <c r="B168" s="11" t="s">
        <v>78</v>
      </c>
      <c r="C168" s="18">
        <v>45704.0</v>
      </c>
      <c r="D168" s="11" t="s">
        <v>237</v>
      </c>
      <c r="E168" s="11" t="s">
        <v>1747</v>
      </c>
      <c r="F168" s="11" t="s">
        <v>826</v>
      </c>
      <c r="BP168" s="11" t="s">
        <v>1749</v>
      </c>
      <c r="BQ168" s="11" t="b">
        <v>0</v>
      </c>
      <c r="BT168" s="11" t="b">
        <v>0</v>
      </c>
      <c r="BU168" s="11" t="s">
        <v>95</v>
      </c>
      <c r="BW168" s="11" t="s">
        <v>1750</v>
      </c>
    </row>
    <row r="169">
      <c r="A169" s="11" t="s">
        <v>1751</v>
      </c>
      <c r="B169" s="11" t="s">
        <v>78</v>
      </c>
      <c r="C169" s="18">
        <v>45701.0</v>
      </c>
      <c r="D169" s="11" t="s">
        <v>547</v>
      </c>
      <c r="E169" s="11" t="s">
        <v>1753</v>
      </c>
      <c r="F169" s="11" t="s">
        <v>1754</v>
      </c>
      <c r="BP169" s="11" t="s">
        <v>1755</v>
      </c>
      <c r="BQ169" s="11" t="b">
        <v>0</v>
      </c>
      <c r="BT169" s="11" t="b">
        <v>0</v>
      </c>
      <c r="BU169" s="11" t="s">
        <v>95</v>
      </c>
    </row>
    <row r="170">
      <c r="A170" s="11" t="s">
        <v>1758</v>
      </c>
      <c r="B170" s="11" t="s">
        <v>78</v>
      </c>
      <c r="C170" s="18">
        <v>45701.0</v>
      </c>
      <c r="D170" s="11" t="s">
        <v>1760</v>
      </c>
      <c r="E170" s="11" t="s">
        <v>1761</v>
      </c>
      <c r="F170" s="11" t="s">
        <v>1763</v>
      </c>
      <c r="BP170" s="11" t="s">
        <v>1765</v>
      </c>
      <c r="BQ170" s="11" t="b">
        <v>0</v>
      </c>
      <c r="BS170" s="19" t="s">
        <v>1766</v>
      </c>
      <c r="BT170" s="11" t="b">
        <v>1</v>
      </c>
      <c r="BU170" s="11" t="s">
        <v>95</v>
      </c>
    </row>
    <row r="171">
      <c r="A171" s="11" t="s">
        <v>1767</v>
      </c>
      <c r="B171" s="11" t="s">
        <v>78</v>
      </c>
      <c r="C171" s="18">
        <v>45702.0</v>
      </c>
      <c r="D171" s="11" t="s">
        <v>104</v>
      </c>
      <c r="E171" s="11" t="s">
        <v>1769</v>
      </c>
      <c r="F171" s="11" t="s">
        <v>380</v>
      </c>
      <c r="BP171" s="11" t="s">
        <v>1770</v>
      </c>
      <c r="BQ171" s="11" t="b">
        <v>0</v>
      </c>
      <c r="BS171" s="19" t="s">
        <v>1771</v>
      </c>
      <c r="BT171" s="11" t="b">
        <v>1</v>
      </c>
      <c r="BU171" s="11" t="s">
        <v>95</v>
      </c>
    </row>
    <row r="172">
      <c r="A172" s="11" t="s">
        <v>1772</v>
      </c>
      <c r="B172" s="11" t="s">
        <v>78</v>
      </c>
      <c r="C172" s="18">
        <v>45705.0</v>
      </c>
      <c r="D172" s="11" t="s">
        <v>1011</v>
      </c>
      <c r="E172" s="11" t="s">
        <v>1775</v>
      </c>
      <c r="F172" s="11" t="s">
        <v>1776</v>
      </c>
      <c r="BP172" s="11" t="s">
        <v>1778</v>
      </c>
      <c r="BQ172" s="11" t="b">
        <v>0</v>
      </c>
      <c r="BS172" s="19" t="s">
        <v>1779</v>
      </c>
      <c r="BT172" s="11" t="b">
        <v>1</v>
      </c>
      <c r="BU172" s="11" t="s">
        <v>95</v>
      </c>
    </row>
    <row r="173">
      <c r="A173" s="11" t="s">
        <v>1781</v>
      </c>
      <c r="B173" s="11" t="s">
        <v>78</v>
      </c>
      <c r="C173" s="18">
        <v>45701.0</v>
      </c>
      <c r="D173" s="11" t="s">
        <v>513</v>
      </c>
      <c r="E173" s="11" t="s">
        <v>1782</v>
      </c>
      <c r="F173" s="11" t="s">
        <v>531</v>
      </c>
      <c r="BP173" s="11" t="s">
        <v>1783</v>
      </c>
      <c r="BQ173" s="11" t="b">
        <v>0</v>
      </c>
      <c r="BS173" s="19" t="s">
        <v>1785</v>
      </c>
      <c r="BT173" s="11" t="b">
        <v>1</v>
      </c>
      <c r="BU173" s="11" t="s">
        <v>95</v>
      </c>
    </row>
    <row r="174">
      <c r="A174" s="11" t="s">
        <v>1786</v>
      </c>
      <c r="B174" s="11" t="s">
        <v>78</v>
      </c>
      <c r="C174" s="18">
        <v>45705.0</v>
      </c>
      <c r="D174" s="11" t="s">
        <v>197</v>
      </c>
      <c r="E174" s="11" t="s">
        <v>1788</v>
      </c>
      <c r="F174" s="11" t="s">
        <v>1789</v>
      </c>
      <c r="BP174" s="11" t="s">
        <v>1790</v>
      </c>
      <c r="BQ174" s="11" t="b">
        <v>0</v>
      </c>
      <c r="BS174" s="19" t="s">
        <v>1792</v>
      </c>
      <c r="BT174" s="11" t="b">
        <v>1</v>
      </c>
      <c r="BU174" s="11" t="s">
        <v>95</v>
      </c>
    </row>
    <row r="175">
      <c r="A175" s="11" t="s">
        <v>1796</v>
      </c>
      <c r="B175" s="11" t="s">
        <v>78</v>
      </c>
      <c r="C175" s="18">
        <v>45705.0</v>
      </c>
      <c r="D175" s="11" t="s">
        <v>197</v>
      </c>
      <c r="E175" s="11" t="s">
        <v>1798</v>
      </c>
      <c r="F175" s="11" t="s">
        <v>1799</v>
      </c>
      <c r="BP175" s="11" t="s">
        <v>1801</v>
      </c>
      <c r="BQ175" s="11" t="b">
        <v>0</v>
      </c>
      <c r="BS175" s="19" t="s">
        <v>1779</v>
      </c>
      <c r="BT175" s="11" t="b">
        <v>1</v>
      </c>
      <c r="BU175" s="11" t="s">
        <v>95</v>
      </c>
    </row>
    <row r="176">
      <c r="A176" s="11" t="s">
        <v>1803</v>
      </c>
      <c r="B176" s="11" t="s">
        <v>78</v>
      </c>
      <c r="C176" s="18">
        <v>45705.0</v>
      </c>
      <c r="D176" s="11" t="s">
        <v>1804</v>
      </c>
      <c r="E176" s="11" t="s">
        <v>1805</v>
      </c>
      <c r="F176" s="11" t="s">
        <v>1806</v>
      </c>
      <c r="BP176" s="11" t="s">
        <v>1807</v>
      </c>
      <c r="BQ176" s="11" t="b">
        <v>0</v>
      </c>
      <c r="BS176" s="19" t="s">
        <v>1808</v>
      </c>
      <c r="BT176" s="11" t="b">
        <v>1</v>
      </c>
      <c r="BU176" s="11" t="s">
        <v>95</v>
      </c>
    </row>
    <row r="177">
      <c r="A177" s="11">
        <v>5.1793317E7</v>
      </c>
      <c r="B177" s="11" t="s">
        <v>78</v>
      </c>
      <c r="C177" s="18">
        <v>45703.0</v>
      </c>
      <c r="D177" s="11" t="s">
        <v>1460</v>
      </c>
      <c r="E177" s="11" t="s">
        <v>1809</v>
      </c>
      <c r="F177" s="11" t="s">
        <v>1810</v>
      </c>
      <c r="BP177" s="11" t="s">
        <v>1811</v>
      </c>
      <c r="BQ177" s="11" t="b">
        <v>0</v>
      </c>
      <c r="BS177" s="19" t="s">
        <v>1812</v>
      </c>
      <c r="BT177" s="11" t="b">
        <v>1</v>
      </c>
      <c r="BU177" s="11" t="s">
        <v>95</v>
      </c>
    </row>
    <row r="178">
      <c r="A178" s="11" t="s">
        <v>1813</v>
      </c>
      <c r="B178" s="11" t="s">
        <v>78</v>
      </c>
      <c r="C178" s="18">
        <v>45703.0</v>
      </c>
      <c r="D178" s="11" t="s">
        <v>1011</v>
      </c>
      <c r="E178" s="11" t="s">
        <v>1814</v>
      </c>
      <c r="F178" s="11" t="s">
        <v>1815</v>
      </c>
      <c r="BP178" s="11" t="s">
        <v>1816</v>
      </c>
      <c r="BQ178" s="11" t="b">
        <v>0</v>
      </c>
      <c r="BS178" s="19" t="s">
        <v>1817</v>
      </c>
      <c r="BT178" s="11" t="b">
        <v>1</v>
      </c>
      <c r="BU178" s="11" t="s">
        <v>95</v>
      </c>
    </row>
    <row r="179">
      <c r="A179" s="11" t="s">
        <v>1818</v>
      </c>
      <c r="B179" s="11" t="s">
        <v>78</v>
      </c>
      <c r="C179" s="12">
        <v>45620.0</v>
      </c>
      <c r="D179" s="11" t="s">
        <v>817</v>
      </c>
      <c r="E179" s="11" t="s">
        <v>1819</v>
      </c>
      <c r="F179" s="11" t="s">
        <v>968</v>
      </c>
      <c r="BP179" s="11" t="s">
        <v>1820</v>
      </c>
      <c r="BQ179" s="11" t="b">
        <v>0</v>
      </c>
      <c r="BT179" s="11" t="b">
        <v>0</v>
      </c>
      <c r="BU179" s="11" t="s">
        <v>235</v>
      </c>
    </row>
    <row r="180">
      <c r="A180" s="11" t="s">
        <v>1821</v>
      </c>
      <c r="B180" s="11" t="s">
        <v>78</v>
      </c>
      <c r="C180" s="18">
        <v>45709.0</v>
      </c>
      <c r="D180" s="11" t="s">
        <v>104</v>
      </c>
      <c r="E180" s="11" t="s">
        <v>1822</v>
      </c>
      <c r="F180" s="11" t="s">
        <v>380</v>
      </c>
      <c r="BP180" s="11" t="s">
        <v>1824</v>
      </c>
      <c r="BQ180" s="11" t="b">
        <v>0</v>
      </c>
      <c r="BS180" s="19" t="s">
        <v>1825</v>
      </c>
      <c r="BT180" s="11" t="b">
        <v>1</v>
      </c>
      <c r="BU180" s="11" t="s">
        <v>95</v>
      </c>
    </row>
    <row r="181">
      <c r="A181" s="11" t="s">
        <v>1826</v>
      </c>
      <c r="B181" s="11" t="s">
        <v>78</v>
      </c>
      <c r="C181" s="18">
        <v>45706.0</v>
      </c>
      <c r="D181" s="11" t="s">
        <v>104</v>
      </c>
      <c r="E181" s="11" t="s">
        <v>1827</v>
      </c>
      <c r="F181" s="11" t="s">
        <v>380</v>
      </c>
      <c r="BP181" s="11" t="s">
        <v>1828</v>
      </c>
      <c r="BQ181" s="11" t="b">
        <v>0</v>
      </c>
      <c r="BS181" s="19" t="s">
        <v>1830</v>
      </c>
      <c r="BT181" s="11" t="b">
        <v>1</v>
      </c>
      <c r="BU181" s="11" t="s">
        <v>95</v>
      </c>
    </row>
    <row r="182">
      <c r="A182" s="11" t="s">
        <v>1831</v>
      </c>
      <c r="B182" s="11" t="s">
        <v>78</v>
      </c>
      <c r="C182" s="18">
        <v>45706.0</v>
      </c>
      <c r="D182" s="11" t="s">
        <v>1094</v>
      </c>
      <c r="E182" s="11" t="s">
        <v>1833</v>
      </c>
      <c r="F182" s="11" t="s">
        <v>781</v>
      </c>
      <c r="BP182" s="11" t="s">
        <v>1834</v>
      </c>
      <c r="BQ182" s="11" t="b">
        <v>0</v>
      </c>
      <c r="BS182" s="19" t="s">
        <v>1835</v>
      </c>
      <c r="BT182" s="11" t="b">
        <v>1</v>
      </c>
      <c r="BU182" s="11" t="s">
        <v>95</v>
      </c>
    </row>
    <row r="183">
      <c r="A183" s="11" t="s">
        <v>1836</v>
      </c>
      <c r="B183" s="11" t="s">
        <v>78</v>
      </c>
      <c r="C183" s="18">
        <v>45712.0</v>
      </c>
      <c r="D183" s="11" t="s">
        <v>1094</v>
      </c>
      <c r="E183" s="11" t="s">
        <v>1837</v>
      </c>
      <c r="F183" s="11" t="s">
        <v>781</v>
      </c>
      <c r="BP183" s="11" t="s">
        <v>1839</v>
      </c>
      <c r="BQ183" s="11" t="b">
        <v>0</v>
      </c>
      <c r="BS183" s="19" t="s">
        <v>1840</v>
      </c>
      <c r="BT183" s="11" t="b">
        <v>1</v>
      </c>
      <c r="BU183" s="11" t="s">
        <v>95</v>
      </c>
    </row>
    <row r="184">
      <c r="A184" s="11" t="s">
        <v>1841</v>
      </c>
      <c r="B184" s="11" t="s">
        <v>78</v>
      </c>
      <c r="C184" s="18">
        <v>45712.0</v>
      </c>
      <c r="D184" s="11" t="s">
        <v>1105</v>
      </c>
      <c r="E184" s="11" t="s">
        <v>1842</v>
      </c>
      <c r="F184" s="11" t="s">
        <v>1843</v>
      </c>
      <c r="BP184" s="11" t="s">
        <v>1844</v>
      </c>
      <c r="BQ184" s="11" t="b">
        <v>0</v>
      </c>
      <c r="BS184" s="19" t="s">
        <v>1845</v>
      </c>
      <c r="BT184" s="11" t="b">
        <v>1</v>
      </c>
      <c r="BU184" s="11" t="s">
        <v>95</v>
      </c>
    </row>
    <row r="185">
      <c r="A185" s="11" t="s">
        <v>1846</v>
      </c>
      <c r="B185" s="11" t="s">
        <v>78</v>
      </c>
      <c r="C185" s="18">
        <v>45712.0</v>
      </c>
      <c r="D185" s="11" t="s">
        <v>1924</v>
      </c>
      <c r="E185" s="11" t="s">
        <v>1933</v>
      </c>
      <c r="F185" s="11" t="s">
        <v>1937</v>
      </c>
      <c r="BP185" s="11" t="s">
        <v>1941</v>
      </c>
      <c r="BQ185" s="11" t="b">
        <v>0</v>
      </c>
      <c r="BS185" s="19" t="s">
        <v>1945</v>
      </c>
      <c r="BT185" s="11" t="b">
        <v>1</v>
      </c>
      <c r="BU185" s="11" t="s">
        <v>95</v>
      </c>
    </row>
    <row r="186">
      <c r="A186" s="11" t="s">
        <v>1952</v>
      </c>
      <c r="B186" s="11" t="s">
        <v>78</v>
      </c>
      <c r="C186" s="18">
        <v>45710.0</v>
      </c>
      <c r="D186" s="11" t="s">
        <v>1011</v>
      </c>
      <c r="E186" s="11" t="s">
        <v>1957</v>
      </c>
      <c r="F186" s="11" t="s">
        <v>1959</v>
      </c>
      <c r="BP186" s="11" t="s">
        <v>1960</v>
      </c>
      <c r="BQ186" s="11" t="b">
        <v>0</v>
      </c>
      <c r="BS186" s="19" t="s">
        <v>1963</v>
      </c>
      <c r="BT186" s="11" t="b">
        <v>1</v>
      </c>
      <c r="BU186" s="11" t="s">
        <v>95</v>
      </c>
    </row>
    <row r="187">
      <c r="A187" s="11" t="s">
        <v>1964</v>
      </c>
      <c r="B187" s="11" t="s">
        <v>78</v>
      </c>
      <c r="C187" s="18">
        <v>45714.0</v>
      </c>
      <c r="D187" s="11" t="s">
        <v>1279</v>
      </c>
      <c r="E187" s="11" t="s">
        <v>1967</v>
      </c>
      <c r="F187" s="11" t="s">
        <v>1968</v>
      </c>
      <c r="BP187" s="11" t="s">
        <v>1972</v>
      </c>
      <c r="BQ187" s="11" t="b">
        <v>0</v>
      </c>
      <c r="BS187" s="19" t="s">
        <v>1973</v>
      </c>
      <c r="BT187" s="11" t="b">
        <v>1</v>
      </c>
      <c r="BU187" s="11" t="s">
        <v>95</v>
      </c>
    </row>
    <row r="188">
      <c r="A188" s="11" t="s">
        <v>1977</v>
      </c>
      <c r="B188" s="11" t="s">
        <v>78</v>
      </c>
      <c r="C188" s="18">
        <v>45714.0</v>
      </c>
      <c r="D188" s="11" t="s">
        <v>104</v>
      </c>
      <c r="E188" s="11" t="s">
        <v>1980</v>
      </c>
      <c r="F188" s="11" t="s">
        <v>380</v>
      </c>
      <c r="BP188" s="11" t="s">
        <v>1982</v>
      </c>
      <c r="BQ188" s="11" t="b">
        <v>0</v>
      </c>
      <c r="BS188" s="19" t="s">
        <v>1983</v>
      </c>
      <c r="BT188" s="11" t="b">
        <v>1</v>
      </c>
      <c r="BU188" s="11" t="s">
        <v>95</v>
      </c>
    </row>
    <row r="189">
      <c r="A189" s="11" t="s">
        <v>1985</v>
      </c>
      <c r="B189" s="11" t="s">
        <v>78</v>
      </c>
      <c r="C189" s="18">
        <v>45709.0</v>
      </c>
      <c r="D189" s="11" t="s">
        <v>992</v>
      </c>
      <c r="E189" s="11" t="s">
        <v>1987</v>
      </c>
      <c r="F189" s="11" t="s">
        <v>1989</v>
      </c>
      <c r="BP189" s="11" t="s">
        <v>1990</v>
      </c>
      <c r="BQ189" s="11" t="b">
        <v>0</v>
      </c>
      <c r="BS189" s="19" t="s">
        <v>1993</v>
      </c>
      <c r="BT189" s="11" t="b">
        <v>1</v>
      </c>
      <c r="BU189" s="11" t="s">
        <v>95</v>
      </c>
    </row>
    <row r="190">
      <c r="A190" s="11" t="s">
        <v>1994</v>
      </c>
      <c r="B190" s="11" t="s">
        <v>78</v>
      </c>
      <c r="C190" s="18">
        <v>45714.0</v>
      </c>
      <c r="D190" s="11" t="s">
        <v>168</v>
      </c>
      <c r="E190" s="11" t="s">
        <v>1995</v>
      </c>
      <c r="F190" s="11" t="s">
        <v>1996</v>
      </c>
      <c r="BP190" s="11" t="s">
        <v>1997</v>
      </c>
      <c r="BQ190" s="11" t="b">
        <v>0</v>
      </c>
      <c r="BS190" s="19" t="s">
        <v>1998</v>
      </c>
      <c r="BT190" s="11" t="b">
        <v>1</v>
      </c>
      <c r="BU190" s="11" t="s">
        <v>95</v>
      </c>
    </row>
    <row r="191">
      <c r="A191" s="11" t="s">
        <v>1999</v>
      </c>
      <c r="B191" s="11" t="s">
        <v>78</v>
      </c>
      <c r="C191" s="18">
        <v>45713.0</v>
      </c>
      <c r="D191" s="11" t="s">
        <v>237</v>
      </c>
      <c r="E191" s="11" t="s">
        <v>2001</v>
      </c>
      <c r="F191" s="11" t="s">
        <v>2002</v>
      </c>
      <c r="BP191" s="11" t="s">
        <v>2004</v>
      </c>
      <c r="BQ191" s="11" t="b">
        <v>0</v>
      </c>
      <c r="BT191" s="11" t="b">
        <v>0</v>
      </c>
      <c r="BU191" s="11" t="s">
        <v>95</v>
      </c>
      <c r="BW191" s="11" t="s">
        <v>2007</v>
      </c>
    </row>
    <row r="192">
      <c r="A192" s="11" t="s">
        <v>2008</v>
      </c>
      <c r="B192" s="11" t="s">
        <v>78</v>
      </c>
      <c r="C192" s="18">
        <v>45713.0</v>
      </c>
      <c r="D192" s="11" t="s">
        <v>237</v>
      </c>
      <c r="E192" s="11" t="s">
        <v>2009</v>
      </c>
      <c r="F192" s="11" t="s">
        <v>2011</v>
      </c>
      <c r="BP192" s="11" t="s">
        <v>2012</v>
      </c>
      <c r="BQ192" s="11" t="b">
        <v>0</v>
      </c>
      <c r="BT192" s="11" t="b">
        <v>0</v>
      </c>
      <c r="BU192" s="11" t="s">
        <v>95</v>
      </c>
    </row>
    <row r="193">
      <c r="A193" s="11" t="s">
        <v>2014</v>
      </c>
      <c r="B193" s="11" t="s">
        <v>78</v>
      </c>
      <c r="C193" s="18">
        <v>45716.0</v>
      </c>
      <c r="D193" s="11" t="s">
        <v>992</v>
      </c>
      <c r="E193" s="11" t="s">
        <v>2016</v>
      </c>
      <c r="F193" s="11" t="s">
        <v>2018</v>
      </c>
      <c r="BP193" s="11" t="s">
        <v>2019</v>
      </c>
      <c r="BQ193" s="11" t="b">
        <v>0</v>
      </c>
      <c r="BS193" s="19" t="s">
        <v>2021</v>
      </c>
      <c r="BT193" s="11" t="b">
        <v>1</v>
      </c>
      <c r="BU193" s="11" t="s">
        <v>95</v>
      </c>
    </row>
    <row r="194">
      <c r="A194" s="11" t="s">
        <v>2022</v>
      </c>
      <c r="B194" s="11" t="s">
        <v>78</v>
      </c>
      <c r="C194" s="18">
        <v>45719.0</v>
      </c>
      <c r="D194" s="11" t="s">
        <v>992</v>
      </c>
      <c r="E194" s="11" t="s">
        <v>2025</v>
      </c>
      <c r="F194" s="11" t="s">
        <v>2018</v>
      </c>
      <c r="BP194" s="11" t="s">
        <v>2026</v>
      </c>
      <c r="BQ194" s="11" t="b">
        <v>0</v>
      </c>
      <c r="BS194" s="19" t="s">
        <v>2028</v>
      </c>
      <c r="BT194" s="11" t="b">
        <v>1</v>
      </c>
      <c r="BU194" s="11" t="s">
        <v>95</v>
      </c>
    </row>
    <row r="195">
      <c r="A195" s="11" t="s">
        <v>2029</v>
      </c>
      <c r="B195" s="11" t="s">
        <v>78</v>
      </c>
      <c r="C195" s="18">
        <v>45717.0</v>
      </c>
      <c r="D195" s="11" t="s">
        <v>676</v>
      </c>
      <c r="E195" s="11" t="s">
        <v>2032</v>
      </c>
      <c r="F195" s="11" t="s">
        <v>2034</v>
      </c>
      <c r="BP195" s="11" t="s">
        <v>2037</v>
      </c>
      <c r="BQ195" s="11" t="b">
        <v>0</v>
      </c>
      <c r="BS195" s="19" t="s">
        <v>2039</v>
      </c>
      <c r="BT195" s="11" t="b">
        <v>1</v>
      </c>
      <c r="BU195" s="11" t="s">
        <v>95</v>
      </c>
    </row>
    <row r="196">
      <c r="A196" s="11" t="s">
        <v>2041</v>
      </c>
      <c r="B196" s="11" t="s">
        <v>78</v>
      </c>
      <c r="C196" s="18">
        <v>45717.0</v>
      </c>
      <c r="D196" s="11" t="s">
        <v>104</v>
      </c>
      <c r="E196" s="11" t="s">
        <v>2045</v>
      </c>
      <c r="F196" s="11" t="s">
        <v>110</v>
      </c>
      <c r="BP196" s="11" t="s">
        <v>2048</v>
      </c>
      <c r="BQ196" s="11" t="b">
        <v>0</v>
      </c>
      <c r="BS196" s="19" t="s">
        <v>2049</v>
      </c>
      <c r="BT196" s="11" t="b">
        <v>1</v>
      </c>
      <c r="BU196" s="11" t="s">
        <v>95</v>
      </c>
    </row>
    <row r="197">
      <c r="A197" s="11" t="s">
        <v>2051</v>
      </c>
      <c r="B197" s="11" t="s">
        <v>78</v>
      </c>
      <c r="C197" s="18">
        <v>45718.0</v>
      </c>
      <c r="D197" s="11" t="s">
        <v>85</v>
      </c>
      <c r="E197" s="11" t="s">
        <v>2053</v>
      </c>
      <c r="F197" s="11" t="s">
        <v>2054</v>
      </c>
      <c r="BP197" s="11" t="s">
        <v>2057</v>
      </c>
      <c r="BQ197" s="11" t="b">
        <v>0</v>
      </c>
      <c r="BS197" s="19" t="s">
        <v>2059</v>
      </c>
      <c r="BT197" s="11" t="b">
        <v>1</v>
      </c>
      <c r="BU197" s="11" t="s">
        <v>95</v>
      </c>
    </row>
    <row r="198">
      <c r="A198" s="11" t="s">
        <v>2060</v>
      </c>
      <c r="B198" s="11" t="s">
        <v>78</v>
      </c>
      <c r="C198" s="18">
        <v>45716.0</v>
      </c>
      <c r="D198" s="11" t="s">
        <v>513</v>
      </c>
      <c r="E198" s="11" t="s">
        <v>2064</v>
      </c>
      <c r="F198" s="11" t="s">
        <v>2065</v>
      </c>
      <c r="BP198" s="11" t="s">
        <v>2066</v>
      </c>
      <c r="BQ198" s="11" t="b">
        <v>0</v>
      </c>
      <c r="BS198" s="19" t="s">
        <v>2067</v>
      </c>
      <c r="BT198" s="11" t="b">
        <v>1</v>
      </c>
      <c r="BU198" s="11" t="s">
        <v>95</v>
      </c>
    </row>
    <row r="199">
      <c r="A199" s="11" t="s">
        <v>2069</v>
      </c>
      <c r="B199" s="11" t="s">
        <v>78</v>
      </c>
      <c r="C199" s="18">
        <v>45716.0</v>
      </c>
      <c r="D199" s="11" t="s">
        <v>237</v>
      </c>
      <c r="E199" s="11" t="s">
        <v>2071</v>
      </c>
      <c r="F199" s="11" t="s">
        <v>2073</v>
      </c>
      <c r="BP199" s="11" t="s">
        <v>2075</v>
      </c>
      <c r="BQ199" s="11" t="b">
        <v>0</v>
      </c>
      <c r="BT199" s="11" t="b">
        <v>0</v>
      </c>
      <c r="BU199" s="11" t="s">
        <v>95</v>
      </c>
    </row>
    <row r="200">
      <c r="A200" s="11" t="s">
        <v>2079</v>
      </c>
      <c r="B200" s="11" t="s">
        <v>78</v>
      </c>
      <c r="C200" s="18">
        <v>45716.0</v>
      </c>
      <c r="D200" s="11" t="s">
        <v>237</v>
      </c>
      <c r="E200" s="11" t="s">
        <v>2081</v>
      </c>
      <c r="F200" s="11" t="s">
        <v>2082</v>
      </c>
      <c r="BP200" s="11" t="s">
        <v>2083</v>
      </c>
      <c r="BQ200" s="11" t="b">
        <v>0</v>
      </c>
      <c r="BT200" s="11" t="b">
        <v>0</v>
      </c>
      <c r="BU200" s="11" t="s">
        <v>95</v>
      </c>
      <c r="BW200" s="11" t="s">
        <v>2086</v>
      </c>
      <c r="BX200" s="11" t="s">
        <v>2087</v>
      </c>
    </row>
    <row r="201">
      <c r="A201" s="11" t="s">
        <v>2090</v>
      </c>
      <c r="B201" s="11" t="s">
        <v>78</v>
      </c>
      <c r="C201" s="18">
        <v>45721.0</v>
      </c>
      <c r="D201" s="11" t="s">
        <v>104</v>
      </c>
      <c r="E201" s="11" t="s">
        <v>2092</v>
      </c>
      <c r="F201" s="11" t="s">
        <v>2093</v>
      </c>
      <c r="BP201" s="11" t="s">
        <v>2094</v>
      </c>
      <c r="BQ201" s="11" t="b">
        <v>0</v>
      </c>
      <c r="BS201" s="19" t="s">
        <v>2098</v>
      </c>
      <c r="BT201" s="11" t="b">
        <v>1</v>
      </c>
      <c r="BU201" s="11" t="s">
        <v>95</v>
      </c>
    </row>
    <row r="202">
      <c r="A202" s="11" t="s">
        <v>2100</v>
      </c>
      <c r="B202" s="11" t="s">
        <v>78</v>
      </c>
      <c r="C202" s="18">
        <v>45719.0</v>
      </c>
      <c r="D202" s="11" t="s">
        <v>85</v>
      </c>
      <c r="E202" s="11" t="s">
        <v>2103</v>
      </c>
      <c r="F202" s="11" t="s">
        <v>1016</v>
      </c>
      <c r="BP202" s="11" t="s">
        <v>2107</v>
      </c>
      <c r="BQ202" s="11" t="b">
        <v>0</v>
      </c>
      <c r="BS202" s="19" t="s">
        <v>2109</v>
      </c>
      <c r="BT202" s="11" t="b">
        <v>1</v>
      </c>
      <c r="BU202" s="11" t="s">
        <v>95</v>
      </c>
    </row>
    <row r="203">
      <c r="A203" s="11" t="s">
        <v>2111</v>
      </c>
      <c r="B203" s="11" t="s">
        <v>78</v>
      </c>
      <c r="C203" s="18">
        <v>45723.0</v>
      </c>
      <c r="D203" s="11" t="s">
        <v>992</v>
      </c>
      <c r="E203" s="11" t="s">
        <v>2112</v>
      </c>
      <c r="F203" s="11" t="s">
        <v>2113</v>
      </c>
      <c r="BP203" s="11" t="s">
        <v>2115</v>
      </c>
      <c r="BQ203" s="11" t="b">
        <v>0</v>
      </c>
      <c r="BS203" s="19" t="s">
        <v>2117</v>
      </c>
      <c r="BT203" s="11" t="b">
        <v>1</v>
      </c>
      <c r="BU203" s="11" t="s">
        <v>95</v>
      </c>
    </row>
    <row r="204">
      <c r="A204" s="11" t="s">
        <v>2121</v>
      </c>
      <c r="B204" s="11" t="s">
        <v>78</v>
      </c>
      <c r="C204" s="18">
        <v>45722.0</v>
      </c>
      <c r="D204" s="11" t="s">
        <v>513</v>
      </c>
      <c r="E204" s="11" t="s">
        <v>2125</v>
      </c>
      <c r="F204" s="11" t="s">
        <v>2126</v>
      </c>
      <c r="BP204" s="11" t="s">
        <v>2129</v>
      </c>
      <c r="BQ204" s="11" t="b">
        <v>0</v>
      </c>
      <c r="BS204" s="19" t="s">
        <v>2131</v>
      </c>
      <c r="BT204" s="11" t="b">
        <v>1</v>
      </c>
      <c r="BU204" s="11" t="s">
        <v>95</v>
      </c>
    </row>
    <row r="205">
      <c r="A205" s="11" t="s">
        <v>2134</v>
      </c>
      <c r="B205" s="11" t="s">
        <v>78</v>
      </c>
      <c r="C205" s="18">
        <v>45720.0</v>
      </c>
      <c r="D205" s="11" t="s">
        <v>513</v>
      </c>
      <c r="E205" s="11" t="s">
        <v>2136</v>
      </c>
      <c r="F205" s="11" t="s">
        <v>2137</v>
      </c>
      <c r="BP205" s="11" t="s">
        <v>2141</v>
      </c>
      <c r="BQ205" s="11" t="b">
        <v>0</v>
      </c>
      <c r="BS205" s="19" t="s">
        <v>2144</v>
      </c>
      <c r="BT205" s="11" t="b">
        <v>1</v>
      </c>
      <c r="BU205" s="11" t="s">
        <v>95</v>
      </c>
    </row>
    <row r="206">
      <c r="A206" s="11" t="s">
        <v>2148</v>
      </c>
      <c r="B206" s="11" t="s">
        <v>78</v>
      </c>
      <c r="C206" s="18">
        <v>45726.0</v>
      </c>
      <c r="D206" s="11" t="s">
        <v>992</v>
      </c>
      <c r="E206" s="11" t="s">
        <v>2151</v>
      </c>
      <c r="F206" s="11" t="s">
        <v>2113</v>
      </c>
      <c r="BP206" s="11" t="s">
        <v>2154</v>
      </c>
      <c r="BQ206" s="11" t="b">
        <v>0</v>
      </c>
      <c r="BS206" s="19" t="s">
        <v>2155</v>
      </c>
      <c r="BT206" s="11" t="b">
        <v>1</v>
      </c>
      <c r="BU206" s="11" t="s">
        <v>95</v>
      </c>
    </row>
    <row r="207">
      <c r="A207" s="11" t="s">
        <v>2157</v>
      </c>
      <c r="B207" s="11" t="s">
        <v>78</v>
      </c>
      <c r="C207" s="18">
        <v>45726.0</v>
      </c>
      <c r="D207" s="11" t="s">
        <v>168</v>
      </c>
      <c r="E207" s="11" t="s">
        <v>2161</v>
      </c>
      <c r="F207" s="11" t="s">
        <v>172</v>
      </c>
      <c r="BP207" s="11" t="s">
        <v>2164</v>
      </c>
      <c r="BQ207" s="11" t="b">
        <v>0</v>
      </c>
      <c r="BS207" s="19" t="s">
        <v>2166</v>
      </c>
      <c r="BT207" s="11" t="b">
        <v>1</v>
      </c>
      <c r="BU207" s="11" t="s">
        <v>95</v>
      </c>
    </row>
    <row r="208">
      <c r="A208" s="11" t="s">
        <v>2172</v>
      </c>
      <c r="B208" s="11" t="s">
        <v>78</v>
      </c>
      <c r="C208" s="18">
        <v>45724.0</v>
      </c>
      <c r="D208" s="11" t="s">
        <v>676</v>
      </c>
      <c r="E208" s="11" t="s">
        <v>2177</v>
      </c>
      <c r="F208" s="11" t="s">
        <v>2178</v>
      </c>
      <c r="BP208" s="11" t="s">
        <v>2182</v>
      </c>
      <c r="BQ208" s="11" t="b">
        <v>0</v>
      </c>
      <c r="BS208" s="19" t="s">
        <v>2184</v>
      </c>
      <c r="BT208" s="11" t="b">
        <v>1</v>
      </c>
      <c r="BU208" s="11" t="s">
        <v>95</v>
      </c>
    </row>
    <row r="209">
      <c r="A209" s="11" t="s">
        <v>2187</v>
      </c>
      <c r="B209" s="11" t="s">
        <v>78</v>
      </c>
      <c r="C209" s="18">
        <v>45724.0</v>
      </c>
      <c r="D209" s="11" t="s">
        <v>676</v>
      </c>
      <c r="E209" s="11" t="s">
        <v>2190</v>
      </c>
      <c r="F209" s="11" t="s">
        <v>2034</v>
      </c>
      <c r="BP209" s="11" t="s">
        <v>2191</v>
      </c>
      <c r="BQ209" s="11" t="b">
        <v>0</v>
      </c>
      <c r="BS209" s="19" t="s">
        <v>2194</v>
      </c>
      <c r="BT209" s="11" t="b">
        <v>1</v>
      </c>
      <c r="BU209" s="11" t="s">
        <v>95</v>
      </c>
    </row>
    <row r="210">
      <c r="A210" s="11" t="s">
        <v>2196</v>
      </c>
      <c r="B210" s="11" t="s">
        <v>78</v>
      </c>
      <c r="C210" s="18">
        <v>45723.0</v>
      </c>
      <c r="D210" s="11" t="s">
        <v>104</v>
      </c>
      <c r="E210" s="11" t="s">
        <v>2199</v>
      </c>
      <c r="F210" s="11" t="s">
        <v>110</v>
      </c>
      <c r="BP210" s="11" t="s">
        <v>2201</v>
      </c>
      <c r="BQ210" s="11" t="b">
        <v>0</v>
      </c>
      <c r="BS210" s="19" t="s">
        <v>2204</v>
      </c>
      <c r="BT210" s="11" t="b">
        <v>1</v>
      </c>
      <c r="BU210" s="11" t="s">
        <v>95</v>
      </c>
    </row>
    <row r="211">
      <c r="A211" s="11" t="s">
        <v>2206</v>
      </c>
      <c r="B211" s="11" t="s">
        <v>78</v>
      </c>
      <c r="C211" s="18">
        <v>45723.0</v>
      </c>
      <c r="D211" s="11" t="s">
        <v>596</v>
      </c>
      <c r="E211" s="11" t="s">
        <v>2209</v>
      </c>
      <c r="F211" s="11" t="s">
        <v>2211</v>
      </c>
      <c r="BP211" s="11" t="s">
        <v>2212</v>
      </c>
      <c r="BQ211" s="11" t="b">
        <v>0</v>
      </c>
      <c r="BS211" s="19" t="s">
        <v>2215</v>
      </c>
      <c r="BT211" s="11" t="b">
        <v>1</v>
      </c>
      <c r="BU211" s="11" t="s">
        <v>95</v>
      </c>
    </row>
    <row r="212">
      <c r="A212" s="11" t="s">
        <v>2216</v>
      </c>
      <c r="B212" s="11" t="s">
        <v>78</v>
      </c>
      <c r="C212" s="18">
        <v>45727.0</v>
      </c>
      <c r="D212" s="11" t="s">
        <v>708</v>
      </c>
      <c r="E212" s="11" t="s">
        <v>2220</v>
      </c>
      <c r="F212" s="11" t="s">
        <v>2222</v>
      </c>
      <c r="BP212" s="11" t="s">
        <v>2225</v>
      </c>
      <c r="BQ212" s="11" t="b">
        <v>0</v>
      </c>
      <c r="BS212" s="19" t="s">
        <v>2226</v>
      </c>
      <c r="BT212" s="11" t="b">
        <v>1</v>
      </c>
      <c r="BU212" s="11" t="s">
        <v>95</v>
      </c>
    </row>
    <row r="213">
      <c r="A213" s="11" t="s">
        <v>2229</v>
      </c>
      <c r="B213" s="11" t="s">
        <v>78</v>
      </c>
      <c r="C213" s="18">
        <v>45727.0</v>
      </c>
      <c r="D213" s="11" t="s">
        <v>168</v>
      </c>
      <c r="E213" s="11" t="s">
        <v>2232</v>
      </c>
      <c r="F213" s="11" t="s">
        <v>2233</v>
      </c>
      <c r="BP213" s="11" t="s">
        <v>2237</v>
      </c>
      <c r="BQ213" s="11" t="b">
        <v>0</v>
      </c>
      <c r="BS213" s="19" t="s">
        <v>2239</v>
      </c>
      <c r="BT213" s="11" t="b">
        <v>1</v>
      </c>
      <c r="BU213" s="11" t="s">
        <v>95</v>
      </c>
    </row>
    <row r="214">
      <c r="A214" s="11" t="s">
        <v>2240</v>
      </c>
      <c r="B214" s="11" t="s">
        <v>78</v>
      </c>
      <c r="C214" s="18">
        <v>45729.0</v>
      </c>
      <c r="D214" s="11" t="s">
        <v>817</v>
      </c>
      <c r="E214" s="11" t="s">
        <v>2243</v>
      </c>
      <c r="F214" s="11" t="s">
        <v>2244</v>
      </c>
      <c r="BP214" s="11" t="s">
        <v>2246</v>
      </c>
      <c r="BQ214" s="11" t="b">
        <v>0</v>
      </c>
      <c r="BT214" s="11" t="b">
        <v>0</v>
      </c>
      <c r="BU214" s="11" t="s">
        <v>95</v>
      </c>
    </row>
    <row r="215">
      <c r="A215" s="11" t="s">
        <v>2250</v>
      </c>
      <c r="B215" s="11" t="s">
        <v>78</v>
      </c>
      <c r="C215" s="18">
        <v>45726.0</v>
      </c>
      <c r="D215" s="11" t="s">
        <v>2255</v>
      </c>
      <c r="E215" s="11" t="s">
        <v>2256</v>
      </c>
      <c r="F215" s="11" t="s">
        <v>2257</v>
      </c>
      <c r="BP215" s="11" t="s">
        <v>2259</v>
      </c>
      <c r="BQ215" s="11" t="b">
        <v>0</v>
      </c>
      <c r="BT215" s="11" t="b">
        <v>0</v>
      </c>
      <c r="BU215" s="11" t="s">
        <v>95</v>
      </c>
    </row>
    <row r="216">
      <c r="A216" s="11" t="s">
        <v>2262</v>
      </c>
      <c r="B216" s="11" t="s">
        <v>78</v>
      </c>
      <c r="C216" s="18">
        <v>45722.0</v>
      </c>
      <c r="D216" s="19" t="s">
        <v>504</v>
      </c>
      <c r="E216" s="11" t="s">
        <v>2266</v>
      </c>
      <c r="F216" s="11" t="s">
        <v>2268</v>
      </c>
      <c r="BP216" s="11" t="s">
        <v>2270</v>
      </c>
      <c r="BQ216" s="11" t="b">
        <v>0</v>
      </c>
      <c r="BT216" s="11" t="b">
        <v>0</v>
      </c>
      <c r="BU216" s="11" t="s">
        <v>95</v>
      </c>
    </row>
    <row r="217">
      <c r="A217" s="11" t="s">
        <v>2273</v>
      </c>
      <c r="B217" s="11" t="s">
        <v>78</v>
      </c>
      <c r="C217" s="18">
        <v>45728.0</v>
      </c>
      <c r="D217" s="11" t="s">
        <v>237</v>
      </c>
      <c r="E217" s="11" t="s">
        <v>2276</v>
      </c>
      <c r="F217" s="11" t="s">
        <v>2277</v>
      </c>
      <c r="BP217" s="11" t="s">
        <v>2280</v>
      </c>
      <c r="BQ217" s="11" t="b">
        <v>0</v>
      </c>
      <c r="BT217" s="11" t="b">
        <v>0</v>
      </c>
      <c r="BU217" s="11" t="s">
        <v>95</v>
      </c>
      <c r="BW217" s="11" t="s">
        <v>2284</v>
      </c>
      <c r="BX217" s="11" t="s">
        <v>2285</v>
      </c>
    </row>
    <row r="218">
      <c r="A218" s="11" t="s">
        <v>2286</v>
      </c>
      <c r="B218" s="11" t="s">
        <v>78</v>
      </c>
      <c r="C218" s="18">
        <v>45728.0</v>
      </c>
      <c r="D218" s="11" t="s">
        <v>237</v>
      </c>
      <c r="E218" s="11" t="s">
        <v>2290</v>
      </c>
      <c r="F218" s="11" t="s">
        <v>2291</v>
      </c>
      <c r="BP218" s="11" t="s">
        <v>2295</v>
      </c>
      <c r="BQ218" s="11" t="b">
        <v>0</v>
      </c>
      <c r="BT218" s="11" t="b">
        <v>0</v>
      </c>
      <c r="BU218" s="11" t="s">
        <v>95</v>
      </c>
    </row>
    <row r="219">
      <c r="A219" s="11" t="s">
        <v>2298</v>
      </c>
      <c r="B219" s="11" t="s">
        <v>78</v>
      </c>
      <c r="C219" s="18">
        <v>45730.0</v>
      </c>
      <c r="D219" s="11" t="s">
        <v>2299</v>
      </c>
      <c r="E219" s="11" t="s">
        <v>2301</v>
      </c>
      <c r="F219" s="11" t="s">
        <v>2303</v>
      </c>
      <c r="BP219" s="11" t="s">
        <v>2304</v>
      </c>
      <c r="BQ219" s="11" t="b">
        <v>0</v>
      </c>
      <c r="BS219" s="19" t="s">
        <v>2307</v>
      </c>
      <c r="BT219" s="11" t="b">
        <v>1</v>
      </c>
      <c r="BU219" s="11" t="s">
        <v>95</v>
      </c>
    </row>
    <row r="220">
      <c r="A220" s="11" t="s">
        <v>2308</v>
      </c>
      <c r="B220" s="11" t="s">
        <v>78</v>
      </c>
      <c r="C220" s="18">
        <v>45728.0</v>
      </c>
      <c r="D220" s="11" t="s">
        <v>104</v>
      </c>
      <c r="E220" s="11" t="s">
        <v>2311</v>
      </c>
      <c r="F220" s="11" t="s">
        <v>110</v>
      </c>
      <c r="BP220" s="11" t="s">
        <v>2314</v>
      </c>
      <c r="BQ220" s="11" t="b">
        <v>0</v>
      </c>
      <c r="BS220" s="19" t="s">
        <v>2315</v>
      </c>
      <c r="BT220" s="11" t="b">
        <v>1</v>
      </c>
      <c r="BU220" s="11" t="s">
        <v>95</v>
      </c>
    </row>
    <row r="221">
      <c r="A221" s="11" t="s">
        <v>2319</v>
      </c>
      <c r="B221" s="11" t="s">
        <v>78</v>
      </c>
      <c r="C221" s="18">
        <v>45730.0</v>
      </c>
      <c r="D221" s="11" t="s">
        <v>992</v>
      </c>
      <c r="E221" s="11" t="s">
        <v>2321</v>
      </c>
      <c r="F221" s="11" t="s">
        <v>2322</v>
      </c>
      <c r="BP221" s="11" t="s">
        <v>2324</v>
      </c>
      <c r="BQ221" s="11" t="b">
        <v>0</v>
      </c>
      <c r="BS221" s="19" t="s">
        <v>2325</v>
      </c>
      <c r="BT221" s="11" t="b">
        <v>1</v>
      </c>
      <c r="BU221" s="11" t="s">
        <v>95</v>
      </c>
    </row>
    <row r="222">
      <c r="A222" s="11" t="s">
        <v>2328</v>
      </c>
      <c r="B222" s="11" t="s">
        <v>78</v>
      </c>
      <c r="C222" s="18">
        <v>45735.0</v>
      </c>
      <c r="D222" s="11" t="s">
        <v>1627</v>
      </c>
      <c r="E222" s="11" t="s">
        <v>2330</v>
      </c>
      <c r="F222" s="11" t="s">
        <v>2332</v>
      </c>
      <c r="BP222" s="11" t="s">
        <v>2333</v>
      </c>
      <c r="BQ222" s="11" t="b">
        <v>0</v>
      </c>
      <c r="BS222" s="19" t="s">
        <v>2334</v>
      </c>
      <c r="BT222" s="11" t="b">
        <v>1</v>
      </c>
      <c r="BU222" s="11" t="s">
        <v>95</v>
      </c>
    </row>
    <row r="223">
      <c r="A223" s="11" t="s">
        <v>2336</v>
      </c>
      <c r="B223" s="11" t="s">
        <v>78</v>
      </c>
      <c r="C223" s="18">
        <v>45730.0</v>
      </c>
      <c r="D223" s="11" t="s">
        <v>1251</v>
      </c>
      <c r="E223" s="11" t="s">
        <v>2339</v>
      </c>
      <c r="F223" s="11" t="s">
        <v>2340</v>
      </c>
      <c r="BP223" s="11" t="s">
        <v>2342</v>
      </c>
      <c r="BQ223" s="11" t="b">
        <v>0</v>
      </c>
      <c r="BS223" s="19" t="s">
        <v>2343</v>
      </c>
      <c r="BT223" s="11" t="b">
        <v>1</v>
      </c>
      <c r="BU223" s="11" t="s">
        <v>95</v>
      </c>
    </row>
    <row r="224">
      <c r="A224" s="11" t="s">
        <v>2347</v>
      </c>
      <c r="B224" s="11" t="s">
        <v>78</v>
      </c>
      <c r="C224" s="18">
        <v>45732.0</v>
      </c>
      <c r="D224" s="11" t="s">
        <v>2349</v>
      </c>
      <c r="E224" s="11" t="s">
        <v>2350</v>
      </c>
      <c r="F224" s="11" t="s">
        <v>2351</v>
      </c>
      <c r="BP224" s="11" t="s">
        <v>2354</v>
      </c>
      <c r="BQ224" s="11" t="b">
        <v>0</v>
      </c>
      <c r="BS224" s="19" t="s">
        <v>2359</v>
      </c>
      <c r="BT224" s="11" t="b">
        <v>1</v>
      </c>
      <c r="BU224" s="11" t="s">
        <v>95</v>
      </c>
    </row>
    <row r="225">
      <c r="A225" s="11" t="s">
        <v>2361</v>
      </c>
      <c r="B225" s="11" t="s">
        <v>78</v>
      </c>
      <c r="C225" s="18">
        <v>45731.0</v>
      </c>
      <c r="D225" s="11" t="s">
        <v>2349</v>
      </c>
      <c r="E225" s="11" t="s">
        <v>2364</v>
      </c>
      <c r="F225" s="11" t="s">
        <v>2365</v>
      </c>
      <c r="BP225" s="11" t="s">
        <v>2367</v>
      </c>
      <c r="BQ225" s="11" t="b">
        <v>0</v>
      </c>
      <c r="BS225" s="19" t="s">
        <v>2368</v>
      </c>
      <c r="BT225" s="11" t="b">
        <v>1</v>
      </c>
      <c r="BU225" s="11" t="s">
        <v>95</v>
      </c>
    </row>
    <row r="226">
      <c r="A226" s="11" t="s">
        <v>2370</v>
      </c>
      <c r="B226" s="11" t="s">
        <v>78</v>
      </c>
      <c r="C226" s="18">
        <v>45733.0</v>
      </c>
      <c r="D226" s="11" t="s">
        <v>104</v>
      </c>
      <c r="E226" s="11" t="s">
        <v>2371</v>
      </c>
      <c r="F226" s="11" t="s">
        <v>110</v>
      </c>
      <c r="BP226" s="11" t="s">
        <v>2373</v>
      </c>
      <c r="BQ226" s="11" t="b">
        <v>0</v>
      </c>
      <c r="BS226" s="19" t="s">
        <v>2374</v>
      </c>
      <c r="BT226" s="11" t="b">
        <v>1</v>
      </c>
      <c r="BU226" s="11" t="s">
        <v>95</v>
      </c>
    </row>
    <row r="227">
      <c r="A227" s="11" t="s">
        <v>2377</v>
      </c>
      <c r="B227" s="11" t="s">
        <v>78</v>
      </c>
      <c r="C227" s="18">
        <v>45734.0</v>
      </c>
      <c r="D227" s="11" t="s">
        <v>116</v>
      </c>
      <c r="E227" s="11" t="s">
        <v>2379</v>
      </c>
      <c r="F227" s="11" t="s">
        <v>2380</v>
      </c>
      <c r="BP227" s="11" t="s">
        <v>2384</v>
      </c>
      <c r="BQ227" s="11" t="b">
        <v>0</v>
      </c>
      <c r="BS227" s="19" t="s">
        <v>2385</v>
      </c>
      <c r="BT227" s="11" t="b">
        <v>1</v>
      </c>
      <c r="BU227" s="11" t="s">
        <v>95</v>
      </c>
    </row>
    <row r="228">
      <c r="A228" s="11" t="s">
        <v>2388</v>
      </c>
      <c r="B228" s="11" t="s">
        <v>78</v>
      </c>
      <c r="C228" s="18">
        <v>45731.0</v>
      </c>
      <c r="D228" s="11" t="s">
        <v>2349</v>
      </c>
      <c r="E228" s="11" t="s">
        <v>2389</v>
      </c>
      <c r="F228" s="11" t="s">
        <v>2390</v>
      </c>
      <c r="BP228" s="11" t="s">
        <v>2394</v>
      </c>
      <c r="BQ228" s="11" t="b">
        <v>0</v>
      </c>
      <c r="BS228" s="19" t="s">
        <v>2395</v>
      </c>
      <c r="BT228" s="11" t="b">
        <v>1</v>
      </c>
      <c r="BU228" s="11" t="s">
        <v>95</v>
      </c>
    </row>
    <row r="229">
      <c r="A229" s="11" t="s">
        <v>2396</v>
      </c>
      <c r="B229" s="11" t="s">
        <v>78</v>
      </c>
      <c r="C229" s="18">
        <v>45731.0</v>
      </c>
      <c r="D229" s="11" t="s">
        <v>2349</v>
      </c>
      <c r="E229" s="11" t="s">
        <v>2399</v>
      </c>
      <c r="F229" s="11" t="s">
        <v>2400</v>
      </c>
      <c r="BP229" s="11" t="s">
        <v>2401</v>
      </c>
      <c r="BQ229" s="11" t="b">
        <v>0</v>
      </c>
      <c r="BS229" s="19" t="s">
        <v>2403</v>
      </c>
      <c r="BT229" s="11" t="b">
        <v>1</v>
      </c>
      <c r="BU229" s="11" t="s">
        <v>95</v>
      </c>
    </row>
    <row r="230">
      <c r="A230" s="11" t="s">
        <v>2404</v>
      </c>
      <c r="B230" s="11" t="s">
        <v>78</v>
      </c>
      <c r="C230" s="18">
        <v>45716.0</v>
      </c>
      <c r="D230" s="11" t="s">
        <v>547</v>
      </c>
      <c r="E230" s="11" t="s">
        <v>2407</v>
      </c>
      <c r="F230" s="11" t="s">
        <v>2409</v>
      </c>
      <c r="BP230" s="11" t="s">
        <v>2411</v>
      </c>
      <c r="BQ230" s="11" t="b">
        <v>0</v>
      </c>
      <c r="BS230" s="19" t="s">
        <v>2413</v>
      </c>
      <c r="BT230" s="11" t="b">
        <v>1</v>
      </c>
      <c r="BU230" s="11" t="s">
        <v>95</v>
      </c>
    </row>
    <row r="231">
      <c r="A231" s="11" t="s">
        <v>2414</v>
      </c>
      <c r="B231" s="11" t="s">
        <v>78</v>
      </c>
      <c r="C231" s="18">
        <v>45728.0</v>
      </c>
      <c r="D231" s="11" t="s">
        <v>237</v>
      </c>
      <c r="E231" s="11" t="s">
        <v>2416</v>
      </c>
      <c r="F231" s="11" t="s">
        <v>2417</v>
      </c>
      <c r="BP231" s="11" t="s">
        <v>2419</v>
      </c>
      <c r="BQ231" s="11" t="b">
        <v>0</v>
      </c>
      <c r="BT231" s="11" t="b">
        <v>0</v>
      </c>
      <c r="BU231" s="11" t="s">
        <v>95</v>
      </c>
    </row>
    <row r="232">
      <c r="A232" s="11" t="s">
        <v>2422</v>
      </c>
      <c r="B232" s="11" t="s">
        <v>78</v>
      </c>
      <c r="C232" s="18">
        <v>45728.0</v>
      </c>
      <c r="D232" s="11" t="s">
        <v>237</v>
      </c>
      <c r="E232" s="11" t="s">
        <v>2424</v>
      </c>
      <c r="F232" s="11" t="s">
        <v>2426</v>
      </c>
      <c r="BP232" s="11" t="s">
        <v>2427</v>
      </c>
      <c r="BQ232" s="11" t="b">
        <v>0</v>
      </c>
      <c r="BT232" s="11" t="b">
        <v>0</v>
      </c>
      <c r="BU232" s="11" t="s">
        <v>95</v>
      </c>
    </row>
    <row r="233">
      <c r="A233" s="11" t="s">
        <v>2430</v>
      </c>
      <c r="B233" s="11" t="s">
        <v>78</v>
      </c>
      <c r="C233" s="18">
        <v>45728.0</v>
      </c>
      <c r="D233" s="11" t="s">
        <v>237</v>
      </c>
      <c r="E233" s="11" t="s">
        <v>2424</v>
      </c>
      <c r="F233" s="11" t="s">
        <v>2426</v>
      </c>
      <c r="BP233" s="11" t="s">
        <v>2434</v>
      </c>
      <c r="BQ233" s="11" t="b">
        <v>0</v>
      </c>
      <c r="BT233" s="11" t="b">
        <v>0</v>
      </c>
      <c r="BU233" s="11" t="s">
        <v>95</v>
      </c>
      <c r="BW233" s="11" t="s">
        <v>2435</v>
      </c>
    </row>
    <row r="234">
      <c r="A234" s="11" t="s">
        <v>2437</v>
      </c>
      <c r="B234" s="11" t="s">
        <v>78</v>
      </c>
      <c r="C234" s="18">
        <v>45728.0</v>
      </c>
      <c r="D234" s="11" t="s">
        <v>237</v>
      </c>
      <c r="E234" s="11" t="s">
        <v>2424</v>
      </c>
      <c r="F234" s="11" t="s">
        <v>2426</v>
      </c>
      <c r="BP234" s="11" t="s">
        <v>2442</v>
      </c>
      <c r="BQ234" s="11" t="b">
        <v>0</v>
      </c>
      <c r="BT234" s="11" t="b">
        <v>0</v>
      </c>
      <c r="BU234" s="11" t="s">
        <v>95</v>
      </c>
    </row>
    <row r="235">
      <c r="A235" s="11" t="s">
        <v>2444</v>
      </c>
      <c r="B235" s="11" t="s">
        <v>78</v>
      </c>
      <c r="C235" s="18">
        <v>45731.0</v>
      </c>
      <c r="D235" s="11" t="s">
        <v>547</v>
      </c>
      <c r="E235" s="11" t="s">
        <v>2448</v>
      </c>
      <c r="F235" s="11" t="s">
        <v>2449</v>
      </c>
      <c r="BP235" s="11" t="s">
        <v>2451</v>
      </c>
      <c r="BQ235" s="11" t="b">
        <v>0</v>
      </c>
      <c r="BS235" s="19" t="s">
        <v>2452</v>
      </c>
      <c r="BT235" s="11" t="b">
        <v>1</v>
      </c>
      <c r="BU235" s="11" t="s">
        <v>95</v>
      </c>
    </row>
    <row r="236">
      <c r="A236" s="11" t="s">
        <v>2453</v>
      </c>
      <c r="B236" s="11" t="s">
        <v>78</v>
      </c>
      <c r="C236" s="18">
        <v>45740.0</v>
      </c>
      <c r="D236" s="11" t="s">
        <v>85</v>
      </c>
      <c r="E236" s="11" t="s">
        <v>2456</v>
      </c>
      <c r="F236" s="11" t="s">
        <v>2457</v>
      </c>
      <c r="BP236" s="11" t="s">
        <v>2459</v>
      </c>
      <c r="BQ236" s="11" t="b">
        <v>0</v>
      </c>
      <c r="BS236" s="19" t="s">
        <v>2462</v>
      </c>
      <c r="BT236" s="11" t="b">
        <v>1</v>
      </c>
      <c r="BU236" s="11" t="s">
        <v>95</v>
      </c>
    </row>
    <row r="237">
      <c r="A237" s="11" t="s">
        <v>2464</v>
      </c>
      <c r="B237" s="11" t="s">
        <v>78</v>
      </c>
      <c r="C237" s="18">
        <v>45738.0</v>
      </c>
      <c r="D237" s="11" t="s">
        <v>676</v>
      </c>
      <c r="E237" s="11" t="s">
        <v>2465</v>
      </c>
      <c r="F237" s="11" t="s">
        <v>2467</v>
      </c>
      <c r="BP237" s="11" t="s">
        <v>2469</v>
      </c>
      <c r="BQ237" s="11" t="b">
        <v>0</v>
      </c>
      <c r="BS237" s="19" t="s">
        <v>2470</v>
      </c>
      <c r="BT237" s="11" t="b">
        <v>1</v>
      </c>
      <c r="BU237" s="11" t="s">
        <v>95</v>
      </c>
    </row>
    <row r="238">
      <c r="A238" s="11" t="s">
        <v>2472</v>
      </c>
      <c r="B238" s="11" t="s">
        <v>78</v>
      </c>
      <c r="C238" s="18">
        <v>45735.0</v>
      </c>
      <c r="D238" s="11" t="s">
        <v>85</v>
      </c>
      <c r="E238" s="11" t="s">
        <v>2473</v>
      </c>
      <c r="F238" s="11" t="s">
        <v>2475</v>
      </c>
      <c r="BP238" s="11" t="s">
        <v>2476</v>
      </c>
      <c r="BQ238" s="11" t="b">
        <v>0</v>
      </c>
      <c r="BS238" s="19" t="s">
        <v>2477</v>
      </c>
      <c r="BT238" s="11" t="b">
        <v>1</v>
      </c>
      <c r="BU238" s="11" t="s">
        <v>95</v>
      </c>
    </row>
    <row r="239">
      <c r="A239" s="11" t="s">
        <v>2479</v>
      </c>
      <c r="B239" s="11" t="s">
        <v>78</v>
      </c>
      <c r="C239" s="18">
        <v>45736.0</v>
      </c>
      <c r="D239" s="11" t="s">
        <v>2480</v>
      </c>
      <c r="E239" s="11" t="s">
        <v>2482</v>
      </c>
      <c r="F239" s="11" t="s">
        <v>2484</v>
      </c>
      <c r="BP239" s="11" t="s">
        <v>2486</v>
      </c>
      <c r="BQ239" s="11" t="b">
        <v>0</v>
      </c>
      <c r="BS239" s="19" t="s">
        <v>2487</v>
      </c>
      <c r="BT239" s="11" t="b">
        <v>1</v>
      </c>
      <c r="BU239" s="11" t="s">
        <v>95</v>
      </c>
    </row>
    <row r="240">
      <c r="A240" s="11" t="s">
        <v>2490</v>
      </c>
      <c r="B240" s="11" t="s">
        <v>78</v>
      </c>
      <c r="C240" s="18">
        <v>45738.0</v>
      </c>
      <c r="D240" s="11" t="s">
        <v>104</v>
      </c>
      <c r="E240" s="11" t="s">
        <v>2491</v>
      </c>
      <c r="F240" s="11" t="s">
        <v>2493</v>
      </c>
      <c r="BP240" s="11" t="s">
        <v>2495</v>
      </c>
      <c r="BQ240" s="11" t="b">
        <v>0</v>
      </c>
      <c r="BS240" s="19" t="s">
        <v>2496</v>
      </c>
      <c r="BT240" s="11" t="b">
        <v>1</v>
      </c>
      <c r="BU240" s="11" t="s">
        <v>95</v>
      </c>
    </row>
    <row r="241">
      <c r="A241" s="11" t="s">
        <v>2498</v>
      </c>
      <c r="B241" s="11" t="s">
        <v>78</v>
      </c>
      <c r="C241" s="18">
        <v>45736.0</v>
      </c>
      <c r="D241" s="11" t="s">
        <v>104</v>
      </c>
      <c r="E241" s="11" t="s">
        <v>2499</v>
      </c>
      <c r="F241" s="11" t="s">
        <v>2500</v>
      </c>
      <c r="BP241" s="11" t="s">
        <v>2502</v>
      </c>
      <c r="BQ241" s="11" t="b">
        <v>0</v>
      </c>
      <c r="BS241" s="19" t="s">
        <v>2503</v>
      </c>
      <c r="BT241" s="11" t="b">
        <v>1</v>
      </c>
      <c r="BU241" s="11" t="s">
        <v>95</v>
      </c>
    </row>
    <row r="242">
      <c r="A242" s="11" t="s">
        <v>2505</v>
      </c>
      <c r="B242" s="11" t="s">
        <v>78</v>
      </c>
      <c r="C242" s="18">
        <v>45741.0</v>
      </c>
      <c r="D242" s="11" t="s">
        <v>237</v>
      </c>
      <c r="E242" s="11" t="s">
        <v>2508</v>
      </c>
      <c r="F242" s="11" t="s">
        <v>2510</v>
      </c>
      <c r="BP242" s="11" t="s">
        <v>2513</v>
      </c>
      <c r="BQ242" s="11" t="b">
        <v>0</v>
      </c>
      <c r="BT242" s="11" t="b">
        <v>0</v>
      </c>
      <c r="BU242" s="11" t="s">
        <v>95</v>
      </c>
      <c r="BW242" s="11" t="s">
        <v>2514</v>
      </c>
    </row>
    <row r="243">
      <c r="A243" s="11" t="s">
        <v>2515</v>
      </c>
      <c r="B243" s="11" t="s">
        <v>78</v>
      </c>
      <c r="C243" s="18">
        <v>45741.0</v>
      </c>
      <c r="D243" s="11" t="s">
        <v>237</v>
      </c>
      <c r="E243" s="11" t="s">
        <v>2508</v>
      </c>
      <c r="F243" s="11" t="s">
        <v>2510</v>
      </c>
      <c r="BP243" s="11" t="s">
        <v>2518</v>
      </c>
      <c r="BQ243" s="11" t="b">
        <v>0</v>
      </c>
      <c r="BT243" s="11" t="b">
        <v>0</v>
      </c>
      <c r="BU243" s="11" t="s">
        <v>95</v>
      </c>
    </row>
    <row r="244">
      <c r="A244" s="11" t="s">
        <v>2520</v>
      </c>
      <c r="B244" s="11" t="s">
        <v>78</v>
      </c>
      <c r="C244" s="18">
        <v>45737.0</v>
      </c>
      <c r="D244" s="11" t="s">
        <v>513</v>
      </c>
      <c r="E244" s="11" t="s">
        <v>2521</v>
      </c>
      <c r="F244" s="11" t="s">
        <v>2523</v>
      </c>
      <c r="BP244" s="11" t="s">
        <v>2525</v>
      </c>
      <c r="BQ244" s="11" t="b">
        <v>0</v>
      </c>
      <c r="BS244" s="19" t="s">
        <v>2526</v>
      </c>
      <c r="BT244" s="11" t="b">
        <v>1</v>
      </c>
      <c r="BU244" s="11" t="s">
        <v>95</v>
      </c>
    </row>
    <row r="245">
      <c r="A245" s="11" t="s">
        <v>2528</v>
      </c>
      <c r="B245" s="11" t="s">
        <v>78</v>
      </c>
      <c r="C245" s="18">
        <v>45737.0</v>
      </c>
      <c r="D245" s="11" t="s">
        <v>992</v>
      </c>
      <c r="E245" s="11" t="s">
        <v>2530</v>
      </c>
      <c r="F245" s="11" t="s">
        <v>1989</v>
      </c>
      <c r="BP245" s="11" t="s">
        <v>2533</v>
      </c>
      <c r="BQ245" s="11" t="b">
        <v>0</v>
      </c>
      <c r="BS245" s="19" t="s">
        <v>2536</v>
      </c>
      <c r="BT245" s="11" t="b">
        <v>1</v>
      </c>
      <c r="BU245" s="11" t="s">
        <v>95</v>
      </c>
    </row>
    <row r="246">
      <c r="A246" s="11" t="s">
        <v>2538</v>
      </c>
      <c r="B246" s="11" t="s">
        <v>78</v>
      </c>
      <c r="C246" s="18">
        <v>45740.0</v>
      </c>
      <c r="D246" s="11" t="s">
        <v>992</v>
      </c>
      <c r="E246" s="11" t="s">
        <v>2541</v>
      </c>
      <c r="F246" s="11" t="s">
        <v>335</v>
      </c>
      <c r="BP246" s="11" t="s">
        <v>2544</v>
      </c>
      <c r="BQ246" s="11" t="b">
        <v>0</v>
      </c>
      <c r="BS246" s="19" t="s">
        <v>2545</v>
      </c>
      <c r="BT246" s="11" t="b">
        <v>1</v>
      </c>
      <c r="BU246" s="11" t="s">
        <v>95</v>
      </c>
    </row>
    <row r="247">
      <c r="A247" s="11" t="s">
        <v>2547</v>
      </c>
      <c r="B247" s="11" t="s">
        <v>78</v>
      </c>
      <c r="C247" s="18">
        <v>45742.0</v>
      </c>
      <c r="D247" s="11" t="s">
        <v>237</v>
      </c>
      <c r="E247" s="11" t="s">
        <v>2551</v>
      </c>
      <c r="F247" s="11" t="s">
        <v>2291</v>
      </c>
      <c r="BP247" s="11" t="s">
        <v>2554</v>
      </c>
      <c r="BQ247" s="11" t="b">
        <v>0</v>
      </c>
      <c r="BT247" s="11" t="b">
        <v>0</v>
      </c>
      <c r="BU247" s="11" t="s">
        <v>95</v>
      </c>
      <c r="BW247" s="11" t="s">
        <v>2555</v>
      </c>
      <c r="BX247" s="11" t="s">
        <v>2556</v>
      </c>
    </row>
    <row r="248">
      <c r="A248" s="11" t="s">
        <v>2558</v>
      </c>
      <c r="B248" s="11" t="s">
        <v>78</v>
      </c>
      <c r="C248" s="18">
        <v>45742.0</v>
      </c>
      <c r="D248" s="11" t="s">
        <v>237</v>
      </c>
      <c r="E248" s="11" t="s">
        <v>2551</v>
      </c>
      <c r="F248" s="11" t="s">
        <v>2291</v>
      </c>
      <c r="BP248" s="11" t="s">
        <v>2561</v>
      </c>
      <c r="BQ248" s="11" t="b">
        <v>0</v>
      </c>
      <c r="BT248" s="11" t="b">
        <v>0</v>
      </c>
      <c r="BU248" s="11" t="s">
        <v>95</v>
      </c>
    </row>
    <row r="249">
      <c r="A249" s="11" t="s">
        <v>2562</v>
      </c>
      <c r="B249" s="11" t="s">
        <v>78</v>
      </c>
      <c r="C249" s="18">
        <v>45722.0</v>
      </c>
      <c r="D249" s="19" t="s">
        <v>504</v>
      </c>
      <c r="E249" s="11" t="s">
        <v>2564</v>
      </c>
      <c r="F249" s="11" t="s">
        <v>2565</v>
      </c>
      <c r="BP249" s="11" t="s">
        <v>2566</v>
      </c>
      <c r="BQ249" s="11" t="b">
        <v>0</v>
      </c>
      <c r="BT249" s="11" t="b">
        <v>0</v>
      </c>
      <c r="BU249" s="11" t="s">
        <v>95</v>
      </c>
    </row>
    <row r="250">
      <c r="A250" s="11" t="s">
        <v>2568</v>
      </c>
      <c r="B250" s="11" t="s">
        <v>78</v>
      </c>
      <c r="C250" s="18">
        <v>45744.0</v>
      </c>
      <c r="D250" s="11" t="s">
        <v>254</v>
      </c>
      <c r="E250" s="11" t="s">
        <v>2571</v>
      </c>
      <c r="F250" s="11" t="s">
        <v>2572</v>
      </c>
      <c r="BP250" s="11" t="s">
        <v>2573</v>
      </c>
      <c r="BQ250" s="11" t="b">
        <v>0</v>
      </c>
      <c r="BS250" s="19" t="s">
        <v>2575</v>
      </c>
      <c r="BT250" s="11" t="b">
        <v>1</v>
      </c>
      <c r="BU250" s="11" t="s">
        <v>95</v>
      </c>
    </row>
    <row r="251">
      <c r="A251" s="11" t="s">
        <v>2576</v>
      </c>
      <c r="B251" s="11" t="s">
        <v>78</v>
      </c>
      <c r="C251" s="18">
        <v>45778.0</v>
      </c>
      <c r="D251" s="11" t="s">
        <v>2578</v>
      </c>
      <c r="E251" s="11" t="s">
        <v>2579</v>
      </c>
      <c r="F251" s="11" t="s">
        <v>2580</v>
      </c>
      <c r="BP251" s="11" t="s">
        <v>2583</v>
      </c>
      <c r="BQ251" s="11" t="b">
        <v>0</v>
      </c>
      <c r="BS251" s="19" t="s">
        <v>2584</v>
      </c>
      <c r="BT251" s="11" t="b">
        <v>1</v>
      </c>
      <c r="BU251" s="11" t="s">
        <v>95</v>
      </c>
    </row>
    <row r="252">
      <c r="A252" s="11" t="s">
        <v>2586</v>
      </c>
      <c r="B252" s="11" t="s">
        <v>78</v>
      </c>
      <c r="C252" s="18">
        <v>45749.0</v>
      </c>
      <c r="D252" s="11" t="s">
        <v>708</v>
      </c>
      <c r="E252" s="11" t="s">
        <v>2588</v>
      </c>
      <c r="F252" s="11" t="s">
        <v>2589</v>
      </c>
      <c r="BP252" s="11" t="s">
        <v>2591</v>
      </c>
      <c r="BQ252" s="11" t="b">
        <v>0</v>
      </c>
      <c r="BS252" s="19" t="s">
        <v>2592</v>
      </c>
      <c r="BT252" s="11" t="b">
        <v>1</v>
      </c>
      <c r="BU252" s="11" t="s">
        <v>95</v>
      </c>
    </row>
    <row r="253">
      <c r="A253" s="11" t="s">
        <v>2594</v>
      </c>
      <c r="B253" s="11" t="s">
        <v>78</v>
      </c>
      <c r="C253" s="18">
        <v>45749.0</v>
      </c>
      <c r="D253" s="11" t="s">
        <v>104</v>
      </c>
      <c r="E253" s="11" t="s">
        <v>2595</v>
      </c>
      <c r="F253" s="11" t="s">
        <v>2597</v>
      </c>
      <c r="BP253" s="11" t="s">
        <v>2599</v>
      </c>
      <c r="BQ253" s="11" t="b">
        <v>0</v>
      </c>
      <c r="BS253" s="19" t="s">
        <v>2600</v>
      </c>
      <c r="BT253" s="11" t="b">
        <v>1</v>
      </c>
      <c r="BU253" s="11" t="s">
        <v>95</v>
      </c>
    </row>
    <row r="254">
      <c r="A254" s="11" t="s">
        <v>2603</v>
      </c>
      <c r="B254" s="11" t="s">
        <v>78</v>
      </c>
      <c r="C254" s="18">
        <v>45749.0</v>
      </c>
      <c r="D254" s="11" t="s">
        <v>1094</v>
      </c>
      <c r="E254" s="11" t="s">
        <v>2605</v>
      </c>
      <c r="F254" s="11" t="s">
        <v>2606</v>
      </c>
      <c r="BP254" s="11" t="s">
        <v>2608</v>
      </c>
      <c r="BQ254" s="11" t="b">
        <v>0</v>
      </c>
      <c r="BS254" s="19" t="s">
        <v>2609</v>
      </c>
      <c r="BT254" s="11" t="b">
        <v>1</v>
      </c>
      <c r="BU254" s="11" t="s">
        <v>95</v>
      </c>
    </row>
    <row r="255">
      <c r="A255" s="11" t="s">
        <v>2610</v>
      </c>
      <c r="B255" s="11" t="s">
        <v>78</v>
      </c>
      <c r="C255" s="18">
        <v>45749.0</v>
      </c>
      <c r="D255" s="11" t="s">
        <v>1627</v>
      </c>
      <c r="E255" s="11" t="s">
        <v>2612</v>
      </c>
      <c r="F255" s="11" t="s">
        <v>2613</v>
      </c>
      <c r="BP255" s="11" t="s">
        <v>2615</v>
      </c>
      <c r="BQ255" s="11" t="b">
        <v>0</v>
      </c>
      <c r="BS255" s="19" t="s">
        <v>2616</v>
      </c>
      <c r="BT255" s="11" t="b">
        <v>1</v>
      </c>
      <c r="BU255" s="11" t="s">
        <v>95</v>
      </c>
    </row>
    <row r="256">
      <c r="A256" s="11" t="s">
        <v>2618</v>
      </c>
      <c r="B256" s="11" t="s">
        <v>78</v>
      </c>
      <c r="C256" s="18">
        <v>45747.0</v>
      </c>
      <c r="D256" s="11" t="s">
        <v>104</v>
      </c>
      <c r="E256" s="11" t="s">
        <v>2621</v>
      </c>
      <c r="F256" s="11" t="s">
        <v>2632</v>
      </c>
      <c r="BP256" s="11" t="s">
        <v>2635</v>
      </c>
      <c r="BQ256" s="11" t="b">
        <v>0</v>
      </c>
      <c r="BS256" s="19" t="s">
        <v>2636</v>
      </c>
      <c r="BT256" s="11" t="b">
        <v>1</v>
      </c>
      <c r="BU256" s="11" t="s">
        <v>95</v>
      </c>
    </row>
    <row r="257">
      <c r="A257" s="11" t="s">
        <v>2639</v>
      </c>
      <c r="B257" s="11" t="s">
        <v>78</v>
      </c>
      <c r="C257" s="18">
        <v>45744.0</v>
      </c>
      <c r="D257" s="11" t="s">
        <v>85</v>
      </c>
      <c r="E257" s="11" t="s">
        <v>2641</v>
      </c>
      <c r="F257" s="11" t="s">
        <v>2647</v>
      </c>
      <c r="BP257" s="11" t="s">
        <v>2650</v>
      </c>
      <c r="BQ257" s="11" t="b">
        <v>0</v>
      </c>
      <c r="BS257" s="19" t="s">
        <v>2652</v>
      </c>
      <c r="BT257" s="11" t="b">
        <v>1</v>
      </c>
      <c r="BU257" s="11" t="s">
        <v>95</v>
      </c>
    </row>
    <row r="258">
      <c r="A258" s="11" t="s">
        <v>2653</v>
      </c>
      <c r="B258" s="11" t="s">
        <v>78</v>
      </c>
      <c r="C258" s="18">
        <v>45749.0</v>
      </c>
      <c r="D258" s="11" t="s">
        <v>85</v>
      </c>
      <c r="E258" s="11" t="s">
        <v>2655</v>
      </c>
      <c r="F258" s="11" t="s">
        <v>1016</v>
      </c>
      <c r="BP258" s="11" t="s">
        <v>2657</v>
      </c>
      <c r="BQ258" s="11" t="b">
        <v>0</v>
      </c>
      <c r="BS258" s="19" t="s">
        <v>2659</v>
      </c>
      <c r="BT258" s="11" t="b">
        <v>1</v>
      </c>
      <c r="BU258" s="11" t="s">
        <v>95</v>
      </c>
    </row>
    <row r="259">
      <c r="A259" s="11" t="s">
        <v>2661</v>
      </c>
      <c r="B259" s="11" t="s">
        <v>78</v>
      </c>
      <c r="C259" s="18">
        <v>45747.0</v>
      </c>
      <c r="D259" s="11" t="s">
        <v>992</v>
      </c>
      <c r="E259" s="11" t="s">
        <v>2664</v>
      </c>
      <c r="F259" s="11" t="s">
        <v>1989</v>
      </c>
      <c r="BP259" s="11" t="s">
        <v>2667</v>
      </c>
      <c r="BQ259" s="11" t="b">
        <v>0</v>
      </c>
      <c r="BS259" s="19" t="s">
        <v>2672</v>
      </c>
      <c r="BT259" s="11" t="b">
        <v>1</v>
      </c>
      <c r="BU259" s="11" t="s">
        <v>95</v>
      </c>
    </row>
    <row r="260">
      <c r="A260" s="11" t="s">
        <v>2674</v>
      </c>
      <c r="B260" s="11" t="s">
        <v>78</v>
      </c>
      <c r="C260" s="18">
        <v>45749.0</v>
      </c>
      <c r="D260" s="11" t="s">
        <v>168</v>
      </c>
      <c r="E260" s="11" t="s">
        <v>2680</v>
      </c>
      <c r="F260" s="11" t="s">
        <v>2681</v>
      </c>
      <c r="BP260" s="11" t="s">
        <v>2683</v>
      </c>
      <c r="BQ260" s="11" t="b">
        <v>0</v>
      </c>
      <c r="BS260" s="19" t="s">
        <v>2685</v>
      </c>
      <c r="BT260" s="11" t="b">
        <v>1</v>
      </c>
      <c r="BU260" s="11" t="s">
        <v>95</v>
      </c>
    </row>
    <row r="261">
      <c r="A261" s="11" t="s">
        <v>2687</v>
      </c>
      <c r="B261" s="11" t="s">
        <v>78</v>
      </c>
      <c r="C261" s="18">
        <v>45745.0</v>
      </c>
      <c r="D261" s="11" t="s">
        <v>168</v>
      </c>
      <c r="E261" s="11" t="s">
        <v>2688</v>
      </c>
      <c r="F261" s="11" t="s">
        <v>2689</v>
      </c>
      <c r="BP261" s="11" t="s">
        <v>2691</v>
      </c>
      <c r="BQ261" s="11" t="b">
        <v>0</v>
      </c>
      <c r="BS261" s="19" t="s">
        <v>2692</v>
      </c>
      <c r="BT261" s="11" t="b">
        <v>1</v>
      </c>
      <c r="BU261" s="11" t="s">
        <v>95</v>
      </c>
    </row>
    <row r="262">
      <c r="A262" s="11" t="s">
        <v>2694</v>
      </c>
      <c r="B262" s="11" t="s">
        <v>78</v>
      </c>
      <c r="C262" s="18">
        <v>45751.0</v>
      </c>
      <c r="D262" s="11" t="s">
        <v>676</v>
      </c>
      <c r="E262" s="11" t="s">
        <v>2696</v>
      </c>
      <c r="F262" s="11" t="s">
        <v>1959</v>
      </c>
      <c r="BP262" s="11" t="s">
        <v>2697</v>
      </c>
      <c r="BQ262" s="11" t="b">
        <v>0</v>
      </c>
      <c r="BS262" s="19" t="s">
        <v>2699</v>
      </c>
      <c r="BT262" s="11" t="b">
        <v>1</v>
      </c>
      <c r="BU262" s="11" t="s">
        <v>95</v>
      </c>
    </row>
    <row r="263">
      <c r="A263" s="11" t="s">
        <v>2701</v>
      </c>
      <c r="B263" s="11" t="s">
        <v>78</v>
      </c>
      <c r="C263" s="18">
        <v>45754.0</v>
      </c>
      <c r="D263" s="11" t="s">
        <v>992</v>
      </c>
      <c r="E263" s="11" t="s">
        <v>2704</v>
      </c>
      <c r="F263" s="11" t="s">
        <v>2705</v>
      </c>
      <c r="BP263" s="11" t="s">
        <v>2707</v>
      </c>
      <c r="BQ263" s="11" t="b">
        <v>0</v>
      </c>
      <c r="BS263" s="19" t="s">
        <v>2709</v>
      </c>
      <c r="BT263" s="11" t="b">
        <v>1</v>
      </c>
      <c r="BU263" s="11" t="s">
        <v>95</v>
      </c>
    </row>
    <row r="264">
      <c r="A264" s="11" t="s">
        <v>2710</v>
      </c>
      <c r="B264" s="11" t="s">
        <v>78</v>
      </c>
      <c r="C264" s="18">
        <v>45751.0</v>
      </c>
      <c r="D264" s="11" t="s">
        <v>513</v>
      </c>
      <c r="E264" s="11" t="s">
        <v>2713</v>
      </c>
      <c r="F264" s="11" t="s">
        <v>2126</v>
      </c>
      <c r="BP264" s="11" t="s">
        <v>2715</v>
      </c>
      <c r="BQ264" s="11" t="b">
        <v>0</v>
      </c>
      <c r="BS264" s="19" t="s">
        <v>2716</v>
      </c>
      <c r="BT264" s="11" t="b">
        <v>1</v>
      </c>
      <c r="BU264" s="11" t="s">
        <v>95</v>
      </c>
    </row>
    <row r="265">
      <c r="A265" s="11" t="s">
        <v>2718</v>
      </c>
      <c r="B265" s="11" t="s">
        <v>78</v>
      </c>
      <c r="C265" s="18">
        <v>45748.0</v>
      </c>
      <c r="D265" s="19" t="s">
        <v>504</v>
      </c>
      <c r="E265" s="11" t="s">
        <v>2720</v>
      </c>
      <c r="F265" s="11" t="s">
        <v>2721</v>
      </c>
      <c r="BP265" s="11" t="s">
        <v>2723</v>
      </c>
      <c r="BQ265" s="11" t="b">
        <v>0</v>
      </c>
      <c r="BT265" s="11" t="b">
        <v>0</v>
      </c>
      <c r="BU265" s="11" t="s">
        <v>95</v>
      </c>
    </row>
    <row r="266">
      <c r="A266" s="11" t="s">
        <v>2724</v>
      </c>
      <c r="B266" s="11" t="s">
        <v>78</v>
      </c>
      <c r="C266" s="18">
        <v>45751.0</v>
      </c>
      <c r="D266" s="11" t="s">
        <v>992</v>
      </c>
      <c r="E266" s="11" t="s">
        <v>2726</v>
      </c>
      <c r="F266" s="11" t="s">
        <v>2727</v>
      </c>
      <c r="BP266" s="11" t="s">
        <v>2729</v>
      </c>
      <c r="BQ266" s="11" t="b">
        <v>0</v>
      </c>
      <c r="BS266" s="19" t="s">
        <v>2730</v>
      </c>
      <c r="BT266" s="11" t="b">
        <v>1</v>
      </c>
      <c r="BU266" s="11" t="s">
        <v>95</v>
      </c>
    </row>
    <row r="267">
      <c r="A267" s="11" t="s">
        <v>2733</v>
      </c>
      <c r="B267" s="11" t="s">
        <v>78</v>
      </c>
      <c r="C267" s="18">
        <v>45758.0</v>
      </c>
      <c r="D267" s="11" t="s">
        <v>85</v>
      </c>
      <c r="E267" s="11" t="s">
        <v>2736</v>
      </c>
      <c r="F267" s="11" t="s">
        <v>1959</v>
      </c>
      <c r="BP267" s="11" t="s">
        <v>2738</v>
      </c>
      <c r="BQ267" s="11" t="b">
        <v>0</v>
      </c>
      <c r="BS267" s="19" t="s">
        <v>2740</v>
      </c>
      <c r="BT267" s="11" t="b">
        <v>1</v>
      </c>
      <c r="BU267" s="11" t="s">
        <v>95</v>
      </c>
    </row>
    <row r="268">
      <c r="A268" s="11">
        <v>5.361532E7</v>
      </c>
      <c r="B268" s="11" t="s">
        <v>78</v>
      </c>
      <c r="C268" s="18">
        <v>45759.0</v>
      </c>
      <c r="D268" s="11" t="s">
        <v>339</v>
      </c>
      <c r="E268" s="11" t="s">
        <v>2744</v>
      </c>
      <c r="F268" s="11" t="s">
        <v>2745</v>
      </c>
      <c r="BP268" s="11" t="s">
        <v>2747</v>
      </c>
      <c r="BQ268" s="11" t="b">
        <v>0</v>
      </c>
      <c r="BS268" s="19" t="s">
        <v>2749</v>
      </c>
      <c r="BT268" s="11" t="b">
        <v>1</v>
      </c>
      <c r="BU268" s="11" t="s">
        <v>95</v>
      </c>
    </row>
    <row r="269">
      <c r="A269" s="11" t="s">
        <v>2750</v>
      </c>
      <c r="B269" s="11" t="s">
        <v>78</v>
      </c>
      <c r="C269" s="18">
        <v>45756.0</v>
      </c>
      <c r="D269" s="11" t="s">
        <v>104</v>
      </c>
      <c r="E269" s="11" t="s">
        <v>2753</v>
      </c>
      <c r="F269" s="11" t="s">
        <v>2754</v>
      </c>
      <c r="BP269" s="11" t="s">
        <v>2757</v>
      </c>
      <c r="BQ269" s="11" t="b">
        <v>0</v>
      </c>
      <c r="BS269" s="19" t="s">
        <v>2758</v>
      </c>
      <c r="BT269" s="11" t="b">
        <v>1</v>
      </c>
      <c r="BU269" s="11" t="s">
        <v>95</v>
      </c>
    </row>
    <row r="270">
      <c r="A270" s="11" t="s">
        <v>2760</v>
      </c>
      <c r="B270" s="11" t="s">
        <v>78</v>
      </c>
      <c r="C270" s="18">
        <v>45757.0</v>
      </c>
      <c r="D270" s="19" t="s">
        <v>504</v>
      </c>
      <c r="E270" s="11" t="s">
        <v>2763</v>
      </c>
      <c r="F270" s="11" t="s">
        <v>2764</v>
      </c>
      <c r="BP270" s="11" t="s">
        <v>2766</v>
      </c>
      <c r="BQ270" s="11" t="b">
        <v>0</v>
      </c>
      <c r="BT270" s="11" t="b">
        <v>0</v>
      </c>
      <c r="BU270" s="11" t="s">
        <v>95</v>
      </c>
    </row>
    <row r="271">
      <c r="A271" s="11" t="s">
        <v>2769</v>
      </c>
      <c r="B271" s="11" t="s">
        <v>78</v>
      </c>
      <c r="C271" s="18">
        <v>45757.0</v>
      </c>
      <c r="D271" s="11" t="s">
        <v>237</v>
      </c>
      <c r="E271" s="11" t="s">
        <v>2772</v>
      </c>
      <c r="F271" s="11" t="s">
        <v>2291</v>
      </c>
      <c r="BP271" s="11" t="s">
        <v>2773</v>
      </c>
      <c r="BQ271" s="11" t="b">
        <v>0</v>
      </c>
      <c r="BT271" s="11" t="b">
        <v>0</v>
      </c>
      <c r="BU271" s="11" t="s">
        <v>95</v>
      </c>
      <c r="BW271" s="11" t="s">
        <v>2777</v>
      </c>
      <c r="BX271" s="11" t="s">
        <v>2778</v>
      </c>
    </row>
    <row r="272">
      <c r="A272" s="11" t="s">
        <v>2781</v>
      </c>
      <c r="B272" s="11" t="s">
        <v>78</v>
      </c>
      <c r="C272" s="18">
        <v>45757.0</v>
      </c>
      <c r="D272" s="11" t="s">
        <v>237</v>
      </c>
      <c r="E272" s="11" t="s">
        <v>2772</v>
      </c>
      <c r="F272" s="11" t="s">
        <v>2291</v>
      </c>
      <c r="BP272" s="11" t="s">
        <v>2784</v>
      </c>
      <c r="BQ272" s="11" t="b">
        <v>0</v>
      </c>
      <c r="BT272" s="11" t="b">
        <v>0</v>
      </c>
      <c r="BU272" s="11" t="s">
        <v>95</v>
      </c>
    </row>
    <row r="273">
      <c r="A273" s="11" t="s">
        <v>2785</v>
      </c>
      <c r="B273" s="11" t="s">
        <v>78</v>
      </c>
      <c r="C273" s="18">
        <v>45756.0</v>
      </c>
      <c r="D273" s="11" t="s">
        <v>237</v>
      </c>
      <c r="E273" s="11" t="s">
        <v>2788</v>
      </c>
      <c r="F273" s="11" t="s">
        <v>2291</v>
      </c>
      <c r="BP273" s="11" t="s">
        <v>2791</v>
      </c>
      <c r="BQ273" s="11" t="b">
        <v>0</v>
      </c>
      <c r="BT273" s="11" t="b">
        <v>0</v>
      </c>
      <c r="BU273" s="11" t="s">
        <v>95</v>
      </c>
      <c r="BW273" s="11" t="s">
        <v>2794</v>
      </c>
    </row>
    <row r="274">
      <c r="A274" s="11" t="s">
        <v>2795</v>
      </c>
      <c r="B274" s="11" t="s">
        <v>78</v>
      </c>
      <c r="C274" s="18">
        <v>45756.0</v>
      </c>
      <c r="D274" s="11" t="s">
        <v>237</v>
      </c>
      <c r="E274" s="11" t="s">
        <v>2788</v>
      </c>
      <c r="F274" s="11" t="s">
        <v>2291</v>
      </c>
      <c r="BP274" s="11" t="s">
        <v>2801</v>
      </c>
      <c r="BQ274" s="11" t="b">
        <v>0</v>
      </c>
      <c r="BT274" s="11" t="b">
        <v>0</v>
      </c>
      <c r="BU274" s="11" t="s">
        <v>95</v>
      </c>
    </row>
    <row r="275">
      <c r="A275" s="11" t="s">
        <v>2804</v>
      </c>
      <c r="B275" s="11" t="s">
        <v>78</v>
      </c>
      <c r="C275" s="18">
        <v>45758.0</v>
      </c>
      <c r="D275" s="11" t="s">
        <v>2806</v>
      </c>
      <c r="E275" s="11" t="s">
        <v>2807</v>
      </c>
      <c r="F275" s="11" t="s">
        <v>2809</v>
      </c>
      <c r="BP275" s="11" t="s">
        <v>2811</v>
      </c>
      <c r="BQ275" s="11" t="b">
        <v>0</v>
      </c>
      <c r="BS275" s="19" t="s">
        <v>2813</v>
      </c>
      <c r="BT275" s="11" t="b">
        <v>1</v>
      </c>
      <c r="BU275" s="11" t="s">
        <v>95</v>
      </c>
    </row>
    <row r="276">
      <c r="A276" s="11" t="s">
        <v>2815</v>
      </c>
      <c r="B276" s="11" t="s">
        <v>78</v>
      </c>
      <c r="C276" s="18">
        <v>45758.0</v>
      </c>
      <c r="D276" s="11" t="s">
        <v>992</v>
      </c>
      <c r="E276" s="11" t="s">
        <v>2816</v>
      </c>
      <c r="F276" s="11" t="s">
        <v>2113</v>
      </c>
      <c r="BP276" s="11" t="s">
        <v>2818</v>
      </c>
      <c r="BQ276" s="11" t="b">
        <v>0</v>
      </c>
      <c r="BS276" s="19" t="s">
        <v>2820</v>
      </c>
      <c r="BT276" s="11" t="b">
        <v>1</v>
      </c>
      <c r="BU276" s="11" t="s">
        <v>95</v>
      </c>
    </row>
    <row r="277">
      <c r="A277" s="11" t="s">
        <v>2822</v>
      </c>
      <c r="B277" s="11" t="s">
        <v>78</v>
      </c>
      <c r="C277" s="18">
        <v>45759.0</v>
      </c>
      <c r="D277" s="11" t="s">
        <v>104</v>
      </c>
      <c r="E277" s="11" t="s">
        <v>2823</v>
      </c>
      <c r="F277" s="11" t="s">
        <v>2825</v>
      </c>
      <c r="BP277" s="11" t="s">
        <v>2827</v>
      </c>
      <c r="BQ277" s="11" t="b">
        <v>0</v>
      </c>
      <c r="BS277" s="19" t="s">
        <v>2829</v>
      </c>
      <c r="BT277" s="11" t="b">
        <v>1</v>
      </c>
      <c r="BU277" s="11" t="s">
        <v>95</v>
      </c>
    </row>
    <row r="278">
      <c r="A278" s="11" t="s">
        <v>2831</v>
      </c>
      <c r="B278" s="11" t="s">
        <v>78</v>
      </c>
      <c r="C278" s="18">
        <v>45767.0</v>
      </c>
      <c r="D278" s="11" t="s">
        <v>85</v>
      </c>
      <c r="E278" s="11" t="s">
        <v>2834</v>
      </c>
      <c r="F278" s="11" t="s">
        <v>2835</v>
      </c>
      <c r="BP278" s="11" t="s">
        <v>2837</v>
      </c>
      <c r="BQ278" s="11" t="b">
        <v>0</v>
      </c>
      <c r="BS278" s="19" t="s">
        <v>2838</v>
      </c>
      <c r="BT278" s="11" t="b">
        <v>1</v>
      </c>
      <c r="BU278" s="11" t="s">
        <v>95</v>
      </c>
    </row>
    <row r="279">
      <c r="A279" s="11" t="s">
        <v>2840</v>
      </c>
      <c r="B279" s="11" t="s">
        <v>78</v>
      </c>
      <c r="C279" s="18">
        <v>45764.0</v>
      </c>
      <c r="D279" s="11" t="s">
        <v>104</v>
      </c>
      <c r="E279" s="11" t="s">
        <v>2841</v>
      </c>
      <c r="F279" s="11" t="s">
        <v>110</v>
      </c>
      <c r="BP279" s="11" t="s">
        <v>2844</v>
      </c>
      <c r="BQ279" s="11" t="b">
        <v>0</v>
      </c>
      <c r="BS279" s="19" t="s">
        <v>2846</v>
      </c>
      <c r="BT279" s="11" t="b">
        <v>1</v>
      </c>
      <c r="BU279" s="11" t="s">
        <v>95</v>
      </c>
    </row>
    <row r="280">
      <c r="A280" s="11" t="s">
        <v>2848</v>
      </c>
      <c r="B280" s="11" t="s">
        <v>78</v>
      </c>
      <c r="C280" s="18">
        <v>45762.0</v>
      </c>
      <c r="D280" s="11" t="s">
        <v>2850</v>
      </c>
      <c r="E280" s="11" t="s">
        <v>2851</v>
      </c>
      <c r="F280" s="11" t="s">
        <v>2853</v>
      </c>
      <c r="BP280" s="11" t="s">
        <v>2855</v>
      </c>
      <c r="BQ280" s="11" t="b">
        <v>0</v>
      </c>
      <c r="BS280" s="19" t="s">
        <v>2856</v>
      </c>
      <c r="BT280" s="11" t="b">
        <v>1</v>
      </c>
      <c r="BU280" s="11" t="s">
        <v>95</v>
      </c>
    </row>
    <row r="281">
      <c r="A281" s="11" t="s">
        <v>2859</v>
      </c>
      <c r="B281" s="11" t="s">
        <v>78</v>
      </c>
      <c r="C281" s="18">
        <v>45768.0</v>
      </c>
      <c r="D281" s="11" t="s">
        <v>237</v>
      </c>
      <c r="E281" s="11" t="s">
        <v>2860</v>
      </c>
      <c r="F281" s="11" t="s">
        <v>1531</v>
      </c>
      <c r="BP281" s="11" t="s">
        <v>2863</v>
      </c>
      <c r="BQ281" s="11" t="b">
        <v>0</v>
      </c>
      <c r="BT281" s="11" t="b">
        <v>0</v>
      </c>
      <c r="BU281" s="11" t="s">
        <v>95</v>
      </c>
    </row>
    <row r="282">
      <c r="A282" s="11" t="s">
        <v>2865</v>
      </c>
      <c r="B282" s="11" t="s">
        <v>78</v>
      </c>
      <c r="C282" s="18">
        <v>45768.0</v>
      </c>
      <c r="D282" s="11" t="s">
        <v>237</v>
      </c>
      <c r="E282" s="11" t="s">
        <v>2866</v>
      </c>
      <c r="F282" s="11" t="s">
        <v>2867</v>
      </c>
      <c r="BP282" s="11" t="s">
        <v>2869</v>
      </c>
      <c r="BQ282" s="11" t="b">
        <v>0</v>
      </c>
      <c r="BT282" s="11" t="b">
        <v>0</v>
      </c>
      <c r="BU282" s="11" t="s">
        <v>95</v>
      </c>
    </row>
    <row r="283">
      <c r="A283" s="11" t="s">
        <v>2872</v>
      </c>
      <c r="B283" s="11" t="s">
        <v>78</v>
      </c>
      <c r="C283" s="18">
        <v>45765.0</v>
      </c>
      <c r="D283" s="11" t="s">
        <v>339</v>
      </c>
      <c r="E283" s="11" t="s">
        <v>2875</v>
      </c>
      <c r="F283" s="11" t="s">
        <v>2034</v>
      </c>
      <c r="BP283" s="11" t="s">
        <v>2877</v>
      </c>
      <c r="BQ283" s="11" t="b">
        <v>0</v>
      </c>
      <c r="BS283" s="19" t="s">
        <v>2879</v>
      </c>
      <c r="BT283" s="11" t="b">
        <v>1</v>
      </c>
      <c r="BU283" s="11" t="s">
        <v>95</v>
      </c>
    </row>
    <row r="284">
      <c r="A284" s="11" t="s">
        <v>2880</v>
      </c>
      <c r="B284" s="11" t="s">
        <v>78</v>
      </c>
      <c r="C284" s="18">
        <v>45765.0</v>
      </c>
      <c r="D284" s="11" t="s">
        <v>1105</v>
      </c>
      <c r="E284" s="11" t="s">
        <v>2883</v>
      </c>
      <c r="F284" s="11" t="s">
        <v>2885</v>
      </c>
      <c r="BP284" s="11" t="s">
        <v>2886</v>
      </c>
      <c r="BQ284" s="11" t="b">
        <v>0</v>
      </c>
      <c r="BS284" s="19" t="s">
        <v>2888</v>
      </c>
      <c r="BT284" s="11" t="b">
        <v>1</v>
      </c>
      <c r="BU284" s="11" t="s">
        <v>95</v>
      </c>
    </row>
    <row r="285">
      <c r="A285" s="11" t="s">
        <v>2889</v>
      </c>
      <c r="B285" s="11" t="s">
        <v>78</v>
      </c>
      <c r="C285" s="18">
        <v>45763.0</v>
      </c>
      <c r="D285" s="11" t="s">
        <v>85</v>
      </c>
      <c r="E285" s="11" t="s">
        <v>2891</v>
      </c>
      <c r="F285" s="11" t="s">
        <v>2892</v>
      </c>
      <c r="BP285" s="11" t="s">
        <v>2894</v>
      </c>
      <c r="BQ285" s="11" t="b">
        <v>0</v>
      </c>
      <c r="BS285" s="19" t="s">
        <v>2895</v>
      </c>
      <c r="BT285" s="11" t="b">
        <v>1</v>
      </c>
      <c r="BU285" s="11" t="s">
        <v>95</v>
      </c>
    </row>
    <row r="286">
      <c r="A286" s="11" t="s">
        <v>2896</v>
      </c>
      <c r="B286" s="11" t="s">
        <v>78</v>
      </c>
      <c r="C286" s="18">
        <v>45763.0</v>
      </c>
      <c r="D286" s="11" t="s">
        <v>2850</v>
      </c>
      <c r="E286" s="11" t="s">
        <v>2899</v>
      </c>
      <c r="F286" s="11" t="s">
        <v>2900</v>
      </c>
      <c r="BP286" s="11" t="s">
        <v>2903</v>
      </c>
      <c r="BQ286" s="11" t="b">
        <v>0</v>
      </c>
      <c r="BS286" s="19" t="s">
        <v>2904</v>
      </c>
      <c r="BT286" s="11" t="b">
        <v>1</v>
      </c>
      <c r="BU286" s="11" t="s">
        <v>95</v>
      </c>
    </row>
    <row r="287">
      <c r="A287" s="11" t="s">
        <v>2906</v>
      </c>
      <c r="B287" s="11" t="s">
        <v>78</v>
      </c>
      <c r="C287" s="18">
        <v>45765.0</v>
      </c>
      <c r="D287" s="11" t="s">
        <v>992</v>
      </c>
      <c r="E287" s="11" t="s">
        <v>2907</v>
      </c>
      <c r="F287" s="11" t="s">
        <v>2909</v>
      </c>
      <c r="BP287" s="11" t="s">
        <v>2910</v>
      </c>
      <c r="BQ287" s="11" t="b">
        <v>0</v>
      </c>
      <c r="BS287" s="19" t="s">
        <v>2913</v>
      </c>
      <c r="BT287" s="11" t="b">
        <v>1</v>
      </c>
      <c r="BU287" s="11" t="s">
        <v>95</v>
      </c>
    </row>
    <row r="288">
      <c r="A288" s="11" t="s">
        <v>2914</v>
      </c>
      <c r="B288" s="11" t="s">
        <v>78</v>
      </c>
      <c r="C288" s="18">
        <v>45761.0</v>
      </c>
      <c r="D288" s="11" t="s">
        <v>817</v>
      </c>
      <c r="E288" s="11" t="s">
        <v>2917</v>
      </c>
      <c r="F288" s="11" t="s">
        <v>2919</v>
      </c>
      <c r="BP288" s="11" t="s">
        <v>2921</v>
      </c>
      <c r="BQ288" s="11" t="b">
        <v>0</v>
      </c>
      <c r="BT288" s="11" t="b">
        <v>0</v>
      </c>
      <c r="BU288" s="11" t="s">
        <v>95</v>
      </c>
    </row>
    <row r="289">
      <c r="A289" s="11" t="s">
        <v>2923</v>
      </c>
      <c r="B289" s="11" t="s">
        <v>78</v>
      </c>
      <c r="C289" s="18">
        <v>45776.0</v>
      </c>
      <c r="D289" s="11" t="s">
        <v>104</v>
      </c>
      <c r="E289" s="11" t="s">
        <v>2926</v>
      </c>
      <c r="F289" s="11" t="s">
        <v>2928</v>
      </c>
      <c r="BP289" s="11" t="s">
        <v>2929</v>
      </c>
      <c r="BQ289" s="11" t="b">
        <v>0</v>
      </c>
      <c r="BS289" s="19" t="s">
        <v>2931</v>
      </c>
      <c r="BT289" s="11" t="b">
        <v>1</v>
      </c>
      <c r="BU289" s="11" t="s">
        <v>2932</v>
      </c>
    </row>
    <row r="290">
      <c r="A290" s="11" t="s">
        <v>2933</v>
      </c>
      <c r="B290" s="11" t="s">
        <v>78</v>
      </c>
      <c r="C290" s="18">
        <v>45779.0</v>
      </c>
      <c r="D290" s="11" t="s">
        <v>339</v>
      </c>
      <c r="E290" s="11" t="s">
        <v>2936</v>
      </c>
      <c r="F290" s="11" t="s">
        <v>2937</v>
      </c>
      <c r="BP290" s="11" t="s">
        <v>2940</v>
      </c>
      <c r="BQ290" s="11" t="b">
        <v>0</v>
      </c>
      <c r="BS290" s="19" t="s">
        <v>2941</v>
      </c>
      <c r="BT290" s="11" t="b">
        <v>1</v>
      </c>
      <c r="BU290" s="11" t="s">
        <v>2932</v>
      </c>
    </row>
    <row r="291">
      <c r="A291" s="11" t="s">
        <v>2944</v>
      </c>
      <c r="B291" s="11" t="s">
        <v>78</v>
      </c>
      <c r="C291" s="18">
        <v>45777.0</v>
      </c>
      <c r="D291" s="11" t="s">
        <v>1627</v>
      </c>
      <c r="E291" s="11" t="s">
        <v>2946</v>
      </c>
      <c r="F291" s="11" t="s">
        <v>2948</v>
      </c>
      <c r="BP291" s="11" t="s">
        <v>2950</v>
      </c>
      <c r="BQ291" s="11" t="b">
        <v>0</v>
      </c>
      <c r="BS291" s="19" t="s">
        <v>2951</v>
      </c>
      <c r="BT291" s="11" t="b">
        <v>1</v>
      </c>
      <c r="BU291" s="11" t="s">
        <v>2932</v>
      </c>
    </row>
    <row r="292">
      <c r="A292" s="11" t="s">
        <v>2953</v>
      </c>
      <c r="B292" s="11" t="s">
        <v>78</v>
      </c>
      <c r="C292" s="18">
        <v>45773.0</v>
      </c>
      <c r="D292" s="11" t="s">
        <v>104</v>
      </c>
      <c r="E292" s="11" t="s">
        <v>2955</v>
      </c>
      <c r="F292" s="11" t="s">
        <v>2956</v>
      </c>
      <c r="BP292" s="11" t="s">
        <v>2957</v>
      </c>
      <c r="BQ292" s="11" t="b">
        <v>0</v>
      </c>
      <c r="BS292" s="19" t="s">
        <v>2959</v>
      </c>
      <c r="BT292" s="11" t="b">
        <v>1</v>
      </c>
      <c r="BU292" s="11" t="s">
        <v>2932</v>
      </c>
    </row>
    <row r="293">
      <c r="A293" s="11" t="s">
        <v>2960</v>
      </c>
      <c r="B293" s="11" t="s">
        <v>78</v>
      </c>
      <c r="C293" s="18">
        <v>45777.0</v>
      </c>
      <c r="D293" s="11" t="s">
        <v>285</v>
      </c>
      <c r="E293" s="11" t="s">
        <v>2962</v>
      </c>
      <c r="F293" s="11" t="s">
        <v>2963</v>
      </c>
      <c r="BP293" s="11" t="s">
        <v>2964</v>
      </c>
      <c r="BQ293" s="11" t="b">
        <v>0</v>
      </c>
      <c r="BS293" s="19" t="s">
        <v>2966</v>
      </c>
      <c r="BT293" s="11" t="b">
        <v>1</v>
      </c>
      <c r="BU293" s="11" t="s">
        <v>2932</v>
      </c>
    </row>
    <row r="294">
      <c r="A294" s="11" t="s">
        <v>2967</v>
      </c>
      <c r="B294" s="11" t="s">
        <v>78</v>
      </c>
      <c r="C294" s="18">
        <v>45780.0</v>
      </c>
      <c r="D294" s="11" t="s">
        <v>104</v>
      </c>
      <c r="E294" s="11" t="s">
        <v>2971</v>
      </c>
      <c r="F294" s="11" t="s">
        <v>2973</v>
      </c>
      <c r="BP294" s="11" t="s">
        <v>2975</v>
      </c>
      <c r="BQ294" s="11" t="b">
        <v>0</v>
      </c>
      <c r="BS294" s="19" t="s">
        <v>2977</v>
      </c>
      <c r="BT294" s="11" t="b">
        <v>1</v>
      </c>
      <c r="BU294" s="11" t="s">
        <v>2932</v>
      </c>
    </row>
    <row r="295">
      <c r="A295" s="11" t="s">
        <v>2979</v>
      </c>
      <c r="B295" s="11" t="s">
        <v>78</v>
      </c>
      <c r="C295" s="18">
        <v>45778.0</v>
      </c>
      <c r="D295" s="11" t="s">
        <v>465</v>
      </c>
      <c r="E295" s="11" t="s">
        <v>2981</v>
      </c>
      <c r="F295" s="11" t="s">
        <v>2983</v>
      </c>
      <c r="BP295" s="11" t="s">
        <v>2984</v>
      </c>
      <c r="BQ295" s="11" t="b">
        <v>0</v>
      </c>
      <c r="BS295" s="19" t="s">
        <v>2987</v>
      </c>
      <c r="BT295" s="11" t="b">
        <v>1</v>
      </c>
      <c r="BU295" s="11" t="s">
        <v>2932</v>
      </c>
    </row>
    <row r="296">
      <c r="A296" s="11" t="s">
        <v>2989</v>
      </c>
      <c r="B296" s="11" t="s">
        <v>78</v>
      </c>
      <c r="C296" s="18">
        <v>45778.0</v>
      </c>
      <c r="D296" s="11" t="s">
        <v>274</v>
      </c>
      <c r="E296" s="11" t="s">
        <v>2991</v>
      </c>
      <c r="F296" s="11" t="s">
        <v>2993</v>
      </c>
      <c r="BP296" s="11" t="s">
        <v>2994</v>
      </c>
      <c r="BQ296" s="11" t="b">
        <v>0</v>
      </c>
      <c r="BS296" s="19" t="s">
        <v>2995</v>
      </c>
      <c r="BT296" s="11" t="b">
        <v>1</v>
      </c>
      <c r="BU296" s="11" t="s">
        <v>2932</v>
      </c>
    </row>
    <row r="297">
      <c r="A297" s="11" t="s">
        <v>2998</v>
      </c>
      <c r="B297" s="11" t="s">
        <v>78</v>
      </c>
      <c r="C297" s="18">
        <v>45771.0</v>
      </c>
      <c r="D297" s="11" t="s">
        <v>85</v>
      </c>
      <c r="E297" s="11" t="s">
        <v>3001</v>
      </c>
      <c r="F297" s="11" t="s">
        <v>3002</v>
      </c>
      <c r="BP297" s="11" t="s">
        <v>3003</v>
      </c>
      <c r="BQ297" s="11" t="b">
        <v>0</v>
      </c>
      <c r="BS297" s="19" t="s">
        <v>3006</v>
      </c>
      <c r="BT297" s="11" t="b">
        <v>1</v>
      </c>
      <c r="BU297" s="11" t="s">
        <v>2932</v>
      </c>
    </row>
    <row r="298">
      <c r="A298" s="11" t="s">
        <v>3008</v>
      </c>
      <c r="B298" s="11" t="s">
        <v>78</v>
      </c>
      <c r="C298" s="18">
        <v>45773.0</v>
      </c>
      <c r="D298" s="11" t="s">
        <v>85</v>
      </c>
      <c r="E298" s="11" t="s">
        <v>3009</v>
      </c>
      <c r="F298" s="11" t="s">
        <v>3011</v>
      </c>
      <c r="BP298" s="11" t="s">
        <v>3012</v>
      </c>
      <c r="BQ298" s="11" t="b">
        <v>0</v>
      </c>
      <c r="BS298" s="19" t="s">
        <v>3013</v>
      </c>
      <c r="BT298" s="11" t="b">
        <v>1</v>
      </c>
      <c r="BU298" s="11" t="s">
        <v>2932</v>
      </c>
    </row>
    <row r="299">
      <c r="A299" s="11" t="s">
        <v>3015</v>
      </c>
      <c r="B299" s="11" t="s">
        <v>78</v>
      </c>
      <c r="C299" s="18">
        <v>45771.0</v>
      </c>
      <c r="D299" s="11" t="s">
        <v>3016</v>
      </c>
      <c r="E299" s="11" t="s">
        <v>3017</v>
      </c>
      <c r="F299" s="11" t="s">
        <v>3018</v>
      </c>
      <c r="BP299" s="11" t="s">
        <v>3020</v>
      </c>
      <c r="BQ299" s="11" t="b">
        <v>0</v>
      </c>
      <c r="BS299" s="19" t="s">
        <v>3021</v>
      </c>
      <c r="BT299" s="11" t="b">
        <v>1</v>
      </c>
      <c r="BU299" s="11" t="s">
        <v>2932</v>
      </c>
    </row>
    <row r="300">
      <c r="A300" s="11" t="s">
        <v>3024</v>
      </c>
      <c r="B300" s="11" t="s">
        <v>78</v>
      </c>
      <c r="C300" s="18">
        <v>45777.0</v>
      </c>
      <c r="D300" s="11" t="s">
        <v>992</v>
      </c>
      <c r="E300" s="11" t="s">
        <v>3025</v>
      </c>
      <c r="F300" s="11" t="s">
        <v>3027</v>
      </c>
      <c r="BP300" s="11" t="s">
        <v>3028</v>
      </c>
      <c r="BQ300" s="11" t="b">
        <v>0</v>
      </c>
      <c r="BS300" s="19" t="s">
        <v>3029</v>
      </c>
      <c r="BT300" s="11" t="b">
        <v>1</v>
      </c>
      <c r="BU300" s="11" t="s">
        <v>2932</v>
      </c>
    </row>
    <row r="301">
      <c r="A301" s="11" t="s">
        <v>3031</v>
      </c>
      <c r="B301" s="11" t="s">
        <v>78</v>
      </c>
      <c r="C301" s="18">
        <v>45779.0</v>
      </c>
      <c r="D301" s="11" t="s">
        <v>992</v>
      </c>
      <c r="E301" s="11" t="s">
        <v>3032</v>
      </c>
      <c r="F301" s="11" t="s">
        <v>3027</v>
      </c>
      <c r="BP301" s="11" t="s">
        <v>3034</v>
      </c>
      <c r="BQ301" s="11" t="b">
        <v>0</v>
      </c>
      <c r="BS301" s="19" t="s">
        <v>3035</v>
      </c>
      <c r="BT301" s="11" t="b">
        <v>1</v>
      </c>
      <c r="BU301" s="11" t="s">
        <v>2932</v>
      </c>
    </row>
    <row r="302">
      <c r="A302" s="11" t="s">
        <v>3037</v>
      </c>
      <c r="B302" s="11" t="s">
        <v>78</v>
      </c>
      <c r="C302" s="18">
        <v>45782.0</v>
      </c>
      <c r="D302" s="11" t="s">
        <v>168</v>
      </c>
      <c r="E302" s="11" t="s">
        <v>3039</v>
      </c>
      <c r="F302" s="11" t="s">
        <v>3041</v>
      </c>
      <c r="BP302" s="11" t="s">
        <v>3043</v>
      </c>
      <c r="BQ302" s="11" t="b">
        <v>0</v>
      </c>
      <c r="BS302" s="19" t="s">
        <v>3046</v>
      </c>
      <c r="BT302" s="11" t="b">
        <v>1</v>
      </c>
      <c r="BU302" s="11" t="s">
        <v>2932</v>
      </c>
    </row>
    <row r="303">
      <c r="A303" s="11" t="s">
        <v>3049</v>
      </c>
      <c r="B303" s="11" t="s">
        <v>78</v>
      </c>
      <c r="C303" s="18">
        <v>45785.0</v>
      </c>
      <c r="D303" s="11" t="s">
        <v>3051</v>
      </c>
      <c r="E303" s="11" t="s">
        <v>3052</v>
      </c>
      <c r="F303" s="11" t="s">
        <v>3053</v>
      </c>
      <c r="BP303" s="11" t="s">
        <v>3055</v>
      </c>
      <c r="BQ303" s="11" t="b">
        <v>0</v>
      </c>
      <c r="BS303" s="19" t="s">
        <v>3058</v>
      </c>
      <c r="BT303" s="11" t="b">
        <v>1</v>
      </c>
      <c r="BU303" s="11" t="s">
        <v>2932</v>
      </c>
    </row>
    <row r="304">
      <c r="A304" s="11">
        <v>1.0133108E7</v>
      </c>
      <c r="B304" s="11" t="s">
        <v>78</v>
      </c>
      <c r="C304" s="18">
        <v>45791.0</v>
      </c>
      <c r="D304" s="11" t="s">
        <v>992</v>
      </c>
      <c r="E304" s="11" t="s">
        <v>3061</v>
      </c>
      <c r="F304" s="11" t="s">
        <v>3063</v>
      </c>
      <c r="BP304" s="11" t="s">
        <v>3064</v>
      </c>
      <c r="BQ304" s="11" t="b">
        <v>0</v>
      </c>
      <c r="BS304" s="19" t="s">
        <v>2325</v>
      </c>
      <c r="BT304" s="11" t="b">
        <v>1</v>
      </c>
      <c r="BU304" s="11" t="s">
        <v>2932</v>
      </c>
    </row>
    <row r="305">
      <c r="A305" s="11" t="s">
        <v>3066</v>
      </c>
      <c r="B305" s="11" t="s">
        <v>78</v>
      </c>
      <c r="C305" s="18">
        <v>45786.0</v>
      </c>
      <c r="D305" s="11" t="s">
        <v>992</v>
      </c>
      <c r="E305" s="11" t="s">
        <v>3067</v>
      </c>
      <c r="F305" s="11" t="s">
        <v>3069</v>
      </c>
      <c r="BP305" s="11" t="s">
        <v>3070</v>
      </c>
      <c r="BQ305" s="11" t="b">
        <v>0</v>
      </c>
      <c r="BS305" s="19" t="s">
        <v>3072</v>
      </c>
      <c r="BT305" s="11" t="b">
        <v>1</v>
      </c>
      <c r="BU305" s="11" t="s">
        <v>2932</v>
      </c>
    </row>
    <row r="306">
      <c r="A306" s="11" t="s">
        <v>3073</v>
      </c>
      <c r="B306" s="11" t="s">
        <v>78</v>
      </c>
      <c r="C306" s="18">
        <v>45784.0</v>
      </c>
      <c r="D306" s="11" t="s">
        <v>2299</v>
      </c>
      <c r="E306" s="11" t="s">
        <v>3074</v>
      </c>
      <c r="F306" s="11" t="s">
        <v>3075</v>
      </c>
      <c r="BP306" s="11" t="s">
        <v>3076</v>
      </c>
      <c r="BQ306" s="11" t="b">
        <v>0</v>
      </c>
      <c r="BS306" s="19" t="s">
        <v>3077</v>
      </c>
      <c r="BT306" s="11" t="b">
        <v>1</v>
      </c>
      <c r="BU306" s="11" t="s">
        <v>2932</v>
      </c>
    </row>
    <row r="307">
      <c r="A307" s="11" t="s">
        <v>3078</v>
      </c>
      <c r="B307" s="11" t="s">
        <v>78</v>
      </c>
      <c r="C307" s="18">
        <v>45784.0</v>
      </c>
      <c r="D307" s="11" t="s">
        <v>885</v>
      </c>
      <c r="E307" s="11" t="s">
        <v>3079</v>
      </c>
      <c r="F307" s="11" t="s">
        <v>3080</v>
      </c>
      <c r="BP307" s="11" t="s">
        <v>3081</v>
      </c>
      <c r="BQ307" s="11" t="b">
        <v>0</v>
      </c>
      <c r="BS307" s="19" t="s">
        <v>3083</v>
      </c>
      <c r="BT307" s="11" t="b">
        <v>1</v>
      </c>
      <c r="BU307" s="11" t="s">
        <v>2932</v>
      </c>
    </row>
    <row r="308">
      <c r="A308" s="11" t="s">
        <v>3084</v>
      </c>
      <c r="B308" s="11" t="s">
        <v>78</v>
      </c>
      <c r="C308" s="18">
        <v>45784.0</v>
      </c>
      <c r="D308" s="11" t="s">
        <v>708</v>
      </c>
      <c r="E308" s="11" t="s">
        <v>3087</v>
      </c>
      <c r="F308" s="11" t="s">
        <v>3088</v>
      </c>
      <c r="BP308" s="11" t="s">
        <v>3091</v>
      </c>
      <c r="BQ308" s="11" t="b">
        <v>0</v>
      </c>
      <c r="BS308" s="19" t="s">
        <v>3092</v>
      </c>
      <c r="BT308" s="11" t="b">
        <v>1</v>
      </c>
      <c r="BU308" s="11" t="s">
        <v>2932</v>
      </c>
    </row>
    <row r="309">
      <c r="A309" s="11" t="s">
        <v>3094</v>
      </c>
      <c r="B309" s="11" t="s">
        <v>78</v>
      </c>
      <c r="C309" s="18">
        <v>45786.0</v>
      </c>
      <c r="D309" s="11" t="s">
        <v>104</v>
      </c>
      <c r="E309" s="11" t="s">
        <v>3095</v>
      </c>
      <c r="F309" s="11" t="s">
        <v>110</v>
      </c>
      <c r="BP309" s="11" t="s">
        <v>3097</v>
      </c>
      <c r="BQ309" s="11" t="b">
        <v>0</v>
      </c>
      <c r="BS309" s="19" t="s">
        <v>3098</v>
      </c>
      <c r="BT309" s="11" t="b">
        <v>1</v>
      </c>
      <c r="BU309" s="11" t="s">
        <v>2932</v>
      </c>
    </row>
    <row r="310">
      <c r="A310" s="11" t="s">
        <v>3100</v>
      </c>
      <c r="B310" s="11" t="s">
        <v>78</v>
      </c>
      <c r="C310" s="18">
        <v>45787.0</v>
      </c>
      <c r="D310" s="11" t="s">
        <v>676</v>
      </c>
      <c r="E310" s="11" t="s">
        <v>3102</v>
      </c>
      <c r="F310" s="11" t="s">
        <v>1959</v>
      </c>
      <c r="BP310" s="11" t="s">
        <v>3103</v>
      </c>
      <c r="BQ310" s="11" t="b">
        <v>0</v>
      </c>
      <c r="BS310" s="19" t="s">
        <v>3106</v>
      </c>
      <c r="BT310" s="11" t="b">
        <v>1</v>
      </c>
      <c r="BU310" s="11" t="s">
        <v>2932</v>
      </c>
    </row>
    <row r="311">
      <c r="A311" s="11" t="s">
        <v>3107</v>
      </c>
      <c r="B311" s="11" t="s">
        <v>78</v>
      </c>
      <c r="C311" s="18">
        <v>45787.0</v>
      </c>
      <c r="D311" s="11" t="s">
        <v>168</v>
      </c>
      <c r="E311" s="11" t="s">
        <v>3109</v>
      </c>
      <c r="F311" s="11" t="s">
        <v>3110</v>
      </c>
      <c r="BP311" s="11" t="s">
        <v>3112</v>
      </c>
      <c r="BQ311" s="11" t="b">
        <v>0</v>
      </c>
      <c r="BS311" s="19" t="s">
        <v>3113</v>
      </c>
      <c r="BT311" s="11" t="b">
        <v>1</v>
      </c>
      <c r="BU311" s="11" t="s">
        <v>2932</v>
      </c>
    </row>
    <row r="312">
      <c r="A312" s="11" t="s">
        <v>3114</v>
      </c>
      <c r="B312" s="11" t="s">
        <v>78</v>
      </c>
      <c r="C312" s="18">
        <v>45785.0</v>
      </c>
      <c r="D312" s="11" t="s">
        <v>3117</v>
      </c>
      <c r="E312" s="11" t="s">
        <v>3118</v>
      </c>
      <c r="F312" s="11" t="s">
        <v>3119</v>
      </c>
      <c r="BP312" s="11" t="s">
        <v>3121</v>
      </c>
      <c r="BQ312" s="11" t="b">
        <v>0</v>
      </c>
      <c r="BS312" s="19" t="s">
        <v>3122</v>
      </c>
      <c r="BT312" s="11" t="b">
        <v>1</v>
      </c>
      <c r="BU312" s="11" t="s">
        <v>2932</v>
      </c>
    </row>
    <row r="313">
      <c r="A313" s="11" t="s">
        <v>3124</v>
      </c>
      <c r="B313" s="11" t="s">
        <v>78</v>
      </c>
      <c r="C313" s="18">
        <v>45785.0</v>
      </c>
      <c r="D313" s="11" t="s">
        <v>513</v>
      </c>
      <c r="E313" s="11" t="s">
        <v>3125</v>
      </c>
      <c r="F313" s="11" t="s">
        <v>3127</v>
      </c>
      <c r="BP313" s="11" t="s">
        <v>3128</v>
      </c>
      <c r="BQ313" s="11" t="b">
        <v>0</v>
      </c>
      <c r="BS313" s="19" t="s">
        <v>3129</v>
      </c>
      <c r="BT313" s="11" t="b">
        <v>1</v>
      </c>
      <c r="BU313" s="11" t="s">
        <v>2932</v>
      </c>
    </row>
    <row r="314">
      <c r="A314" s="11" t="s">
        <v>3132</v>
      </c>
      <c r="B314" s="11" t="s">
        <v>78</v>
      </c>
      <c r="C314" s="18">
        <v>45784.0</v>
      </c>
      <c r="D314" s="11" t="s">
        <v>237</v>
      </c>
      <c r="E314" s="11" t="s">
        <v>3134</v>
      </c>
      <c r="F314" s="11" t="s">
        <v>3135</v>
      </c>
      <c r="BP314" s="11" t="s">
        <v>3137</v>
      </c>
      <c r="BQ314" s="11" t="b">
        <v>0</v>
      </c>
      <c r="BT314" s="11" t="b">
        <v>0</v>
      </c>
      <c r="BU314" s="11" t="s">
        <v>2932</v>
      </c>
    </row>
    <row r="315">
      <c r="A315" s="11" t="s">
        <v>3140</v>
      </c>
      <c r="B315" s="11" t="s">
        <v>78</v>
      </c>
      <c r="C315" s="18">
        <v>45784.0</v>
      </c>
      <c r="D315" s="11" t="s">
        <v>237</v>
      </c>
      <c r="E315" s="11" t="s">
        <v>3142</v>
      </c>
      <c r="F315" s="11" t="s">
        <v>2867</v>
      </c>
      <c r="BP315" s="11" t="s">
        <v>3144</v>
      </c>
      <c r="BQ315" s="11" t="b">
        <v>0</v>
      </c>
      <c r="BT315" s="11" t="b">
        <v>0</v>
      </c>
      <c r="BU315" s="11" t="s">
        <v>2932</v>
      </c>
    </row>
    <row r="316">
      <c r="A316" s="11" t="s">
        <v>3147</v>
      </c>
      <c r="B316" s="11" t="s">
        <v>78</v>
      </c>
      <c r="C316" s="18">
        <v>45790.0</v>
      </c>
      <c r="D316" s="11" t="s">
        <v>817</v>
      </c>
      <c r="E316" s="11" t="s">
        <v>3150</v>
      </c>
      <c r="F316" s="11" t="s">
        <v>3151</v>
      </c>
      <c r="BP316" s="11" t="s">
        <v>3153</v>
      </c>
      <c r="BQ316" s="11" t="b">
        <v>0</v>
      </c>
      <c r="BT316" s="11" t="b">
        <v>0</v>
      </c>
      <c r="BU316" s="11" t="s">
        <v>2932</v>
      </c>
    </row>
    <row r="317">
      <c r="A317" s="11" t="s">
        <v>3154</v>
      </c>
      <c r="B317" s="11" t="s">
        <v>78</v>
      </c>
      <c r="C317" s="18">
        <v>45786.0</v>
      </c>
      <c r="D317" s="19" t="s">
        <v>504</v>
      </c>
      <c r="E317" s="11" t="s">
        <v>3156</v>
      </c>
      <c r="F317" s="11" t="s">
        <v>3158</v>
      </c>
      <c r="BP317" s="11" t="s">
        <v>3159</v>
      </c>
      <c r="BQ317" s="11" t="b">
        <v>0</v>
      </c>
      <c r="BT317" s="11" t="b">
        <v>0</v>
      </c>
      <c r="BU317" s="11" t="s">
        <v>2932</v>
      </c>
    </row>
    <row r="318">
      <c r="A318" s="11" t="s">
        <v>3161</v>
      </c>
      <c r="B318" s="11" t="s">
        <v>78</v>
      </c>
      <c r="C318" s="18">
        <v>45783.0</v>
      </c>
      <c r="D318" s="11" t="s">
        <v>3163</v>
      </c>
      <c r="E318" s="11" t="s">
        <v>3165</v>
      </c>
      <c r="F318" s="11" t="s">
        <v>3158</v>
      </c>
      <c r="BP318" s="11" t="s">
        <v>3168</v>
      </c>
      <c r="BQ318" s="11" t="b">
        <v>0</v>
      </c>
      <c r="BT318" s="11" t="b">
        <v>0</v>
      </c>
      <c r="BU318" s="11" t="s">
        <v>2932</v>
      </c>
    </row>
    <row r="319">
      <c r="A319" s="11" t="s">
        <v>3169</v>
      </c>
      <c r="B319" s="11" t="s">
        <v>78</v>
      </c>
      <c r="C319" s="18">
        <v>45796.0</v>
      </c>
      <c r="D319" s="11" t="s">
        <v>2549</v>
      </c>
      <c r="E319" s="11" t="s">
        <v>3171</v>
      </c>
      <c r="F319" s="11" t="s">
        <v>3172</v>
      </c>
      <c r="BP319" s="11" t="s">
        <v>3174</v>
      </c>
      <c r="BQ319" s="11" t="b">
        <v>0</v>
      </c>
      <c r="BT319" s="11" t="b">
        <v>0</v>
      </c>
      <c r="BU319" s="11" t="s">
        <v>2932</v>
      </c>
    </row>
    <row r="320">
      <c r="A320" s="11" t="s">
        <v>3176</v>
      </c>
      <c r="B320" s="11" t="s">
        <v>78</v>
      </c>
      <c r="C320" s="18">
        <v>45800.0</v>
      </c>
      <c r="D320" s="11" t="s">
        <v>3178</v>
      </c>
      <c r="E320" s="11" t="s">
        <v>3179</v>
      </c>
      <c r="F320" s="11" t="s">
        <v>3180</v>
      </c>
      <c r="BP320" s="11" t="s">
        <v>3182</v>
      </c>
      <c r="BQ320" s="11" t="b">
        <v>0</v>
      </c>
      <c r="BT320" s="11" t="b">
        <v>0</v>
      </c>
      <c r="BU320" s="11" t="s">
        <v>235</v>
      </c>
    </row>
    <row r="321">
      <c r="A321" s="11" t="s">
        <v>3185</v>
      </c>
      <c r="B321" s="11" t="s">
        <v>78</v>
      </c>
      <c r="C321" s="18">
        <v>45798.0</v>
      </c>
      <c r="D321" s="11" t="s">
        <v>104</v>
      </c>
      <c r="E321" s="11" t="s">
        <v>3186</v>
      </c>
      <c r="F321" s="11" t="s">
        <v>380</v>
      </c>
      <c r="BP321" s="11" t="s">
        <v>3189</v>
      </c>
      <c r="BQ321" s="11" t="b">
        <v>0</v>
      </c>
      <c r="BS321" s="19" t="s">
        <v>3190</v>
      </c>
      <c r="BT321" s="11" t="b">
        <v>1</v>
      </c>
      <c r="BU321" s="11" t="s">
        <v>2932</v>
      </c>
    </row>
    <row r="322">
      <c r="A322" s="11" t="s">
        <v>3191</v>
      </c>
      <c r="B322" s="11" t="s">
        <v>78</v>
      </c>
      <c r="C322" s="18">
        <v>45794.0</v>
      </c>
      <c r="D322" s="11" t="s">
        <v>676</v>
      </c>
      <c r="E322" s="11" t="s">
        <v>3192</v>
      </c>
      <c r="F322" s="11" t="s">
        <v>3193</v>
      </c>
      <c r="BP322" s="11" t="s">
        <v>3196</v>
      </c>
      <c r="BQ322" s="11" t="b">
        <v>0</v>
      </c>
      <c r="BS322" s="19" t="s">
        <v>3197</v>
      </c>
      <c r="BT322" s="11" t="b">
        <v>1</v>
      </c>
      <c r="BU322" s="11" t="s">
        <v>2932</v>
      </c>
    </row>
    <row r="323">
      <c r="A323" s="11" t="s">
        <v>3199</v>
      </c>
      <c r="B323" s="11" t="s">
        <v>78</v>
      </c>
      <c r="C323" s="18">
        <v>45793.0</v>
      </c>
      <c r="D323" s="11" t="s">
        <v>104</v>
      </c>
      <c r="E323" s="11" t="s">
        <v>3201</v>
      </c>
      <c r="F323" s="11" t="s">
        <v>380</v>
      </c>
      <c r="BP323" s="11" t="s">
        <v>3203</v>
      </c>
      <c r="BQ323" s="11" t="b">
        <v>0</v>
      </c>
      <c r="BS323" s="19" t="s">
        <v>3205</v>
      </c>
      <c r="BT323" s="11" t="b">
        <v>1</v>
      </c>
      <c r="BU323" s="11" t="s">
        <v>2932</v>
      </c>
    </row>
    <row r="324">
      <c r="A324" s="11" t="s">
        <v>3206</v>
      </c>
      <c r="B324" s="11" t="s">
        <v>78</v>
      </c>
      <c r="C324" s="18">
        <v>45796.0</v>
      </c>
      <c r="D324" s="11" t="s">
        <v>116</v>
      </c>
      <c r="E324" s="11" t="s">
        <v>3208</v>
      </c>
      <c r="F324" s="11" t="s">
        <v>3209</v>
      </c>
      <c r="BP324" s="11" t="s">
        <v>3210</v>
      </c>
      <c r="BQ324" s="11" t="b">
        <v>0</v>
      </c>
      <c r="BS324" s="19" t="s">
        <v>3212</v>
      </c>
      <c r="BT324" s="11" t="b">
        <v>1</v>
      </c>
      <c r="BU324" s="11" t="s">
        <v>2932</v>
      </c>
    </row>
    <row r="325">
      <c r="A325" s="11" t="s">
        <v>3213</v>
      </c>
      <c r="B325" s="11" t="s">
        <v>78</v>
      </c>
      <c r="C325" s="18">
        <v>45796.0</v>
      </c>
      <c r="D325" s="11" t="s">
        <v>85</v>
      </c>
      <c r="E325" s="11" t="s">
        <v>3216</v>
      </c>
      <c r="F325" s="11" t="s">
        <v>3217</v>
      </c>
      <c r="BP325" s="11" t="s">
        <v>3219</v>
      </c>
      <c r="BQ325" s="11" t="b">
        <v>0</v>
      </c>
      <c r="BS325" s="19" t="s">
        <v>3221</v>
      </c>
      <c r="BT325" s="11" t="b">
        <v>1</v>
      </c>
      <c r="BU325" s="11" t="s">
        <v>2932</v>
      </c>
    </row>
    <row r="326">
      <c r="A326" s="11" t="s">
        <v>3223</v>
      </c>
      <c r="B326" s="11" t="s">
        <v>78</v>
      </c>
      <c r="C326" s="18">
        <v>45791.0</v>
      </c>
      <c r="D326" s="11" t="s">
        <v>992</v>
      </c>
      <c r="E326" s="11" t="s">
        <v>3226</v>
      </c>
      <c r="F326" s="11" t="s">
        <v>3227</v>
      </c>
      <c r="BP326" s="11" t="s">
        <v>3230</v>
      </c>
      <c r="BQ326" s="11" t="b">
        <v>0</v>
      </c>
      <c r="BS326" s="19" t="s">
        <v>3231</v>
      </c>
      <c r="BT326" s="11" t="b">
        <v>1</v>
      </c>
      <c r="BU326" s="11" t="s">
        <v>2932</v>
      </c>
    </row>
    <row r="327">
      <c r="A327" s="11" t="s">
        <v>3232</v>
      </c>
      <c r="B327" s="11" t="s">
        <v>78</v>
      </c>
      <c r="C327" s="18">
        <v>45793.0</v>
      </c>
      <c r="D327" s="11" t="s">
        <v>992</v>
      </c>
      <c r="E327" s="11" t="s">
        <v>3234</v>
      </c>
      <c r="F327" s="11" t="s">
        <v>3235</v>
      </c>
      <c r="BP327" s="11" t="s">
        <v>3237</v>
      </c>
      <c r="BQ327" s="11" t="b">
        <v>0</v>
      </c>
      <c r="BS327" s="19" t="s">
        <v>3238</v>
      </c>
      <c r="BT327" s="11" t="b">
        <v>1</v>
      </c>
      <c r="BU327" s="11" t="s">
        <v>2932</v>
      </c>
    </row>
    <row r="328">
      <c r="A328" s="11" t="s">
        <v>3240</v>
      </c>
      <c r="B328" s="11" t="s">
        <v>78</v>
      </c>
      <c r="C328" s="18">
        <v>45798.0</v>
      </c>
      <c r="D328" s="11" t="s">
        <v>992</v>
      </c>
      <c r="E328" s="11" t="s">
        <v>3241</v>
      </c>
      <c r="F328" s="11" t="s">
        <v>3242</v>
      </c>
      <c r="BP328" s="11" t="s">
        <v>3244</v>
      </c>
      <c r="BQ328" s="11" t="b">
        <v>0</v>
      </c>
      <c r="BS328" s="19" t="s">
        <v>3245</v>
      </c>
      <c r="BT328" s="11" t="b">
        <v>1</v>
      </c>
      <c r="BU328" s="11" t="s">
        <v>2932</v>
      </c>
    </row>
    <row r="329">
      <c r="A329" s="11" t="s">
        <v>3246</v>
      </c>
      <c r="B329" s="11" t="s">
        <v>78</v>
      </c>
      <c r="C329" s="18">
        <v>45798.0</v>
      </c>
      <c r="D329" s="11" t="s">
        <v>513</v>
      </c>
      <c r="E329" s="11" t="s">
        <v>3249</v>
      </c>
      <c r="F329" s="11" t="s">
        <v>3250</v>
      </c>
      <c r="BP329" s="11" t="s">
        <v>3253</v>
      </c>
      <c r="BQ329" s="11" t="b">
        <v>0</v>
      </c>
      <c r="BS329" s="19" t="s">
        <v>3254</v>
      </c>
      <c r="BT329" s="11" t="b">
        <v>1</v>
      </c>
      <c r="BU329" s="11" t="s">
        <v>2932</v>
      </c>
    </row>
    <row r="330">
      <c r="A330" s="11" t="s">
        <v>3255</v>
      </c>
      <c r="B330" s="11" t="s">
        <v>78</v>
      </c>
      <c r="C330" s="18">
        <v>45797.0</v>
      </c>
      <c r="D330" s="11" t="s">
        <v>237</v>
      </c>
      <c r="E330" s="11" t="s">
        <v>3258</v>
      </c>
      <c r="F330" s="11" t="s">
        <v>3259</v>
      </c>
      <c r="BP330" s="11" t="s">
        <v>3262</v>
      </c>
      <c r="BQ330" s="11" t="b">
        <v>0</v>
      </c>
      <c r="BT330" s="11" t="b">
        <v>0</v>
      </c>
      <c r="BU330" s="11" t="s">
        <v>2932</v>
      </c>
      <c r="BW330" s="11" t="s">
        <v>3263</v>
      </c>
      <c r="BX330" s="11" t="s">
        <v>3265</v>
      </c>
    </row>
    <row r="331">
      <c r="A331" s="11" t="s">
        <v>3266</v>
      </c>
      <c r="B331" s="11" t="s">
        <v>78</v>
      </c>
      <c r="C331" s="18">
        <v>45797.0</v>
      </c>
      <c r="D331" s="11" t="s">
        <v>237</v>
      </c>
      <c r="E331" s="11" t="s">
        <v>3258</v>
      </c>
      <c r="F331" s="11" t="s">
        <v>3259</v>
      </c>
      <c r="BP331" s="11" t="s">
        <v>3268</v>
      </c>
      <c r="BQ331" s="11" t="b">
        <v>0</v>
      </c>
      <c r="BT331" s="11" t="b">
        <v>0</v>
      </c>
      <c r="BU331" s="11" t="s">
        <v>2932</v>
      </c>
    </row>
    <row r="332">
      <c r="A332" s="11" t="s">
        <v>3270</v>
      </c>
      <c r="B332" s="11" t="s">
        <v>78</v>
      </c>
      <c r="C332" s="18">
        <v>45790.0</v>
      </c>
      <c r="D332" s="11" t="s">
        <v>237</v>
      </c>
      <c r="E332" s="11" t="s">
        <v>3272</v>
      </c>
      <c r="F332" s="11" t="s">
        <v>3273</v>
      </c>
      <c r="BP332" s="11" t="s">
        <v>3274</v>
      </c>
      <c r="BQ332" s="11" t="b">
        <v>0</v>
      </c>
      <c r="BT332" s="11" t="b">
        <v>0</v>
      </c>
      <c r="BU332" s="11" t="s">
        <v>2932</v>
      </c>
    </row>
    <row r="333">
      <c r="A333" s="11" t="s">
        <v>3276</v>
      </c>
      <c r="B333" s="11" t="s">
        <v>78</v>
      </c>
      <c r="C333" s="18">
        <v>45790.0</v>
      </c>
      <c r="D333" s="11" t="s">
        <v>237</v>
      </c>
      <c r="E333" s="11" t="s">
        <v>3272</v>
      </c>
      <c r="F333" s="11" t="s">
        <v>3273</v>
      </c>
      <c r="BP333" s="11" t="s">
        <v>3280</v>
      </c>
      <c r="BQ333" s="11" t="b">
        <v>0</v>
      </c>
      <c r="BT333" s="11" t="b">
        <v>0</v>
      </c>
      <c r="BU333" s="11" t="s">
        <v>2932</v>
      </c>
    </row>
    <row r="334">
      <c r="A334" s="11" t="s">
        <v>3281</v>
      </c>
      <c r="B334" s="11" t="s">
        <v>78</v>
      </c>
      <c r="C334" s="18">
        <v>45800.0</v>
      </c>
      <c r="D334" s="11" t="s">
        <v>1706</v>
      </c>
      <c r="E334" s="11" t="s">
        <v>3285</v>
      </c>
      <c r="F334" s="11" t="s">
        <v>3286</v>
      </c>
      <c r="BP334" s="11" t="s">
        <v>3287</v>
      </c>
      <c r="BQ334" s="11" t="b">
        <v>0</v>
      </c>
      <c r="BS334" s="19" t="s">
        <v>3289</v>
      </c>
      <c r="BT334" s="11" t="b">
        <v>1</v>
      </c>
      <c r="BU334" s="11" t="s">
        <v>2932</v>
      </c>
    </row>
    <row r="335">
      <c r="A335" s="11" t="s">
        <v>3291</v>
      </c>
      <c r="B335" s="11" t="s">
        <v>78</v>
      </c>
      <c r="C335" s="18">
        <v>45799.0</v>
      </c>
      <c r="D335" s="11" t="s">
        <v>1460</v>
      </c>
      <c r="E335" s="11" t="s">
        <v>3293</v>
      </c>
      <c r="F335" s="11" t="s">
        <v>3294</v>
      </c>
      <c r="BP335" s="11" t="s">
        <v>3296</v>
      </c>
      <c r="BQ335" s="11" t="b">
        <v>0</v>
      </c>
      <c r="BS335" s="19" t="s">
        <v>3297</v>
      </c>
      <c r="BT335" s="11" t="b">
        <v>1</v>
      </c>
      <c r="BU335" s="11" t="s">
        <v>2932</v>
      </c>
    </row>
    <row r="336">
      <c r="A336" s="11" t="s">
        <v>3300</v>
      </c>
      <c r="B336" s="11" t="s">
        <v>78</v>
      </c>
      <c r="C336" s="18">
        <v>45805.0</v>
      </c>
      <c r="D336" s="11" t="s">
        <v>104</v>
      </c>
      <c r="E336" s="11" t="s">
        <v>3302</v>
      </c>
      <c r="F336" s="11" t="s">
        <v>380</v>
      </c>
      <c r="BP336" s="11" t="s">
        <v>3304</v>
      </c>
      <c r="BQ336" s="11" t="b">
        <v>0</v>
      </c>
      <c r="BS336" s="19" t="s">
        <v>3305</v>
      </c>
      <c r="BT336" s="11" t="b">
        <v>1</v>
      </c>
      <c r="BU336" s="11" t="s">
        <v>2932</v>
      </c>
    </row>
    <row r="337">
      <c r="A337" s="11" t="s">
        <v>3307</v>
      </c>
      <c r="B337" s="11" t="s">
        <v>78</v>
      </c>
      <c r="C337" s="18">
        <v>45801.0</v>
      </c>
      <c r="D337" s="11" t="s">
        <v>676</v>
      </c>
      <c r="E337" s="11" t="s">
        <v>3309</v>
      </c>
      <c r="F337" s="11" t="s">
        <v>3310</v>
      </c>
      <c r="BP337" s="11" t="s">
        <v>3312</v>
      </c>
      <c r="BQ337" s="11" t="b">
        <v>0</v>
      </c>
      <c r="BS337" s="19" t="s">
        <v>3314</v>
      </c>
      <c r="BT337" s="11" t="b">
        <v>1</v>
      </c>
      <c r="BU337" s="11" t="s">
        <v>2932</v>
      </c>
    </row>
    <row r="338">
      <c r="A338" s="11" t="s">
        <v>3316</v>
      </c>
      <c r="B338" s="11" t="s">
        <v>78</v>
      </c>
      <c r="C338" s="18">
        <v>45807.0</v>
      </c>
      <c r="D338" s="11" t="s">
        <v>1706</v>
      </c>
      <c r="E338" s="11" t="s">
        <v>3320</v>
      </c>
      <c r="F338" s="11" t="s">
        <v>3321</v>
      </c>
      <c r="BP338" s="11" t="s">
        <v>3323</v>
      </c>
      <c r="BQ338" s="11" t="b">
        <v>0</v>
      </c>
      <c r="BS338" s="19" t="s">
        <v>3326</v>
      </c>
      <c r="BT338" s="11" t="b">
        <v>1</v>
      </c>
      <c r="BU338" s="11" t="s">
        <v>2932</v>
      </c>
    </row>
    <row r="339">
      <c r="A339" s="11" t="s">
        <v>3327</v>
      </c>
      <c r="B339" s="11" t="s">
        <v>78</v>
      </c>
      <c r="C339" s="18">
        <v>45808.0</v>
      </c>
      <c r="D339" s="11" t="s">
        <v>676</v>
      </c>
      <c r="E339" s="11" t="s">
        <v>3331</v>
      </c>
      <c r="F339" s="11" t="s">
        <v>3193</v>
      </c>
      <c r="BP339" s="11" t="s">
        <v>3334</v>
      </c>
      <c r="BQ339" s="11" t="b">
        <v>0</v>
      </c>
      <c r="BS339" s="19" t="s">
        <v>3335</v>
      </c>
      <c r="BT339" s="11" t="b">
        <v>1</v>
      </c>
      <c r="BU339" s="11" t="s">
        <v>2932</v>
      </c>
    </row>
    <row r="340">
      <c r="A340" s="11" t="s">
        <v>3338</v>
      </c>
      <c r="B340" s="11" t="s">
        <v>78</v>
      </c>
      <c r="C340" s="18">
        <v>45803.0</v>
      </c>
      <c r="D340" s="11" t="s">
        <v>2549</v>
      </c>
      <c r="E340" s="11" t="s">
        <v>3340</v>
      </c>
      <c r="F340" s="11" t="s">
        <v>3344</v>
      </c>
      <c r="BP340" s="11" t="s">
        <v>3345</v>
      </c>
      <c r="BQ340" s="11" t="b">
        <v>0</v>
      </c>
      <c r="BS340" s="19" t="s">
        <v>3347</v>
      </c>
      <c r="BT340" s="11" t="b">
        <v>1</v>
      </c>
      <c r="BU340" s="11" t="s">
        <v>2932</v>
      </c>
    </row>
    <row r="341">
      <c r="A341" s="11" t="s">
        <v>3349</v>
      </c>
      <c r="B341" s="11" t="s">
        <v>78</v>
      </c>
      <c r="C341" s="18">
        <v>45805.0</v>
      </c>
      <c r="D341" s="11" t="s">
        <v>992</v>
      </c>
      <c r="E341" s="11" t="s">
        <v>3351</v>
      </c>
      <c r="F341" s="11" t="s">
        <v>3235</v>
      </c>
      <c r="BP341" s="11" t="s">
        <v>3353</v>
      </c>
      <c r="BQ341" s="11" t="b">
        <v>0</v>
      </c>
      <c r="BS341" s="19" t="s">
        <v>3354</v>
      </c>
      <c r="BT341" s="11" t="b">
        <v>1</v>
      </c>
      <c r="BU341" s="11" t="s">
        <v>2932</v>
      </c>
    </row>
    <row r="342">
      <c r="A342" s="11" t="s">
        <v>3357</v>
      </c>
      <c r="B342" s="11" t="s">
        <v>78</v>
      </c>
      <c r="C342" s="18">
        <v>45800.0</v>
      </c>
      <c r="D342" s="11" t="s">
        <v>3117</v>
      </c>
      <c r="E342" s="11" t="s">
        <v>3359</v>
      </c>
      <c r="F342" s="11" t="s">
        <v>3361</v>
      </c>
      <c r="BP342" s="11" t="s">
        <v>3362</v>
      </c>
      <c r="BQ342" s="11" t="b">
        <v>0</v>
      </c>
      <c r="BS342" s="19" t="s">
        <v>3363</v>
      </c>
      <c r="BT342" s="11" t="b">
        <v>1</v>
      </c>
      <c r="BU342" s="11" t="s">
        <v>2932</v>
      </c>
    </row>
    <row r="343">
      <c r="A343" s="11" t="s">
        <v>3365</v>
      </c>
      <c r="B343" s="11" t="s">
        <v>78</v>
      </c>
      <c r="C343" s="18">
        <v>45799.0</v>
      </c>
      <c r="D343" s="19" t="s">
        <v>504</v>
      </c>
      <c r="E343" s="11" t="s">
        <v>3367</v>
      </c>
      <c r="F343" s="11" t="s">
        <v>2764</v>
      </c>
      <c r="BP343" s="11" t="s">
        <v>3368</v>
      </c>
      <c r="BQ343" s="11" t="b">
        <v>0</v>
      </c>
      <c r="BT343" s="11" t="b">
        <v>0</v>
      </c>
      <c r="BU343" s="11" t="s">
        <v>2932</v>
      </c>
    </row>
    <row r="344">
      <c r="A344" s="11" t="s">
        <v>3371</v>
      </c>
      <c r="B344" s="11" t="s">
        <v>78</v>
      </c>
      <c r="C344" s="18">
        <v>45806.0</v>
      </c>
      <c r="D344" s="11" t="s">
        <v>168</v>
      </c>
      <c r="E344" s="11" t="s">
        <v>3373</v>
      </c>
      <c r="F344" s="11" t="s">
        <v>3374</v>
      </c>
      <c r="BP344" s="11" t="s">
        <v>3375</v>
      </c>
      <c r="BQ344" s="11" t="b">
        <v>0</v>
      </c>
      <c r="BS344" s="19" t="s">
        <v>3376</v>
      </c>
      <c r="BT344" s="11" t="b">
        <v>1</v>
      </c>
      <c r="BU344" s="11" t="s">
        <v>2932</v>
      </c>
    </row>
    <row r="345">
      <c r="A345" s="11" t="s">
        <v>3377</v>
      </c>
      <c r="B345" s="11" t="s">
        <v>78</v>
      </c>
      <c r="C345" s="18">
        <v>45804.0</v>
      </c>
      <c r="D345" s="11" t="s">
        <v>104</v>
      </c>
      <c r="E345" s="11" t="s">
        <v>3380</v>
      </c>
      <c r="F345" s="11" t="s">
        <v>286</v>
      </c>
      <c r="BP345" s="11" t="s">
        <v>3381</v>
      </c>
      <c r="BQ345" s="11" t="b">
        <v>0</v>
      </c>
      <c r="BS345" s="19" t="s">
        <v>3383</v>
      </c>
      <c r="BT345" s="11" t="b">
        <v>1</v>
      </c>
      <c r="BU345" s="11" t="s">
        <v>2932</v>
      </c>
    </row>
    <row r="346">
      <c r="A346" s="11" t="s">
        <v>3385</v>
      </c>
      <c r="B346" s="11" t="s">
        <v>78</v>
      </c>
      <c r="C346" s="18">
        <v>45812.0</v>
      </c>
      <c r="D346" s="11" t="s">
        <v>237</v>
      </c>
      <c r="E346" s="11" t="s">
        <v>3387</v>
      </c>
      <c r="F346" s="11" t="s">
        <v>2510</v>
      </c>
      <c r="BP346" s="11" t="s">
        <v>3389</v>
      </c>
      <c r="BQ346" s="11" t="b">
        <v>0</v>
      </c>
      <c r="BT346" s="11" t="b">
        <v>0</v>
      </c>
      <c r="BU346" s="11" t="s">
        <v>2932</v>
      </c>
      <c r="BW346" s="11" t="s">
        <v>3391</v>
      </c>
    </row>
    <row r="347">
      <c r="A347" s="11" t="s">
        <v>3393</v>
      </c>
      <c r="B347" s="11" t="s">
        <v>78</v>
      </c>
      <c r="C347" s="18">
        <v>45812.0</v>
      </c>
      <c r="D347" s="11" t="s">
        <v>237</v>
      </c>
      <c r="E347" s="11" t="s">
        <v>3394</v>
      </c>
      <c r="F347" s="11" t="s">
        <v>3396</v>
      </c>
      <c r="BP347" s="11" t="s">
        <v>3398</v>
      </c>
      <c r="BQ347" s="11" t="b">
        <v>0</v>
      </c>
      <c r="BT347" s="11" t="b">
        <v>0</v>
      </c>
      <c r="BU347" s="11" t="s">
        <v>2932</v>
      </c>
    </row>
    <row r="348">
      <c r="A348" s="11" t="s">
        <v>3400</v>
      </c>
      <c r="B348" s="11" t="s">
        <v>78</v>
      </c>
      <c r="C348" s="18">
        <v>45814.0</v>
      </c>
      <c r="D348" s="11" t="s">
        <v>1627</v>
      </c>
      <c r="E348" s="11" t="s">
        <v>3402</v>
      </c>
      <c r="F348" s="11" t="s">
        <v>3403</v>
      </c>
      <c r="BP348" s="11" t="s">
        <v>3405</v>
      </c>
      <c r="BQ348" s="11" t="b">
        <v>0</v>
      </c>
      <c r="BS348" s="19" t="s">
        <v>3406</v>
      </c>
      <c r="BT348" s="11" t="b">
        <v>1</v>
      </c>
      <c r="BU348" s="11" t="s">
        <v>2932</v>
      </c>
    </row>
    <row r="349">
      <c r="A349" s="11" t="s">
        <v>3407</v>
      </c>
      <c r="B349" s="11" t="s">
        <v>78</v>
      </c>
      <c r="C349" s="18">
        <v>45815.0</v>
      </c>
      <c r="D349" s="11" t="s">
        <v>85</v>
      </c>
      <c r="E349" s="11" t="s">
        <v>3409</v>
      </c>
      <c r="F349" s="11" t="s">
        <v>3411</v>
      </c>
      <c r="BP349" s="11" t="s">
        <v>3412</v>
      </c>
      <c r="BQ349" s="11" t="b">
        <v>0</v>
      </c>
      <c r="BS349" s="19" t="s">
        <v>3414</v>
      </c>
      <c r="BT349" s="11" t="b">
        <v>1</v>
      </c>
      <c r="BU349" s="11" t="s">
        <v>2932</v>
      </c>
    </row>
    <row r="350">
      <c r="A350" s="11" t="s">
        <v>3416</v>
      </c>
      <c r="B350" s="11" t="s">
        <v>78</v>
      </c>
      <c r="C350" s="18">
        <v>45813.0</v>
      </c>
      <c r="D350" s="11" t="s">
        <v>85</v>
      </c>
      <c r="E350" s="11" t="s">
        <v>3419</v>
      </c>
      <c r="F350" s="11" t="s">
        <v>3420</v>
      </c>
      <c r="BP350" s="11" t="s">
        <v>3422</v>
      </c>
      <c r="BQ350" s="11" t="b">
        <v>0</v>
      </c>
      <c r="BS350" s="19" t="s">
        <v>3425</v>
      </c>
      <c r="BT350" s="11" t="b">
        <v>1</v>
      </c>
      <c r="BU350" s="11" t="s">
        <v>2932</v>
      </c>
    </row>
    <row r="351">
      <c r="A351" s="11" t="s">
        <v>3428</v>
      </c>
      <c r="B351" s="11" t="s">
        <v>78</v>
      </c>
      <c r="C351" s="18">
        <v>45811.0</v>
      </c>
      <c r="D351" s="11" t="s">
        <v>104</v>
      </c>
      <c r="E351" s="11" t="s">
        <v>3430</v>
      </c>
      <c r="F351" s="11" t="s">
        <v>110</v>
      </c>
      <c r="BP351" s="11" t="s">
        <v>3432</v>
      </c>
      <c r="BQ351" s="11" t="b">
        <v>0</v>
      </c>
      <c r="BS351" s="19" t="s">
        <v>3433</v>
      </c>
      <c r="BT351" s="11" t="b">
        <v>1</v>
      </c>
      <c r="BU351" s="11" t="s">
        <v>2932</v>
      </c>
    </row>
    <row r="352">
      <c r="A352" s="11" t="s">
        <v>3436</v>
      </c>
      <c r="B352" s="11" t="s">
        <v>78</v>
      </c>
      <c r="C352" s="18">
        <v>45811.0</v>
      </c>
      <c r="D352" s="11" t="s">
        <v>237</v>
      </c>
      <c r="E352" s="11" t="s">
        <v>3438</v>
      </c>
      <c r="F352" s="11" t="s">
        <v>2291</v>
      </c>
      <c r="BP352" s="11" t="s">
        <v>3440</v>
      </c>
      <c r="BQ352" s="11" t="b">
        <v>0</v>
      </c>
      <c r="BT352" s="11" t="b">
        <v>0</v>
      </c>
      <c r="BU352" s="11" t="s">
        <v>2932</v>
      </c>
      <c r="BW352" s="11" t="s">
        <v>3443</v>
      </c>
      <c r="BX352" s="11" t="s">
        <v>3444</v>
      </c>
      <c r="BY352" s="11" t="s">
        <v>3445</v>
      </c>
    </row>
    <row r="353">
      <c r="A353" s="11" t="s">
        <v>3446</v>
      </c>
      <c r="B353" s="11" t="s">
        <v>78</v>
      </c>
      <c r="C353" s="18">
        <v>45811.0</v>
      </c>
      <c r="D353" s="11" t="s">
        <v>237</v>
      </c>
      <c r="E353" s="11" t="s">
        <v>3438</v>
      </c>
      <c r="F353" s="11" t="s">
        <v>2291</v>
      </c>
      <c r="BP353" s="11" t="s">
        <v>3450</v>
      </c>
      <c r="BQ353" s="11" t="b">
        <v>0</v>
      </c>
      <c r="BT353" s="11" t="b">
        <v>0</v>
      </c>
      <c r="BU353" s="11" t="s">
        <v>2932</v>
      </c>
      <c r="BW353" s="11" t="s">
        <v>3451</v>
      </c>
    </row>
    <row r="354">
      <c r="A354" s="11" t="s">
        <v>3453</v>
      </c>
      <c r="B354" s="11" t="s">
        <v>78</v>
      </c>
      <c r="C354" s="18">
        <v>45812.0</v>
      </c>
      <c r="D354" s="11" t="s">
        <v>3455</v>
      </c>
      <c r="E354" s="11" t="s">
        <v>3456</v>
      </c>
      <c r="F354" s="11" t="s">
        <v>3458</v>
      </c>
      <c r="BP354" s="11" t="s">
        <v>3461</v>
      </c>
      <c r="BQ354" s="11" t="b">
        <v>0</v>
      </c>
      <c r="BS354" s="19" t="s">
        <v>3462</v>
      </c>
      <c r="BT354" s="11" t="b">
        <v>1</v>
      </c>
      <c r="BU354" s="11" t="s">
        <v>2932</v>
      </c>
    </row>
    <row r="355">
      <c r="A355" s="11" t="s">
        <v>3465</v>
      </c>
      <c r="B355" s="11" t="s">
        <v>78</v>
      </c>
      <c r="C355" s="18">
        <v>45810.0</v>
      </c>
      <c r="D355" s="11" t="s">
        <v>3466</v>
      </c>
      <c r="E355" s="11" t="s">
        <v>3468</v>
      </c>
      <c r="F355" s="11" t="s">
        <v>3469</v>
      </c>
      <c r="BP355" s="11" t="s">
        <v>3471</v>
      </c>
      <c r="BQ355" s="11" t="b">
        <v>0</v>
      </c>
      <c r="BS355" s="19" t="s">
        <v>3473</v>
      </c>
      <c r="BT355" s="11" t="b">
        <v>1</v>
      </c>
      <c r="BU355" s="11" t="s">
        <v>2932</v>
      </c>
    </row>
    <row r="356">
      <c r="A356" s="11" t="s">
        <v>3476</v>
      </c>
      <c r="B356" s="11" t="s">
        <v>78</v>
      </c>
      <c r="C356" s="18">
        <v>45810.0</v>
      </c>
      <c r="D356" s="11" t="s">
        <v>3478</v>
      </c>
      <c r="E356" s="11" t="s">
        <v>3480</v>
      </c>
      <c r="F356" s="11" t="s">
        <v>3482</v>
      </c>
      <c r="BP356" s="11" t="s">
        <v>3483</v>
      </c>
      <c r="BQ356" s="11" t="b">
        <v>0</v>
      </c>
      <c r="BS356" s="19" t="s">
        <v>3484</v>
      </c>
      <c r="BT356" s="11" t="b">
        <v>1</v>
      </c>
      <c r="BU356" s="11" t="s">
        <v>2932</v>
      </c>
    </row>
    <row r="357">
      <c r="A357" s="11" t="s">
        <v>3486</v>
      </c>
      <c r="B357" s="11" t="s">
        <v>78</v>
      </c>
      <c r="C357" s="18">
        <v>45812.0</v>
      </c>
      <c r="D357" s="11" t="s">
        <v>1627</v>
      </c>
      <c r="E357" s="11" t="s">
        <v>3487</v>
      </c>
      <c r="F357" s="11" t="s">
        <v>3490</v>
      </c>
      <c r="BP357" s="11" t="s">
        <v>3491</v>
      </c>
      <c r="BQ357" s="11" t="b">
        <v>0</v>
      </c>
      <c r="BS357" s="19" t="s">
        <v>3493</v>
      </c>
      <c r="BT357" s="11" t="b">
        <v>1</v>
      </c>
      <c r="BU357" s="11" t="s">
        <v>2932</v>
      </c>
    </row>
    <row r="358">
      <c r="A358" s="11" t="s">
        <v>3496</v>
      </c>
      <c r="B358" s="11" t="s">
        <v>78</v>
      </c>
      <c r="C358" s="18">
        <v>45824.0</v>
      </c>
      <c r="D358" s="11" t="s">
        <v>1706</v>
      </c>
      <c r="E358" s="11" t="s">
        <v>3497</v>
      </c>
      <c r="F358" s="11" t="s">
        <v>3498</v>
      </c>
      <c r="BP358" s="11" t="s">
        <v>3500</v>
      </c>
      <c r="BQ358" s="11" t="b">
        <v>0</v>
      </c>
      <c r="BS358" s="19" t="s">
        <v>3501</v>
      </c>
      <c r="BT358" s="11" t="b">
        <v>1</v>
      </c>
      <c r="BU358" s="11" t="s">
        <v>2932</v>
      </c>
    </row>
    <row r="359">
      <c r="A359" s="11" t="s">
        <v>3505</v>
      </c>
      <c r="B359" s="11" t="s">
        <v>78</v>
      </c>
      <c r="C359" s="18">
        <v>45823.0</v>
      </c>
      <c r="D359" s="11" t="s">
        <v>85</v>
      </c>
      <c r="E359" s="11" t="s">
        <v>3506</v>
      </c>
      <c r="F359" s="11" t="s">
        <v>1989</v>
      </c>
      <c r="BP359" s="11" t="s">
        <v>3508</v>
      </c>
      <c r="BQ359" s="11" t="b">
        <v>0</v>
      </c>
      <c r="BS359" s="19" t="s">
        <v>3509</v>
      </c>
      <c r="BT359" s="11" t="b">
        <v>1</v>
      </c>
      <c r="BU359" s="11" t="s">
        <v>2932</v>
      </c>
    </row>
    <row r="360">
      <c r="A360" s="11" t="s">
        <v>3511</v>
      </c>
      <c r="B360" s="11" t="s">
        <v>78</v>
      </c>
      <c r="C360" s="18">
        <v>45822.0</v>
      </c>
      <c r="D360" s="11" t="s">
        <v>3512</v>
      </c>
      <c r="E360" s="11" t="s">
        <v>3515</v>
      </c>
      <c r="F360" s="11" t="s">
        <v>3516</v>
      </c>
      <c r="BP360" s="11" t="s">
        <v>3519</v>
      </c>
      <c r="BQ360" s="11" t="b">
        <v>0</v>
      </c>
      <c r="BS360" s="19" t="s">
        <v>3521</v>
      </c>
      <c r="BT360" s="11" t="b">
        <v>1</v>
      </c>
      <c r="BU360" s="11" t="s">
        <v>2932</v>
      </c>
    </row>
    <row r="361">
      <c r="A361" s="11" t="s">
        <v>3523</v>
      </c>
      <c r="B361" s="11" t="s">
        <v>78</v>
      </c>
      <c r="C361" s="18">
        <v>45820.0</v>
      </c>
      <c r="D361" s="11" t="s">
        <v>228</v>
      </c>
      <c r="E361" s="11" t="s">
        <v>3525</v>
      </c>
      <c r="F361" s="11" t="s">
        <v>3526</v>
      </c>
      <c r="BP361" s="11" t="s">
        <v>3529</v>
      </c>
      <c r="BQ361" s="11" t="b">
        <v>0</v>
      </c>
      <c r="BS361" s="19" t="s">
        <v>3530</v>
      </c>
      <c r="BT361" s="11" t="b">
        <v>1</v>
      </c>
      <c r="BU361" s="11" t="s">
        <v>2932</v>
      </c>
    </row>
    <row r="362">
      <c r="A362" s="11" t="s">
        <v>3532</v>
      </c>
      <c r="B362" s="11" t="s">
        <v>78</v>
      </c>
      <c r="C362" s="18">
        <v>45824.0</v>
      </c>
      <c r="D362" s="11" t="s">
        <v>3533</v>
      </c>
      <c r="E362" s="11" t="s">
        <v>3534</v>
      </c>
      <c r="F362" s="11" t="s">
        <v>3535</v>
      </c>
      <c r="BP362" s="11" t="s">
        <v>3537</v>
      </c>
      <c r="BQ362" s="11" t="b">
        <v>0</v>
      </c>
      <c r="BS362" s="19" t="s">
        <v>3538</v>
      </c>
      <c r="BT362" s="11" t="b">
        <v>1</v>
      </c>
      <c r="BU362" s="11" t="s">
        <v>2932</v>
      </c>
    </row>
    <row r="363">
      <c r="A363" s="11" t="s">
        <v>3542</v>
      </c>
      <c r="B363" s="11" t="s">
        <v>78</v>
      </c>
      <c r="C363" s="18">
        <v>45824.0</v>
      </c>
      <c r="D363" s="11" t="s">
        <v>274</v>
      </c>
      <c r="E363" s="11" t="s">
        <v>3544</v>
      </c>
      <c r="F363" s="11" t="s">
        <v>3546</v>
      </c>
      <c r="BP363" s="11" t="s">
        <v>3548</v>
      </c>
      <c r="BQ363" s="11" t="b">
        <v>0</v>
      </c>
      <c r="BS363" s="19" t="s">
        <v>3550</v>
      </c>
      <c r="BT363" s="11" t="b">
        <v>1</v>
      </c>
      <c r="BU363" s="11" t="s">
        <v>2932</v>
      </c>
    </row>
    <row r="364">
      <c r="A364" s="11" t="s">
        <v>3553</v>
      </c>
      <c r="B364" s="11" t="s">
        <v>78</v>
      </c>
      <c r="C364" s="18">
        <v>45820.0</v>
      </c>
      <c r="D364" s="11" t="s">
        <v>85</v>
      </c>
      <c r="E364" s="11" t="s">
        <v>3557</v>
      </c>
      <c r="F364" s="11" t="s">
        <v>3558</v>
      </c>
      <c r="BP364" s="11" t="s">
        <v>3561</v>
      </c>
      <c r="BQ364" s="11" t="b">
        <v>0</v>
      </c>
      <c r="BS364" s="19" t="s">
        <v>3562</v>
      </c>
      <c r="BT364" s="11" t="b">
        <v>1</v>
      </c>
      <c r="BU364" s="11" t="s">
        <v>2932</v>
      </c>
    </row>
    <row r="365">
      <c r="A365" s="11" t="s">
        <v>3564</v>
      </c>
      <c r="B365" s="11" t="s">
        <v>78</v>
      </c>
      <c r="C365" s="18">
        <v>45819.0</v>
      </c>
      <c r="D365" s="11" t="s">
        <v>85</v>
      </c>
      <c r="E365" s="11" t="s">
        <v>3565</v>
      </c>
      <c r="F365" s="11" t="s">
        <v>2892</v>
      </c>
      <c r="BP365" s="11" t="s">
        <v>3567</v>
      </c>
      <c r="BQ365" s="11" t="b">
        <v>0</v>
      </c>
      <c r="BS365" s="19" t="s">
        <v>3569</v>
      </c>
      <c r="BT365" s="11" t="b">
        <v>1</v>
      </c>
      <c r="BU365" s="11" t="s">
        <v>2932</v>
      </c>
    </row>
    <row r="366">
      <c r="A366" s="11" t="s">
        <v>3572</v>
      </c>
      <c r="B366" s="11" t="s">
        <v>78</v>
      </c>
      <c r="C366" s="18">
        <v>45820.0</v>
      </c>
      <c r="D366" s="11" t="s">
        <v>817</v>
      </c>
      <c r="E366" s="11" t="s">
        <v>3575</v>
      </c>
      <c r="F366" s="11" t="s">
        <v>3577</v>
      </c>
      <c r="BP366" s="11" t="s">
        <v>3578</v>
      </c>
      <c r="BQ366" s="11" t="b">
        <v>0</v>
      </c>
      <c r="BT366" s="11" t="b">
        <v>0</v>
      </c>
      <c r="BU366" s="11" t="s">
        <v>2932</v>
      </c>
    </row>
    <row r="367">
      <c r="A367" s="11" t="s">
        <v>3580</v>
      </c>
      <c r="B367" s="11" t="s">
        <v>78</v>
      </c>
      <c r="C367" s="18">
        <v>45824.0</v>
      </c>
      <c r="D367" s="11" t="s">
        <v>237</v>
      </c>
      <c r="E367" s="11" t="s">
        <v>3583</v>
      </c>
      <c r="F367" s="11" t="s">
        <v>3584</v>
      </c>
      <c r="BP367" s="11" t="s">
        <v>3586</v>
      </c>
      <c r="BQ367" s="11" t="b">
        <v>0</v>
      </c>
      <c r="BT367" s="11" t="b">
        <v>0</v>
      </c>
      <c r="BU367" s="11" t="s">
        <v>2932</v>
      </c>
      <c r="BW367" s="11" t="s">
        <v>3589</v>
      </c>
    </row>
    <row r="368">
      <c r="A368" s="11" t="s">
        <v>3590</v>
      </c>
      <c r="B368" s="11" t="s">
        <v>78</v>
      </c>
      <c r="C368" s="18">
        <v>45824.0</v>
      </c>
      <c r="D368" s="11" t="s">
        <v>237</v>
      </c>
      <c r="E368" s="11" t="s">
        <v>3593</v>
      </c>
      <c r="F368" s="11" t="s">
        <v>2867</v>
      </c>
      <c r="BP368" s="11" t="s">
        <v>3595</v>
      </c>
      <c r="BQ368" s="11" t="b">
        <v>0</v>
      </c>
      <c r="BT368" s="11" t="b">
        <v>0</v>
      </c>
      <c r="BU368" s="11" t="s">
        <v>2932</v>
      </c>
    </row>
    <row r="369">
      <c r="A369" s="11" t="s">
        <v>3598</v>
      </c>
      <c r="B369" s="11" t="s">
        <v>78</v>
      </c>
      <c r="C369" s="18">
        <v>45824.0</v>
      </c>
      <c r="D369" s="11" t="s">
        <v>237</v>
      </c>
      <c r="E369" s="11" t="s">
        <v>3601</v>
      </c>
      <c r="F369" s="11" t="s">
        <v>3603</v>
      </c>
      <c r="BP369" s="11" t="s">
        <v>3604</v>
      </c>
      <c r="BQ369" s="11" t="b">
        <v>0</v>
      </c>
      <c r="BT369" s="11" t="b">
        <v>0</v>
      </c>
      <c r="BU369" s="11" t="s">
        <v>2932</v>
      </c>
    </row>
    <row r="370">
      <c r="A370" s="11" t="s">
        <v>3606</v>
      </c>
      <c r="B370" s="11" t="s">
        <v>78</v>
      </c>
      <c r="C370" s="18">
        <v>45824.0</v>
      </c>
      <c r="D370" s="11" t="s">
        <v>237</v>
      </c>
      <c r="E370" s="11" t="s">
        <v>3608</v>
      </c>
      <c r="F370" s="11" t="s">
        <v>3610</v>
      </c>
      <c r="BP370" s="11" t="s">
        <v>3611</v>
      </c>
      <c r="BQ370" s="11" t="b">
        <v>0</v>
      </c>
      <c r="BT370" s="11" t="b">
        <v>0</v>
      </c>
      <c r="BU370" s="11" t="s">
        <v>2932</v>
      </c>
    </row>
    <row r="371">
      <c r="A371" s="11" t="s">
        <v>3613</v>
      </c>
      <c r="B371" s="11" t="s">
        <v>78</v>
      </c>
      <c r="C371" s="18">
        <v>45818.0</v>
      </c>
      <c r="D371" s="11" t="s">
        <v>237</v>
      </c>
      <c r="E371" s="11" t="s">
        <v>3616</v>
      </c>
      <c r="F371" s="11" t="s">
        <v>2291</v>
      </c>
      <c r="BP371" s="11" t="s">
        <v>3618</v>
      </c>
      <c r="BQ371" s="11" t="b">
        <v>0</v>
      </c>
      <c r="BT371" s="11" t="b">
        <v>0</v>
      </c>
      <c r="BU371" s="11" t="s">
        <v>2932</v>
      </c>
    </row>
    <row r="372">
      <c r="A372" s="11" t="s">
        <v>3621</v>
      </c>
      <c r="B372" s="11" t="s">
        <v>78</v>
      </c>
      <c r="C372" s="18">
        <v>45818.0</v>
      </c>
      <c r="D372" s="11" t="s">
        <v>237</v>
      </c>
      <c r="E372" s="11" t="s">
        <v>3623</v>
      </c>
      <c r="F372" s="11" t="s">
        <v>3624</v>
      </c>
      <c r="BP372" s="11" t="s">
        <v>3625</v>
      </c>
      <c r="BQ372" s="11" t="b">
        <v>0</v>
      </c>
      <c r="BT372" s="11" t="b">
        <v>0</v>
      </c>
      <c r="BU372" s="11" t="s">
        <v>2932</v>
      </c>
    </row>
    <row r="373">
      <c r="A373" s="11" t="s">
        <v>3629</v>
      </c>
      <c r="B373" s="11" t="s">
        <v>78</v>
      </c>
      <c r="C373" s="18">
        <v>45810.0</v>
      </c>
      <c r="D373" s="11" t="s">
        <v>2549</v>
      </c>
      <c r="E373" s="11" t="s">
        <v>3632</v>
      </c>
      <c r="F373" s="11" t="s">
        <v>3634</v>
      </c>
      <c r="BP373" s="11" t="s">
        <v>3635</v>
      </c>
      <c r="BQ373" s="11" t="b">
        <v>0</v>
      </c>
      <c r="BS373" s="19" t="s">
        <v>3637</v>
      </c>
      <c r="BT373" s="11" t="b">
        <v>1</v>
      </c>
      <c r="BU373" s="11" t="s">
        <v>2932</v>
      </c>
    </row>
    <row r="374">
      <c r="A374" s="11" t="s">
        <v>3638</v>
      </c>
      <c r="B374" s="11" t="s">
        <v>78</v>
      </c>
      <c r="C374" s="18">
        <v>45817.0</v>
      </c>
      <c r="D374" s="11" t="s">
        <v>992</v>
      </c>
      <c r="E374" s="11" t="s">
        <v>3640</v>
      </c>
      <c r="F374" s="11" t="s">
        <v>3641</v>
      </c>
      <c r="BP374" s="11" t="s">
        <v>3642</v>
      </c>
      <c r="BQ374" s="11" t="b">
        <v>0</v>
      </c>
      <c r="BS374" s="19" t="s">
        <v>3643</v>
      </c>
      <c r="BT374" s="11" t="b">
        <v>1</v>
      </c>
      <c r="BU374" s="11" t="s">
        <v>2932</v>
      </c>
    </row>
    <row r="375">
      <c r="A375" s="11" t="s">
        <v>3646</v>
      </c>
      <c r="B375" s="11" t="s">
        <v>78</v>
      </c>
      <c r="C375" s="18">
        <v>45817.0</v>
      </c>
      <c r="D375" s="11" t="s">
        <v>2549</v>
      </c>
      <c r="E375" s="11" t="s">
        <v>3647</v>
      </c>
      <c r="F375" s="11" t="s">
        <v>3649</v>
      </c>
      <c r="BP375" s="11" t="s">
        <v>3651</v>
      </c>
      <c r="BQ375" s="11" t="b">
        <v>0</v>
      </c>
      <c r="BS375" s="19" t="s">
        <v>3652</v>
      </c>
      <c r="BT375" s="11" t="b">
        <v>1</v>
      </c>
      <c r="BU375" s="11" t="s">
        <v>2932</v>
      </c>
    </row>
    <row r="376">
      <c r="A376" s="11" t="s">
        <v>3654</v>
      </c>
      <c r="B376" s="11" t="s">
        <v>78</v>
      </c>
      <c r="C376" s="18">
        <v>45819.0</v>
      </c>
      <c r="D376" s="11" t="s">
        <v>1706</v>
      </c>
      <c r="E376" s="11" t="s">
        <v>3655</v>
      </c>
      <c r="F376" s="11" t="s">
        <v>3657</v>
      </c>
      <c r="BP376" s="11" t="s">
        <v>3658</v>
      </c>
      <c r="BQ376" s="11" t="b">
        <v>0</v>
      </c>
      <c r="BS376" s="19" t="s">
        <v>3569</v>
      </c>
      <c r="BT376" s="11" t="b">
        <v>1</v>
      </c>
      <c r="BU376" s="11" t="s">
        <v>2932</v>
      </c>
    </row>
    <row r="377">
      <c r="A377" s="11" t="s">
        <v>3660</v>
      </c>
      <c r="B377" s="11" t="s">
        <v>78</v>
      </c>
      <c r="C377" s="18">
        <v>45821.0</v>
      </c>
      <c r="D377" s="11" t="s">
        <v>992</v>
      </c>
      <c r="E377" s="11" t="s">
        <v>3661</v>
      </c>
      <c r="F377" s="11" t="s">
        <v>3662</v>
      </c>
      <c r="BP377" s="11" t="s">
        <v>3664</v>
      </c>
      <c r="BQ377" s="11" t="b">
        <v>0</v>
      </c>
      <c r="BS377" s="19" t="s">
        <v>3666</v>
      </c>
      <c r="BT377" s="11" t="b">
        <v>1</v>
      </c>
      <c r="BU377" s="11" t="s">
        <v>2932</v>
      </c>
    </row>
    <row r="378">
      <c r="A378" s="11" t="s">
        <v>3667</v>
      </c>
      <c r="B378" s="11" t="s">
        <v>78</v>
      </c>
      <c r="C378" s="18">
        <v>45822.0</v>
      </c>
      <c r="D378" s="11" t="s">
        <v>85</v>
      </c>
      <c r="E378" s="11" t="s">
        <v>3670</v>
      </c>
      <c r="F378" s="11" t="s">
        <v>3671</v>
      </c>
      <c r="BP378" s="11" t="s">
        <v>3673</v>
      </c>
      <c r="BQ378" s="11" t="b">
        <v>0</v>
      </c>
      <c r="BS378" s="19" t="s">
        <v>3676</v>
      </c>
      <c r="BT378" s="11" t="b">
        <v>1</v>
      </c>
      <c r="BU378" s="11" t="s">
        <v>2932</v>
      </c>
    </row>
    <row r="379">
      <c r="A379" s="11" t="s">
        <v>3678</v>
      </c>
      <c r="B379" s="11" t="s">
        <v>78</v>
      </c>
      <c r="C379" s="18">
        <v>45824.0</v>
      </c>
      <c r="D379" s="11" t="s">
        <v>2549</v>
      </c>
      <c r="E379" s="11" t="s">
        <v>3680</v>
      </c>
      <c r="F379" s="11" t="s">
        <v>3686</v>
      </c>
      <c r="BP379" s="11" t="s">
        <v>3688</v>
      </c>
      <c r="BQ379" s="11" t="b">
        <v>0</v>
      </c>
      <c r="BS379" s="19" t="s">
        <v>3690</v>
      </c>
      <c r="BT379" s="11" t="b">
        <v>1</v>
      </c>
      <c r="BU379" s="11" t="s">
        <v>2932</v>
      </c>
    </row>
    <row r="380">
      <c r="A380" s="11" t="s">
        <v>3693</v>
      </c>
      <c r="B380" s="11" t="s">
        <v>78</v>
      </c>
      <c r="C380" s="18">
        <v>45826.0</v>
      </c>
      <c r="D380" s="11" t="s">
        <v>992</v>
      </c>
      <c r="E380" s="11" t="s">
        <v>3697</v>
      </c>
      <c r="F380" s="11" t="s">
        <v>3641</v>
      </c>
      <c r="BP380" s="11" t="s">
        <v>3699</v>
      </c>
      <c r="BQ380" s="11" t="b">
        <v>0</v>
      </c>
      <c r="BS380" s="19" t="s">
        <v>3700</v>
      </c>
      <c r="BT380" s="11" t="b">
        <v>1</v>
      </c>
      <c r="BU380" s="11" t="s">
        <v>2932</v>
      </c>
    </row>
    <row r="381">
      <c r="A381" s="11" t="s">
        <v>3703</v>
      </c>
      <c r="B381" s="11" t="s">
        <v>78</v>
      </c>
      <c r="C381" s="18">
        <v>45812.0</v>
      </c>
      <c r="D381" s="11" t="s">
        <v>992</v>
      </c>
      <c r="E381" s="11" t="s">
        <v>3705</v>
      </c>
      <c r="F381" s="11" t="s">
        <v>3706</v>
      </c>
      <c r="BP381" s="11" t="s">
        <v>3707</v>
      </c>
      <c r="BQ381" s="11" t="b">
        <v>0</v>
      </c>
      <c r="BS381" s="19" t="s">
        <v>3666</v>
      </c>
      <c r="BT381" s="11" t="b">
        <v>1</v>
      </c>
      <c r="BU381" s="11" t="s">
        <v>2932</v>
      </c>
      <c r="BW381" s="11" t="s">
        <v>3708</v>
      </c>
    </row>
    <row r="382">
      <c r="A382" s="11" t="s">
        <v>3709</v>
      </c>
      <c r="B382" s="11" t="s">
        <v>78</v>
      </c>
      <c r="C382" s="18">
        <v>45825.0</v>
      </c>
      <c r="D382" s="11" t="s">
        <v>237</v>
      </c>
      <c r="E382" s="11" t="s">
        <v>3712</v>
      </c>
      <c r="F382" s="11" t="s">
        <v>3713</v>
      </c>
      <c r="BP382" s="11" t="s">
        <v>3716</v>
      </c>
      <c r="BQ382" s="11" t="b">
        <v>0</v>
      </c>
      <c r="BT382" s="11" t="b">
        <v>0</v>
      </c>
      <c r="BU382" s="11" t="s">
        <v>2932</v>
      </c>
      <c r="BW382" s="11" t="s">
        <v>3718</v>
      </c>
    </row>
    <row r="383">
      <c r="A383" s="11" t="s">
        <v>3719</v>
      </c>
      <c r="B383" s="11" t="s">
        <v>78</v>
      </c>
      <c r="C383" s="18">
        <v>45828.0</v>
      </c>
      <c r="D383" s="11" t="s">
        <v>992</v>
      </c>
      <c r="E383" s="11" t="s">
        <v>3722</v>
      </c>
      <c r="F383" s="11" t="s">
        <v>3723</v>
      </c>
      <c r="BP383" s="11" t="s">
        <v>3727</v>
      </c>
      <c r="BQ383" s="11" t="b">
        <v>0</v>
      </c>
      <c r="BS383" s="19" t="s">
        <v>3728</v>
      </c>
      <c r="BT383" s="11" t="b">
        <v>1</v>
      </c>
      <c r="BU383" s="11" t="s">
        <v>2932</v>
      </c>
    </row>
    <row r="384">
      <c r="A384" s="11" t="s">
        <v>3731</v>
      </c>
      <c r="B384" s="11" t="s">
        <v>78</v>
      </c>
      <c r="C384" s="18">
        <v>45828.0</v>
      </c>
      <c r="D384" s="11" t="s">
        <v>513</v>
      </c>
      <c r="E384" s="11" t="s">
        <v>3734</v>
      </c>
      <c r="F384" s="11" t="s">
        <v>3250</v>
      </c>
      <c r="BP384" s="11" t="s">
        <v>3737</v>
      </c>
      <c r="BQ384" s="11" t="b">
        <v>0</v>
      </c>
      <c r="BS384" s="19" t="s">
        <v>3738</v>
      </c>
      <c r="BT384" s="11" t="b">
        <v>1</v>
      </c>
      <c r="BU384" s="11" t="s">
        <v>2932</v>
      </c>
    </row>
    <row r="385">
      <c r="A385" s="11" t="s">
        <v>3741</v>
      </c>
      <c r="B385" s="11" t="s">
        <v>78</v>
      </c>
      <c r="C385" s="18">
        <v>45828.0</v>
      </c>
      <c r="D385" s="11" t="s">
        <v>3117</v>
      </c>
      <c r="E385" s="11" t="s">
        <v>3744</v>
      </c>
      <c r="F385" s="11" t="s">
        <v>3745</v>
      </c>
      <c r="BP385" s="11" t="s">
        <v>3748</v>
      </c>
      <c r="BQ385" s="11" t="b">
        <v>0</v>
      </c>
      <c r="BS385" s="19" t="s">
        <v>3750</v>
      </c>
      <c r="BT385" s="11" t="b">
        <v>1</v>
      </c>
      <c r="BU385" s="11" t="s">
        <v>2932</v>
      </c>
    </row>
    <row r="386">
      <c r="A386" s="11" t="s">
        <v>3755</v>
      </c>
      <c r="B386" s="11" t="s">
        <v>78</v>
      </c>
      <c r="C386" s="18">
        <v>45826.0</v>
      </c>
      <c r="D386" s="11" t="s">
        <v>85</v>
      </c>
      <c r="E386" s="11" t="s">
        <v>3759</v>
      </c>
      <c r="F386" s="11" t="s">
        <v>3760</v>
      </c>
      <c r="BP386" s="11" t="s">
        <v>3763</v>
      </c>
      <c r="BQ386" s="11" t="b">
        <v>0</v>
      </c>
      <c r="BS386" s="19" t="s">
        <v>3764</v>
      </c>
      <c r="BT386" s="11" t="b">
        <v>1</v>
      </c>
      <c r="BU386" s="11" t="s">
        <v>2932</v>
      </c>
    </row>
    <row r="387">
      <c r="A387" s="11" t="s">
        <v>3767</v>
      </c>
      <c r="B387" s="11" t="s">
        <v>78</v>
      </c>
      <c r="C387" s="18">
        <v>45826.0</v>
      </c>
      <c r="D387" s="11" t="s">
        <v>85</v>
      </c>
      <c r="E387" s="11" t="s">
        <v>3769</v>
      </c>
      <c r="F387" s="11" t="s">
        <v>3193</v>
      </c>
      <c r="BP387" s="11" t="s">
        <v>3772</v>
      </c>
      <c r="BQ387" s="11" t="b">
        <v>0</v>
      </c>
      <c r="BS387" s="19" t="s">
        <v>3775</v>
      </c>
      <c r="BT387" s="11" t="b">
        <v>1</v>
      </c>
      <c r="BU387" s="11" t="s">
        <v>2932</v>
      </c>
    </row>
    <row r="388">
      <c r="A388" s="11" t="s">
        <v>3778</v>
      </c>
      <c r="B388" s="11" t="s">
        <v>78</v>
      </c>
      <c r="C388" s="18">
        <v>45826.0</v>
      </c>
      <c r="D388" s="11" t="s">
        <v>104</v>
      </c>
      <c r="E388" s="11" t="s">
        <v>3781</v>
      </c>
      <c r="F388" s="11" t="s">
        <v>380</v>
      </c>
      <c r="BP388" s="11" t="s">
        <v>3784</v>
      </c>
      <c r="BQ388" s="11" t="b">
        <v>0</v>
      </c>
      <c r="BS388" s="19" t="s">
        <v>3786</v>
      </c>
      <c r="BT388" s="11" t="b">
        <v>1</v>
      </c>
      <c r="BU388" s="11" t="s">
        <v>2932</v>
      </c>
    </row>
    <row r="389">
      <c r="A389" s="11" t="s">
        <v>3789</v>
      </c>
      <c r="B389" s="11" t="s">
        <v>78</v>
      </c>
      <c r="C389" s="18">
        <v>45825.0</v>
      </c>
      <c r="D389" s="11" t="s">
        <v>168</v>
      </c>
      <c r="E389" s="11" t="s">
        <v>3791</v>
      </c>
      <c r="F389" s="11" t="s">
        <v>3793</v>
      </c>
      <c r="BP389" s="11" t="s">
        <v>3795</v>
      </c>
      <c r="BQ389" s="11" t="b">
        <v>0</v>
      </c>
      <c r="BS389" s="19" t="s">
        <v>3796</v>
      </c>
      <c r="BT389" s="11" t="b">
        <v>1</v>
      </c>
      <c r="BU389" s="11" t="s">
        <v>2932</v>
      </c>
    </row>
    <row r="390">
      <c r="A390" s="11" t="s">
        <v>3799</v>
      </c>
      <c r="B390" s="11" t="s">
        <v>78</v>
      </c>
      <c r="C390" s="18">
        <v>45831.0</v>
      </c>
      <c r="D390" s="11" t="s">
        <v>992</v>
      </c>
      <c r="E390" s="11" t="s">
        <v>3800</v>
      </c>
      <c r="F390" s="11" t="s">
        <v>3803</v>
      </c>
      <c r="BP390" s="11" t="s">
        <v>3804</v>
      </c>
      <c r="BQ390" s="11" t="b">
        <v>0</v>
      </c>
      <c r="BS390" s="19" t="s">
        <v>3806</v>
      </c>
      <c r="BT390" s="11" t="b">
        <v>1</v>
      </c>
      <c r="BU390" s="11" t="s">
        <v>2932</v>
      </c>
    </row>
    <row r="391">
      <c r="A391" s="11" t="s">
        <v>3809</v>
      </c>
      <c r="B391" s="11" t="s">
        <v>78</v>
      </c>
      <c r="C391" s="18">
        <v>45839.0</v>
      </c>
      <c r="D391" s="11" t="s">
        <v>237</v>
      </c>
      <c r="E391" s="11" t="s">
        <v>3810</v>
      </c>
      <c r="F391" s="11" t="s">
        <v>2510</v>
      </c>
      <c r="BP391" s="11" t="s">
        <v>3812</v>
      </c>
      <c r="BQ391" s="11" t="b">
        <v>0</v>
      </c>
      <c r="BT391" s="11" t="b">
        <v>0</v>
      </c>
      <c r="BU391" s="11" t="s">
        <v>2932</v>
      </c>
      <c r="BW391" s="11" t="s">
        <v>3814</v>
      </c>
    </row>
    <row r="392">
      <c r="A392" s="11" t="s">
        <v>3816</v>
      </c>
      <c r="B392" s="11" t="s">
        <v>78</v>
      </c>
      <c r="C392" s="18">
        <v>45840.0</v>
      </c>
      <c r="D392" s="11" t="s">
        <v>237</v>
      </c>
      <c r="E392" s="11" t="s">
        <v>3818</v>
      </c>
      <c r="F392" s="11" t="s">
        <v>2291</v>
      </c>
      <c r="BP392" s="11" t="s">
        <v>3821</v>
      </c>
      <c r="BQ392" s="11" t="b">
        <v>0</v>
      </c>
      <c r="BT392" s="11" t="b">
        <v>0</v>
      </c>
      <c r="BU392" s="11" t="s">
        <v>2932</v>
      </c>
      <c r="BW392" s="11" t="s">
        <v>3822</v>
      </c>
      <c r="BX392" s="11" t="s">
        <v>3824</v>
      </c>
    </row>
    <row r="393">
      <c r="A393" s="11" t="s">
        <v>3825</v>
      </c>
      <c r="B393" s="11" t="s">
        <v>78</v>
      </c>
      <c r="C393" s="18">
        <v>45839.0</v>
      </c>
      <c r="D393" s="11" t="s">
        <v>817</v>
      </c>
      <c r="E393" s="11" t="s">
        <v>3828</v>
      </c>
      <c r="F393" s="11" t="s">
        <v>924</v>
      </c>
      <c r="BP393" s="11" t="s">
        <v>3831</v>
      </c>
      <c r="BQ393" s="11" t="b">
        <v>0</v>
      </c>
      <c r="BT393" s="11" t="b">
        <v>0</v>
      </c>
      <c r="BU393" s="11" t="s">
        <v>2932</v>
      </c>
    </row>
    <row r="394">
      <c r="A394" s="11" t="s">
        <v>3835</v>
      </c>
      <c r="B394" s="11" t="s">
        <v>78</v>
      </c>
      <c r="C394" s="18">
        <v>45841.0</v>
      </c>
      <c r="D394" s="11" t="s">
        <v>3836</v>
      </c>
      <c r="E394" s="11" t="s">
        <v>3837</v>
      </c>
      <c r="F394" s="11" t="s">
        <v>3839</v>
      </c>
      <c r="BP394" s="11" t="s">
        <v>3843</v>
      </c>
      <c r="BQ394" s="11" t="b">
        <v>0</v>
      </c>
      <c r="BS394" s="19" t="s">
        <v>3844</v>
      </c>
      <c r="BT394" s="11" t="b">
        <v>1</v>
      </c>
      <c r="BU394" s="11" t="s">
        <v>2932</v>
      </c>
    </row>
    <row r="395">
      <c r="A395" s="11" t="s">
        <v>3848</v>
      </c>
      <c r="B395" s="11" t="s">
        <v>78</v>
      </c>
      <c r="C395" s="18">
        <v>45843.0</v>
      </c>
      <c r="D395" s="11" t="s">
        <v>3512</v>
      </c>
      <c r="E395" s="11" t="s">
        <v>3851</v>
      </c>
      <c r="F395" s="11" t="s">
        <v>3854</v>
      </c>
      <c r="BP395" s="11" t="s">
        <v>3859</v>
      </c>
      <c r="BQ395" s="11" t="b">
        <v>0</v>
      </c>
      <c r="BS395" s="19" t="s">
        <v>3862</v>
      </c>
      <c r="BT395" s="11" t="b">
        <v>1</v>
      </c>
      <c r="BU395" s="11" t="s">
        <v>2932</v>
      </c>
    </row>
    <row r="396">
      <c r="A396" s="11">
        <v>7.9481929E7</v>
      </c>
      <c r="B396" s="11" t="s">
        <v>78</v>
      </c>
      <c r="C396" s="18">
        <v>45842.0</v>
      </c>
      <c r="D396" s="11" t="s">
        <v>85</v>
      </c>
      <c r="E396" s="11" t="s">
        <v>3870</v>
      </c>
      <c r="F396" s="11" t="s">
        <v>3872</v>
      </c>
      <c r="BP396" s="11" t="s">
        <v>3877</v>
      </c>
      <c r="BQ396" s="11" t="b">
        <v>0</v>
      </c>
      <c r="BS396" s="19" t="s">
        <v>3879</v>
      </c>
      <c r="BT396" s="11" t="b">
        <v>1</v>
      </c>
      <c r="BU396" s="11" t="s">
        <v>2932</v>
      </c>
    </row>
    <row r="397">
      <c r="A397" s="11" t="s">
        <v>3881</v>
      </c>
      <c r="B397" s="11" t="s">
        <v>78</v>
      </c>
      <c r="C397" s="18">
        <v>45829.0</v>
      </c>
      <c r="D397" s="11" t="s">
        <v>676</v>
      </c>
      <c r="E397" s="11" t="s">
        <v>3883</v>
      </c>
      <c r="F397" s="11" t="s">
        <v>3884</v>
      </c>
      <c r="BP397" s="11" t="s">
        <v>3888</v>
      </c>
      <c r="BQ397" s="11" t="b">
        <v>0</v>
      </c>
      <c r="BS397" s="19" t="s">
        <v>3889</v>
      </c>
      <c r="BT397" s="11" t="b">
        <v>1</v>
      </c>
      <c r="BU397" s="11" t="s">
        <v>2932</v>
      </c>
    </row>
    <row r="398">
      <c r="A398" s="11" t="s">
        <v>3891</v>
      </c>
      <c r="B398" s="11" t="s">
        <v>78</v>
      </c>
      <c r="C398" s="18">
        <v>45841.0</v>
      </c>
      <c r="D398" s="11" t="s">
        <v>1094</v>
      </c>
      <c r="E398" s="11" t="s">
        <v>3893</v>
      </c>
      <c r="F398" s="11" t="s">
        <v>3895</v>
      </c>
      <c r="BP398" s="11" t="s">
        <v>3896</v>
      </c>
      <c r="BQ398" s="11" t="b">
        <v>0</v>
      </c>
      <c r="BS398" s="19" t="s">
        <v>3899</v>
      </c>
      <c r="BT398" s="11" t="b">
        <v>1</v>
      </c>
      <c r="BU398" s="11" t="s">
        <v>2932</v>
      </c>
    </row>
    <row r="399">
      <c r="A399" s="11" t="s">
        <v>3901</v>
      </c>
      <c r="B399" s="11" t="s">
        <v>78</v>
      </c>
      <c r="C399" s="18">
        <v>45830.0</v>
      </c>
      <c r="D399" s="11" t="s">
        <v>85</v>
      </c>
      <c r="E399" s="11" t="s">
        <v>3905</v>
      </c>
      <c r="F399" s="11" t="s">
        <v>3906</v>
      </c>
      <c r="BP399" s="11" t="s">
        <v>3909</v>
      </c>
      <c r="BQ399" s="11" t="b">
        <v>0</v>
      </c>
      <c r="BS399" s="19" t="s">
        <v>3910</v>
      </c>
      <c r="BT399" s="11" t="b">
        <v>1</v>
      </c>
      <c r="BU399" s="11" t="s">
        <v>2932</v>
      </c>
    </row>
    <row r="400">
      <c r="A400" s="11" t="s">
        <v>3912</v>
      </c>
      <c r="B400" s="11" t="s">
        <v>78</v>
      </c>
      <c r="C400" s="18">
        <v>45833.0</v>
      </c>
      <c r="D400" s="11" t="s">
        <v>104</v>
      </c>
      <c r="E400" s="11" t="s">
        <v>3914</v>
      </c>
      <c r="F400" s="11" t="s">
        <v>3916</v>
      </c>
      <c r="BP400" s="11" t="s">
        <v>3919</v>
      </c>
      <c r="BQ400" s="11" t="b">
        <v>0</v>
      </c>
      <c r="BS400" s="19" t="s">
        <v>3920</v>
      </c>
      <c r="BT400" s="11" t="b">
        <v>1</v>
      </c>
      <c r="BU400" s="11" t="s">
        <v>2932</v>
      </c>
    </row>
    <row r="401">
      <c r="A401" s="11" t="s">
        <v>3923</v>
      </c>
      <c r="B401" s="11" t="s">
        <v>78</v>
      </c>
      <c r="C401" s="18">
        <v>45835.0</v>
      </c>
      <c r="D401" s="11" t="s">
        <v>104</v>
      </c>
      <c r="E401" s="11" t="s">
        <v>3924</v>
      </c>
      <c r="F401" s="11" t="s">
        <v>3926</v>
      </c>
      <c r="BP401" s="11" t="s">
        <v>3927</v>
      </c>
      <c r="BQ401" s="11" t="b">
        <v>0</v>
      </c>
      <c r="BS401" s="19" t="s">
        <v>3929</v>
      </c>
      <c r="BT401" s="11" t="b">
        <v>1</v>
      </c>
      <c r="BU401" s="11" t="s">
        <v>2932</v>
      </c>
    </row>
    <row r="402">
      <c r="A402" s="11" t="s">
        <v>3930</v>
      </c>
      <c r="B402" s="11" t="s">
        <v>78</v>
      </c>
      <c r="C402" s="18">
        <v>45844.0</v>
      </c>
      <c r="D402" s="11" t="s">
        <v>274</v>
      </c>
      <c r="E402" s="11" t="s">
        <v>3932</v>
      </c>
      <c r="F402" s="11" t="s">
        <v>3933</v>
      </c>
      <c r="BP402" s="11" t="s">
        <v>3936</v>
      </c>
      <c r="BQ402" s="11" t="b">
        <v>0</v>
      </c>
      <c r="BS402" s="19" t="s">
        <v>3937</v>
      </c>
      <c r="BT402" s="11" t="b">
        <v>1</v>
      </c>
      <c r="BU402" s="11" t="s">
        <v>2932</v>
      </c>
    </row>
    <row r="403">
      <c r="A403" s="11" t="s">
        <v>3939</v>
      </c>
      <c r="B403" s="11" t="s">
        <v>78</v>
      </c>
      <c r="C403" s="18">
        <v>45836.0</v>
      </c>
      <c r="D403" s="11" t="s">
        <v>274</v>
      </c>
      <c r="E403" s="11" t="s">
        <v>3941</v>
      </c>
      <c r="F403" s="11" t="s">
        <v>3942</v>
      </c>
      <c r="BP403" s="11" t="s">
        <v>3944</v>
      </c>
      <c r="BQ403" s="11" t="b">
        <v>0</v>
      </c>
      <c r="BS403" s="19" t="s">
        <v>3946</v>
      </c>
      <c r="BT403" s="11" t="b">
        <v>1</v>
      </c>
      <c r="BU403" s="11" t="s">
        <v>2932</v>
      </c>
    </row>
    <row r="404">
      <c r="A404" s="11" t="s">
        <v>3948</v>
      </c>
      <c r="B404" s="11" t="s">
        <v>78</v>
      </c>
      <c r="C404" s="18">
        <v>45849.0</v>
      </c>
      <c r="D404" s="11" t="s">
        <v>85</v>
      </c>
      <c r="E404" s="11" t="s">
        <v>3950</v>
      </c>
      <c r="F404" s="11" t="s">
        <v>3951</v>
      </c>
      <c r="BP404" s="11" t="s">
        <v>3954</v>
      </c>
      <c r="BQ404" s="11" t="b">
        <v>0</v>
      </c>
      <c r="BS404" s="19" t="s">
        <v>3956</v>
      </c>
      <c r="BT404" s="11" t="b">
        <v>1</v>
      </c>
      <c r="BU404" s="11" t="s">
        <v>2932</v>
      </c>
    </row>
    <row r="405">
      <c r="A405" s="11" t="s">
        <v>3958</v>
      </c>
      <c r="B405" s="11" t="s">
        <v>78</v>
      </c>
      <c r="C405" s="18">
        <v>45849.0</v>
      </c>
      <c r="D405" s="11" t="s">
        <v>104</v>
      </c>
      <c r="E405" s="11" t="s">
        <v>3960</v>
      </c>
      <c r="F405" s="11" t="s">
        <v>3961</v>
      </c>
      <c r="BP405" s="11" t="s">
        <v>3963</v>
      </c>
      <c r="BQ405" s="11" t="b">
        <v>0</v>
      </c>
      <c r="BS405" s="19" t="s">
        <v>3965</v>
      </c>
      <c r="BT405" s="11" t="b">
        <v>1</v>
      </c>
      <c r="BU405" s="11" t="s">
        <v>2932</v>
      </c>
    </row>
    <row r="406">
      <c r="A406" s="11" t="s">
        <v>3966</v>
      </c>
      <c r="B406" s="11" t="s">
        <v>78</v>
      </c>
      <c r="C406" s="18">
        <v>45847.0</v>
      </c>
      <c r="D406" s="11" t="s">
        <v>3478</v>
      </c>
      <c r="E406" s="11" t="s">
        <v>3970</v>
      </c>
      <c r="F406" s="11" t="s">
        <v>3971</v>
      </c>
      <c r="BP406" s="11" t="s">
        <v>3975</v>
      </c>
      <c r="BQ406" s="11" t="b">
        <v>0</v>
      </c>
      <c r="BS406" s="19" t="s">
        <v>3977</v>
      </c>
      <c r="BT406" s="11" t="b">
        <v>1</v>
      </c>
      <c r="BU406" s="11" t="s">
        <v>2932</v>
      </c>
    </row>
    <row r="407">
      <c r="A407" s="11" t="s">
        <v>3979</v>
      </c>
      <c r="B407" s="11" t="s">
        <v>78</v>
      </c>
      <c r="C407" s="18">
        <v>45847.0</v>
      </c>
      <c r="D407" s="11" t="s">
        <v>1094</v>
      </c>
      <c r="E407" s="11" t="s">
        <v>3983</v>
      </c>
      <c r="F407" s="11" t="s">
        <v>3984</v>
      </c>
      <c r="BP407" s="11" t="s">
        <v>3987</v>
      </c>
      <c r="BQ407" s="11" t="b">
        <v>0</v>
      </c>
      <c r="BS407" s="19" t="s">
        <v>3988</v>
      </c>
      <c r="BT407" s="11" t="b">
        <v>1</v>
      </c>
      <c r="BU407" s="11" t="s">
        <v>2932</v>
      </c>
    </row>
    <row r="408">
      <c r="A408" s="11" t="s">
        <v>3990</v>
      </c>
      <c r="B408" s="11" t="s">
        <v>78</v>
      </c>
      <c r="C408" s="18">
        <v>45845.0</v>
      </c>
      <c r="D408" s="11" t="s">
        <v>104</v>
      </c>
      <c r="E408" s="11" t="s">
        <v>3992</v>
      </c>
      <c r="F408" s="11" t="s">
        <v>3926</v>
      </c>
      <c r="BP408" s="11" t="s">
        <v>3994</v>
      </c>
      <c r="BQ408" s="11" t="b">
        <v>0</v>
      </c>
      <c r="BS408" s="19" t="s">
        <v>3995</v>
      </c>
      <c r="BT408" s="11" t="b">
        <v>1</v>
      </c>
      <c r="BU408" s="11" t="s">
        <v>2932</v>
      </c>
    </row>
    <row r="409">
      <c r="A409" s="11" t="s">
        <v>3998</v>
      </c>
      <c r="B409" s="11" t="s">
        <v>78</v>
      </c>
      <c r="C409" s="18">
        <v>45849.0</v>
      </c>
      <c r="D409" s="11" t="s">
        <v>168</v>
      </c>
      <c r="E409" s="11" t="s">
        <v>3999</v>
      </c>
      <c r="F409" s="11" t="s">
        <v>4001</v>
      </c>
      <c r="BP409" s="11" t="s">
        <v>4002</v>
      </c>
      <c r="BQ409" s="11" t="b">
        <v>0</v>
      </c>
      <c r="BS409" s="19" t="s">
        <v>4004</v>
      </c>
      <c r="BT409" s="11" t="b">
        <v>1</v>
      </c>
      <c r="BU409" s="11" t="s">
        <v>2932</v>
      </c>
    </row>
    <row r="410">
      <c r="A410" s="11" t="s">
        <v>4006</v>
      </c>
      <c r="B410" s="11" t="s">
        <v>78</v>
      </c>
      <c r="C410" s="18">
        <v>45832.0</v>
      </c>
      <c r="D410" s="11" t="s">
        <v>739</v>
      </c>
      <c r="E410" s="11" t="s">
        <v>4009</v>
      </c>
      <c r="F410" s="11" t="s">
        <v>4011</v>
      </c>
      <c r="BP410" s="11" t="s">
        <v>4013</v>
      </c>
      <c r="BQ410" s="11" t="b">
        <v>0</v>
      </c>
      <c r="BS410" s="19" t="s">
        <v>4015</v>
      </c>
      <c r="BT410" s="11" t="b">
        <v>1</v>
      </c>
      <c r="BU410" s="11" t="s">
        <v>2932</v>
      </c>
    </row>
    <row r="411">
      <c r="A411" s="11" t="s">
        <v>4016</v>
      </c>
      <c r="B411" s="11" t="s">
        <v>78</v>
      </c>
      <c r="C411" s="18">
        <v>45847.0</v>
      </c>
      <c r="D411" s="11" t="s">
        <v>793</v>
      </c>
      <c r="E411" s="11" t="s">
        <v>4020</v>
      </c>
      <c r="F411" s="11" t="s">
        <v>4022</v>
      </c>
      <c r="BP411" s="11" t="s">
        <v>4025</v>
      </c>
      <c r="BQ411" s="11" t="b">
        <v>0</v>
      </c>
      <c r="BS411" s="19" t="s">
        <v>4026</v>
      </c>
      <c r="BT411" s="11" t="b">
        <v>1</v>
      </c>
      <c r="BU411" s="11" t="s">
        <v>2932</v>
      </c>
    </row>
    <row r="412">
      <c r="A412" s="11" t="s">
        <v>4029</v>
      </c>
      <c r="B412" s="11" t="s">
        <v>78</v>
      </c>
      <c r="C412" s="18">
        <v>45847.0</v>
      </c>
      <c r="D412" s="11" t="s">
        <v>793</v>
      </c>
      <c r="E412" s="11" t="s">
        <v>4031</v>
      </c>
      <c r="F412" s="11" t="s">
        <v>4034</v>
      </c>
      <c r="BP412" s="11" t="s">
        <v>4035</v>
      </c>
      <c r="BQ412" s="11" t="b">
        <v>0</v>
      </c>
      <c r="BS412" s="19" t="s">
        <v>4051</v>
      </c>
      <c r="BT412" s="11" t="b">
        <v>1</v>
      </c>
      <c r="BU412" s="11" t="s">
        <v>2932</v>
      </c>
    </row>
    <row r="413">
      <c r="A413" s="11" t="s">
        <v>4055</v>
      </c>
      <c r="B413" s="11" t="s">
        <v>78</v>
      </c>
      <c r="C413" s="18">
        <v>45852.0</v>
      </c>
      <c r="D413" s="11" t="s">
        <v>992</v>
      </c>
      <c r="E413" s="11" t="s">
        <v>4057</v>
      </c>
      <c r="F413" s="11" t="s">
        <v>4058</v>
      </c>
      <c r="BP413" s="11" t="s">
        <v>4059</v>
      </c>
      <c r="BQ413" s="11" t="b">
        <v>0</v>
      </c>
      <c r="BS413" s="19" t="s">
        <v>4062</v>
      </c>
      <c r="BT413" s="11" t="b">
        <v>1</v>
      </c>
      <c r="BU413" s="11" t="s">
        <v>2932</v>
      </c>
    </row>
    <row r="414">
      <c r="A414" s="11" t="s">
        <v>4063</v>
      </c>
      <c r="B414" s="11" t="s">
        <v>78</v>
      </c>
      <c r="C414" s="18">
        <v>45840.0</v>
      </c>
      <c r="D414" s="11" t="s">
        <v>992</v>
      </c>
      <c r="E414" s="11" t="s">
        <v>4065</v>
      </c>
      <c r="F414" s="11" t="s">
        <v>4058</v>
      </c>
      <c r="BP414" s="11" t="s">
        <v>4067</v>
      </c>
      <c r="BQ414" s="11" t="b">
        <v>0</v>
      </c>
      <c r="BS414" s="19" t="s">
        <v>4069</v>
      </c>
      <c r="BT414" s="11" t="b">
        <v>1</v>
      </c>
      <c r="BU414" s="11" t="s">
        <v>2932</v>
      </c>
    </row>
    <row r="415">
      <c r="A415" s="11" t="s">
        <v>4070</v>
      </c>
      <c r="B415" s="11" t="s">
        <v>78</v>
      </c>
      <c r="C415" s="18">
        <v>45847.0</v>
      </c>
      <c r="D415" s="11" t="s">
        <v>992</v>
      </c>
      <c r="E415" s="11" t="s">
        <v>4073</v>
      </c>
      <c r="F415" s="11" t="s">
        <v>4074</v>
      </c>
      <c r="BP415" s="11" t="s">
        <v>4076</v>
      </c>
      <c r="BQ415" s="11" t="b">
        <v>0</v>
      </c>
      <c r="BS415" s="19" t="s">
        <v>4077</v>
      </c>
      <c r="BT415" s="11" t="b">
        <v>1</v>
      </c>
      <c r="BU415" s="11" t="s">
        <v>2932</v>
      </c>
    </row>
    <row r="416">
      <c r="A416" s="11" t="s">
        <v>4079</v>
      </c>
      <c r="B416" s="11" t="s">
        <v>78</v>
      </c>
      <c r="C416" s="18">
        <v>45849.0</v>
      </c>
      <c r="D416" s="11" t="s">
        <v>992</v>
      </c>
      <c r="E416" s="11" t="s">
        <v>4081</v>
      </c>
      <c r="F416" s="11" t="s">
        <v>4082</v>
      </c>
      <c r="BP416" s="11" t="s">
        <v>4085</v>
      </c>
      <c r="BQ416" s="11" t="b">
        <v>0</v>
      </c>
      <c r="BS416" s="19" t="s">
        <v>4086</v>
      </c>
      <c r="BT416" s="11" t="b">
        <v>1</v>
      </c>
      <c r="BU416" s="11" t="s">
        <v>2932</v>
      </c>
    </row>
    <row r="417">
      <c r="A417" s="11" t="s">
        <v>4088</v>
      </c>
      <c r="B417" s="11" t="s">
        <v>78</v>
      </c>
      <c r="C417" s="18">
        <v>45845.0</v>
      </c>
      <c r="D417" s="11" t="s">
        <v>992</v>
      </c>
      <c r="E417" s="11" t="s">
        <v>4090</v>
      </c>
      <c r="F417" s="11" t="s">
        <v>4091</v>
      </c>
      <c r="BP417" s="11" t="s">
        <v>4094</v>
      </c>
      <c r="BQ417" s="11" t="b">
        <v>0</v>
      </c>
      <c r="BS417" s="19" t="s">
        <v>4096</v>
      </c>
      <c r="BT417" s="11" t="b">
        <v>1</v>
      </c>
      <c r="BU417" s="11" t="s">
        <v>2932</v>
      </c>
    </row>
    <row r="418">
      <c r="A418" s="11" t="s">
        <v>4098</v>
      </c>
      <c r="B418" s="11" t="s">
        <v>78</v>
      </c>
      <c r="C418" s="18">
        <v>45835.0</v>
      </c>
      <c r="D418" s="11" t="s">
        <v>992</v>
      </c>
      <c r="E418" s="11" t="s">
        <v>4101</v>
      </c>
      <c r="F418" s="11" t="s">
        <v>4102</v>
      </c>
      <c r="BP418" s="11" t="s">
        <v>4104</v>
      </c>
      <c r="BQ418" s="11" t="b">
        <v>0</v>
      </c>
      <c r="BS418" s="19" t="s">
        <v>4106</v>
      </c>
      <c r="BT418" s="11" t="b">
        <v>1</v>
      </c>
      <c r="BU418" s="11" t="s">
        <v>2932</v>
      </c>
    </row>
    <row r="419">
      <c r="A419" s="11" t="s">
        <v>4107</v>
      </c>
      <c r="B419" s="11" t="s">
        <v>78</v>
      </c>
      <c r="C419" s="18">
        <v>45845.0</v>
      </c>
      <c r="D419" s="11" t="s">
        <v>2549</v>
      </c>
      <c r="E419" s="11" t="s">
        <v>4110</v>
      </c>
      <c r="F419" s="11" t="s">
        <v>4111</v>
      </c>
      <c r="BP419" s="11" t="s">
        <v>4113</v>
      </c>
      <c r="BQ419" s="11" t="b">
        <v>0</v>
      </c>
      <c r="BS419" s="19" t="s">
        <v>4114</v>
      </c>
      <c r="BT419" s="11" t="b">
        <v>1</v>
      </c>
      <c r="BU419" s="11" t="s">
        <v>2932</v>
      </c>
    </row>
    <row r="420">
      <c r="A420" s="11" t="s">
        <v>4118</v>
      </c>
      <c r="B420" s="11" t="s">
        <v>78</v>
      </c>
      <c r="C420" s="18">
        <v>45838.0</v>
      </c>
      <c r="D420" s="11" t="s">
        <v>2549</v>
      </c>
      <c r="E420" s="11" t="s">
        <v>4120</v>
      </c>
      <c r="F420" s="11" t="s">
        <v>4121</v>
      </c>
      <c r="BP420" s="11" t="s">
        <v>4122</v>
      </c>
      <c r="BQ420" s="11" t="b">
        <v>0</v>
      </c>
      <c r="BS420" s="19" t="s">
        <v>4124</v>
      </c>
      <c r="BT420" s="11" t="b">
        <v>1</v>
      </c>
      <c r="BU420" s="11" t="s">
        <v>2932</v>
      </c>
    </row>
    <row r="421">
      <c r="A421" s="11" t="s">
        <v>4127</v>
      </c>
      <c r="B421" s="11" t="s">
        <v>78</v>
      </c>
      <c r="C421" s="18">
        <v>45852.0</v>
      </c>
      <c r="D421" s="11" t="s">
        <v>2549</v>
      </c>
      <c r="E421" s="11" t="s">
        <v>4132</v>
      </c>
      <c r="F421" s="11" t="s">
        <v>4111</v>
      </c>
      <c r="BP421" s="11" t="s">
        <v>4135</v>
      </c>
      <c r="BQ421" s="11" t="b">
        <v>0</v>
      </c>
      <c r="BS421" s="19" t="s">
        <v>4062</v>
      </c>
      <c r="BT421" s="11" t="b">
        <v>1</v>
      </c>
      <c r="BU421" s="11" t="s">
        <v>2932</v>
      </c>
    </row>
    <row r="422">
      <c r="A422" s="11" t="s">
        <v>4138</v>
      </c>
      <c r="B422" s="11" t="s">
        <v>78</v>
      </c>
      <c r="C422" s="18">
        <v>45829.0</v>
      </c>
      <c r="D422" s="11" t="s">
        <v>2549</v>
      </c>
      <c r="E422" s="11" t="s">
        <v>4140</v>
      </c>
      <c r="F422" s="11" t="s">
        <v>4111</v>
      </c>
      <c r="BP422" s="11" t="s">
        <v>4143</v>
      </c>
      <c r="BQ422" s="11" t="b">
        <v>0</v>
      </c>
      <c r="BS422" s="19" t="s">
        <v>4145</v>
      </c>
      <c r="BT422" s="11" t="b">
        <v>1</v>
      </c>
      <c r="BU422" s="11" t="s">
        <v>2932</v>
      </c>
    </row>
    <row r="423">
      <c r="A423" s="11" t="s">
        <v>4146</v>
      </c>
      <c r="B423" s="11" t="s">
        <v>78</v>
      </c>
      <c r="C423" s="18">
        <v>45856.0</v>
      </c>
      <c r="D423" s="11" t="s">
        <v>992</v>
      </c>
      <c r="E423" s="11" t="s">
        <v>4148</v>
      </c>
      <c r="F423" s="11" t="s">
        <v>4149</v>
      </c>
      <c r="BP423" s="11" t="s">
        <v>4153</v>
      </c>
      <c r="BQ423" s="11" t="b">
        <v>0</v>
      </c>
      <c r="BS423" s="19" t="s">
        <v>4154</v>
      </c>
      <c r="BT423" s="11" t="b">
        <v>1</v>
      </c>
      <c r="BU423" s="11" t="s">
        <v>2932</v>
      </c>
    </row>
    <row r="424">
      <c r="A424" s="11" t="s">
        <v>4156</v>
      </c>
      <c r="B424" s="11" t="s">
        <v>78</v>
      </c>
      <c r="C424" s="18">
        <v>45855.0</v>
      </c>
      <c r="D424" s="11" t="s">
        <v>3117</v>
      </c>
      <c r="E424" s="11" t="s">
        <v>4158</v>
      </c>
      <c r="F424" s="11" t="s">
        <v>2809</v>
      </c>
      <c r="BP424" s="11" t="s">
        <v>4161</v>
      </c>
      <c r="BQ424" s="11" t="b">
        <v>0</v>
      </c>
      <c r="BS424" s="19" t="s">
        <v>4163</v>
      </c>
      <c r="BT424" s="11" t="b">
        <v>1</v>
      </c>
      <c r="BU424" s="11" t="s">
        <v>2932</v>
      </c>
      <c r="BW424" s="11" t="s">
        <v>4166</v>
      </c>
    </row>
    <row r="425">
      <c r="A425" s="11" t="s">
        <v>4167</v>
      </c>
      <c r="B425" s="11" t="s">
        <v>78</v>
      </c>
      <c r="C425" s="18">
        <v>45855.0</v>
      </c>
      <c r="D425" s="11" t="s">
        <v>237</v>
      </c>
      <c r="E425" s="11" t="s">
        <v>4170</v>
      </c>
      <c r="F425" s="11" t="s">
        <v>2510</v>
      </c>
      <c r="BP425" s="11" t="s">
        <v>4173</v>
      </c>
      <c r="BQ425" s="11" t="b">
        <v>0</v>
      </c>
      <c r="BT425" s="11" t="b">
        <v>0</v>
      </c>
      <c r="BU425" s="11" t="s">
        <v>2932</v>
      </c>
      <c r="BW425" s="11" t="s">
        <v>4175</v>
      </c>
      <c r="BX425" s="11" t="s">
        <v>4176</v>
      </c>
      <c r="BY425" s="11" t="s">
        <v>4177</v>
      </c>
    </row>
    <row r="426">
      <c r="A426" s="11" t="s">
        <v>4179</v>
      </c>
      <c r="B426" s="11" t="s">
        <v>78</v>
      </c>
      <c r="C426" s="18">
        <v>45853.0</v>
      </c>
      <c r="D426" s="11" t="s">
        <v>237</v>
      </c>
      <c r="E426" s="11" t="s">
        <v>4182</v>
      </c>
      <c r="F426" s="11" t="s">
        <v>2291</v>
      </c>
      <c r="BP426" s="11" t="s">
        <v>4184</v>
      </c>
      <c r="BQ426" s="11" t="b">
        <v>0</v>
      </c>
      <c r="BT426" s="11" t="b">
        <v>0</v>
      </c>
      <c r="BU426" s="11" t="s">
        <v>2932</v>
      </c>
      <c r="BW426" s="11" t="s">
        <v>4186</v>
      </c>
      <c r="BX426" s="11" t="s">
        <v>4188</v>
      </c>
      <c r="BY426" s="11" t="s">
        <v>4189</v>
      </c>
    </row>
    <row r="427">
      <c r="A427" s="11" t="s">
        <v>4191</v>
      </c>
      <c r="B427" s="11" t="s">
        <v>78</v>
      </c>
      <c r="C427" s="18">
        <v>45855.0</v>
      </c>
      <c r="D427" s="11" t="s">
        <v>237</v>
      </c>
      <c r="E427" s="11" t="s">
        <v>4193</v>
      </c>
      <c r="F427" s="11" t="s">
        <v>4194</v>
      </c>
      <c r="BP427" s="11" t="s">
        <v>4197</v>
      </c>
      <c r="BQ427" s="11" t="b">
        <v>0</v>
      </c>
      <c r="BT427" s="11" t="b">
        <v>0</v>
      </c>
      <c r="BU427" s="11" t="s">
        <v>2932</v>
      </c>
    </row>
    <row r="428">
      <c r="A428" s="11" t="s">
        <v>4198</v>
      </c>
      <c r="B428" s="11" t="s">
        <v>78</v>
      </c>
      <c r="C428" s="18">
        <v>45855.0</v>
      </c>
      <c r="D428" s="11" t="s">
        <v>237</v>
      </c>
      <c r="E428" s="11" t="s">
        <v>4200</v>
      </c>
      <c r="F428" s="11" t="s">
        <v>4202</v>
      </c>
      <c r="BP428" s="11" t="s">
        <v>4204</v>
      </c>
      <c r="BQ428" s="11" t="b">
        <v>0</v>
      </c>
      <c r="BT428" s="11" t="b">
        <v>0</v>
      </c>
      <c r="BU428" s="11" t="s">
        <v>2932</v>
      </c>
    </row>
    <row r="429">
      <c r="A429" s="11" t="s">
        <v>4206</v>
      </c>
      <c r="B429" s="11" t="s">
        <v>78</v>
      </c>
      <c r="C429" s="18">
        <v>45856.0</v>
      </c>
      <c r="D429" s="11" t="s">
        <v>339</v>
      </c>
      <c r="E429" s="11" t="s">
        <v>4208</v>
      </c>
      <c r="F429" s="11" t="s">
        <v>4209</v>
      </c>
      <c r="BP429" s="11" t="s">
        <v>4212</v>
      </c>
      <c r="BQ429" s="11" t="b">
        <v>0</v>
      </c>
      <c r="BS429" s="19" t="s">
        <v>4213</v>
      </c>
      <c r="BT429" s="11" t="b">
        <v>1</v>
      </c>
      <c r="BU429" s="11" t="s">
        <v>2932</v>
      </c>
    </row>
    <row r="430">
      <c r="A430" s="11" t="s">
        <v>4216</v>
      </c>
      <c r="B430" s="11" t="s">
        <v>78</v>
      </c>
      <c r="C430" s="18">
        <v>45854.0</v>
      </c>
      <c r="D430" s="11" t="s">
        <v>104</v>
      </c>
      <c r="E430" s="11" t="s">
        <v>4219</v>
      </c>
      <c r="F430" s="11" t="s">
        <v>4220</v>
      </c>
      <c r="BP430" s="11" t="s">
        <v>4222</v>
      </c>
      <c r="BQ430" s="11" t="b">
        <v>0</v>
      </c>
      <c r="BS430" s="19" t="s">
        <v>4223</v>
      </c>
      <c r="BT430" s="11" t="b">
        <v>1</v>
      </c>
      <c r="BU430" s="11" t="s">
        <v>2932</v>
      </c>
    </row>
    <row r="431">
      <c r="A431" s="11" t="s">
        <v>4225</v>
      </c>
      <c r="B431" s="11" t="s">
        <v>78</v>
      </c>
      <c r="C431" s="18">
        <v>45859.0</v>
      </c>
      <c r="D431" s="11" t="s">
        <v>992</v>
      </c>
      <c r="E431" s="11" t="s">
        <v>4227</v>
      </c>
      <c r="F431" s="11" t="s">
        <v>4229</v>
      </c>
      <c r="BP431" s="11" t="s">
        <v>4231</v>
      </c>
      <c r="BQ431" s="11" t="b">
        <v>0</v>
      </c>
      <c r="BS431" s="19" t="s">
        <v>4233</v>
      </c>
      <c r="BT431" s="11" t="b">
        <v>1</v>
      </c>
      <c r="BU431" s="11" t="s">
        <v>2932</v>
      </c>
    </row>
    <row r="432">
      <c r="A432" s="11" t="s">
        <v>4234</v>
      </c>
      <c r="B432" s="11" t="s">
        <v>78</v>
      </c>
      <c r="C432" s="18">
        <v>45854.0</v>
      </c>
      <c r="D432" s="11" t="s">
        <v>992</v>
      </c>
      <c r="E432" s="11" t="s">
        <v>4237</v>
      </c>
      <c r="F432" s="11" t="s">
        <v>4238</v>
      </c>
      <c r="BP432" s="11" t="s">
        <v>4241</v>
      </c>
      <c r="BQ432" s="11" t="b">
        <v>0</v>
      </c>
      <c r="BS432" s="19" t="s">
        <v>4242</v>
      </c>
      <c r="BT432" s="11" t="b">
        <v>1</v>
      </c>
      <c r="BU432" s="11" t="s">
        <v>2932</v>
      </c>
    </row>
    <row r="433">
      <c r="A433" s="11" t="s">
        <v>4244</v>
      </c>
      <c r="B433" s="11" t="s">
        <v>78</v>
      </c>
      <c r="C433" s="18">
        <v>45860.0</v>
      </c>
      <c r="D433" s="11" t="s">
        <v>2549</v>
      </c>
      <c r="E433" s="11" t="s">
        <v>4247</v>
      </c>
      <c r="F433" s="11" t="s">
        <v>4248</v>
      </c>
      <c r="BP433" s="11" t="s">
        <v>4250</v>
      </c>
      <c r="BQ433" s="11" t="b">
        <v>0</v>
      </c>
      <c r="BS433" s="19" t="s">
        <v>4252</v>
      </c>
      <c r="BT433" s="11" t="b">
        <v>1</v>
      </c>
      <c r="BU433" s="11" t="s">
        <v>2932</v>
      </c>
    </row>
    <row r="434">
      <c r="A434" s="11" t="s">
        <v>4255</v>
      </c>
      <c r="B434" s="11" t="s">
        <v>78</v>
      </c>
      <c r="C434" s="18">
        <v>45861.0</v>
      </c>
      <c r="D434" s="11" t="s">
        <v>104</v>
      </c>
      <c r="E434" s="11" t="s">
        <v>4256</v>
      </c>
      <c r="F434" s="11" t="s">
        <v>4258</v>
      </c>
      <c r="BP434" s="11" t="s">
        <v>4261</v>
      </c>
      <c r="BQ434" s="11" t="b">
        <v>0</v>
      </c>
      <c r="BS434" s="19" t="s">
        <v>4264</v>
      </c>
      <c r="BT434" s="11" t="b">
        <v>1</v>
      </c>
      <c r="BU434" s="11" t="s">
        <v>2932</v>
      </c>
    </row>
    <row r="435">
      <c r="A435" s="11" t="s">
        <v>4265</v>
      </c>
      <c r="B435" s="11" t="s">
        <v>78</v>
      </c>
      <c r="C435" s="18">
        <v>45854.0</v>
      </c>
      <c r="D435" s="11" t="s">
        <v>513</v>
      </c>
      <c r="E435" s="11" t="s">
        <v>4267</v>
      </c>
      <c r="F435" s="11" t="s">
        <v>4269</v>
      </c>
      <c r="BP435" s="11" t="s">
        <v>4271</v>
      </c>
      <c r="BQ435" s="11" t="b">
        <v>0</v>
      </c>
      <c r="BS435" s="19" t="s">
        <v>4273</v>
      </c>
      <c r="BT435" s="11" t="b">
        <v>1</v>
      </c>
      <c r="BU435" s="11" t="s">
        <v>2932</v>
      </c>
    </row>
    <row r="436">
      <c r="A436" s="11" t="s">
        <v>4275</v>
      </c>
      <c r="B436" s="11" t="s">
        <v>78</v>
      </c>
      <c r="C436" s="18">
        <v>45857.0</v>
      </c>
      <c r="D436" s="11" t="s">
        <v>104</v>
      </c>
      <c r="E436" s="11" t="s">
        <v>4277</v>
      </c>
      <c r="F436" s="11" t="s">
        <v>110</v>
      </c>
      <c r="BP436" s="11" t="s">
        <v>4280</v>
      </c>
      <c r="BQ436" s="11" t="b">
        <v>0</v>
      </c>
      <c r="BS436" s="19" t="s">
        <v>4282</v>
      </c>
      <c r="BT436" s="11" t="b">
        <v>1</v>
      </c>
      <c r="BU436" s="11" t="s">
        <v>2932</v>
      </c>
    </row>
    <row r="437">
      <c r="A437" s="11" t="s">
        <v>4285</v>
      </c>
      <c r="B437" s="11" t="s">
        <v>78</v>
      </c>
      <c r="C437" s="18">
        <v>45862.0</v>
      </c>
      <c r="D437" s="11" t="s">
        <v>676</v>
      </c>
      <c r="E437" s="11" t="s">
        <v>4288</v>
      </c>
      <c r="F437" s="11" t="s">
        <v>1016</v>
      </c>
      <c r="BP437" s="11" t="s">
        <v>4289</v>
      </c>
      <c r="BQ437" s="11" t="b">
        <v>0</v>
      </c>
      <c r="BS437" s="19" t="s">
        <v>4290</v>
      </c>
      <c r="BT437" s="11" t="b">
        <v>1</v>
      </c>
      <c r="BU437" s="11" t="s">
        <v>2932</v>
      </c>
    </row>
    <row r="438">
      <c r="A438" s="11" t="s">
        <v>4291</v>
      </c>
      <c r="B438" s="11" t="s">
        <v>78</v>
      </c>
      <c r="C438" s="18">
        <v>45870.0</v>
      </c>
      <c r="D438" s="11" t="s">
        <v>85</v>
      </c>
      <c r="E438" s="11" t="s">
        <v>4292</v>
      </c>
      <c r="F438" s="11" t="s">
        <v>3193</v>
      </c>
      <c r="BP438" s="11" t="s">
        <v>4293</v>
      </c>
      <c r="BQ438" s="11" t="b">
        <v>0</v>
      </c>
      <c r="BS438" s="19" t="s">
        <v>4294</v>
      </c>
      <c r="BT438" s="11" t="b">
        <v>1</v>
      </c>
      <c r="BU438" s="11" t="s">
        <v>2932</v>
      </c>
    </row>
    <row r="439">
      <c r="A439" s="11" t="s">
        <v>4295</v>
      </c>
      <c r="B439" s="11" t="s">
        <v>78</v>
      </c>
      <c r="C439" s="18">
        <v>45868.0</v>
      </c>
      <c r="D439" s="11" t="s">
        <v>104</v>
      </c>
      <c r="E439" s="11" t="s">
        <v>4298</v>
      </c>
      <c r="F439" s="11" t="s">
        <v>380</v>
      </c>
      <c r="BP439" s="11" t="s">
        <v>4299</v>
      </c>
      <c r="BQ439" s="11" t="b">
        <v>0</v>
      </c>
      <c r="BS439" s="19" t="s">
        <v>4301</v>
      </c>
      <c r="BT439" s="11" t="b">
        <v>1</v>
      </c>
      <c r="BU439" s="11" t="s">
        <v>2932</v>
      </c>
    </row>
    <row r="440">
      <c r="A440" s="11" t="s">
        <v>4302</v>
      </c>
      <c r="B440" s="11" t="s">
        <v>78</v>
      </c>
      <c r="C440" s="18">
        <v>45864.0</v>
      </c>
      <c r="D440" s="11" t="s">
        <v>85</v>
      </c>
      <c r="E440" s="11" t="s">
        <v>4304</v>
      </c>
      <c r="F440" s="11" t="s">
        <v>286</v>
      </c>
      <c r="BP440" s="11" t="s">
        <v>4305</v>
      </c>
      <c r="BQ440" s="11" t="b">
        <v>0</v>
      </c>
      <c r="BS440" s="19" t="s">
        <v>4306</v>
      </c>
      <c r="BT440" s="11" t="b">
        <v>1</v>
      </c>
      <c r="BU440" s="11" t="s">
        <v>2932</v>
      </c>
    </row>
    <row r="441">
      <c r="A441" s="11" t="s">
        <v>4309</v>
      </c>
      <c r="B441" s="11" t="s">
        <v>78</v>
      </c>
      <c r="C441" s="18">
        <v>45863.0</v>
      </c>
      <c r="D441" s="11" t="s">
        <v>992</v>
      </c>
      <c r="E441" s="11" t="s">
        <v>4310</v>
      </c>
      <c r="F441" s="11" t="s">
        <v>3641</v>
      </c>
      <c r="BP441" s="11" t="s">
        <v>4313</v>
      </c>
      <c r="BQ441" s="11" t="b">
        <v>0</v>
      </c>
      <c r="BS441" s="19" t="s">
        <v>4314</v>
      </c>
      <c r="BT441" s="11" t="b">
        <v>1</v>
      </c>
      <c r="BU441" s="11" t="s">
        <v>2932</v>
      </c>
    </row>
    <row r="442">
      <c r="A442" s="11" t="s">
        <v>4316</v>
      </c>
      <c r="B442" s="11" t="s">
        <v>78</v>
      </c>
      <c r="C442" s="18">
        <v>45897.0</v>
      </c>
      <c r="D442" s="11" t="s">
        <v>992</v>
      </c>
      <c r="E442" s="11" t="s">
        <v>4318</v>
      </c>
      <c r="F442" s="11" t="s">
        <v>3641</v>
      </c>
      <c r="BP442" s="11" t="s">
        <v>4321</v>
      </c>
      <c r="BQ442" s="11" t="b">
        <v>0</v>
      </c>
      <c r="BS442" s="19" t="s">
        <v>4322</v>
      </c>
      <c r="BT442" s="11" t="b">
        <v>1</v>
      </c>
      <c r="BU442" s="11" t="s">
        <v>2932</v>
      </c>
    </row>
    <row r="443">
      <c r="A443" s="11" t="s">
        <v>4324</v>
      </c>
      <c r="B443" s="11" t="s">
        <v>78</v>
      </c>
      <c r="C443" s="18">
        <v>45866.0</v>
      </c>
      <c r="D443" s="11" t="s">
        <v>2549</v>
      </c>
      <c r="E443" s="11" t="s">
        <v>4327</v>
      </c>
      <c r="F443" s="11" t="s">
        <v>4328</v>
      </c>
      <c r="BP443" s="11" t="s">
        <v>4330</v>
      </c>
      <c r="BQ443" s="11" t="b">
        <v>0</v>
      </c>
      <c r="BS443" s="19" t="s">
        <v>4333</v>
      </c>
      <c r="BT443" s="11" t="b">
        <v>1</v>
      </c>
      <c r="BU443" s="11" t="s">
        <v>2932</v>
      </c>
    </row>
    <row r="444">
      <c r="A444" s="11" t="s">
        <v>4334</v>
      </c>
      <c r="B444" s="11" t="s">
        <v>78</v>
      </c>
      <c r="C444" s="18">
        <v>45868.0</v>
      </c>
      <c r="D444" s="11" t="s">
        <v>992</v>
      </c>
      <c r="E444" s="11" t="s">
        <v>4337</v>
      </c>
      <c r="F444" s="11" t="s">
        <v>4338</v>
      </c>
      <c r="BP444" s="11" t="s">
        <v>4339</v>
      </c>
      <c r="BQ444" s="11" t="b">
        <v>0</v>
      </c>
      <c r="BS444" s="19" t="s">
        <v>4342</v>
      </c>
      <c r="BT444" s="11" t="b">
        <v>1</v>
      </c>
      <c r="BU444" s="11" t="s">
        <v>2932</v>
      </c>
    </row>
    <row r="445">
      <c r="A445" s="11" t="s">
        <v>4343</v>
      </c>
      <c r="B445" s="11" t="s">
        <v>78</v>
      </c>
      <c r="C445" s="18">
        <v>45870.0</v>
      </c>
      <c r="D445" s="11" t="s">
        <v>477</v>
      </c>
      <c r="E445" s="11" t="s">
        <v>4345</v>
      </c>
      <c r="F445" s="11" t="s">
        <v>4347</v>
      </c>
      <c r="BP445" s="11" t="s">
        <v>4348</v>
      </c>
      <c r="BQ445" s="11" t="b">
        <v>0</v>
      </c>
      <c r="BS445" s="19" t="s">
        <v>4349</v>
      </c>
      <c r="BT445" s="11" t="b">
        <v>1</v>
      </c>
      <c r="BU445" s="11" t="s">
        <v>2932</v>
      </c>
    </row>
    <row r="446">
      <c r="A446" s="11" t="s">
        <v>4351</v>
      </c>
      <c r="B446" s="11" t="s">
        <v>78</v>
      </c>
      <c r="C446" s="18">
        <v>45867.0</v>
      </c>
      <c r="D446" s="11" t="s">
        <v>237</v>
      </c>
      <c r="E446" s="11" t="s">
        <v>4352</v>
      </c>
      <c r="F446" s="11" t="s">
        <v>2291</v>
      </c>
      <c r="BP446" s="11" t="s">
        <v>4354</v>
      </c>
      <c r="BQ446" s="11" t="b">
        <v>0</v>
      </c>
      <c r="BT446" s="11" t="b">
        <v>0</v>
      </c>
      <c r="BU446" s="11" t="s">
        <v>2932</v>
      </c>
    </row>
    <row r="447">
      <c r="A447" s="11" t="s">
        <v>4359</v>
      </c>
      <c r="B447" s="11" t="s">
        <v>78</v>
      </c>
      <c r="C447" s="18">
        <v>45866.0</v>
      </c>
      <c r="D447" s="11" t="s">
        <v>237</v>
      </c>
      <c r="E447" s="11" t="s">
        <v>4362</v>
      </c>
      <c r="F447" s="11" t="s">
        <v>2510</v>
      </c>
      <c r="BP447" s="11" t="s">
        <v>4364</v>
      </c>
      <c r="BQ447" s="11" t="b">
        <v>0</v>
      </c>
      <c r="BT447" s="11" t="b">
        <v>0</v>
      </c>
      <c r="BU447" s="11" t="s">
        <v>2932</v>
      </c>
      <c r="BW447" s="11" t="s">
        <v>4365</v>
      </c>
    </row>
    <row r="448">
      <c r="A448" s="11" t="s">
        <v>4366</v>
      </c>
      <c r="B448" s="11" t="s">
        <v>78</v>
      </c>
      <c r="C448" s="18">
        <v>45867.0</v>
      </c>
      <c r="D448" s="11" t="s">
        <v>237</v>
      </c>
      <c r="E448" s="11" t="s">
        <v>4352</v>
      </c>
      <c r="F448" s="11" t="s">
        <v>2291</v>
      </c>
      <c r="BP448" s="11" t="s">
        <v>4368</v>
      </c>
      <c r="BQ448" s="11" t="b">
        <v>0</v>
      </c>
      <c r="BT448" s="11" t="b">
        <v>0</v>
      </c>
      <c r="BU448" s="11" t="s">
        <v>2932</v>
      </c>
      <c r="BW448" s="11" t="s">
        <v>4369</v>
      </c>
      <c r="BX448" s="11" t="s">
        <v>4370</v>
      </c>
    </row>
    <row r="449">
      <c r="A449" s="11" t="s">
        <v>4371</v>
      </c>
      <c r="B449" s="11" t="s">
        <v>78</v>
      </c>
      <c r="C449" s="18">
        <v>45869.0</v>
      </c>
      <c r="D449" s="11" t="s">
        <v>168</v>
      </c>
      <c r="E449" s="11" t="s">
        <v>4374</v>
      </c>
      <c r="F449" s="11" t="s">
        <v>4375</v>
      </c>
      <c r="BP449" s="11" t="s">
        <v>4377</v>
      </c>
      <c r="BQ449" s="11" t="b">
        <v>0</v>
      </c>
      <c r="BS449" s="19" t="s">
        <v>4379</v>
      </c>
      <c r="BT449" s="11" t="b">
        <v>1</v>
      </c>
      <c r="BU449" s="11" t="s">
        <v>2932</v>
      </c>
      <c r="BW449" s="11" t="s">
        <v>4380</v>
      </c>
    </row>
    <row r="450">
      <c r="A450" s="11" t="s">
        <v>4382</v>
      </c>
      <c r="B450" s="11" t="s">
        <v>78</v>
      </c>
      <c r="C450" s="18">
        <v>45874.0</v>
      </c>
      <c r="D450" s="11" t="s">
        <v>1706</v>
      </c>
      <c r="E450" s="11" t="s">
        <v>4383</v>
      </c>
      <c r="F450" s="11" t="s">
        <v>4384</v>
      </c>
      <c r="BP450" s="11" t="s">
        <v>4387</v>
      </c>
      <c r="BQ450" s="11" t="b">
        <v>0</v>
      </c>
      <c r="BS450" s="19" t="s">
        <v>4388</v>
      </c>
      <c r="BT450" s="11" t="b">
        <v>1</v>
      </c>
      <c r="BU450" s="11" t="s">
        <v>2932</v>
      </c>
    </row>
    <row r="451">
      <c r="A451" s="11" t="s">
        <v>4391</v>
      </c>
      <c r="B451" s="11" t="s">
        <v>78</v>
      </c>
      <c r="C451" s="18">
        <v>45873.0</v>
      </c>
      <c r="D451" s="11" t="s">
        <v>104</v>
      </c>
      <c r="E451" s="11" t="s">
        <v>4393</v>
      </c>
      <c r="F451" s="11" t="s">
        <v>380</v>
      </c>
      <c r="BP451" s="11" t="s">
        <v>4397</v>
      </c>
      <c r="BQ451" s="11" t="b">
        <v>0</v>
      </c>
      <c r="BS451" s="19" t="s">
        <v>4398</v>
      </c>
      <c r="BT451" s="11" t="b">
        <v>1</v>
      </c>
      <c r="BU451" s="11" t="s">
        <v>2932</v>
      </c>
    </row>
    <row r="452">
      <c r="A452" s="11" t="s">
        <v>4400</v>
      </c>
      <c r="B452" s="11" t="s">
        <v>78</v>
      </c>
      <c r="C452" s="18">
        <v>45878.0</v>
      </c>
      <c r="D452" s="11" t="s">
        <v>85</v>
      </c>
      <c r="E452" s="11" t="s">
        <v>4401</v>
      </c>
      <c r="F452" s="11" t="s">
        <v>4402</v>
      </c>
      <c r="BP452" s="11" t="s">
        <v>4405</v>
      </c>
      <c r="BQ452" s="11" t="b">
        <v>0</v>
      </c>
      <c r="BS452" s="19" t="s">
        <v>4406</v>
      </c>
      <c r="BT452" s="11" t="b">
        <v>1</v>
      </c>
      <c r="BU452" s="11" t="s">
        <v>2932</v>
      </c>
    </row>
    <row r="453">
      <c r="A453" s="11" t="s">
        <v>4409</v>
      </c>
      <c r="B453" s="11" t="s">
        <v>78</v>
      </c>
      <c r="C453" s="18">
        <v>45874.0</v>
      </c>
      <c r="D453" s="11" t="s">
        <v>116</v>
      </c>
      <c r="E453" s="11" t="s">
        <v>4411</v>
      </c>
      <c r="F453" s="11" t="s">
        <v>4412</v>
      </c>
      <c r="BP453" s="11" t="s">
        <v>4414</v>
      </c>
      <c r="BQ453" s="11" t="b">
        <v>0</v>
      </c>
      <c r="BS453" s="19" t="s">
        <v>4388</v>
      </c>
      <c r="BT453" s="11" t="b">
        <v>1</v>
      </c>
      <c r="BU453" s="11" t="s">
        <v>2932</v>
      </c>
    </row>
    <row r="454">
      <c r="A454" s="11" t="s">
        <v>4415</v>
      </c>
      <c r="B454" s="11" t="s">
        <v>78</v>
      </c>
      <c r="C454" s="18">
        <v>45875.0</v>
      </c>
      <c r="D454" s="11" t="s">
        <v>85</v>
      </c>
      <c r="E454" s="11" t="s">
        <v>4417</v>
      </c>
      <c r="F454" s="11" t="s">
        <v>3250</v>
      </c>
      <c r="BP454" s="11" t="s">
        <v>4418</v>
      </c>
      <c r="BQ454" s="11" t="b">
        <v>0</v>
      </c>
      <c r="BS454" s="19" t="s">
        <v>4420</v>
      </c>
      <c r="BT454" s="11" t="b">
        <v>1</v>
      </c>
      <c r="BU454" s="11" t="s">
        <v>2932</v>
      </c>
    </row>
    <row r="455">
      <c r="A455" s="11" t="s">
        <v>4421</v>
      </c>
      <c r="B455" s="11" t="s">
        <v>78</v>
      </c>
      <c r="C455" s="18">
        <v>45881.0</v>
      </c>
      <c r="D455" s="11" t="s">
        <v>1706</v>
      </c>
      <c r="E455" s="11" t="s">
        <v>4423</v>
      </c>
      <c r="F455" s="11" t="s">
        <v>4425</v>
      </c>
      <c r="BP455" s="11" t="s">
        <v>4426</v>
      </c>
      <c r="BQ455" s="11" t="b">
        <v>0</v>
      </c>
      <c r="BS455" s="19" t="s">
        <v>4427</v>
      </c>
      <c r="BT455" s="11" t="b">
        <v>1</v>
      </c>
      <c r="BU455" s="11" t="s">
        <v>2932</v>
      </c>
    </row>
    <row r="456">
      <c r="A456" s="11" t="s">
        <v>4431</v>
      </c>
      <c r="B456" s="11" t="s">
        <v>78</v>
      </c>
      <c r="C456" s="18">
        <v>45882.0</v>
      </c>
      <c r="D456" s="11" t="s">
        <v>596</v>
      </c>
      <c r="E456" s="11" t="s">
        <v>4434</v>
      </c>
      <c r="F456" s="11" t="s">
        <v>4436</v>
      </c>
      <c r="BP456" s="11" t="s">
        <v>4437</v>
      </c>
      <c r="BQ456" s="11" t="b">
        <v>0</v>
      </c>
      <c r="BS456" s="19" t="s">
        <v>4439</v>
      </c>
      <c r="BT456" s="11" t="b">
        <v>1</v>
      </c>
      <c r="BU456" s="11" t="s">
        <v>2932</v>
      </c>
    </row>
    <row r="457">
      <c r="A457" s="11" t="s">
        <v>4440</v>
      </c>
      <c r="B457" s="11" t="s">
        <v>78</v>
      </c>
      <c r="C457" s="18">
        <v>45882.0</v>
      </c>
      <c r="D457" s="11" t="s">
        <v>104</v>
      </c>
      <c r="E457" s="11" t="s">
        <v>4442</v>
      </c>
      <c r="F457" s="11" t="s">
        <v>4444</v>
      </c>
      <c r="BP457" s="11" t="s">
        <v>4445</v>
      </c>
      <c r="BQ457" s="11" t="b">
        <v>0</v>
      </c>
      <c r="BS457" s="19" t="s">
        <v>4446</v>
      </c>
      <c r="BT457" s="11" t="b">
        <v>1</v>
      </c>
      <c r="BU457" s="11" t="s">
        <v>2932</v>
      </c>
    </row>
    <row r="458">
      <c r="A458" s="11" t="s">
        <v>4449</v>
      </c>
      <c r="B458" s="11" t="s">
        <v>78</v>
      </c>
      <c r="C458" s="18">
        <v>45882.0</v>
      </c>
      <c r="D458" s="11" t="s">
        <v>85</v>
      </c>
      <c r="E458" s="11" t="s">
        <v>4451</v>
      </c>
      <c r="F458" s="11" t="s">
        <v>4453</v>
      </c>
      <c r="BP458" s="11" t="s">
        <v>4454</v>
      </c>
      <c r="BQ458" s="11" t="b">
        <v>0</v>
      </c>
      <c r="BS458" s="19" t="s">
        <v>4455</v>
      </c>
      <c r="BT458" s="11" t="b">
        <v>1</v>
      </c>
      <c r="BU458" s="11" t="s">
        <v>2932</v>
      </c>
    </row>
    <row r="459">
      <c r="A459" s="11" t="s">
        <v>4458</v>
      </c>
      <c r="B459" s="11" t="s">
        <v>78</v>
      </c>
      <c r="C459" s="18">
        <v>45882.0</v>
      </c>
      <c r="D459" s="11" t="s">
        <v>1706</v>
      </c>
      <c r="E459" s="11" t="s">
        <v>4459</v>
      </c>
      <c r="F459" s="11" t="s">
        <v>4461</v>
      </c>
      <c r="BP459" s="11" t="s">
        <v>4463</v>
      </c>
      <c r="BQ459" s="11" t="b">
        <v>0</v>
      </c>
      <c r="BS459" s="19" t="s">
        <v>4464</v>
      </c>
      <c r="BT459" s="11" t="b">
        <v>1</v>
      </c>
      <c r="BU459" s="11" t="s">
        <v>2932</v>
      </c>
    </row>
    <row r="460">
      <c r="A460" s="11" t="s">
        <v>4465</v>
      </c>
      <c r="B460" s="11" t="s">
        <v>78</v>
      </c>
      <c r="C460" s="18">
        <v>45873.0</v>
      </c>
      <c r="D460" s="11" t="s">
        <v>2549</v>
      </c>
      <c r="E460" s="11" t="s">
        <v>4467</v>
      </c>
      <c r="F460" s="11" t="s">
        <v>4468</v>
      </c>
      <c r="BP460" s="11" t="s">
        <v>4470</v>
      </c>
      <c r="BQ460" s="11" t="b">
        <v>0</v>
      </c>
      <c r="BS460" s="19" t="s">
        <v>4472</v>
      </c>
      <c r="BT460" s="11" t="b">
        <v>1</v>
      </c>
      <c r="BU460" s="11" t="s">
        <v>2932</v>
      </c>
    </row>
    <row r="461">
      <c r="A461" s="11" t="s">
        <v>4476</v>
      </c>
      <c r="B461" s="11" t="s">
        <v>78</v>
      </c>
      <c r="C461" s="18">
        <v>45872.0</v>
      </c>
      <c r="D461" s="11" t="s">
        <v>992</v>
      </c>
      <c r="E461" s="11" t="s">
        <v>4477</v>
      </c>
      <c r="F461" s="11" t="s">
        <v>4338</v>
      </c>
      <c r="BP461" s="11" t="s">
        <v>4482</v>
      </c>
      <c r="BQ461" s="11" t="b">
        <v>0</v>
      </c>
      <c r="BS461" s="19" t="s">
        <v>4483</v>
      </c>
      <c r="BT461" s="11" t="b">
        <v>1</v>
      </c>
      <c r="BU461" s="11" t="s">
        <v>2932</v>
      </c>
    </row>
    <row r="462">
      <c r="A462" s="11" t="s">
        <v>4484</v>
      </c>
      <c r="B462" s="11" t="s">
        <v>78</v>
      </c>
      <c r="C462" s="18">
        <v>45872.0</v>
      </c>
      <c r="D462" s="11" t="s">
        <v>992</v>
      </c>
      <c r="E462" s="11" t="s">
        <v>4477</v>
      </c>
      <c r="F462" s="11" t="s">
        <v>4338</v>
      </c>
      <c r="BP462" s="11" t="s">
        <v>4486</v>
      </c>
      <c r="BQ462" s="11" t="b">
        <v>0</v>
      </c>
      <c r="BS462" s="19" t="s">
        <v>4489</v>
      </c>
      <c r="BT462" s="11" t="b">
        <v>1</v>
      </c>
      <c r="BU462" s="11" t="s">
        <v>2932</v>
      </c>
    </row>
    <row r="463">
      <c r="A463" s="11" t="s">
        <v>4493</v>
      </c>
      <c r="B463" s="11" t="s">
        <v>78</v>
      </c>
      <c r="C463" s="18">
        <v>45873.0</v>
      </c>
      <c r="D463" s="11" t="s">
        <v>2549</v>
      </c>
      <c r="E463" s="11" t="s">
        <v>4497</v>
      </c>
      <c r="F463" s="11" t="s">
        <v>4498</v>
      </c>
      <c r="BP463" s="11" t="s">
        <v>4500</v>
      </c>
      <c r="BQ463" s="11" t="b">
        <v>0</v>
      </c>
      <c r="BS463" s="19" t="s">
        <v>4501</v>
      </c>
      <c r="BT463" s="11" t="b">
        <v>1</v>
      </c>
      <c r="BU463" s="11" t="s">
        <v>2932</v>
      </c>
    </row>
    <row r="464">
      <c r="A464" s="11" t="s">
        <v>4504</v>
      </c>
      <c r="B464" s="11" t="s">
        <v>78</v>
      </c>
      <c r="C464" s="18">
        <v>45873.0</v>
      </c>
      <c r="D464" s="11" t="s">
        <v>2549</v>
      </c>
      <c r="E464" s="11" t="s">
        <v>4507</v>
      </c>
      <c r="F464" s="11" t="s">
        <v>4509</v>
      </c>
      <c r="BP464" s="11" t="s">
        <v>4513</v>
      </c>
      <c r="BQ464" s="11" t="b">
        <v>0</v>
      </c>
      <c r="BS464" s="19" t="s">
        <v>4514</v>
      </c>
      <c r="BT464" s="11" t="b">
        <v>1</v>
      </c>
      <c r="BU464" s="11" t="s">
        <v>2932</v>
      </c>
    </row>
    <row r="465">
      <c r="A465" s="11" t="s">
        <v>4517</v>
      </c>
      <c r="B465" s="11" t="s">
        <v>78</v>
      </c>
      <c r="C465" s="18">
        <v>45874.0</v>
      </c>
      <c r="D465" s="11" t="s">
        <v>4518</v>
      </c>
      <c r="E465" s="11" t="s">
        <v>4520</v>
      </c>
      <c r="F465" s="11" t="s">
        <v>4521</v>
      </c>
      <c r="BP465" s="11" t="s">
        <v>4522</v>
      </c>
      <c r="BQ465" s="11" t="b">
        <v>0</v>
      </c>
      <c r="BS465" s="19" t="s">
        <v>4524</v>
      </c>
      <c r="BT465" s="11" t="b">
        <v>1</v>
      </c>
      <c r="BU465" s="11" t="s">
        <v>2932</v>
      </c>
    </row>
    <row r="466">
      <c r="A466" s="11" t="s">
        <v>4526</v>
      </c>
      <c r="B466" s="11" t="s">
        <v>78</v>
      </c>
      <c r="C466" s="18">
        <v>45880.0</v>
      </c>
      <c r="D466" s="11" t="s">
        <v>2549</v>
      </c>
      <c r="E466" s="11" t="s">
        <v>4529</v>
      </c>
      <c r="F466" s="11" t="s">
        <v>4530</v>
      </c>
      <c r="BP466" s="11" t="s">
        <v>4532</v>
      </c>
      <c r="BQ466" s="11" t="b">
        <v>0</v>
      </c>
      <c r="BS466" s="19" t="s">
        <v>4533</v>
      </c>
      <c r="BT466" s="11" t="b">
        <v>1</v>
      </c>
      <c r="BU466" s="11" t="s">
        <v>2932</v>
      </c>
    </row>
    <row r="467">
      <c r="A467" s="11" t="s">
        <v>4534</v>
      </c>
      <c r="B467" s="11" t="s">
        <v>78</v>
      </c>
      <c r="C467" s="18">
        <v>45870.0</v>
      </c>
      <c r="D467" s="11" t="s">
        <v>992</v>
      </c>
      <c r="E467" s="11" t="s">
        <v>4537</v>
      </c>
      <c r="F467" s="11" t="s">
        <v>4538</v>
      </c>
      <c r="BP467" s="11" t="s">
        <v>4539</v>
      </c>
      <c r="BQ467" s="11" t="b">
        <v>0</v>
      </c>
      <c r="BS467" s="19" t="s">
        <v>4541</v>
      </c>
      <c r="BT467" s="11" t="b">
        <v>1</v>
      </c>
      <c r="BU467" s="11" t="s">
        <v>2932</v>
      </c>
    </row>
    <row r="468">
      <c r="A468" s="11" t="s">
        <v>4542</v>
      </c>
      <c r="B468" s="11" t="s">
        <v>78</v>
      </c>
      <c r="C468" s="18">
        <v>45877.0</v>
      </c>
      <c r="D468" s="11" t="s">
        <v>4544</v>
      </c>
      <c r="E468" s="11" t="s">
        <v>4545</v>
      </c>
      <c r="F468" s="11" t="s">
        <v>4546</v>
      </c>
      <c r="BP468" s="11" t="s">
        <v>4547</v>
      </c>
      <c r="BQ468" s="11" t="b">
        <v>0</v>
      </c>
      <c r="BS468" s="19" t="s">
        <v>4549</v>
      </c>
      <c r="BT468" s="11" t="b">
        <v>1</v>
      </c>
      <c r="BU468" s="11" t="s">
        <v>2932</v>
      </c>
    </row>
    <row r="469">
      <c r="A469" s="11" t="s">
        <v>4551</v>
      </c>
      <c r="B469" s="11" t="s">
        <v>78</v>
      </c>
      <c r="C469" s="18">
        <v>45882.0</v>
      </c>
      <c r="D469" s="11" t="s">
        <v>992</v>
      </c>
      <c r="E469" s="11" t="s">
        <v>4553</v>
      </c>
      <c r="F469" s="11" t="s">
        <v>3706</v>
      </c>
      <c r="BP469" s="11" t="s">
        <v>4555</v>
      </c>
      <c r="BQ469" s="11" t="b">
        <v>0</v>
      </c>
      <c r="BS469" s="19" t="s">
        <v>4556</v>
      </c>
      <c r="BT469" s="11" t="b">
        <v>1</v>
      </c>
      <c r="BU469" s="11" t="s">
        <v>2932</v>
      </c>
    </row>
    <row r="470">
      <c r="A470" s="11" t="s">
        <v>4558</v>
      </c>
      <c r="B470" s="11" t="s">
        <v>78</v>
      </c>
      <c r="C470" s="18">
        <v>45882.0</v>
      </c>
      <c r="D470" s="11" t="s">
        <v>817</v>
      </c>
      <c r="E470" s="11" t="s">
        <v>4559</v>
      </c>
      <c r="F470" s="11" t="s">
        <v>4561</v>
      </c>
      <c r="BP470" s="11" t="s">
        <v>4562</v>
      </c>
      <c r="BQ470" s="11" t="b">
        <v>0</v>
      </c>
      <c r="BT470" s="11" t="b">
        <v>0</v>
      </c>
      <c r="BU470" s="11" t="s">
        <v>2932</v>
      </c>
    </row>
    <row r="471">
      <c r="A471" s="11" t="s">
        <v>4564</v>
      </c>
      <c r="B471" s="11" t="s">
        <v>78</v>
      </c>
      <c r="C471" s="18">
        <v>45881.0</v>
      </c>
      <c r="D471" s="11" t="s">
        <v>237</v>
      </c>
      <c r="E471" s="11" t="s">
        <v>4567</v>
      </c>
      <c r="F471" s="11" t="s">
        <v>2510</v>
      </c>
      <c r="BP471" s="11" t="s">
        <v>4569</v>
      </c>
      <c r="BQ471" s="11" t="b">
        <v>0</v>
      </c>
      <c r="BT471" s="11" t="b">
        <v>0</v>
      </c>
      <c r="BU471" s="11" t="s">
        <v>2932</v>
      </c>
      <c r="BW471" s="11" t="s">
        <v>4570</v>
      </c>
      <c r="BX471" s="11" t="s">
        <v>4572</v>
      </c>
    </row>
    <row r="472">
      <c r="A472" s="11" t="s">
        <v>4574</v>
      </c>
      <c r="B472" s="11" t="s">
        <v>78</v>
      </c>
      <c r="C472" s="18">
        <v>45883.0</v>
      </c>
      <c r="D472" s="11" t="s">
        <v>4575</v>
      </c>
      <c r="E472" s="11" t="s">
        <v>4577</v>
      </c>
      <c r="F472" s="11" t="s">
        <v>4578</v>
      </c>
      <c r="BP472" s="11" t="s">
        <v>4579</v>
      </c>
      <c r="BQ472" s="11" t="b">
        <v>0</v>
      </c>
      <c r="BS472" s="19" t="s">
        <v>4582</v>
      </c>
      <c r="BT472" s="11" t="b">
        <v>1</v>
      </c>
      <c r="BU472" s="11" t="s">
        <v>2932</v>
      </c>
    </row>
    <row r="473">
      <c r="A473" s="11" t="s">
        <v>4584</v>
      </c>
      <c r="B473" s="11" t="s">
        <v>78</v>
      </c>
      <c r="C473" s="18">
        <v>45877.0</v>
      </c>
      <c r="D473" s="11" t="s">
        <v>992</v>
      </c>
      <c r="E473" s="11" t="s">
        <v>4585</v>
      </c>
      <c r="F473" s="11" t="s">
        <v>3227</v>
      </c>
      <c r="BP473" s="11" t="s">
        <v>4587</v>
      </c>
      <c r="BQ473" s="11" t="b">
        <v>0</v>
      </c>
      <c r="BS473" s="19" t="s">
        <v>4589</v>
      </c>
      <c r="BT473" s="11" t="b">
        <v>1</v>
      </c>
      <c r="BU473" s="11" t="s">
        <v>2932</v>
      </c>
    </row>
    <row r="474">
      <c r="A474" s="11" t="s">
        <v>4591</v>
      </c>
      <c r="B474" s="11" t="s">
        <v>78</v>
      </c>
      <c r="C474" s="18">
        <v>45883.0</v>
      </c>
      <c r="D474" s="11" t="s">
        <v>116</v>
      </c>
      <c r="E474" s="11" t="s">
        <v>4594</v>
      </c>
      <c r="F474" s="11" t="s">
        <v>4595</v>
      </c>
      <c r="BP474" s="11" t="s">
        <v>4596</v>
      </c>
      <c r="BQ474" s="11" t="b">
        <v>0</v>
      </c>
      <c r="BS474" s="19" t="s">
        <v>4598</v>
      </c>
      <c r="BT474" s="11" t="b">
        <v>1</v>
      </c>
      <c r="BU474" s="11" t="s">
        <v>2932</v>
      </c>
    </row>
    <row r="475">
      <c r="A475" s="11" t="s">
        <v>4600</v>
      </c>
      <c r="B475" s="11" t="s">
        <v>78</v>
      </c>
      <c r="C475" s="18">
        <v>45884.0</v>
      </c>
      <c r="D475" s="11" t="s">
        <v>992</v>
      </c>
      <c r="E475" s="11" t="s">
        <v>4603</v>
      </c>
      <c r="F475" s="11" t="s">
        <v>3227</v>
      </c>
      <c r="BP475" s="11" t="s">
        <v>4606</v>
      </c>
      <c r="BQ475" s="11" t="b">
        <v>0</v>
      </c>
      <c r="BS475" s="19" t="s">
        <v>4607</v>
      </c>
      <c r="BT475" s="11" t="b">
        <v>1</v>
      </c>
      <c r="BU475" s="11" t="s">
        <v>2932</v>
      </c>
    </row>
    <row r="476">
      <c r="A476" s="11" t="s">
        <v>4610</v>
      </c>
      <c r="B476" s="11" t="s">
        <v>78</v>
      </c>
      <c r="C476" s="18">
        <v>45884.0</v>
      </c>
      <c r="D476" s="11" t="s">
        <v>513</v>
      </c>
      <c r="E476" s="11" t="s">
        <v>4612</v>
      </c>
      <c r="F476" s="11" t="s">
        <v>3250</v>
      </c>
      <c r="BP476" s="11" t="s">
        <v>4615</v>
      </c>
      <c r="BQ476" s="11" t="b">
        <v>0</v>
      </c>
      <c r="BS476" s="19" t="s">
        <v>4616</v>
      </c>
      <c r="BT476" s="11" t="b">
        <v>1</v>
      </c>
      <c r="BU476" s="11" t="s">
        <v>2932</v>
      </c>
    </row>
    <row r="477">
      <c r="A477" s="11" t="s">
        <v>4618</v>
      </c>
      <c r="B477" s="11" t="s">
        <v>78</v>
      </c>
      <c r="C477" s="18">
        <v>45884.0</v>
      </c>
      <c r="D477" s="11" t="s">
        <v>3117</v>
      </c>
      <c r="E477" s="11" t="s">
        <v>4621</v>
      </c>
      <c r="F477" s="11" t="s">
        <v>531</v>
      </c>
      <c r="BP477" s="11" t="s">
        <v>4624</v>
      </c>
      <c r="BQ477" s="11" t="b">
        <v>0</v>
      </c>
      <c r="BS477" s="19" t="s">
        <v>4625</v>
      </c>
      <c r="BT477" s="11" t="b">
        <v>1</v>
      </c>
      <c r="BU477" s="11" t="s">
        <v>2932</v>
      </c>
    </row>
    <row r="478">
      <c r="A478" s="11" t="s">
        <v>4627</v>
      </c>
      <c r="B478" s="11" t="s">
        <v>78</v>
      </c>
      <c r="C478" s="18">
        <v>45881.0</v>
      </c>
      <c r="D478" s="11" t="s">
        <v>237</v>
      </c>
      <c r="E478" s="11" t="s">
        <v>4628</v>
      </c>
      <c r="F478" s="11" t="s">
        <v>2291</v>
      </c>
      <c r="BP478" s="11" t="s">
        <v>4630</v>
      </c>
      <c r="BQ478" s="11" t="b">
        <v>0</v>
      </c>
      <c r="BT478" s="11" t="b">
        <v>0</v>
      </c>
      <c r="BU478" s="11" t="s">
        <v>2932</v>
      </c>
      <c r="BW478" s="11" t="s">
        <v>4632</v>
      </c>
    </row>
    <row r="479">
      <c r="A479" s="11" t="s">
        <v>4633</v>
      </c>
      <c r="B479" s="11" t="s">
        <v>78</v>
      </c>
      <c r="C479" s="18">
        <v>45887.0</v>
      </c>
      <c r="D479" s="11" t="s">
        <v>992</v>
      </c>
      <c r="E479" s="11" t="s">
        <v>4641</v>
      </c>
      <c r="F479" s="11" t="s">
        <v>4642</v>
      </c>
      <c r="BP479" s="11" t="s">
        <v>4644</v>
      </c>
      <c r="BQ479" s="11" t="b">
        <v>0</v>
      </c>
      <c r="BS479" s="19" t="s">
        <v>4645</v>
      </c>
      <c r="BT479" s="11" t="b">
        <v>1</v>
      </c>
      <c r="BU479" s="11" t="s">
        <v>2932</v>
      </c>
    </row>
    <row r="480">
      <c r="A480" s="11" t="s">
        <v>4646</v>
      </c>
      <c r="B480" s="11" t="s">
        <v>78</v>
      </c>
      <c r="C480" s="18">
        <v>45889.0</v>
      </c>
      <c r="D480" s="11" t="s">
        <v>992</v>
      </c>
      <c r="E480" s="11" t="s">
        <v>4648</v>
      </c>
      <c r="F480" s="11" t="s">
        <v>4649</v>
      </c>
      <c r="BP480" s="11" t="s">
        <v>4651</v>
      </c>
      <c r="BQ480" s="11" t="b">
        <v>0</v>
      </c>
      <c r="BS480" s="19" t="s">
        <v>4653</v>
      </c>
      <c r="BT480" s="11" t="b">
        <v>1</v>
      </c>
      <c r="BU480" s="11" t="s">
        <v>2932</v>
      </c>
    </row>
    <row r="481">
      <c r="A481" s="11" t="s">
        <v>4654</v>
      </c>
      <c r="B481" s="11" t="s">
        <v>78</v>
      </c>
      <c r="C481" s="18">
        <v>45891.0</v>
      </c>
      <c r="D481" s="11" t="s">
        <v>4656</v>
      </c>
      <c r="E481" s="11" t="s">
        <v>4658</v>
      </c>
      <c r="F481" s="11" t="s">
        <v>4660</v>
      </c>
      <c r="BP481" s="11" t="s">
        <v>4661</v>
      </c>
      <c r="BQ481" s="11" t="b">
        <v>0</v>
      </c>
      <c r="BS481" s="19" t="s">
        <v>4663</v>
      </c>
      <c r="BT481" s="11" t="b">
        <v>1</v>
      </c>
      <c r="BU481" s="11" t="s">
        <v>2932</v>
      </c>
    </row>
    <row r="482">
      <c r="A482" s="11" t="s">
        <v>4664</v>
      </c>
      <c r="B482" s="11" t="s">
        <v>78</v>
      </c>
      <c r="C482" s="18">
        <v>45891.0</v>
      </c>
      <c r="D482" s="11" t="s">
        <v>992</v>
      </c>
      <c r="E482" s="11" t="s">
        <v>4667</v>
      </c>
      <c r="F482" s="11" t="s">
        <v>4668</v>
      </c>
      <c r="BP482" s="11" t="s">
        <v>4669</v>
      </c>
      <c r="BQ482" s="11" t="b">
        <v>0</v>
      </c>
      <c r="BS482" s="19" t="s">
        <v>4672</v>
      </c>
      <c r="BT482" s="11" t="b">
        <v>1</v>
      </c>
      <c r="BU482" s="11" t="s">
        <v>2932</v>
      </c>
    </row>
    <row r="483">
      <c r="A483" s="11" t="s">
        <v>4673</v>
      </c>
      <c r="B483" s="11" t="s">
        <v>78</v>
      </c>
      <c r="C483" s="18">
        <v>45894.0</v>
      </c>
      <c r="D483" s="11" t="s">
        <v>2549</v>
      </c>
      <c r="E483" s="11" t="s">
        <v>4675</v>
      </c>
      <c r="F483" s="11" t="s">
        <v>4677</v>
      </c>
      <c r="BP483" s="11" t="s">
        <v>4678</v>
      </c>
      <c r="BQ483" s="11" t="b">
        <v>0</v>
      </c>
      <c r="BS483" s="19" t="s">
        <v>4680</v>
      </c>
      <c r="BT483" s="11" t="b">
        <v>1</v>
      </c>
      <c r="BU483" s="11" t="s">
        <v>2932</v>
      </c>
    </row>
    <row r="484">
      <c r="A484" s="11" t="s">
        <v>4681</v>
      </c>
      <c r="B484" s="11" t="s">
        <v>78</v>
      </c>
      <c r="C484" s="18">
        <v>45894.0</v>
      </c>
      <c r="D484" s="11" t="s">
        <v>992</v>
      </c>
      <c r="E484" s="11" t="s">
        <v>4683</v>
      </c>
      <c r="F484" s="11" t="s">
        <v>4642</v>
      </c>
      <c r="BP484" s="11" t="s">
        <v>4684</v>
      </c>
      <c r="BQ484" s="11" t="b">
        <v>0</v>
      </c>
      <c r="BS484" s="19" t="s">
        <v>4686</v>
      </c>
      <c r="BT484" s="11" t="b">
        <v>1</v>
      </c>
      <c r="BU484" s="11" t="s">
        <v>2932</v>
      </c>
    </row>
    <row r="485">
      <c r="A485" s="11" t="s">
        <v>4687</v>
      </c>
      <c r="B485" s="11" t="s">
        <v>78</v>
      </c>
      <c r="C485" s="18">
        <v>45885.0</v>
      </c>
      <c r="D485" s="11" t="s">
        <v>85</v>
      </c>
      <c r="E485" s="11" t="s">
        <v>4689</v>
      </c>
      <c r="F485" s="11" t="s">
        <v>4209</v>
      </c>
      <c r="BP485" s="11" t="s">
        <v>4691</v>
      </c>
      <c r="BQ485" s="11" t="b">
        <v>0</v>
      </c>
      <c r="BS485" s="19" t="s">
        <v>4693</v>
      </c>
      <c r="BT485" s="11" t="b">
        <v>1</v>
      </c>
      <c r="BU485" s="11" t="s">
        <v>2932</v>
      </c>
    </row>
    <row r="486">
      <c r="A486" s="11" t="s">
        <v>4694</v>
      </c>
      <c r="B486" s="11" t="s">
        <v>78</v>
      </c>
      <c r="C486" s="18">
        <v>45891.0</v>
      </c>
      <c r="D486" s="11" t="s">
        <v>104</v>
      </c>
      <c r="E486" s="11" t="s">
        <v>4696</v>
      </c>
      <c r="F486" s="11" t="s">
        <v>4697</v>
      </c>
      <c r="BP486" s="11" t="s">
        <v>4698</v>
      </c>
      <c r="BQ486" s="11" t="b">
        <v>0</v>
      </c>
      <c r="BS486" s="19" t="s">
        <v>4700</v>
      </c>
      <c r="BT486" s="11" t="b">
        <v>1</v>
      </c>
      <c r="BU486" s="11" t="s">
        <v>2932</v>
      </c>
    </row>
    <row r="487">
      <c r="A487" s="11" t="s">
        <v>4701</v>
      </c>
      <c r="B487" s="11" t="s">
        <v>78</v>
      </c>
      <c r="C487" s="18">
        <v>45891.0</v>
      </c>
      <c r="D487" s="11" t="s">
        <v>85</v>
      </c>
      <c r="E487" s="11" t="s">
        <v>4703</v>
      </c>
      <c r="F487" s="11" t="s">
        <v>4209</v>
      </c>
      <c r="BP487" s="11" t="s">
        <v>4705</v>
      </c>
      <c r="BQ487" s="11" t="b">
        <v>0</v>
      </c>
      <c r="BS487" s="19" t="s">
        <v>4706</v>
      </c>
      <c r="BT487" s="11" t="b">
        <v>1</v>
      </c>
      <c r="BU487" s="11" t="s">
        <v>2932</v>
      </c>
    </row>
    <row r="488">
      <c r="A488" s="11" t="s">
        <v>4708</v>
      </c>
      <c r="B488" s="11" t="s">
        <v>78</v>
      </c>
      <c r="C488" s="18">
        <v>45887.0</v>
      </c>
      <c r="D488" s="11" t="s">
        <v>2549</v>
      </c>
      <c r="E488" s="11" t="s">
        <v>4709</v>
      </c>
      <c r="F488" s="11" t="s">
        <v>4710</v>
      </c>
      <c r="BP488" s="11" t="s">
        <v>4713</v>
      </c>
      <c r="BQ488" s="11" t="b">
        <v>0</v>
      </c>
      <c r="BS488" s="19" t="s">
        <v>4714</v>
      </c>
      <c r="BT488" s="11" t="b">
        <v>1</v>
      </c>
      <c r="BU488" s="11" t="s">
        <v>2932</v>
      </c>
    </row>
    <row r="489">
      <c r="A489" s="11" t="s">
        <v>4716</v>
      </c>
      <c r="B489" s="11" t="s">
        <v>78</v>
      </c>
      <c r="C489" s="18">
        <v>45887.0</v>
      </c>
      <c r="D489" s="11" t="s">
        <v>104</v>
      </c>
      <c r="E489" s="11" t="s">
        <v>4717</v>
      </c>
      <c r="F489" s="11" t="s">
        <v>4718</v>
      </c>
      <c r="BP489" s="11" t="s">
        <v>4720</v>
      </c>
      <c r="BQ489" s="11" t="b">
        <v>0</v>
      </c>
      <c r="BS489" s="19" t="s">
        <v>4722</v>
      </c>
      <c r="BT489" s="11" t="b">
        <v>1</v>
      </c>
      <c r="BU489" s="11" t="s">
        <v>2932</v>
      </c>
    </row>
    <row r="490">
      <c r="A490" s="11" t="s">
        <v>4723</v>
      </c>
      <c r="B490" s="11" t="s">
        <v>78</v>
      </c>
      <c r="C490" s="18">
        <v>45886.0</v>
      </c>
      <c r="D490" s="11" t="s">
        <v>85</v>
      </c>
      <c r="E490" s="11" t="s">
        <v>4726</v>
      </c>
      <c r="F490" s="11" t="s">
        <v>4727</v>
      </c>
      <c r="BP490" s="11" t="s">
        <v>4728</v>
      </c>
      <c r="BQ490" s="11" t="b">
        <v>0</v>
      </c>
      <c r="BS490" s="19" t="s">
        <v>4730</v>
      </c>
      <c r="BT490" s="11" t="b">
        <v>1</v>
      </c>
      <c r="BU490" s="11" t="s">
        <v>2932</v>
      </c>
    </row>
    <row r="491">
      <c r="A491" s="11" t="s">
        <v>4733</v>
      </c>
      <c r="B491" s="11" t="s">
        <v>78</v>
      </c>
      <c r="C491" s="18">
        <v>45889.0</v>
      </c>
      <c r="D491" s="11" t="s">
        <v>4734</v>
      </c>
      <c r="E491" s="11" t="s">
        <v>4736</v>
      </c>
      <c r="F491" s="11" t="s">
        <v>4738</v>
      </c>
      <c r="BP491" s="11" t="s">
        <v>4745</v>
      </c>
      <c r="BQ491" s="11" t="b">
        <v>0</v>
      </c>
      <c r="BT491" s="11" t="b">
        <v>0</v>
      </c>
      <c r="BU491" s="11" t="s">
        <v>2932</v>
      </c>
      <c r="BW491" s="11" t="s">
        <v>4747</v>
      </c>
    </row>
    <row r="492">
      <c r="A492" s="11" t="s">
        <v>4749</v>
      </c>
      <c r="B492" s="11" t="s">
        <v>78</v>
      </c>
      <c r="C492" s="18">
        <v>45895.0</v>
      </c>
      <c r="D492" s="11" t="s">
        <v>237</v>
      </c>
      <c r="E492" s="11" t="s">
        <v>4750</v>
      </c>
      <c r="F492" s="11" t="s">
        <v>2291</v>
      </c>
      <c r="BP492" s="11" t="s">
        <v>4753</v>
      </c>
      <c r="BQ492" s="11" t="b">
        <v>0</v>
      </c>
      <c r="BT492" s="11" t="b">
        <v>0</v>
      </c>
      <c r="BU492" s="11" t="s">
        <v>2932</v>
      </c>
      <c r="BW492" s="11" t="s">
        <v>4754</v>
      </c>
    </row>
    <row r="493">
      <c r="A493" s="11" t="s">
        <v>4756</v>
      </c>
      <c r="B493" s="11" t="s">
        <v>78</v>
      </c>
      <c r="C493" s="18">
        <v>45895.0</v>
      </c>
      <c r="D493" s="11" t="s">
        <v>237</v>
      </c>
      <c r="E493" s="11" t="s">
        <v>4750</v>
      </c>
      <c r="F493" s="11" t="s">
        <v>2291</v>
      </c>
      <c r="BP493" s="11" t="s">
        <v>4759</v>
      </c>
      <c r="BQ493" s="11" t="b">
        <v>0</v>
      </c>
      <c r="BT493" s="11" t="b">
        <v>0</v>
      </c>
      <c r="BU493" s="11" t="s">
        <v>2932</v>
      </c>
      <c r="BW493" s="11" t="s">
        <v>4760</v>
      </c>
    </row>
    <row r="494">
      <c r="A494" s="11" t="s">
        <v>4762</v>
      </c>
      <c r="B494" s="11" t="s">
        <v>78</v>
      </c>
      <c r="C494" s="18">
        <v>45895.0</v>
      </c>
      <c r="D494" s="11" t="s">
        <v>4734</v>
      </c>
      <c r="E494" s="11" t="s">
        <v>4763</v>
      </c>
      <c r="F494" s="11" t="s">
        <v>4764</v>
      </c>
      <c r="BP494" s="11" t="s">
        <v>4766</v>
      </c>
      <c r="BQ494" s="11" t="b">
        <v>0</v>
      </c>
      <c r="BT494" s="11" t="b">
        <v>0</v>
      </c>
      <c r="BU494" s="11" t="s">
        <v>2932</v>
      </c>
    </row>
    <row r="495">
      <c r="A495" s="11" t="s">
        <v>4767</v>
      </c>
      <c r="B495" s="11" t="s">
        <v>78</v>
      </c>
      <c r="C495" s="18">
        <v>45897.0</v>
      </c>
      <c r="D495" s="11" t="s">
        <v>237</v>
      </c>
      <c r="E495" s="11" t="s">
        <v>4769</v>
      </c>
      <c r="F495" s="11" t="s">
        <v>2510</v>
      </c>
      <c r="BP495" s="11" t="s">
        <v>4771</v>
      </c>
      <c r="BQ495" s="11" t="b">
        <v>0</v>
      </c>
      <c r="BT495" s="11" t="b">
        <v>0</v>
      </c>
      <c r="BU495" s="11" t="s">
        <v>2932</v>
      </c>
    </row>
    <row r="496">
      <c r="A496" s="11" t="s">
        <v>4773</v>
      </c>
      <c r="B496" s="11" t="s">
        <v>78</v>
      </c>
      <c r="C496" s="18">
        <v>45901.0</v>
      </c>
      <c r="D496" s="11" t="s">
        <v>104</v>
      </c>
      <c r="E496" s="11" t="s">
        <v>4774</v>
      </c>
      <c r="F496" s="11" t="s">
        <v>380</v>
      </c>
      <c r="BP496" s="11" t="s">
        <v>4776</v>
      </c>
      <c r="BQ496" s="11" t="b">
        <v>0</v>
      </c>
      <c r="BS496" s="19" t="s">
        <v>4777</v>
      </c>
      <c r="BT496" s="11" t="b">
        <v>1</v>
      </c>
      <c r="BU496" s="11" t="s">
        <v>2932</v>
      </c>
    </row>
    <row r="497">
      <c r="A497" s="11" t="s">
        <v>4779</v>
      </c>
      <c r="B497" s="11" t="s">
        <v>78</v>
      </c>
      <c r="C497" s="18">
        <v>45907.0</v>
      </c>
      <c r="D497" s="11" t="s">
        <v>465</v>
      </c>
      <c r="E497" s="11" t="s">
        <v>4780</v>
      </c>
      <c r="F497" s="11" t="s">
        <v>4782</v>
      </c>
      <c r="BP497" s="11" t="s">
        <v>4784</v>
      </c>
      <c r="BQ497" s="11" t="b">
        <v>0</v>
      </c>
      <c r="BS497" s="19" t="s">
        <v>4785</v>
      </c>
      <c r="BT497" s="11" t="b">
        <v>1</v>
      </c>
      <c r="BU497" s="11" t="s">
        <v>2932</v>
      </c>
    </row>
    <row r="498">
      <c r="A498" s="11" t="s">
        <v>4787</v>
      </c>
      <c r="B498" s="11" t="s">
        <v>78</v>
      </c>
      <c r="C498" s="18">
        <v>45905.0</v>
      </c>
      <c r="D498" s="11" t="s">
        <v>104</v>
      </c>
      <c r="E498" s="11" t="s">
        <v>4788</v>
      </c>
      <c r="F498" s="11" t="s">
        <v>380</v>
      </c>
      <c r="BP498" s="11" t="s">
        <v>4791</v>
      </c>
      <c r="BQ498" s="11" t="b">
        <v>0</v>
      </c>
      <c r="BS498" s="19" t="s">
        <v>4792</v>
      </c>
      <c r="BT498" s="11" t="b">
        <v>1</v>
      </c>
      <c r="BU498" s="11" t="s">
        <v>2932</v>
      </c>
    </row>
    <row r="499">
      <c r="A499" s="11" t="s">
        <v>4793</v>
      </c>
      <c r="B499" s="11" t="s">
        <v>78</v>
      </c>
      <c r="C499" s="18">
        <v>45906.0</v>
      </c>
      <c r="D499" s="11" t="s">
        <v>465</v>
      </c>
      <c r="E499" s="11" t="s">
        <v>4796</v>
      </c>
      <c r="F499" s="11" t="s">
        <v>4797</v>
      </c>
      <c r="BP499" s="11" t="s">
        <v>4798</v>
      </c>
      <c r="BQ499" s="11" t="b">
        <v>0</v>
      </c>
      <c r="BS499" s="19" t="s">
        <v>4800</v>
      </c>
      <c r="BT499" s="11" t="b">
        <v>1</v>
      </c>
      <c r="BU499" s="11" t="s">
        <v>2932</v>
      </c>
    </row>
    <row r="500">
      <c r="A500" s="11" t="s">
        <v>4801</v>
      </c>
      <c r="B500" s="11" t="s">
        <v>78</v>
      </c>
      <c r="C500" s="18">
        <v>45899.0</v>
      </c>
      <c r="D500" s="11" t="s">
        <v>85</v>
      </c>
      <c r="E500" s="11" t="s">
        <v>4804</v>
      </c>
      <c r="F500" s="11" t="s">
        <v>2835</v>
      </c>
      <c r="BP500" s="11" t="s">
        <v>4806</v>
      </c>
      <c r="BQ500" s="11" t="b">
        <v>0</v>
      </c>
      <c r="BS500" s="19" t="s">
        <v>4807</v>
      </c>
      <c r="BT500" s="11" t="b">
        <v>1</v>
      </c>
      <c r="BU500" s="11" t="s">
        <v>2932</v>
      </c>
    </row>
    <row r="501">
      <c r="A501" s="11" t="s">
        <v>4809</v>
      </c>
      <c r="B501" s="11" t="s">
        <v>78</v>
      </c>
      <c r="C501" s="18">
        <v>45901.0</v>
      </c>
      <c r="D501" s="11" t="s">
        <v>1105</v>
      </c>
      <c r="E501" s="11" t="s">
        <v>4810</v>
      </c>
      <c r="F501" s="11" t="s">
        <v>4812</v>
      </c>
      <c r="BP501" s="11" t="s">
        <v>4813</v>
      </c>
      <c r="BQ501" s="11" t="b">
        <v>0</v>
      </c>
      <c r="BS501" s="19" t="s">
        <v>4814</v>
      </c>
      <c r="BT501" s="11" t="b">
        <v>1</v>
      </c>
      <c r="BU501" s="11" t="s">
        <v>2932</v>
      </c>
      <c r="BW501" s="11" t="s">
        <v>4816</v>
      </c>
    </row>
    <row r="502">
      <c r="A502" s="11" t="s">
        <v>4818</v>
      </c>
      <c r="B502" s="11" t="s">
        <v>78</v>
      </c>
      <c r="C502" s="18">
        <v>45910.0</v>
      </c>
      <c r="D502" s="11" t="s">
        <v>4819</v>
      </c>
      <c r="E502" s="11" t="s">
        <v>4821</v>
      </c>
      <c r="F502" s="11" t="s">
        <v>4823</v>
      </c>
      <c r="BP502" s="11" t="s">
        <v>4824</v>
      </c>
      <c r="BQ502" s="11" t="b">
        <v>0</v>
      </c>
      <c r="BS502" s="19" t="s">
        <v>4825</v>
      </c>
      <c r="BT502" s="11" t="b">
        <v>1</v>
      </c>
      <c r="BU502" s="11" t="s">
        <v>2932</v>
      </c>
    </row>
    <row r="503">
      <c r="A503" s="11" t="s">
        <v>4826</v>
      </c>
      <c r="B503" s="11" t="s">
        <v>78</v>
      </c>
      <c r="C503" s="18">
        <v>45909.0</v>
      </c>
      <c r="D503" s="11" t="s">
        <v>739</v>
      </c>
      <c r="E503" s="11" t="s">
        <v>4829</v>
      </c>
      <c r="F503" s="11" t="s">
        <v>4011</v>
      </c>
      <c r="BP503" s="11" t="s">
        <v>4831</v>
      </c>
      <c r="BQ503" s="11" t="b">
        <v>0</v>
      </c>
      <c r="BS503" s="19" t="s">
        <v>4832</v>
      </c>
      <c r="BT503" s="11" t="b">
        <v>1</v>
      </c>
      <c r="BU503" s="11" t="s">
        <v>2932</v>
      </c>
    </row>
    <row r="504">
      <c r="A504" s="11" t="s">
        <v>4833</v>
      </c>
      <c r="B504" s="11" t="s">
        <v>78</v>
      </c>
      <c r="C504" s="18">
        <v>45901.0</v>
      </c>
      <c r="D504" s="11" t="s">
        <v>992</v>
      </c>
      <c r="E504" s="11" t="s">
        <v>4835</v>
      </c>
      <c r="F504" s="11" t="s">
        <v>3235</v>
      </c>
      <c r="BP504" s="11" t="s">
        <v>4836</v>
      </c>
      <c r="BQ504" s="11" t="b">
        <v>0</v>
      </c>
      <c r="BS504" s="19" t="s">
        <v>4837</v>
      </c>
      <c r="BT504" s="11" t="b">
        <v>1</v>
      </c>
      <c r="BU504" s="11" t="s">
        <v>2932</v>
      </c>
    </row>
    <row r="505">
      <c r="A505" s="11" t="s">
        <v>4840</v>
      </c>
      <c r="B505" s="11" t="s">
        <v>78</v>
      </c>
      <c r="C505" s="18">
        <v>45901.0</v>
      </c>
      <c r="D505" s="11" t="s">
        <v>2549</v>
      </c>
      <c r="E505" s="11" t="s">
        <v>4841</v>
      </c>
      <c r="F505" s="11" t="s">
        <v>4842</v>
      </c>
      <c r="BP505" s="11" t="s">
        <v>4843</v>
      </c>
      <c r="BQ505" s="11" t="b">
        <v>0</v>
      </c>
      <c r="BS505" s="19" t="s">
        <v>4845</v>
      </c>
      <c r="BT505" s="11" t="b">
        <v>1</v>
      </c>
      <c r="BU505" s="11" t="s">
        <v>2932</v>
      </c>
    </row>
    <row r="506">
      <c r="A506" s="11" t="s">
        <v>4846</v>
      </c>
      <c r="B506" s="11" t="s">
        <v>78</v>
      </c>
      <c r="C506" s="18">
        <v>45905.0</v>
      </c>
      <c r="D506" s="11" t="s">
        <v>992</v>
      </c>
      <c r="E506" s="11" t="s">
        <v>4847</v>
      </c>
      <c r="F506" s="11" t="s">
        <v>3235</v>
      </c>
      <c r="BP506" s="11" t="s">
        <v>4850</v>
      </c>
      <c r="BQ506" s="11" t="b">
        <v>0</v>
      </c>
      <c r="BS506" s="19" t="s">
        <v>4851</v>
      </c>
      <c r="BT506" s="11" t="b">
        <v>1</v>
      </c>
      <c r="BU506" s="11" t="s">
        <v>2932</v>
      </c>
    </row>
    <row r="507">
      <c r="A507" s="11" t="s">
        <v>4853</v>
      </c>
      <c r="B507" s="11" t="s">
        <v>78</v>
      </c>
      <c r="C507" s="18">
        <v>45905.0</v>
      </c>
      <c r="D507" s="11" t="s">
        <v>4854</v>
      </c>
      <c r="E507" s="11" t="s">
        <v>4855</v>
      </c>
      <c r="F507" s="11" t="s">
        <v>4857</v>
      </c>
      <c r="BP507" s="11" t="s">
        <v>4858</v>
      </c>
      <c r="BQ507" s="11" t="b">
        <v>0</v>
      </c>
      <c r="BS507" s="19" t="s">
        <v>4859</v>
      </c>
      <c r="BT507" s="11" t="b">
        <v>1</v>
      </c>
      <c r="BU507" s="11" t="s">
        <v>2932</v>
      </c>
    </row>
    <row r="508">
      <c r="A508" s="11" t="s">
        <v>4861</v>
      </c>
      <c r="B508" s="11" t="s">
        <v>78</v>
      </c>
      <c r="C508" s="18">
        <v>45908.0</v>
      </c>
      <c r="D508" s="11" t="s">
        <v>2549</v>
      </c>
      <c r="E508" s="11" t="s">
        <v>4862</v>
      </c>
      <c r="F508" s="11" t="s">
        <v>4863</v>
      </c>
      <c r="BP508" s="11" t="s">
        <v>4866</v>
      </c>
      <c r="BQ508" s="11" t="b">
        <v>0</v>
      </c>
      <c r="BS508" s="19" t="s">
        <v>4867</v>
      </c>
      <c r="BT508" s="11" t="b">
        <v>1</v>
      </c>
      <c r="BU508" s="11" t="s">
        <v>2932</v>
      </c>
    </row>
    <row r="509">
      <c r="A509" s="11" t="s">
        <v>4868</v>
      </c>
      <c r="B509" s="11" t="s">
        <v>78</v>
      </c>
      <c r="C509" s="18">
        <v>45905.0</v>
      </c>
      <c r="D509" s="11" t="s">
        <v>513</v>
      </c>
      <c r="E509" s="11" t="s">
        <v>4871</v>
      </c>
      <c r="F509" s="11" t="s">
        <v>3250</v>
      </c>
      <c r="BP509" s="11" t="s">
        <v>4873</v>
      </c>
      <c r="BQ509" s="11" t="b">
        <v>0</v>
      </c>
      <c r="BS509" s="19" t="s">
        <v>4875</v>
      </c>
      <c r="BT509" s="11" t="b">
        <v>1</v>
      </c>
      <c r="BU509" s="11" t="s">
        <v>2932</v>
      </c>
    </row>
    <row r="510">
      <c r="A510" s="11" t="s">
        <v>4876</v>
      </c>
      <c r="B510" s="11" t="s">
        <v>78</v>
      </c>
      <c r="C510" s="18">
        <v>45905.0</v>
      </c>
      <c r="D510" s="11" t="s">
        <v>168</v>
      </c>
      <c r="E510" s="11" t="s">
        <v>4879</v>
      </c>
      <c r="F510" s="11" t="s">
        <v>4880</v>
      </c>
      <c r="BP510" s="11" t="s">
        <v>4881</v>
      </c>
      <c r="BQ510" s="11" t="b">
        <v>0</v>
      </c>
      <c r="BS510" s="19" t="s">
        <v>4882</v>
      </c>
      <c r="BT510" s="11" t="b">
        <v>1</v>
      </c>
      <c r="BU510" s="11" t="s">
        <v>2932</v>
      </c>
    </row>
    <row r="511">
      <c r="A511" s="11" t="s">
        <v>4885</v>
      </c>
      <c r="B511" s="11" t="s">
        <v>78</v>
      </c>
      <c r="C511" s="18">
        <v>45909.0</v>
      </c>
      <c r="D511" s="11" t="s">
        <v>237</v>
      </c>
      <c r="E511" s="11" t="s">
        <v>4887</v>
      </c>
      <c r="F511" s="11" t="s">
        <v>2510</v>
      </c>
      <c r="BP511" s="11" t="s">
        <v>4888</v>
      </c>
      <c r="BQ511" s="11" t="b">
        <v>0</v>
      </c>
      <c r="BT511" s="11" t="b">
        <v>0</v>
      </c>
      <c r="BU511" s="11" t="s">
        <v>2932</v>
      </c>
    </row>
    <row r="512">
      <c r="A512" s="11" t="s">
        <v>4890</v>
      </c>
      <c r="B512" s="11" t="s">
        <v>78</v>
      </c>
      <c r="C512" s="18">
        <v>45912.0</v>
      </c>
      <c r="D512" s="11" t="s">
        <v>992</v>
      </c>
      <c r="E512" s="11" t="s">
        <v>4891</v>
      </c>
      <c r="F512" s="11" t="s">
        <v>3235</v>
      </c>
      <c r="BP512" s="11" t="s">
        <v>4894</v>
      </c>
      <c r="BQ512" s="11" t="b">
        <v>0</v>
      </c>
      <c r="BS512" s="19" t="s">
        <v>4895</v>
      </c>
      <c r="BT512" s="11" t="b">
        <v>1</v>
      </c>
      <c r="BU512" s="11" t="s">
        <v>2932</v>
      </c>
    </row>
    <row r="513">
      <c r="A513" s="11" t="s">
        <v>4897</v>
      </c>
      <c r="B513" s="11" t="s">
        <v>78</v>
      </c>
      <c r="C513" s="18">
        <v>45915.0</v>
      </c>
      <c r="D513" s="11" t="s">
        <v>992</v>
      </c>
      <c r="E513" s="11" t="s">
        <v>4900</v>
      </c>
      <c r="F513" s="11" t="s">
        <v>3235</v>
      </c>
      <c r="BP513" s="11" t="s">
        <v>4902</v>
      </c>
      <c r="BQ513" s="11" t="b">
        <v>0</v>
      </c>
      <c r="BS513" s="19" t="s">
        <v>4903</v>
      </c>
      <c r="BT513" s="11" t="b">
        <v>1</v>
      </c>
      <c r="BU513" s="11" t="s">
        <v>2932</v>
      </c>
    </row>
    <row r="514">
      <c r="A514" s="11" t="s">
        <v>4904</v>
      </c>
      <c r="B514" s="11" t="s">
        <v>78</v>
      </c>
      <c r="C514" s="18">
        <v>45915.0</v>
      </c>
      <c r="D514" s="11" t="s">
        <v>2549</v>
      </c>
      <c r="E514" s="11" t="s">
        <v>4907</v>
      </c>
      <c r="F514" s="11" t="s">
        <v>4908</v>
      </c>
      <c r="BP514" s="11" t="s">
        <v>4910</v>
      </c>
      <c r="BQ514" s="11" t="b">
        <v>0</v>
      </c>
      <c r="BS514" s="19" t="s">
        <v>4911</v>
      </c>
      <c r="BT514" s="11" t="b">
        <v>1</v>
      </c>
      <c r="BU514" s="11" t="s">
        <v>2932</v>
      </c>
    </row>
    <row r="515">
      <c r="A515" s="11" t="s">
        <v>4913</v>
      </c>
      <c r="B515" s="11" t="s">
        <v>78</v>
      </c>
      <c r="C515" s="18">
        <v>45915.0</v>
      </c>
      <c r="D515" s="11" t="s">
        <v>4915</v>
      </c>
      <c r="E515" s="11" t="s">
        <v>4916</v>
      </c>
      <c r="F515" s="11" t="s">
        <v>4917</v>
      </c>
      <c r="BP515" s="11" t="s">
        <v>4919</v>
      </c>
      <c r="BQ515" s="11" t="b">
        <v>0</v>
      </c>
      <c r="BT515" s="11" t="b">
        <v>0</v>
      </c>
      <c r="BU515" s="11" t="s">
        <v>2932</v>
      </c>
      <c r="BW515" s="11" t="s">
        <v>4920</v>
      </c>
    </row>
    <row r="516">
      <c r="A516" s="11" t="s">
        <v>4921</v>
      </c>
      <c r="B516" s="11" t="s">
        <v>78</v>
      </c>
      <c r="C516" s="18">
        <v>45912.0</v>
      </c>
      <c r="D516" s="11" t="s">
        <v>817</v>
      </c>
      <c r="E516" s="11" t="s">
        <v>4923</v>
      </c>
      <c r="F516" s="11" t="s">
        <v>2244</v>
      </c>
      <c r="BP516" s="11" t="s">
        <v>4925</v>
      </c>
      <c r="BQ516" s="11" t="b">
        <v>0</v>
      </c>
      <c r="BT516" s="11" t="b">
        <v>0</v>
      </c>
      <c r="BU516" s="11" t="s">
        <v>2932</v>
      </c>
    </row>
    <row r="517">
      <c r="A517" s="11" t="s">
        <v>4928</v>
      </c>
      <c r="B517" s="11" t="s">
        <v>78</v>
      </c>
      <c r="C517" s="18">
        <v>45909.0</v>
      </c>
      <c r="D517" s="11" t="s">
        <v>237</v>
      </c>
      <c r="E517" s="11" t="s">
        <v>4929</v>
      </c>
      <c r="F517" s="11" t="s">
        <v>2277</v>
      </c>
      <c r="BP517" s="11" t="s">
        <v>4931</v>
      </c>
      <c r="BQ517" s="11" t="b">
        <v>0</v>
      </c>
      <c r="BT517" s="11" t="b">
        <v>0</v>
      </c>
      <c r="BU517" s="11" t="s">
        <v>2932</v>
      </c>
      <c r="BW517" s="11" t="s">
        <v>4934</v>
      </c>
    </row>
    <row r="518">
      <c r="A518" s="11">
        <v>7.8795677E7</v>
      </c>
      <c r="B518" s="11" t="s">
        <v>78</v>
      </c>
      <c r="C518" s="18">
        <v>45919.0</v>
      </c>
      <c r="D518" s="11" t="s">
        <v>4935</v>
      </c>
      <c r="E518" s="11" t="s">
        <v>4937</v>
      </c>
      <c r="F518" s="11" t="s">
        <v>4939</v>
      </c>
      <c r="BP518" s="11" t="s">
        <v>4940</v>
      </c>
      <c r="BQ518" s="11" t="b">
        <v>0</v>
      </c>
      <c r="BS518" s="19" t="s">
        <v>4943</v>
      </c>
      <c r="BT518" s="11" t="b">
        <v>1</v>
      </c>
      <c r="BU518" s="11" t="s">
        <v>2932</v>
      </c>
    </row>
    <row r="519">
      <c r="A519" s="11" t="s">
        <v>4944</v>
      </c>
      <c r="B519" s="11" t="s">
        <v>78</v>
      </c>
      <c r="C519" s="18">
        <v>45912.0</v>
      </c>
      <c r="D519" s="11" t="s">
        <v>85</v>
      </c>
      <c r="E519" s="11" t="s">
        <v>4947</v>
      </c>
      <c r="F519" s="11" t="s">
        <v>4948</v>
      </c>
      <c r="BP519" s="11" t="s">
        <v>4950</v>
      </c>
      <c r="BQ519" s="11" t="b">
        <v>0</v>
      </c>
      <c r="BS519" s="19" t="s">
        <v>4951</v>
      </c>
      <c r="BT519" s="11" t="b">
        <v>1</v>
      </c>
      <c r="BU519" s="11" t="s">
        <v>2932</v>
      </c>
    </row>
    <row r="520">
      <c r="A520" s="11" t="s">
        <v>4953</v>
      </c>
      <c r="B520" s="11" t="s">
        <v>78</v>
      </c>
      <c r="C520" s="18">
        <v>45925.0</v>
      </c>
      <c r="D520" s="11" t="s">
        <v>104</v>
      </c>
      <c r="E520" s="11" t="s">
        <v>4954</v>
      </c>
      <c r="F520" s="11" t="s">
        <v>4956</v>
      </c>
      <c r="BP520" s="11" t="s">
        <v>4958</v>
      </c>
      <c r="BQ520" s="11" t="b">
        <v>0</v>
      </c>
      <c r="BS520" s="19" t="s">
        <v>4959</v>
      </c>
      <c r="BT520" s="11" t="b">
        <v>1</v>
      </c>
      <c r="BU520" s="11" t="s">
        <v>2932</v>
      </c>
    </row>
    <row r="521">
      <c r="A521" s="11" t="s">
        <v>4962</v>
      </c>
      <c r="B521" s="11" t="s">
        <v>78</v>
      </c>
      <c r="C521" s="18">
        <v>45915.0</v>
      </c>
      <c r="D521" s="11" t="s">
        <v>104</v>
      </c>
      <c r="E521" s="11" t="s">
        <v>4963</v>
      </c>
      <c r="F521" s="11" t="s">
        <v>4965</v>
      </c>
      <c r="BP521" s="11" t="s">
        <v>4967</v>
      </c>
      <c r="BQ521" s="11" t="b">
        <v>0</v>
      </c>
      <c r="BS521" s="19" t="s">
        <v>4968</v>
      </c>
      <c r="BT521" s="11" t="b">
        <v>1</v>
      </c>
      <c r="BU521" s="11" t="s">
        <v>2932</v>
      </c>
    </row>
    <row r="522">
      <c r="A522" s="11" t="s">
        <v>4971</v>
      </c>
      <c r="B522" s="11" t="s">
        <v>78</v>
      </c>
      <c r="C522" s="18">
        <v>45912.0</v>
      </c>
      <c r="D522" s="11" t="s">
        <v>1094</v>
      </c>
      <c r="E522" s="11" t="s">
        <v>4972</v>
      </c>
      <c r="F522" s="11" t="s">
        <v>4973</v>
      </c>
      <c r="BP522" s="11" t="s">
        <v>4975</v>
      </c>
      <c r="BQ522" s="11" t="b">
        <v>0</v>
      </c>
      <c r="BS522" s="19" t="s">
        <v>4976</v>
      </c>
      <c r="BT522" s="11" t="b">
        <v>1</v>
      </c>
      <c r="BU522" s="11" t="s">
        <v>2932</v>
      </c>
    </row>
    <row r="523">
      <c r="A523" s="11" t="s">
        <v>4978</v>
      </c>
      <c r="B523" s="11" t="s">
        <v>78</v>
      </c>
      <c r="C523" s="18">
        <v>45911.0</v>
      </c>
      <c r="D523" s="11" t="s">
        <v>104</v>
      </c>
      <c r="E523" s="11" t="s">
        <v>4980</v>
      </c>
      <c r="F523" s="11" t="s">
        <v>4981</v>
      </c>
      <c r="BP523" s="11" t="s">
        <v>4982</v>
      </c>
      <c r="BQ523" s="11" t="b">
        <v>0</v>
      </c>
      <c r="BS523" s="19" t="s">
        <v>4983</v>
      </c>
      <c r="BT523" s="11" t="b">
        <v>1</v>
      </c>
      <c r="BU523" s="11" t="s">
        <v>2932</v>
      </c>
    </row>
    <row r="524">
      <c r="A524" s="11" t="s">
        <v>4984</v>
      </c>
      <c r="B524" s="11" t="s">
        <v>78</v>
      </c>
      <c r="C524" s="18">
        <v>45920.0</v>
      </c>
      <c r="D524" s="11" t="s">
        <v>85</v>
      </c>
      <c r="E524" s="11" t="s">
        <v>4986</v>
      </c>
      <c r="F524" s="11" t="s">
        <v>4987</v>
      </c>
      <c r="BP524" s="11" t="s">
        <v>4989</v>
      </c>
      <c r="BQ524" s="11" t="b">
        <v>0</v>
      </c>
      <c r="BS524" s="19" t="s">
        <v>4990</v>
      </c>
      <c r="BT524" s="11" t="b">
        <v>1</v>
      </c>
      <c r="BU524" s="11" t="s">
        <v>2932</v>
      </c>
    </row>
    <row r="525">
      <c r="A525" s="11" t="s">
        <v>4991</v>
      </c>
      <c r="B525" s="11" t="s">
        <v>78</v>
      </c>
      <c r="C525" s="18">
        <v>45919.0</v>
      </c>
      <c r="D525" s="11" t="s">
        <v>104</v>
      </c>
      <c r="E525" s="11" t="s">
        <v>4994</v>
      </c>
      <c r="F525" s="11" t="s">
        <v>4727</v>
      </c>
      <c r="BP525" s="11" t="s">
        <v>4996</v>
      </c>
      <c r="BQ525" s="11" t="b">
        <v>0</v>
      </c>
      <c r="BS525" s="19" t="s">
        <v>4998</v>
      </c>
      <c r="BT525" s="11" t="b">
        <v>1</v>
      </c>
      <c r="BU525" s="11" t="s">
        <v>2932</v>
      </c>
    </row>
    <row r="526">
      <c r="A526" s="11" t="s">
        <v>4999</v>
      </c>
      <c r="B526" s="11" t="s">
        <v>78</v>
      </c>
      <c r="C526" s="18">
        <v>45924.0</v>
      </c>
      <c r="D526" s="11" t="s">
        <v>5002</v>
      </c>
      <c r="E526" s="11" t="s">
        <v>5003</v>
      </c>
      <c r="F526" s="11" t="s">
        <v>5004</v>
      </c>
      <c r="BP526" s="11" t="s">
        <v>5006</v>
      </c>
      <c r="BQ526" s="11" t="b">
        <v>0</v>
      </c>
      <c r="BS526" s="19" t="s">
        <v>5007</v>
      </c>
      <c r="BT526" s="11" t="b">
        <v>1</v>
      </c>
      <c r="BU526" s="11" t="s">
        <v>2932</v>
      </c>
    </row>
    <row r="527">
      <c r="A527" s="11" t="s">
        <v>5009</v>
      </c>
      <c r="B527" s="11" t="s">
        <v>78</v>
      </c>
      <c r="C527" s="18">
        <v>45926.0</v>
      </c>
      <c r="D527" s="11" t="s">
        <v>5002</v>
      </c>
      <c r="E527" s="11" t="s">
        <v>5010</v>
      </c>
      <c r="F527" s="11" t="s">
        <v>5011</v>
      </c>
      <c r="BP527" s="11" t="s">
        <v>5013</v>
      </c>
      <c r="BQ527" s="11" t="b">
        <v>0</v>
      </c>
      <c r="BS527" s="19" t="s">
        <v>5014</v>
      </c>
      <c r="BT527" s="11" t="b">
        <v>1</v>
      </c>
      <c r="BU527" s="11" t="s">
        <v>2932</v>
      </c>
    </row>
    <row r="528">
      <c r="A528" s="11" t="s">
        <v>5015</v>
      </c>
      <c r="B528" s="11" t="s">
        <v>78</v>
      </c>
      <c r="C528" s="18">
        <v>45925.0</v>
      </c>
      <c r="D528" s="11" t="s">
        <v>513</v>
      </c>
      <c r="E528" s="11" t="s">
        <v>5018</v>
      </c>
      <c r="F528" s="11" t="s">
        <v>5019</v>
      </c>
      <c r="BP528" s="11" t="s">
        <v>5020</v>
      </c>
      <c r="BQ528" s="11" t="b">
        <v>0</v>
      </c>
      <c r="BS528" s="19" t="s">
        <v>5022</v>
      </c>
      <c r="BT528" s="11" t="b">
        <v>1</v>
      </c>
      <c r="BU528" s="11" t="s">
        <v>2932</v>
      </c>
    </row>
    <row r="529">
      <c r="A529" s="11" t="s">
        <v>5023</v>
      </c>
      <c r="B529" s="11" t="s">
        <v>78</v>
      </c>
      <c r="C529" s="18">
        <v>45925.0</v>
      </c>
      <c r="D529" s="11" t="s">
        <v>3117</v>
      </c>
      <c r="E529" s="11" t="s">
        <v>5025</v>
      </c>
      <c r="F529" s="11" t="s">
        <v>5026</v>
      </c>
      <c r="BP529" s="11" t="s">
        <v>5027</v>
      </c>
      <c r="BQ529" s="11" t="b">
        <v>0</v>
      </c>
      <c r="BS529" s="19" t="s">
        <v>5029</v>
      </c>
      <c r="BT529" s="11" t="b">
        <v>1</v>
      </c>
      <c r="BU529" s="11" t="s">
        <v>2932</v>
      </c>
    </row>
    <row r="530">
      <c r="A530" s="11" t="s">
        <v>5030</v>
      </c>
      <c r="B530" s="11" t="s">
        <v>78</v>
      </c>
      <c r="C530" s="18">
        <v>45923.0</v>
      </c>
      <c r="D530" s="11" t="s">
        <v>237</v>
      </c>
      <c r="E530" s="11" t="s">
        <v>5032</v>
      </c>
      <c r="F530" s="11" t="s">
        <v>5033</v>
      </c>
      <c r="BP530" s="11" t="s">
        <v>5034</v>
      </c>
      <c r="BQ530" s="11" t="b">
        <v>0</v>
      </c>
      <c r="BT530" s="11" t="b">
        <v>0</v>
      </c>
      <c r="BU530" s="11" t="s">
        <v>2932</v>
      </c>
    </row>
    <row r="531">
      <c r="A531" s="11" t="s">
        <v>5036</v>
      </c>
      <c r="B531" s="11" t="s">
        <v>78</v>
      </c>
      <c r="C531" s="18">
        <v>45923.0</v>
      </c>
      <c r="D531" s="11" t="s">
        <v>237</v>
      </c>
      <c r="E531" s="11" t="s">
        <v>5038</v>
      </c>
      <c r="F531" s="11" t="s">
        <v>2291</v>
      </c>
      <c r="BP531" s="11" t="s">
        <v>5039</v>
      </c>
      <c r="BQ531" s="11" t="b">
        <v>0</v>
      </c>
      <c r="BT531" s="11" t="b">
        <v>0</v>
      </c>
      <c r="BU531" s="11" t="s">
        <v>2932</v>
      </c>
      <c r="BW531" s="11" t="s">
        <v>5041</v>
      </c>
      <c r="BX531" s="11" t="s">
        <v>5043</v>
      </c>
    </row>
    <row r="532">
      <c r="A532" s="11" t="s">
        <v>5045</v>
      </c>
      <c r="B532" s="11" t="s">
        <v>78</v>
      </c>
      <c r="C532" s="18">
        <v>45924.0</v>
      </c>
      <c r="D532" s="11" t="s">
        <v>237</v>
      </c>
      <c r="E532" s="11" t="s">
        <v>5046</v>
      </c>
      <c r="F532" s="11" t="s">
        <v>2510</v>
      </c>
      <c r="BP532" s="11" t="s">
        <v>5049</v>
      </c>
      <c r="BQ532" s="11" t="b">
        <v>0</v>
      </c>
      <c r="BT532" s="11" t="b">
        <v>0</v>
      </c>
      <c r="BU532" s="11" t="s">
        <v>2932</v>
      </c>
      <c r="BW532" s="11" t="s">
        <v>5050</v>
      </c>
      <c r="BX532" s="11" t="s">
        <v>5052</v>
      </c>
    </row>
    <row r="533">
      <c r="A533" s="11" t="s">
        <v>5053</v>
      </c>
      <c r="B533" s="11" t="s">
        <v>78</v>
      </c>
      <c r="C533" s="18">
        <v>45918.0</v>
      </c>
      <c r="D533" s="11" t="s">
        <v>739</v>
      </c>
      <c r="E533" s="11" t="s">
        <v>5054</v>
      </c>
      <c r="F533" s="11" t="s">
        <v>5057</v>
      </c>
      <c r="BP533" s="11" t="s">
        <v>5058</v>
      </c>
      <c r="BQ533" s="11" t="b">
        <v>0</v>
      </c>
      <c r="BS533" s="19" t="s">
        <v>5059</v>
      </c>
      <c r="BT533" s="11" t="b">
        <v>1</v>
      </c>
      <c r="BU533" s="11" t="s">
        <v>2932</v>
      </c>
    </row>
    <row r="534">
      <c r="A534" s="11" t="s">
        <v>5061</v>
      </c>
      <c r="B534" s="11" t="s">
        <v>78</v>
      </c>
      <c r="C534" s="18">
        <v>45918.0</v>
      </c>
      <c r="D534" s="11" t="s">
        <v>739</v>
      </c>
      <c r="E534" s="11" t="s">
        <v>5063</v>
      </c>
      <c r="F534" s="11" t="s">
        <v>5064</v>
      </c>
      <c r="BP534" s="11" t="s">
        <v>5065</v>
      </c>
      <c r="BQ534" s="11" t="b">
        <v>0</v>
      </c>
      <c r="BS534" s="19" t="s">
        <v>5066</v>
      </c>
      <c r="BT534" s="11" t="b">
        <v>1</v>
      </c>
      <c r="BU534" s="11" t="s">
        <v>2932</v>
      </c>
    </row>
    <row r="535">
      <c r="A535" s="11" t="s">
        <v>5068</v>
      </c>
      <c r="B535" s="11" t="s">
        <v>78</v>
      </c>
      <c r="C535" s="18">
        <v>45919.0</v>
      </c>
      <c r="D535" s="11" t="s">
        <v>992</v>
      </c>
      <c r="E535" s="11" t="s">
        <v>5071</v>
      </c>
      <c r="F535" s="11" t="s">
        <v>4668</v>
      </c>
      <c r="BP535" s="11" t="s">
        <v>5074</v>
      </c>
      <c r="BQ535" s="11" t="b">
        <v>0</v>
      </c>
      <c r="BS535" s="19" t="s">
        <v>5076</v>
      </c>
      <c r="BT535" s="11" t="b">
        <v>1</v>
      </c>
      <c r="BU535" s="11" t="s">
        <v>2932</v>
      </c>
    </row>
    <row r="536">
      <c r="A536" s="11" t="s">
        <v>5078</v>
      </c>
      <c r="B536" s="11" t="s">
        <v>78</v>
      </c>
      <c r="C536" s="18">
        <v>45922.0</v>
      </c>
      <c r="D536" s="11" t="s">
        <v>2549</v>
      </c>
      <c r="E536" s="11" t="s">
        <v>5080</v>
      </c>
      <c r="F536" s="11" t="s">
        <v>5081</v>
      </c>
      <c r="BP536" s="11" t="s">
        <v>5084</v>
      </c>
      <c r="BQ536" s="11" t="b">
        <v>0</v>
      </c>
      <c r="BS536" s="19" t="s">
        <v>5085</v>
      </c>
      <c r="BT536" s="11" t="b">
        <v>1</v>
      </c>
      <c r="BU536" s="11" t="s">
        <v>2932</v>
      </c>
    </row>
    <row r="537">
      <c r="A537" s="11" t="s">
        <v>5086</v>
      </c>
      <c r="B537" s="11" t="s">
        <v>78</v>
      </c>
      <c r="C537" s="18">
        <v>45924.0</v>
      </c>
      <c r="D537" s="11" t="s">
        <v>992</v>
      </c>
      <c r="E537" s="11" t="s">
        <v>5087</v>
      </c>
      <c r="F537" s="11" t="s">
        <v>4668</v>
      </c>
      <c r="BP537" s="11" t="s">
        <v>5088</v>
      </c>
      <c r="BQ537" s="11" t="b">
        <v>0</v>
      </c>
      <c r="BS537" s="19" t="s">
        <v>5089</v>
      </c>
      <c r="BT537" s="11" t="b">
        <v>1</v>
      </c>
      <c r="BU537" s="11" t="s">
        <v>2932</v>
      </c>
    </row>
    <row r="538">
      <c r="A538" s="11" t="s">
        <v>5090</v>
      </c>
      <c r="B538" s="11" t="s">
        <v>78</v>
      </c>
      <c r="C538" s="18">
        <v>45926.0</v>
      </c>
      <c r="D538" s="11" t="s">
        <v>992</v>
      </c>
      <c r="E538" s="11" t="s">
        <v>5091</v>
      </c>
      <c r="F538" s="11" t="s">
        <v>4668</v>
      </c>
      <c r="BP538" s="11" t="s">
        <v>5092</v>
      </c>
      <c r="BQ538" s="11" t="b">
        <v>0</v>
      </c>
      <c r="BS538" s="19" t="s">
        <v>5029</v>
      </c>
      <c r="BT538" s="11" t="b">
        <v>1</v>
      </c>
      <c r="BU538" s="11" t="s">
        <v>2932</v>
      </c>
    </row>
    <row r="539">
      <c r="A539" s="11" t="s">
        <v>5094</v>
      </c>
      <c r="B539" s="11" t="s">
        <v>78</v>
      </c>
      <c r="C539" s="18">
        <v>45929.0</v>
      </c>
      <c r="D539" s="11" t="s">
        <v>2549</v>
      </c>
      <c r="E539" s="11" t="s">
        <v>5095</v>
      </c>
      <c r="F539" s="11" t="s">
        <v>5097</v>
      </c>
      <c r="BP539" s="11" t="s">
        <v>5100</v>
      </c>
      <c r="BQ539" s="11" t="b">
        <v>0</v>
      </c>
      <c r="BS539" s="19" t="s">
        <v>5101</v>
      </c>
      <c r="BT539" s="11" t="b">
        <v>1</v>
      </c>
      <c r="BU539" s="11" t="s">
        <v>2932</v>
      </c>
    </row>
    <row r="540">
      <c r="A540" s="11" t="s">
        <v>5103</v>
      </c>
      <c r="B540" s="11" t="s">
        <v>78</v>
      </c>
      <c r="C540" s="18">
        <v>45927.0</v>
      </c>
      <c r="D540" s="11" t="s">
        <v>85</v>
      </c>
      <c r="E540" s="11" t="s">
        <v>5104</v>
      </c>
      <c r="F540" s="11" t="s">
        <v>3193</v>
      </c>
      <c r="BP540" s="11" t="s">
        <v>5107</v>
      </c>
      <c r="BQ540" s="11" t="b">
        <v>0</v>
      </c>
      <c r="BS540" s="19" t="s">
        <v>5108</v>
      </c>
      <c r="BT540" s="11" t="b">
        <v>1</v>
      </c>
      <c r="BU540" s="11" t="s">
        <v>2932</v>
      </c>
    </row>
    <row r="541">
      <c r="A541" s="11" t="s">
        <v>5110</v>
      </c>
      <c r="B541" s="11" t="s">
        <v>78</v>
      </c>
      <c r="C541" s="18">
        <v>45930.0</v>
      </c>
      <c r="D541" s="11" t="s">
        <v>104</v>
      </c>
      <c r="E541" s="11" t="s">
        <v>5111</v>
      </c>
      <c r="F541" s="11" t="s">
        <v>380</v>
      </c>
      <c r="BP541" s="11" t="s">
        <v>5114</v>
      </c>
      <c r="BQ541" s="11" t="b">
        <v>0</v>
      </c>
      <c r="BS541" s="19" t="s">
        <v>5115</v>
      </c>
      <c r="BT541" s="11" t="b">
        <v>1</v>
      </c>
      <c r="BU541" s="11" t="s">
        <v>2932</v>
      </c>
    </row>
    <row r="542">
      <c r="A542" s="11" t="s">
        <v>5117</v>
      </c>
      <c r="B542" s="11" t="s">
        <v>78</v>
      </c>
      <c r="C542" s="18">
        <v>45937.0</v>
      </c>
      <c r="D542" s="11" t="s">
        <v>5118</v>
      </c>
      <c r="E542" s="11" t="s">
        <v>5119</v>
      </c>
      <c r="F542" s="11" t="s">
        <v>5121</v>
      </c>
      <c r="BP542" s="11" t="s">
        <v>5123</v>
      </c>
      <c r="BQ542" s="11" t="b">
        <v>0</v>
      </c>
      <c r="BS542" s="19" t="s">
        <v>5124</v>
      </c>
      <c r="BT542" s="11" t="b">
        <v>1</v>
      </c>
      <c r="BU542" s="11" t="s">
        <v>2932</v>
      </c>
    </row>
    <row r="543">
      <c r="A543" s="11" t="s">
        <v>5126</v>
      </c>
      <c r="B543" s="11" t="s">
        <v>78</v>
      </c>
      <c r="C543" s="18">
        <v>45935.0</v>
      </c>
      <c r="D543" s="11" t="s">
        <v>274</v>
      </c>
      <c r="E543" s="11" t="s">
        <v>5128</v>
      </c>
      <c r="F543" s="11" t="s">
        <v>380</v>
      </c>
      <c r="BP543" s="11" t="s">
        <v>5131</v>
      </c>
      <c r="BQ543" s="11" t="b">
        <v>0</v>
      </c>
      <c r="BS543" s="19" t="s">
        <v>5132</v>
      </c>
      <c r="BT543" s="11" t="b">
        <v>1</v>
      </c>
      <c r="BU543" s="11" t="s">
        <v>2932</v>
      </c>
    </row>
    <row r="544">
      <c r="A544" s="11" t="s">
        <v>5134</v>
      </c>
      <c r="B544" s="11" t="s">
        <v>78</v>
      </c>
      <c r="C544" s="18">
        <v>45933.0</v>
      </c>
      <c r="D544" s="11" t="s">
        <v>85</v>
      </c>
      <c r="E544" s="11" t="s">
        <v>5136</v>
      </c>
      <c r="F544" s="11" t="s">
        <v>5139</v>
      </c>
      <c r="BP544" s="11" t="s">
        <v>5141</v>
      </c>
      <c r="BQ544" s="11" t="b">
        <v>0</v>
      </c>
      <c r="BS544" s="19" t="s">
        <v>5143</v>
      </c>
      <c r="BT544" s="11" t="b">
        <v>1</v>
      </c>
      <c r="BU544" s="11" t="s">
        <v>2932</v>
      </c>
    </row>
    <row r="545">
      <c r="A545" s="11" t="s">
        <v>5144</v>
      </c>
      <c r="B545" s="11" t="s">
        <v>78</v>
      </c>
      <c r="C545" s="18">
        <v>45934.0</v>
      </c>
      <c r="D545" s="11" t="s">
        <v>676</v>
      </c>
      <c r="E545" s="11" t="s">
        <v>5147</v>
      </c>
      <c r="F545" s="11" t="s">
        <v>5148</v>
      </c>
      <c r="BP545" s="11" t="s">
        <v>5149</v>
      </c>
      <c r="BQ545" s="11" t="b">
        <v>0</v>
      </c>
      <c r="BS545" s="19" t="s">
        <v>5143</v>
      </c>
      <c r="BT545" s="11" t="b">
        <v>1</v>
      </c>
      <c r="BU545" s="11" t="s">
        <v>2932</v>
      </c>
    </row>
    <row r="546">
      <c r="A546" s="11" t="s">
        <v>5152</v>
      </c>
      <c r="B546" s="11" t="s">
        <v>78</v>
      </c>
      <c r="C546" s="18">
        <v>45935.0</v>
      </c>
      <c r="D546" s="11" t="s">
        <v>85</v>
      </c>
      <c r="E546" s="11" t="s">
        <v>5155</v>
      </c>
      <c r="F546" s="11" t="s">
        <v>902</v>
      </c>
      <c r="BP546" s="11" t="s">
        <v>5157</v>
      </c>
      <c r="BQ546" s="11" t="b">
        <v>0</v>
      </c>
      <c r="BS546" s="19" t="s">
        <v>5158</v>
      </c>
      <c r="BT546" s="11" t="b">
        <v>1</v>
      </c>
      <c r="BU546" s="11" t="s">
        <v>2932</v>
      </c>
    </row>
    <row r="547">
      <c r="A547" s="11" t="s">
        <v>5161</v>
      </c>
      <c r="B547" s="11" t="s">
        <v>78</v>
      </c>
      <c r="C547" s="18">
        <v>45933.0</v>
      </c>
      <c r="D547" s="11" t="s">
        <v>992</v>
      </c>
      <c r="E547" s="11" t="s">
        <v>5162</v>
      </c>
      <c r="F547" s="11" t="s">
        <v>3235</v>
      </c>
      <c r="BP547" s="11" t="s">
        <v>5165</v>
      </c>
      <c r="BQ547" s="11" t="b">
        <v>0</v>
      </c>
      <c r="BS547" s="19" t="s">
        <v>5166</v>
      </c>
      <c r="BT547" s="11" t="b">
        <v>1</v>
      </c>
      <c r="BU547" s="11" t="s">
        <v>2932</v>
      </c>
    </row>
    <row r="548">
      <c r="A548" s="11" t="s">
        <v>5168</v>
      </c>
      <c r="B548" s="11" t="s">
        <v>78</v>
      </c>
      <c r="C548" s="18">
        <v>45935.0</v>
      </c>
      <c r="D548" s="11" t="s">
        <v>992</v>
      </c>
      <c r="E548" s="11" t="s">
        <v>5169</v>
      </c>
      <c r="F548" s="11" t="s">
        <v>3235</v>
      </c>
      <c r="BP548" s="11" t="s">
        <v>5172</v>
      </c>
      <c r="BQ548" s="11" t="b">
        <v>0</v>
      </c>
      <c r="BS548" s="19" t="s">
        <v>5173</v>
      </c>
      <c r="BT548" s="11" t="b">
        <v>1</v>
      </c>
      <c r="BU548" s="11" t="s">
        <v>2932</v>
      </c>
    </row>
    <row r="549">
      <c r="A549" s="11" t="s">
        <v>5175</v>
      </c>
      <c r="B549" s="11" t="s">
        <v>78</v>
      </c>
      <c r="C549" s="18">
        <v>45936.0</v>
      </c>
      <c r="D549" s="11" t="s">
        <v>2549</v>
      </c>
      <c r="E549" s="11" t="s">
        <v>5176</v>
      </c>
      <c r="F549" s="11" t="s">
        <v>5177</v>
      </c>
      <c r="BP549" s="11" t="s">
        <v>5180</v>
      </c>
      <c r="BQ549" s="11" t="b">
        <v>0</v>
      </c>
      <c r="BS549" s="19" t="s">
        <v>5181</v>
      </c>
      <c r="BT549" s="11" t="b">
        <v>1</v>
      </c>
      <c r="BU549" s="11" t="s">
        <v>2932</v>
      </c>
    </row>
    <row r="550">
      <c r="A550" s="11" t="s">
        <v>5182</v>
      </c>
      <c r="B550" s="11" t="s">
        <v>78</v>
      </c>
      <c r="C550" s="18">
        <v>45937.0</v>
      </c>
      <c r="D550" s="11" t="s">
        <v>237</v>
      </c>
      <c r="E550" s="11" t="s">
        <v>5185</v>
      </c>
      <c r="F550" s="11" t="s">
        <v>3259</v>
      </c>
      <c r="BP550" s="11" t="s">
        <v>5187</v>
      </c>
      <c r="BQ550" s="11" t="b">
        <v>0</v>
      </c>
      <c r="BT550" s="11" t="b">
        <v>0</v>
      </c>
      <c r="BU550" s="11" t="s">
        <v>2932</v>
      </c>
      <c r="BW550" s="11" t="s">
        <v>5189</v>
      </c>
      <c r="BX550" s="11" t="s">
        <v>5190</v>
      </c>
    </row>
    <row r="551">
      <c r="A551" s="11" t="s">
        <v>5192</v>
      </c>
      <c r="B551" s="11" t="s">
        <v>78</v>
      </c>
      <c r="C551" s="18">
        <v>45933.0</v>
      </c>
      <c r="D551" s="11" t="s">
        <v>5195</v>
      </c>
      <c r="E551" s="11" t="s">
        <v>5196</v>
      </c>
      <c r="F551" s="11" t="s">
        <v>4917</v>
      </c>
      <c r="BP551" s="11" t="s">
        <v>5198</v>
      </c>
      <c r="BQ551" s="11" t="b">
        <v>0</v>
      </c>
      <c r="BT551" s="11" t="b">
        <v>0</v>
      </c>
      <c r="BU551" s="11" t="s">
        <v>2932</v>
      </c>
    </row>
    <row r="552">
      <c r="A552" s="11" t="s">
        <v>5199</v>
      </c>
      <c r="B552" s="11" t="s">
        <v>78</v>
      </c>
      <c r="C552" s="18">
        <v>45938.0</v>
      </c>
      <c r="D552" s="11" t="s">
        <v>85</v>
      </c>
      <c r="E552" s="11" t="s">
        <v>5202</v>
      </c>
      <c r="F552" s="11" t="s">
        <v>5203</v>
      </c>
      <c r="BP552" s="11" t="s">
        <v>5204</v>
      </c>
      <c r="BQ552" s="11" t="b">
        <v>0</v>
      </c>
      <c r="BS552" s="19" t="s">
        <v>5206</v>
      </c>
      <c r="BT552" s="11" t="b">
        <v>1</v>
      </c>
      <c r="BU552" s="11" t="s">
        <v>2932</v>
      </c>
    </row>
    <row r="553">
      <c r="A553" s="11" t="s">
        <v>5207</v>
      </c>
      <c r="B553" s="11" t="s">
        <v>78</v>
      </c>
      <c r="C553" s="12">
        <v>45941.0</v>
      </c>
      <c r="D553" s="11" t="s">
        <v>104</v>
      </c>
      <c r="E553" s="11" t="s">
        <v>5209</v>
      </c>
      <c r="F553" s="11" t="s">
        <v>5210</v>
      </c>
      <c r="BP553" s="11" t="s">
        <v>5211</v>
      </c>
      <c r="BQ553" s="11" t="b">
        <v>0</v>
      </c>
      <c r="BS553" s="19" t="s">
        <v>5214</v>
      </c>
      <c r="BT553" s="11" t="b">
        <v>1</v>
      </c>
      <c r="BU553" s="11" t="s">
        <v>2932</v>
      </c>
    </row>
    <row r="554">
      <c r="A554" s="11" t="s">
        <v>5215</v>
      </c>
      <c r="B554" s="11" t="s">
        <v>78</v>
      </c>
      <c r="C554" s="18">
        <v>45939.0</v>
      </c>
      <c r="D554" s="11" t="s">
        <v>104</v>
      </c>
      <c r="E554" s="11" t="s">
        <v>5217</v>
      </c>
      <c r="F554" s="11" t="s">
        <v>5218</v>
      </c>
      <c r="BP554" s="11" t="s">
        <v>5219</v>
      </c>
      <c r="BQ554" s="11" t="b">
        <v>0</v>
      </c>
      <c r="BS554" s="19" t="s">
        <v>5221</v>
      </c>
      <c r="BT554" s="11" t="b">
        <v>1</v>
      </c>
      <c r="BU554" s="11" t="s">
        <v>2932</v>
      </c>
    </row>
    <row r="555">
      <c r="A555" s="11" t="s">
        <v>5222</v>
      </c>
      <c r="B555" s="11" t="s">
        <v>78</v>
      </c>
      <c r="C555" s="12">
        <v>45945.0</v>
      </c>
      <c r="D555" s="11" t="s">
        <v>3478</v>
      </c>
      <c r="E555" s="11" t="s">
        <v>5225</v>
      </c>
      <c r="F555" s="11" t="s">
        <v>5226</v>
      </c>
      <c r="BP555" s="11" t="s">
        <v>5227</v>
      </c>
      <c r="BQ555" s="11" t="b">
        <v>0</v>
      </c>
      <c r="BS555" s="19" t="s">
        <v>5229</v>
      </c>
      <c r="BT555" s="11" t="b">
        <v>1</v>
      </c>
      <c r="BU555" s="11" t="s">
        <v>2932</v>
      </c>
    </row>
    <row r="556">
      <c r="A556" s="11" t="s">
        <v>5230</v>
      </c>
      <c r="B556" s="11" t="s">
        <v>78</v>
      </c>
      <c r="C556" s="12">
        <v>45945.0</v>
      </c>
      <c r="D556" s="11" t="s">
        <v>116</v>
      </c>
      <c r="E556" s="11" t="s">
        <v>5232</v>
      </c>
      <c r="F556" s="11" t="s">
        <v>5234</v>
      </c>
      <c r="BP556" s="11" t="s">
        <v>5235</v>
      </c>
      <c r="BQ556" s="11" t="b">
        <v>0</v>
      </c>
      <c r="BS556" s="19" t="s">
        <v>5238</v>
      </c>
      <c r="BT556" s="11" t="b">
        <v>1</v>
      </c>
      <c r="BU556" s="11" t="s">
        <v>2932</v>
      </c>
    </row>
    <row r="557">
      <c r="A557" s="11" t="s">
        <v>5239</v>
      </c>
      <c r="B557" s="11" t="s">
        <v>78</v>
      </c>
      <c r="C557" s="12">
        <v>45945.0</v>
      </c>
      <c r="D557" s="11" t="s">
        <v>5242</v>
      </c>
      <c r="E557" s="11" t="s">
        <v>5243</v>
      </c>
      <c r="F557" s="11" t="s">
        <v>5244</v>
      </c>
      <c r="BP557" s="11" t="s">
        <v>5246</v>
      </c>
      <c r="BQ557" s="11" t="b">
        <v>0</v>
      </c>
      <c r="BS557" s="19" t="s">
        <v>5247</v>
      </c>
      <c r="BT557" s="11" t="b">
        <v>1</v>
      </c>
      <c r="BU557" s="11" t="s">
        <v>2932</v>
      </c>
    </row>
    <row r="558">
      <c r="A558" s="11" t="s">
        <v>5249</v>
      </c>
      <c r="B558" s="11" t="s">
        <v>78</v>
      </c>
      <c r="C558" s="12">
        <v>45945.0</v>
      </c>
      <c r="D558" s="11" t="s">
        <v>104</v>
      </c>
      <c r="E558" s="11" t="s">
        <v>5250</v>
      </c>
      <c r="F558" s="11" t="s">
        <v>5251</v>
      </c>
      <c r="BP558" s="11" t="s">
        <v>5253</v>
      </c>
      <c r="BQ558" s="11" t="b">
        <v>0</v>
      </c>
      <c r="BS558" s="19" t="s">
        <v>5254</v>
      </c>
      <c r="BT558" s="11" t="b">
        <v>1</v>
      </c>
      <c r="BU558" s="11" t="s">
        <v>2932</v>
      </c>
    </row>
    <row r="559">
      <c r="A559" s="11" t="s">
        <v>5256</v>
      </c>
      <c r="B559" s="11" t="s">
        <v>78</v>
      </c>
      <c r="C559" s="12">
        <v>45940.0</v>
      </c>
      <c r="D559" s="11" t="s">
        <v>116</v>
      </c>
      <c r="E559" s="11" t="s">
        <v>5258</v>
      </c>
      <c r="F559" s="11" t="s">
        <v>5259</v>
      </c>
      <c r="BP559" s="11" t="s">
        <v>5262</v>
      </c>
      <c r="BQ559" s="11" t="b">
        <v>0</v>
      </c>
      <c r="BS559" s="19" t="s">
        <v>5263</v>
      </c>
      <c r="BT559" s="11" t="b">
        <v>1</v>
      </c>
      <c r="BU559" s="11" t="s">
        <v>2932</v>
      </c>
    </row>
    <row r="560">
      <c r="A560" s="11" t="s">
        <v>5264</v>
      </c>
      <c r="B560" s="11" t="s">
        <v>78</v>
      </c>
      <c r="C560" s="18">
        <v>45938.0</v>
      </c>
      <c r="D560" s="11" t="s">
        <v>4819</v>
      </c>
      <c r="E560" s="11" t="s">
        <v>5267</v>
      </c>
      <c r="F560" s="11" t="s">
        <v>5268</v>
      </c>
      <c r="BP560" s="11" t="s">
        <v>5269</v>
      </c>
      <c r="BQ560" s="11" t="b">
        <v>0</v>
      </c>
      <c r="BS560" s="19" t="s">
        <v>5271</v>
      </c>
      <c r="BT560" s="11" t="b">
        <v>1</v>
      </c>
      <c r="BU560" s="11" t="s">
        <v>2932</v>
      </c>
    </row>
    <row r="561">
      <c r="A561" s="11" t="s">
        <v>5272</v>
      </c>
      <c r="B561" s="11" t="s">
        <v>78</v>
      </c>
      <c r="C561" s="12">
        <v>45940.0</v>
      </c>
      <c r="D561" s="11" t="s">
        <v>85</v>
      </c>
      <c r="E561" s="11" t="s">
        <v>5275</v>
      </c>
      <c r="F561" s="11" t="s">
        <v>5276</v>
      </c>
      <c r="BP561" s="11" t="s">
        <v>5277</v>
      </c>
      <c r="BQ561" s="11" t="b">
        <v>0</v>
      </c>
      <c r="BS561" s="19" t="s">
        <v>5279</v>
      </c>
      <c r="BT561" s="11" t="b">
        <v>1</v>
      </c>
      <c r="BU561" s="11" t="s">
        <v>2932</v>
      </c>
    </row>
    <row r="562">
      <c r="A562" s="11" t="s">
        <v>5281</v>
      </c>
      <c r="B562" s="11" t="s">
        <v>78</v>
      </c>
      <c r="C562" s="12">
        <v>45944.0</v>
      </c>
      <c r="D562" s="11" t="s">
        <v>817</v>
      </c>
      <c r="E562" s="11" t="s">
        <v>5283</v>
      </c>
      <c r="F562" s="11" t="s">
        <v>4561</v>
      </c>
      <c r="BP562" s="11" t="s">
        <v>5285</v>
      </c>
      <c r="BQ562" s="11" t="b">
        <v>0</v>
      </c>
      <c r="BT562" s="11" t="b">
        <v>0</v>
      </c>
      <c r="BU562" s="11" t="s">
        <v>2932</v>
      </c>
    </row>
    <row r="563">
      <c r="A563" s="11" t="s">
        <v>5287</v>
      </c>
      <c r="B563" s="11" t="s">
        <v>78</v>
      </c>
      <c r="C563" s="18">
        <v>45939.0</v>
      </c>
      <c r="D563" s="11" t="s">
        <v>992</v>
      </c>
      <c r="E563" s="11" t="s">
        <v>5288</v>
      </c>
      <c r="F563" s="11" t="s">
        <v>5289</v>
      </c>
      <c r="BP563" s="11" t="s">
        <v>5291</v>
      </c>
      <c r="BQ563" s="11" t="b">
        <v>0</v>
      </c>
      <c r="BS563" s="19" t="s">
        <v>5292</v>
      </c>
      <c r="BT563" s="11" t="b">
        <v>1</v>
      </c>
      <c r="BU563" s="11" t="s">
        <v>2932</v>
      </c>
    </row>
    <row r="564">
      <c r="A564" s="11" t="s">
        <v>5296</v>
      </c>
      <c r="B564" s="11" t="s">
        <v>78</v>
      </c>
      <c r="C564" s="12">
        <v>45942.0</v>
      </c>
      <c r="D564" s="11" t="s">
        <v>5297</v>
      </c>
      <c r="E564" s="11" t="s">
        <v>5299</v>
      </c>
      <c r="F564" s="11" t="s">
        <v>5300</v>
      </c>
      <c r="BP564" s="11" t="s">
        <v>5301</v>
      </c>
      <c r="BQ564" s="11" t="b">
        <v>0</v>
      </c>
      <c r="BS564" s="19" t="s">
        <v>5303</v>
      </c>
      <c r="BT564" s="11" t="b">
        <v>1</v>
      </c>
      <c r="BU564" s="11" t="s">
        <v>2932</v>
      </c>
    </row>
    <row r="565">
      <c r="A565" s="11" t="s">
        <v>5305</v>
      </c>
      <c r="B565" s="11" t="s">
        <v>78</v>
      </c>
      <c r="C565" s="12">
        <v>45943.0</v>
      </c>
      <c r="D565" s="11" t="s">
        <v>5306</v>
      </c>
      <c r="E565" s="11" t="s">
        <v>5308</v>
      </c>
      <c r="F565" s="11" t="s">
        <v>5309</v>
      </c>
      <c r="BP565" s="11" t="s">
        <v>5310</v>
      </c>
      <c r="BQ565" s="11" t="b">
        <v>0</v>
      </c>
      <c r="BS565" s="19" t="s">
        <v>5311</v>
      </c>
      <c r="BT565" s="11" t="b">
        <v>1</v>
      </c>
      <c r="BU565" s="11" t="s">
        <v>2932</v>
      </c>
    </row>
    <row r="566">
      <c r="A566" s="11" t="s">
        <v>5313</v>
      </c>
      <c r="B566" s="11" t="s">
        <v>78</v>
      </c>
      <c r="C566" s="12">
        <v>45943.0</v>
      </c>
      <c r="D566" s="11" t="s">
        <v>2549</v>
      </c>
      <c r="E566" s="11" t="s">
        <v>5314</v>
      </c>
      <c r="F566" s="11" t="s">
        <v>5315</v>
      </c>
      <c r="BP566" s="11" t="s">
        <v>5317</v>
      </c>
      <c r="BQ566" s="11" t="b">
        <v>0</v>
      </c>
      <c r="BS566" s="19" t="s">
        <v>5318</v>
      </c>
      <c r="BT566" s="11" t="b">
        <v>1</v>
      </c>
      <c r="BU566" s="11" t="s">
        <v>2932</v>
      </c>
    </row>
    <row r="567">
      <c r="A567" s="11" t="s">
        <v>5319</v>
      </c>
      <c r="B567" s="11" t="s">
        <v>78</v>
      </c>
      <c r="C567" s="12">
        <v>45945.0</v>
      </c>
      <c r="D567" s="11" t="s">
        <v>992</v>
      </c>
      <c r="E567" s="11" t="s">
        <v>5322</v>
      </c>
      <c r="F567" s="11" t="s">
        <v>5323</v>
      </c>
      <c r="BP567" s="11" t="s">
        <v>5324</v>
      </c>
      <c r="BQ567" s="11" t="b">
        <v>0</v>
      </c>
      <c r="BS567" s="19" t="s">
        <v>5326</v>
      </c>
      <c r="BT567" s="11" t="b">
        <v>1</v>
      </c>
      <c r="BU567" s="11" t="s">
        <v>2932</v>
      </c>
    </row>
    <row r="568">
      <c r="A568" s="11" t="s">
        <v>5327</v>
      </c>
      <c r="B568" s="11" t="s">
        <v>78</v>
      </c>
      <c r="C568" s="12">
        <v>45945.0</v>
      </c>
      <c r="D568" s="11" t="s">
        <v>237</v>
      </c>
      <c r="E568" s="11" t="s">
        <v>5329</v>
      </c>
      <c r="F568" s="11" t="s">
        <v>2510</v>
      </c>
      <c r="BP568" s="11" t="s">
        <v>5331</v>
      </c>
      <c r="BQ568" s="11" t="b">
        <v>0</v>
      </c>
      <c r="BT568" s="11" t="b">
        <v>0</v>
      </c>
      <c r="BU568" s="11" t="s">
        <v>2932</v>
      </c>
      <c r="BW568" s="11" t="s">
        <v>5333</v>
      </c>
      <c r="BX568" s="11" t="s">
        <v>5335</v>
      </c>
    </row>
    <row r="569">
      <c r="A569" s="11" t="s">
        <v>5336</v>
      </c>
      <c r="B569" s="11" t="s">
        <v>78</v>
      </c>
      <c r="C569" s="12">
        <v>45948.0</v>
      </c>
      <c r="D569" s="11" t="s">
        <v>1251</v>
      </c>
      <c r="E569" s="11" t="s">
        <v>5339</v>
      </c>
      <c r="F569" s="11" t="s">
        <v>3193</v>
      </c>
      <c r="BP569" s="11" t="s">
        <v>5341</v>
      </c>
      <c r="BQ569" s="11" t="b">
        <v>0</v>
      </c>
      <c r="BS569" s="19" t="s">
        <v>5342</v>
      </c>
      <c r="BT569" s="11" t="b">
        <v>1</v>
      </c>
      <c r="BU569" s="11" t="s">
        <v>2932</v>
      </c>
    </row>
    <row r="570">
      <c r="A570" s="11" t="s">
        <v>5343</v>
      </c>
      <c r="B570" s="11" t="s">
        <v>78</v>
      </c>
      <c r="C570" s="12">
        <v>45948.0</v>
      </c>
      <c r="D570" s="11" t="s">
        <v>5345</v>
      </c>
      <c r="E570" s="11" t="s">
        <v>5346</v>
      </c>
      <c r="F570" s="11" t="s">
        <v>5347</v>
      </c>
      <c r="BP570" s="11" t="s">
        <v>5348</v>
      </c>
      <c r="BQ570" s="11" t="b">
        <v>0</v>
      </c>
      <c r="BS570" s="19" t="s">
        <v>5350</v>
      </c>
      <c r="BT570" s="11" t="b">
        <v>1</v>
      </c>
      <c r="BU570" s="11" t="s">
        <v>2932</v>
      </c>
    </row>
    <row r="571">
      <c r="A571" s="11" t="s">
        <v>5351</v>
      </c>
      <c r="B571" s="11" t="s">
        <v>78</v>
      </c>
      <c r="C571" s="12">
        <v>45946.0</v>
      </c>
      <c r="D571" s="11" t="s">
        <v>513</v>
      </c>
      <c r="E571" s="11" t="s">
        <v>5353</v>
      </c>
      <c r="F571" s="11" t="s">
        <v>3250</v>
      </c>
      <c r="BP571" s="11" t="s">
        <v>5354</v>
      </c>
      <c r="BQ571" s="11" t="b">
        <v>0</v>
      </c>
      <c r="BS571" s="19" t="s">
        <v>5355</v>
      </c>
      <c r="BT571" s="11" t="b">
        <v>1</v>
      </c>
      <c r="BU571" s="11" t="s">
        <v>2932</v>
      </c>
    </row>
    <row r="572">
      <c r="A572" s="11" t="s">
        <v>5357</v>
      </c>
      <c r="B572" s="11" t="s">
        <v>78</v>
      </c>
      <c r="C572" s="12">
        <v>45948.0</v>
      </c>
      <c r="D572" s="11" t="s">
        <v>5242</v>
      </c>
      <c r="E572" s="11" t="s">
        <v>5359</v>
      </c>
      <c r="F572" s="11" t="s">
        <v>5360</v>
      </c>
      <c r="BP572" s="11" t="s">
        <v>5361</v>
      </c>
      <c r="BQ572" s="11" t="b">
        <v>0</v>
      </c>
      <c r="BS572" s="19" t="s">
        <v>5362</v>
      </c>
      <c r="BT572" s="11" t="b">
        <v>1</v>
      </c>
      <c r="BU572" s="11" t="s">
        <v>2932</v>
      </c>
    </row>
    <row r="573">
      <c r="A573" s="11" t="s">
        <v>5364</v>
      </c>
      <c r="B573" s="11" t="s">
        <v>78</v>
      </c>
      <c r="C573" s="18">
        <v>45939.0</v>
      </c>
      <c r="D573" s="11" t="s">
        <v>237</v>
      </c>
      <c r="E573" s="11" t="s">
        <v>5365</v>
      </c>
      <c r="F573" s="11" t="s">
        <v>2867</v>
      </c>
      <c r="BP573" s="11" t="s">
        <v>5367</v>
      </c>
      <c r="BQ573" s="11" t="b">
        <v>0</v>
      </c>
      <c r="BT573" s="11" t="b">
        <v>0</v>
      </c>
      <c r="BU573" s="11" t="s">
        <v>2932</v>
      </c>
      <c r="BW573" s="11" t="s">
        <v>5368</v>
      </c>
      <c r="BX573" s="11" t="s">
        <v>5370</v>
      </c>
    </row>
    <row r="574">
      <c r="A574" s="11" t="s">
        <v>5371</v>
      </c>
      <c r="B574" s="11" t="s">
        <v>78</v>
      </c>
      <c r="C574" s="12">
        <v>45954.0</v>
      </c>
      <c r="D574" s="11" t="s">
        <v>5195</v>
      </c>
      <c r="E574" s="11" t="s">
        <v>5372</v>
      </c>
      <c r="F574" s="11" t="s">
        <v>5373</v>
      </c>
      <c r="BP574" s="11" t="s">
        <v>5375</v>
      </c>
      <c r="BQ574" s="11" t="b">
        <v>0</v>
      </c>
      <c r="BT574" s="11" t="b">
        <v>0</v>
      </c>
      <c r="BU574" s="11" t="s">
        <v>2932</v>
      </c>
    </row>
    <row r="575">
      <c r="A575" s="11" t="s">
        <v>5377</v>
      </c>
      <c r="B575" s="11" t="s">
        <v>78</v>
      </c>
      <c r="C575" s="12">
        <v>45950.0</v>
      </c>
      <c r="D575" s="11" t="s">
        <v>237</v>
      </c>
      <c r="E575" s="11" t="s">
        <v>5378</v>
      </c>
      <c r="F575" s="11" t="s">
        <v>2291</v>
      </c>
      <c r="BP575" s="11" t="s">
        <v>5380</v>
      </c>
      <c r="BQ575" s="11" t="b">
        <v>0</v>
      </c>
      <c r="BT575" s="11" t="b">
        <v>0</v>
      </c>
      <c r="BU575" s="11" t="s">
        <v>2932</v>
      </c>
      <c r="BW575" s="11" t="s">
        <v>5381</v>
      </c>
      <c r="BX575" s="11" t="s">
        <v>5383</v>
      </c>
    </row>
    <row r="576">
      <c r="A576" s="11" t="s">
        <v>5384</v>
      </c>
      <c r="B576" s="11" t="s">
        <v>78</v>
      </c>
      <c r="C576" s="12">
        <v>45952.0</v>
      </c>
      <c r="D576" s="11" t="s">
        <v>237</v>
      </c>
      <c r="E576" s="11" t="s">
        <v>5385</v>
      </c>
      <c r="F576" s="11" t="s">
        <v>2510</v>
      </c>
      <c r="BP576" s="11" t="s">
        <v>5388</v>
      </c>
      <c r="BQ576" s="11" t="b">
        <v>0</v>
      </c>
      <c r="BT576" s="11" t="b">
        <v>0</v>
      </c>
      <c r="BU576" s="11" t="s">
        <v>2932</v>
      </c>
      <c r="BW576" s="11" t="s">
        <v>5390</v>
      </c>
    </row>
    <row r="577">
      <c r="A577" s="11" t="s">
        <v>5391</v>
      </c>
      <c r="B577" s="11" t="s">
        <v>78</v>
      </c>
      <c r="C577" s="12">
        <v>45954.0</v>
      </c>
      <c r="D577" s="11" t="s">
        <v>104</v>
      </c>
      <c r="E577" s="11" t="s">
        <v>5393</v>
      </c>
      <c r="F577" s="11" t="s">
        <v>5394</v>
      </c>
      <c r="BP577" s="11" t="s">
        <v>5395</v>
      </c>
      <c r="BQ577" s="11" t="b">
        <v>0</v>
      </c>
      <c r="BS577" s="19" t="s">
        <v>5397</v>
      </c>
      <c r="BT577" s="11" t="b">
        <v>1</v>
      </c>
      <c r="BU577" s="11" t="s">
        <v>2932</v>
      </c>
    </row>
    <row r="578">
      <c r="A578" s="11" t="s">
        <v>5398</v>
      </c>
      <c r="B578" s="11" t="s">
        <v>78</v>
      </c>
      <c r="C578" s="12">
        <v>45954.0</v>
      </c>
      <c r="D578" s="11" t="s">
        <v>85</v>
      </c>
      <c r="E578" s="11" t="s">
        <v>5400</v>
      </c>
      <c r="F578" s="11" t="s">
        <v>5401</v>
      </c>
      <c r="BP578" s="11" t="s">
        <v>5403</v>
      </c>
      <c r="BQ578" s="11" t="b">
        <v>0</v>
      </c>
      <c r="BS578" s="19" t="s">
        <v>5404</v>
      </c>
      <c r="BT578" s="11" t="b">
        <v>1</v>
      </c>
      <c r="BU578" s="11" t="s">
        <v>2932</v>
      </c>
    </row>
    <row r="579">
      <c r="A579" s="11" t="s">
        <v>5406</v>
      </c>
      <c r="B579" s="11" t="s">
        <v>78</v>
      </c>
      <c r="C579" s="12">
        <v>45947.0</v>
      </c>
      <c r="D579" s="11" t="s">
        <v>992</v>
      </c>
      <c r="E579" s="11" t="s">
        <v>5407</v>
      </c>
      <c r="F579" s="11" t="s">
        <v>5408</v>
      </c>
      <c r="BP579" s="11" t="s">
        <v>5410</v>
      </c>
      <c r="BQ579" s="11" t="b">
        <v>0</v>
      </c>
      <c r="BS579" s="19" t="s">
        <v>5411</v>
      </c>
      <c r="BT579" s="11" t="b">
        <v>1</v>
      </c>
      <c r="BU579" s="11" t="s">
        <v>2932</v>
      </c>
    </row>
    <row r="580">
      <c r="A580" s="11" t="s">
        <v>5413</v>
      </c>
      <c r="B580" s="11" t="s">
        <v>78</v>
      </c>
      <c r="C580" s="12">
        <v>45949.0</v>
      </c>
      <c r="D580" s="11" t="s">
        <v>2549</v>
      </c>
      <c r="E580" s="11" t="s">
        <v>5416</v>
      </c>
      <c r="F580" s="11" t="s">
        <v>5417</v>
      </c>
      <c r="BP580" s="11" t="s">
        <v>5419</v>
      </c>
      <c r="BQ580" s="11" t="b">
        <v>0</v>
      </c>
      <c r="BS580" s="19" t="s">
        <v>5420</v>
      </c>
      <c r="BT580" s="11" t="b">
        <v>1</v>
      </c>
      <c r="BU580" s="11" t="s">
        <v>2932</v>
      </c>
    </row>
    <row r="581">
      <c r="A581" s="11" t="s">
        <v>5422</v>
      </c>
      <c r="B581" s="11" t="s">
        <v>78</v>
      </c>
      <c r="C581" s="12">
        <v>45950.0</v>
      </c>
      <c r="D581" s="11" t="s">
        <v>992</v>
      </c>
      <c r="E581" s="11" t="s">
        <v>5424</v>
      </c>
      <c r="F581" s="11" t="s">
        <v>5408</v>
      </c>
      <c r="BP581" s="11" t="s">
        <v>5425</v>
      </c>
      <c r="BQ581" s="11" t="b">
        <v>0</v>
      </c>
      <c r="BS581" s="19" t="s">
        <v>5428</v>
      </c>
      <c r="BT581" s="11" t="b">
        <v>1</v>
      </c>
      <c r="BU581" s="11" t="s">
        <v>2932</v>
      </c>
    </row>
    <row r="582">
      <c r="A582" s="11" t="s">
        <v>5429</v>
      </c>
      <c r="B582" s="11" t="s">
        <v>78</v>
      </c>
      <c r="C582" s="12">
        <v>45954.0</v>
      </c>
      <c r="D582" s="11" t="s">
        <v>992</v>
      </c>
      <c r="E582" s="11" t="s">
        <v>5432</v>
      </c>
      <c r="F582" s="11" t="s">
        <v>5433</v>
      </c>
      <c r="BP582" s="11" t="s">
        <v>5435</v>
      </c>
      <c r="BQ582" s="11" t="b">
        <v>0</v>
      </c>
      <c r="BS582" s="19" t="s">
        <v>5437</v>
      </c>
      <c r="BT582" s="11" t="b">
        <v>1</v>
      </c>
      <c r="BU582" s="11" t="s">
        <v>2932</v>
      </c>
    </row>
    <row r="583">
      <c r="A583" s="11" t="s">
        <v>5438</v>
      </c>
      <c r="B583" s="11" t="s">
        <v>78</v>
      </c>
      <c r="C583" s="12">
        <v>45956.0</v>
      </c>
      <c r="D583" s="19" t="s">
        <v>5442</v>
      </c>
      <c r="E583" s="11" t="s">
        <v>5443</v>
      </c>
      <c r="F583" s="11" t="s">
        <v>5445</v>
      </c>
      <c r="BP583" s="11" t="s">
        <v>5447</v>
      </c>
      <c r="BQ583" s="11" t="b">
        <v>0</v>
      </c>
      <c r="BS583" s="19" t="s">
        <v>5448</v>
      </c>
      <c r="BT583" s="11" t="b">
        <v>1</v>
      </c>
      <c r="BU583" s="11" t="s">
        <v>2932</v>
      </c>
    </row>
    <row r="584">
      <c r="A584" s="11" t="s">
        <v>1857</v>
      </c>
      <c r="B584" s="11" t="s">
        <v>78</v>
      </c>
      <c r="C584" s="23">
        <v>45932.0</v>
      </c>
      <c r="F584" s="11" t="s">
        <v>2638</v>
      </c>
      <c r="G584" s="11" t="s">
        <v>376</v>
      </c>
      <c r="H584" s="11">
        <v>1.0</v>
      </c>
      <c r="I584" s="20">
        <v>3136.22</v>
      </c>
      <c r="J584" s="20">
        <v>3136.22</v>
      </c>
      <c r="BO584" s="20">
        <v>3136.22</v>
      </c>
      <c r="BQ584" s="11" t="b">
        <v>1</v>
      </c>
      <c r="BR584" s="20">
        <v>3136.22</v>
      </c>
      <c r="BU584" s="11" t="s">
        <v>187</v>
      </c>
      <c r="BV584" s="11" t="s">
        <v>225</v>
      </c>
    </row>
    <row r="585">
      <c r="A585" s="11" t="s">
        <v>1859</v>
      </c>
      <c r="B585" s="11" t="s">
        <v>78</v>
      </c>
      <c r="C585" s="23">
        <v>45932.0</v>
      </c>
      <c r="F585" s="11" t="s">
        <v>2638</v>
      </c>
      <c r="G585" s="11" t="s">
        <v>376</v>
      </c>
      <c r="H585" s="11">
        <v>1.0</v>
      </c>
      <c r="I585" s="20">
        <v>1517.65</v>
      </c>
      <c r="J585" s="20">
        <v>1517.65</v>
      </c>
      <c r="BO585" s="20">
        <v>1517.65</v>
      </c>
      <c r="BQ585" s="11" t="b">
        <v>1</v>
      </c>
      <c r="BR585" s="20">
        <v>1517.65</v>
      </c>
      <c r="BU585" s="11" t="s">
        <v>187</v>
      </c>
      <c r="BV585" s="11" t="s">
        <v>113</v>
      </c>
    </row>
    <row r="586">
      <c r="A586" s="11" t="s">
        <v>1861</v>
      </c>
      <c r="B586" s="11" t="s">
        <v>78</v>
      </c>
      <c r="C586" s="23">
        <v>45932.0</v>
      </c>
      <c r="F586" s="11" t="s">
        <v>2638</v>
      </c>
      <c r="G586" s="11" t="s">
        <v>376</v>
      </c>
      <c r="H586" s="11">
        <v>1.0</v>
      </c>
      <c r="I586" s="20">
        <v>1851.79</v>
      </c>
      <c r="J586" s="20">
        <v>1851.79</v>
      </c>
      <c r="BO586" s="20">
        <v>1851.79</v>
      </c>
      <c r="BQ586" s="11" t="b">
        <v>1</v>
      </c>
      <c r="BR586" s="20">
        <v>1851.79</v>
      </c>
      <c r="BU586" s="11" t="s">
        <v>187</v>
      </c>
      <c r="BV586" s="11" t="s">
        <v>3739</v>
      </c>
    </row>
    <row r="587">
      <c r="A587" s="11" t="s">
        <v>1863</v>
      </c>
      <c r="B587" s="11" t="s">
        <v>78</v>
      </c>
      <c r="C587" s="23">
        <v>45931.0</v>
      </c>
      <c r="D587" s="11" t="s">
        <v>5465</v>
      </c>
      <c r="F587" s="11" t="s">
        <v>5466</v>
      </c>
      <c r="G587" s="11" t="s">
        <v>795</v>
      </c>
      <c r="H587" s="11">
        <v>1.0</v>
      </c>
      <c r="I587" s="20">
        <v>50.0</v>
      </c>
      <c r="J587" s="20">
        <v>50.0</v>
      </c>
      <c r="BO587" s="20">
        <v>50.0</v>
      </c>
      <c r="BQ587" s="11" t="b">
        <v>1</v>
      </c>
      <c r="BR587" s="20">
        <v>50.0</v>
      </c>
      <c r="BU587" s="11" t="s">
        <v>235</v>
      </c>
    </row>
    <row r="588">
      <c r="A588" s="11" t="s">
        <v>1865</v>
      </c>
      <c r="B588" s="11" t="s">
        <v>78</v>
      </c>
      <c r="C588" s="23">
        <v>45932.0</v>
      </c>
      <c r="D588" s="11" t="s">
        <v>5472</v>
      </c>
      <c r="F588" s="11" t="s">
        <v>5473</v>
      </c>
      <c r="G588" s="11" t="s">
        <v>1867</v>
      </c>
      <c r="H588" s="11">
        <v>1.0</v>
      </c>
      <c r="I588" s="20">
        <v>95.57</v>
      </c>
      <c r="J588" s="20">
        <v>95.57</v>
      </c>
      <c r="BO588" s="20">
        <v>95.57</v>
      </c>
      <c r="BQ588" s="11" t="b">
        <v>1</v>
      </c>
      <c r="BR588" s="20">
        <v>95.57</v>
      </c>
      <c r="BU588" s="11" t="s">
        <v>187</v>
      </c>
    </row>
    <row r="589">
      <c r="A589" s="11" t="s">
        <v>1871</v>
      </c>
      <c r="B589" s="11" t="s">
        <v>78</v>
      </c>
      <c r="C589" s="23">
        <v>45936.0</v>
      </c>
      <c r="D589" s="11" t="s">
        <v>582</v>
      </c>
      <c r="F589" s="11" t="s">
        <v>5478</v>
      </c>
      <c r="G589" s="11" t="s">
        <v>609</v>
      </c>
      <c r="H589" s="11">
        <v>1.0</v>
      </c>
      <c r="I589" s="20">
        <v>4250.0</v>
      </c>
      <c r="J589" s="20">
        <v>4250.0</v>
      </c>
      <c r="BO589" s="20">
        <v>4250.0</v>
      </c>
      <c r="BQ589" s="11" t="b">
        <v>1</v>
      </c>
      <c r="BR589" s="20">
        <v>4250.0</v>
      </c>
      <c r="BU589" s="11" t="s">
        <v>235</v>
      </c>
    </row>
    <row r="590">
      <c r="A590" s="11" t="s">
        <v>1873</v>
      </c>
      <c r="B590" s="11" t="s">
        <v>78</v>
      </c>
      <c r="C590" s="23">
        <v>45937.0</v>
      </c>
      <c r="D590" s="11" t="s">
        <v>237</v>
      </c>
      <c r="F590" s="11" t="s">
        <v>5484</v>
      </c>
      <c r="G590" s="11" t="s">
        <v>1874</v>
      </c>
      <c r="H590" s="11">
        <v>1.0</v>
      </c>
      <c r="I590" s="20">
        <v>36.91</v>
      </c>
      <c r="J590" s="20">
        <v>36.91</v>
      </c>
      <c r="BO590" s="20">
        <v>36.91</v>
      </c>
      <c r="BQ590" s="11" t="b">
        <v>1</v>
      </c>
      <c r="BR590" s="20">
        <v>36.91</v>
      </c>
      <c r="BU590" s="11" t="s">
        <v>187</v>
      </c>
    </row>
    <row r="591">
      <c r="A591" s="11" t="s">
        <v>1877</v>
      </c>
      <c r="B591" s="11" t="s">
        <v>78</v>
      </c>
      <c r="C591" s="23">
        <v>45937.0</v>
      </c>
      <c r="D591" s="11" t="s">
        <v>5487</v>
      </c>
      <c r="F591" s="11" t="s">
        <v>5489</v>
      </c>
      <c r="G591" s="11" t="s">
        <v>788</v>
      </c>
      <c r="H591" s="11">
        <v>1.0</v>
      </c>
      <c r="I591" s="20">
        <v>2509.63</v>
      </c>
      <c r="J591" s="20">
        <v>2509.63</v>
      </c>
      <c r="BO591" s="20">
        <v>2509.63</v>
      </c>
      <c r="BQ591" s="11" t="b">
        <v>1</v>
      </c>
      <c r="BR591" s="20">
        <v>2509.63</v>
      </c>
      <c r="BU591" s="11" t="s">
        <v>187</v>
      </c>
    </row>
    <row r="592">
      <c r="A592" s="11" t="s">
        <v>1880</v>
      </c>
      <c r="B592" s="11" t="s">
        <v>78</v>
      </c>
      <c r="C592" s="23">
        <v>45937.0</v>
      </c>
      <c r="D592" s="11" t="s">
        <v>237</v>
      </c>
      <c r="F592" s="11" t="s">
        <v>5492</v>
      </c>
      <c r="G592" s="11" t="s">
        <v>788</v>
      </c>
      <c r="H592" s="11">
        <v>1.0</v>
      </c>
      <c r="I592" s="20">
        <v>12957.17</v>
      </c>
      <c r="J592" s="20">
        <v>12957.17</v>
      </c>
      <c r="BO592" s="20">
        <v>12957.17</v>
      </c>
      <c r="BQ592" s="11" t="b">
        <v>1</v>
      </c>
      <c r="BR592" s="20">
        <v>12957.17</v>
      </c>
      <c r="BU592" s="11" t="s">
        <v>187</v>
      </c>
    </row>
    <row r="593">
      <c r="A593" s="11" t="s">
        <v>1882</v>
      </c>
      <c r="B593" s="11" t="s">
        <v>78</v>
      </c>
      <c r="C593" s="23">
        <v>45938.0</v>
      </c>
      <c r="D593" s="11" t="s">
        <v>5496</v>
      </c>
      <c r="F593" s="11" t="s">
        <v>5497</v>
      </c>
      <c r="G593" s="11" t="s">
        <v>1884</v>
      </c>
      <c r="H593" s="11">
        <v>1.0</v>
      </c>
      <c r="I593" s="20">
        <v>2308.5</v>
      </c>
      <c r="J593" s="20">
        <v>2308.5</v>
      </c>
      <c r="BO593" s="20">
        <v>2308.5</v>
      </c>
      <c r="BQ593" s="11" t="b">
        <v>1</v>
      </c>
      <c r="BR593" s="20">
        <v>2308.5</v>
      </c>
      <c r="BU593" s="11" t="s">
        <v>235</v>
      </c>
    </row>
    <row r="594">
      <c r="A594" s="11" t="s">
        <v>1886</v>
      </c>
      <c r="B594" s="11" t="s">
        <v>78</v>
      </c>
      <c r="C594" s="23">
        <v>45937.0</v>
      </c>
      <c r="D594" s="11" t="s">
        <v>237</v>
      </c>
      <c r="F594" s="11" t="s">
        <v>5501</v>
      </c>
      <c r="G594" s="11" t="s">
        <v>788</v>
      </c>
      <c r="H594" s="11">
        <v>1.0</v>
      </c>
      <c r="I594" s="20">
        <v>1049.75</v>
      </c>
      <c r="J594" s="20">
        <v>1049.75</v>
      </c>
      <c r="BO594" s="20">
        <v>1049.75</v>
      </c>
      <c r="BQ594" s="11" t="b">
        <v>1</v>
      </c>
      <c r="BR594" s="20">
        <v>1049.75</v>
      </c>
      <c r="BU594" s="11" t="s">
        <v>187</v>
      </c>
    </row>
    <row r="595">
      <c r="A595" s="11" t="s">
        <v>1889</v>
      </c>
      <c r="B595" s="11" t="s">
        <v>78</v>
      </c>
      <c r="C595" s="23">
        <v>45939.0</v>
      </c>
      <c r="D595" s="11" t="s">
        <v>4510</v>
      </c>
      <c r="F595" s="11" t="s">
        <v>5505</v>
      </c>
      <c r="G595" s="11" t="s">
        <v>419</v>
      </c>
      <c r="H595" s="11">
        <v>1.0</v>
      </c>
      <c r="I595" s="20">
        <v>829.44</v>
      </c>
      <c r="J595" s="20">
        <v>829.44</v>
      </c>
      <c r="BO595" s="20">
        <v>829.44</v>
      </c>
      <c r="BQ595" s="11" t="b">
        <v>1</v>
      </c>
      <c r="BR595" s="20">
        <v>829.44</v>
      </c>
      <c r="BU595" s="11" t="s">
        <v>187</v>
      </c>
    </row>
    <row r="596">
      <c r="A596" s="11" t="s">
        <v>1892</v>
      </c>
      <c r="B596" s="11" t="s">
        <v>78</v>
      </c>
      <c r="C596" s="23">
        <v>45937.0</v>
      </c>
      <c r="D596" s="11" t="s">
        <v>176</v>
      </c>
      <c r="F596" s="11" t="s">
        <v>1440</v>
      </c>
      <c r="G596" s="11" t="s">
        <v>179</v>
      </c>
      <c r="H596" s="11">
        <v>1.0</v>
      </c>
      <c r="I596" s="20">
        <v>500.0</v>
      </c>
      <c r="J596" s="20">
        <v>500.0</v>
      </c>
      <c r="BO596" s="20">
        <v>500.0</v>
      </c>
      <c r="BQ596" s="11" t="b">
        <v>1</v>
      </c>
      <c r="BR596" s="20">
        <v>500.0</v>
      </c>
      <c r="BU596" s="11" t="s">
        <v>187</v>
      </c>
    </row>
    <row r="597">
      <c r="A597" s="11" t="s">
        <v>1895</v>
      </c>
      <c r="B597" s="11" t="s">
        <v>78</v>
      </c>
      <c r="C597" s="23">
        <v>45937.0</v>
      </c>
      <c r="D597" s="20">
        <v>3.6037127E7</v>
      </c>
      <c r="F597" s="11" t="s">
        <v>2162</v>
      </c>
      <c r="G597" s="11" t="s">
        <v>1726</v>
      </c>
      <c r="H597" s="11">
        <v>1.0</v>
      </c>
      <c r="I597" s="20">
        <v>120.0</v>
      </c>
      <c r="J597" s="20">
        <v>120.0</v>
      </c>
      <c r="BO597" s="20">
        <v>120.0</v>
      </c>
      <c r="BQ597" s="11" t="b">
        <v>1</v>
      </c>
      <c r="BR597" s="20">
        <v>120.0</v>
      </c>
      <c r="BU597" s="11" t="s">
        <v>187</v>
      </c>
    </row>
    <row r="598">
      <c r="A598" s="11" t="s">
        <v>1897</v>
      </c>
      <c r="B598" s="11" t="s">
        <v>78</v>
      </c>
      <c r="C598" s="23">
        <v>45937.0</v>
      </c>
      <c r="D598" s="11" t="s">
        <v>2509</v>
      </c>
      <c r="F598" s="11" t="s">
        <v>2638</v>
      </c>
      <c r="G598" s="11" t="s">
        <v>1898</v>
      </c>
      <c r="H598" s="11">
        <v>1.0</v>
      </c>
      <c r="I598" s="20">
        <v>104.4</v>
      </c>
      <c r="J598" s="20">
        <v>104.4</v>
      </c>
      <c r="BO598" s="20">
        <v>104.4</v>
      </c>
      <c r="BQ598" s="11" t="b">
        <v>1</v>
      </c>
      <c r="BR598" s="20">
        <v>104.4</v>
      </c>
      <c r="BU598" s="11" t="s">
        <v>187</v>
      </c>
    </row>
    <row r="599">
      <c r="A599" s="11" t="s">
        <v>1901</v>
      </c>
      <c r="B599" s="11" t="s">
        <v>78</v>
      </c>
      <c r="C599" s="23">
        <v>45937.0</v>
      </c>
      <c r="D599" s="11" t="s">
        <v>1676</v>
      </c>
      <c r="F599" s="11" t="s">
        <v>2802</v>
      </c>
      <c r="G599" s="11" t="s">
        <v>1902</v>
      </c>
      <c r="H599" s="11">
        <v>1.0</v>
      </c>
      <c r="I599" s="20">
        <v>1381.2</v>
      </c>
      <c r="J599" s="20">
        <v>1381.2</v>
      </c>
      <c r="BO599" s="20">
        <v>1381.2</v>
      </c>
      <c r="BQ599" s="11" t="b">
        <v>1</v>
      </c>
      <c r="BR599" s="20">
        <v>1381.2</v>
      </c>
      <c r="BU599" s="11" t="s">
        <v>187</v>
      </c>
    </row>
    <row r="600">
      <c r="A600" s="11" t="s">
        <v>1905</v>
      </c>
      <c r="B600" s="11" t="s">
        <v>78</v>
      </c>
      <c r="C600" s="23">
        <v>45938.0</v>
      </c>
      <c r="D600" s="11" t="s">
        <v>2535</v>
      </c>
      <c r="F600" s="11" t="s">
        <v>2638</v>
      </c>
      <c r="G600" s="11" t="s">
        <v>1906</v>
      </c>
      <c r="H600" s="11">
        <v>1.0</v>
      </c>
      <c r="I600" s="20">
        <v>59.97</v>
      </c>
      <c r="J600" s="20">
        <v>59.97</v>
      </c>
      <c r="BO600" s="20">
        <v>59.97</v>
      </c>
      <c r="BQ600" s="11" t="b">
        <v>1</v>
      </c>
      <c r="BR600" s="20">
        <v>59.97</v>
      </c>
      <c r="BU600" s="11" t="s">
        <v>187</v>
      </c>
    </row>
    <row r="601">
      <c r="A601" s="11" t="s">
        <v>1908</v>
      </c>
      <c r="B601" s="11" t="s">
        <v>78</v>
      </c>
      <c r="C601" s="23">
        <v>45937.0</v>
      </c>
      <c r="D601" s="11" t="s">
        <v>415</v>
      </c>
      <c r="F601" s="11" t="s">
        <v>5524</v>
      </c>
      <c r="G601" s="11" t="s">
        <v>1909</v>
      </c>
      <c r="H601" s="11">
        <v>1.0</v>
      </c>
      <c r="I601" s="20">
        <v>99.0</v>
      </c>
      <c r="J601" s="20">
        <v>99.0</v>
      </c>
      <c r="BO601" s="20">
        <v>99.0</v>
      </c>
      <c r="BQ601" s="11" t="b">
        <v>1</v>
      </c>
      <c r="BR601" s="20">
        <v>99.0</v>
      </c>
      <c r="BU601" s="11" t="s">
        <v>187</v>
      </c>
    </row>
    <row r="602">
      <c r="A602" s="11" t="s">
        <v>1911</v>
      </c>
      <c r="B602" s="11" t="s">
        <v>78</v>
      </c>
      <c r="C602" s="23">
        <v>45940.0</v>
      </c>
      <c r="F602" s="11" t="s">
        <v>783</v>
      </c>
      <c r="G602" s="11" t="s">
        <v>350</v>
      </c>
      <c r="H602" s="11">
        <v>1.0</v>
      </c>
      <c r="I602" s="20">
        <v>480.0</v>
      </c>
      <c r="J602" s="20">
        <v>480.0</v>
      </c>
      <c r="BO602" s="20">
        <v>480.0</v>
      </c>
      <c r="BQ602" s="11" t="b">
        <v>1</v>
      </c>
      <c r="BR602" s="20">
        <v>480.0</v>
      </c>
      <c r="BU602" s="11" t="s">
        <v>187</v>
      </c>
      <c r="BV602" s="11" t="s">
        <v>113</v>
      </c>
    </row>
    <row r="603">
      <c r="A603" s="11" t="s">
        <v>1915</v>
      </c>
      <c r="B603" s="11" t="s">
        <v>78</v>
      </c>
      <c r="C603" s="23">
        <v>45945.0</v>
      </c>
      <c r="D603" s="11" t="s">
        <v>5533</v>
      </c>
      <c r="F603" s="11" t="s">
        <v>5534</v>
      </c>
      <c r="G603" s="11" t="s">
        <v>1917</v>
      </c>
      <c r="H603" s="11">
        <v>1.0</v>
      </c>
      <c r="I603" s="20">
        <v>72.5</v>
      </c>
      <c r="J603" s="20">
        <v>72.5</v>
      </c>
      <c r="BO603" s="20">
        <v>72.5</v>
      </c>
      <c r="BQ603" s="11" t="b">
        <v>1</v>
      </c>
      <c r="BR603" s="20">
        <v>72.5</v>
      </c>
      <c r="BU603" s="11" t="s">
        <v>235</v>
      </c>
    </row>
    <row r="604">
      <c r="A604" s="11" t="s">
        <v>1919</v>
      </c>
      <c r="B604" s="11" t="s">
        <v>78</v>
      </c>
      <c r="C604" s="23">
        <v>45943.0</v>
      </c>
      <c r="D604" s="11" t="s">
        <v>547</v>
      </c>
      <c r="F604" s="11" t="s">
        <v>973</v>
      </c>
      <c r="G604" s="11" t="s">
        <v>975</v>
      </c>
      <c r="H604" s="11">
        <v>1.0</v>
      </c>
      <c r="I604" s="20">
        <v>1045.0</v>
      </c>
      <c r="J604" s="20">
        <v>1045.0</v>
      </c>
      <c r="BO604" s="20">
        <v>1045.0</v>
      </c>
      <c r="BQ604" s="11" t="b">
        <v>1</v>
      </c>
      <c r="BR604" s="20">
        <v>1045.0</v>
      </c>
      <c r="BU604" s="11" t="s">
        <v>187</v>
      </c>
    </row>
    <row r="605">
      <c r="A605" s="11" t="s">
        <v>1921</v>
      </c>
      <c r="B605" s="11" t="s">
        <v>78</v>
      </c>
      <c r="C605" s="23">
        <v>45943.0</v>
      </c>
      <c r="D605" s="11" t="s">
        <v>547</v>
      </c>
      <c r="F605" s="11" t="s">
        <v>964</v>
      </c>
      <c r="G605" s="11" t="s">
        <v>648</v>
      </c>
      <c r="H605" s="11">
        <v>1.0</v>
      </c>
      <c r="I605" s="20">
        <v>625.0</v>
      </c>
      <c r="J605" s="20">
        <v>625.0</v>
      </c>
      <c r="BO605" s="20">
        <v>625.0</v>
      </c>
      <c r="BQ605" s="11" t="b">
        <v>1</v>
      </c>
      <c r="BR605" s="20">
        <v>625.0</v>
      </c>
      <c r="BU605" s="11" t="s">
        <v>187</v>
      </c>
    </row>
    <row r="606">
      <c r="A606" s="11" t="s">
        <v>1923</v>
      </c>
      <c r="B606" s="11" t="s">
        <v>78</v>
      </c>
      <c r="C606" s="23">
        <v>45943.0</v>
      </c>
      <c r="D606" s="11" t="s">
        <v>547</v>
      </c>
      <c r="F606" s="11" t="s">
        <v>955</v>
      </c>
      <c r="G606" s="11" t="s">
        <v>957</v>
      </c>
      <c r="H606" s="11">
        <v>1.0</v>
      </c>
      <c r="I606" s="20">
        <v>375.0</v>
      </c>
      <c r="J606" s="20">
        <v>375.0</v>
      </c>
      <c r="BO606" s="20">
        <v>375.0</v>
      </c>
      <c r="BQ606" s="11" t="b">
        <v>1</v>
      </c>
      <c r="BR606" s="20">
        <v>375.0</v>
      </c>
      <c r="BU606" s="11" t="s">
        <v>187</v>
      </c>
    </row>
    <row r="607">
      <c r="A607" s="11" t="s">
        <v>1926</v>
      </c>
      <c r="B607" s="11" t="s">
        <v>78</v>
      </c>
      <c r="C607" s="23">
        <v>45943.0</v>
      </c>
      <c r="D607" s="11" t="s">
        <v>192</v>
      </c>
      <c r="F607" s="11" t="s">
        <v>195</v>
      </c>
      <c r="G607" s="11" t="s">
        <v>196</v>
      </c>
      <c r="H607" s="11">
        <v>1.0</v>
      </c>
      <c r="I607" s="20">
        <v>2500.0</v>
      </c>
      <c r="J607" s="20">
        <v>2500.0</v>
      </c>
      <c r="BO607" s="20">
        <v>2500.0</v>
      </c>
      <c r="BQ607" s="11" t="b">
        <v>1</v>
      </c>
      <c r="BR607" s="20">
        <v>2500.0</v>
      </c>
      <c r="BU607" s="11" t="s">
        <v>187</v>
      </c>
    </row>
    <row r="608">
      <c r="A608" s="11" t="s">
        <v>1929</v>
      </c>
      <c r="B608" s="11" t="s">
        <v>78</v>
      </c>
      <c r="C608" s="23">
        <v>45943.0</v>
      </c>
      <c r="D608" s="11" t="s">
        <v>1217</v>
      </c>
      <c r="F608" s="11" t="s">
        <v>1218</v>
      </c>
      <c r="G608" s="11" t="s">
        <v>502</v>
      </c>
      <c r="H608" s="11">
        <v>1.0</v>
      </c>
      <c r="I608" s="20">
        <v>131.9</v>
      </c>
      <c r="J608" s="20">
        <v>131.9</v>
      </c>
      <c r="BO608" s="20">
        <v>131.9</v>
      </c>
      <c r="BQ608" s="11" t="b">
        <v>1</v>
      </c>
      <c r="BR608" s="20">
        <v>131.9</v>
      </c>
      <c r="BU608" s="11" t="s">
        <v>187</v>
      </c>
    </row>
    <row r="609">
      <c r="A609" s="11" t="s">
        <v>1931</v>
      </c>
      <c r="B609" s="11" t="s">
        <v>78</v>
      </c>
      <c r="C609" s="23">
        <v>45943.0</v>
      </c>
      <c r="D609" s="11" t="s">
        <v>415</v>
      </c>
      <c r="F609" s="11" t="s">
        <v>5552</v>
      </c>
      <c r="G609" s="11" t="s">
        <v>1497</v>
      </c>
      <c r="H609" s="11">
        <v>1.0</v>
      </c>
      <c r="I609" s="20">
        <v>253.0</v>
      </c>
      <c r="J609" s="20">
        <v>253.0</v>
      </c>
      <c r="BO609" s="20">
        <v>253.0</v>
      </c>
      <c r="BQ609" s="11" t="b">
        <v>1</v>
      </c>
      <c r="BR609" s="20">
        <v>253.0</v>
      </c>
      <c r="BU609" s="11" t="s">
        <v>187</v>
      </c>
    </row>
    <row r="610">
      <c r="A610" s="11" t="s">
        <v>1934</v>
      </c>
      <c r="B610" s="11" t="s">
        <v>78</v>
      </c>
      <c r="C610" s="23">
        <v>45943.0</v>
      </c>
      <c r="D610" s="11" t="s">
        <v>1046</v>
      </c>
      <c r="F610" s="11" t="s">
        <v>2638</v>
      </c>
      <c r="G610" s="11" t="s">
        <v>1936</v>
      </c>
      <c r="H610" s="11">
        <v>1.0</v>
      </c>
      <c r="I610" s="20">
        <v>877.04</v>
      </c>
      <c r="J610" s="20">
        <v>877.04</v>
      </c>
      <c r="BO610" s="20">
        <v>877.04</v>
      </c>
      <c r="BQ610" s="11" t="b">
        <v>1</v>
      </c>
      <c r="BR610" s="20">
        <v>877.04</v>
      </c>
      <c r="BU610" s="11" t="s">
        <v>187</v>
      </c>
    </row>
    <row r="611">
      <c r="A611" s="11" t="s">
        <v>1939</v>
      </c>
      <c r="B611" s="11" t="s">
        <v>78</v>
      </c>
      <c r="C611" s="23">
        <v>45943.0</v>
      </c>
      <c r="D611" s="11" t="s">
        <v>404</v>
      </c>
      <c r="F611" s="11" t="s">
        <v>5569</v>
      </c>
      <c r="G611" s="11">
        <v>7.9792017E7</v>
      </c>
      <c r="H611" s="11">
        <v>1.0</v>
      </c>
      <c r="I611" s="20">
        <v>1178.55</v>
      </c>
      <c r="J611" s="20">
        <v>1178.55</v>
      </c>
      <c r="BO611" s="20">
        <v>1178.55</v>
      </c>
      <c r="BQ611" s="11" t="b">
        <v>1</v>
      </c>
      <c r="BR611" s="20">
        <v>1178.55</v>
      </c>
      <c r="BU611" s="11" t="s">
        <v>187</v>
      </c>
    </row>
    <row r="612">
      <c r="A612" s="11">
        <v>1551.0</v>
      </c>
      <c r="B612" s="11" t="s">
        <v>78</v>
      </c>
      <c r="C612" s="23">
        <v>45947.0</v>
      </c>
      <c r="D612" s="11" t="s">
        <v>1046</v>
      </c>
      <c r="F612" s="11" t="s">
        <v>1557</v>
      </c>
      <c r="G612" s="11" t="s">
        <v>1049</v>
      </c>
      <c r="H612" s="11">
        <v>1.0</v>
      </c>
      <c r="I612" s="20">
        <v>7597.32</v>
      </c>
      <c r="J612" s="20">
        <v>7597.32</v>
      </c>
      <c r="BO612" s="20">
        <v>7597.32</v>
      </c>
      <c r="BQ612" s="11" t="b">
        <v>1</v>
      </c>
      <c r="BR612" s="20">
        <v>7597.32</v>
      </c>
      <c r="BU612" s="11" t="s">
        <v>187</v>
      </c>
    </row>
    <row r="613">
      <c r="A613" s="11">
        <v>1552.0</v>
      </c>
      <c r="B613" s="11" t="s">
        <v>78</v>
      </c>
      <c r="C613" s="23">
        <v>45943.0</v>
      </c>
      <c r="D613" s="11" t="s">
        <v>1046</v>
      </c>
      <c r="F613" s="11" t="s">
        <v>2638</v>
      </c>
      <c r="G613" s="11" t="s">
        <v>1944</v>
      </c>
      <c r="H613" s="11">
        <v>1.0</v>
      </c>
      <c r="I613" s="20">
        <v>558.41</v>
      </c>
      <c r="J613" s="20">
        <v>558.41</v>
      </c>
      <c r="BO613" s="20">
        <v>558.41</v>
      </c>
      <c r="BQ613" s="11" t="b">
        <v>1</v>
      </c>
      <c r="BR613" s="20">
        <v>558.41</v>
      </c>
      <c r="BU613" s="11" t="s">
        <v>187</v>
      </c>
    </row>
    <row r="614">
      <c r="A614" s="11" t="s">
        <v>1947</v>
      </c>
      <c r="B614" s="11" t="s">
        <v>78</v>
      </c>
      <c r="C614" s="23">
        <v>45949.0</v>
      </c>
      <c r="F614" s="11" t="s">
        <v>783</v>
      </c>
      <c r="G614" s="11" t="s">
        <v>350</v>
      </c>
      <c r="H614" s="11">
        <v>1.0</v>
      </c>
      <c r="I614" s="20">
        <v>500.0</v>
      </c>
      <c r="J614" s="20">
        <v>500.0</v>
      </c>
      <c r="BO614" s="20">
        <v>500.0</v>
      </c>
      <c r="BQ614" s="11" t="b">
        <v>1</v>
      </c>
      <c r="BR614" s="20">
        <v>500.0</v>
      </c>
      <c r="BU614" s="11" t="s">
        <v>187</v>
      </c>
      <c r="BV614" s="11" t="s">
        <v>126</v>
      </c>
    </row>
    <row r="615">
      <c r="A615" s="11" t="s">
        <v>1951</v>
      </c>
      <c r="B615" s="11" t="s">
        <v>78</v>
      </c>
      <c r="C615" s="23">
        <v>45950.0</v>
      </c>
      <c r="D615" s="11" t="s">
        <v>4544</v>
      </c>
      <c r="F615" s="11" t="s">
        <v>5592</v>
      </c>
      <c r="G615" s="11" t="s">
        <v>527</v>
      </c>
      <c r="H615" s="11">
        <v>1.0</v>
      </c>
      <c r="I615" s="20">
        <v>80.0</v>
      </c>
      <c r="J615" s="20">
        <v>80.0</v>
      </c>
      <c r="BO615" s="20">
        <v>80.0</v>
      </c>
      <c r="BQ615" s="11" t="b">
        <v>1</v>
      </c>
      <c r="BR615" s="20">
        <v>80.0</v>
      </c>
      <c r="BU615" s="11" t="s">
        <v>235</v>
      </c>
    </row>
    <row r="616">
      <c r="A616" s="11" t="s">
        <v>1954</v>
      </c>
      <c r="B616" s="11" t="s">
        <v>78</v>
      </c>
      <c r="C616" s="23">
        <v>45950.0</v>
      </c>
      <c r="D616" s="11" t="s">
        <v>5487</v>
      </c>
      <c r="F616" s="11" t="s">
        <v>5599</v>
      </c>
      <c r="G616" s="11" t="s">
        <v>788</v>
      </c>
      <c r="H616" s="11">
        <v>1.0</v>
      </c>
      <c r="I616" s="20">
        <v>1521.94</v>
      </c>
      <c r="J616" s="20">
        <v>1521.94</v>
      </c>
      <c r="BO616" s="20">
        <v>1521.94</v>
      </c>
      <c r="BQ616" s="11" t="b">
        <v>1</v>
      </c>
      <c r="BR616" s="20">
        <v>1521.94</v>
      </c>
      <c r="BU616" s="11" t="s">
        <v>187</v>
      </c>
    </row>
    <row r="617">
      <c r="A617" s="11" t="s">
        <v>1956</v>
      </c>
      <c r="B617" s="11" t="s">
        <v>78</v>
      </c>
      <c r="C617" s="23">
        <v>45950.0</v>
      </c>
      <c r="D617" s="11" t="s">
        <v>237</v>
      </c>
      <c r="F617" s="11" t="s">
        <v>5607</v>
      </c>
      <c r="G617" s="11" t="s">
        <v>1958</v>
      </c>
      <c r="H617" s="11">
        <v>1.0</v>
      </c>
      <c r="I617" s="20">
        <v>4749.09</v>
      </c>
      <c r="J617" s="20">
        <v>4749.09</v>
      </c>
      <c r="BO617" s="20">
        <v>4749.09</v>
      </c>
      <c r="BQ617" s="11" t="b">
        <v>1</v>
      </c>
      <c r="BR617" s="20">
        <v>4749.09</v>
      </c>
      <c r="BU617" s="11" t="s">
        <v>187</v>
      </c>
    </row>
    <row r="618">
      <c r="A618" s="11" t="s">
        <v>1962</v>
      </c>
      <c r="B618" s="11" t="s">
        <v>78</v>
      </c>
      <c r="C618" s="23">
        <v>45950.0</v>
      </c>
      <c r="D618" s="11" t="s">
        <v>237</v>
      </c>
      <c r="F618" s="11" t="s">
        <v>5615</v>
      </c>
      <c r="G618" s="11" t="s">
        <v>1958</v>
      </c>
      <c r="H618" s="11">
        <v>1.0</v>
      </c>
      <c r="I618" s="20">
        <v>1030.77</v>
      </c>
      <c r="J618" s="20">
        <v>1030.77</v>
      </c>
      <c r="BO618" s="20">
        <v>1030.77</v>
      </c>
      <c r="BQ618" s="11" t="b">
        <v>1</v>
      </c>
      <c r="BR618" s="20">
        <v>1030.77</v>
      </c>
      <c r="BU618" s="11" t="s">
        <v>187</v>
      </c>
    </row>
    <row r="619">
      <c r="A619" s="11" t="s">
        <v>1966</v>
      </c>
      <c r="B619" s="11" t="s">
        <v>78</v>
      </c>
      <c r="C619" s="23">
        <v>45950.0</v>
      </c>
      <c r="D619" s="11" t="s">
        <v>451</v>
      </c>
      <c r="F619" s="11" t="s">
        <v>5628</v>
      </c>
      <c r="G619" s="11">
        <v>7.9792017E7</v>
      </c>
      <c r="H619" s="11">
        <v>1.0</v>
      </c>
      <c r="I619" s="20">
        <v>1196.41</v>
      </c>
      <c r="J619" s="20">
        <v>1196.41</v>
      </c>
      <c r="BO619" s="20">
        <v>1196.41</v>
      </c>
      <c r="BQ619" s="11" t="b">
        <v>1</v>
      </c>
      <c r="BR619" s="20">
        <v>1196.41</v>
      </c>
      <c r="BU619" s="11" t="s">
        <v>187</v>
      </c>
    </row>
    <row r="620">
      <c r="A620" s="11" t="s">
        <v>1970</v>
      </c>
      <c r="B620" s="11" t="s">
        <v>78</v>
      </c>
      <c r="C620" s="23">
        <v>45950.0</v>
      </c>
      <c r="D620" s="11" t="s">
        <v>415</v>
      </c>
      <c r="F620" s="11" t="s">
        <v>5636</v>
      </c>
      <c r="G620" s="11" t="s">
        <v>1971</v>
      </c>
      <c r="H620" s="11">
        <v>1.0</v>
      </c>
      <c r="I620" s="20">
        <v>317.34</v>
      </c>
      <c r="J620" s="20">
        <v>317.34</v>
      </c>
      <c r="BO620" s="20">
        <v>317.34</v>
      </c>
      <c r="BQ620" s="11" t="b">
        <v>1</v>
      </c>
      <c r="BR620" s="20">
        <v>317.34</v>
      </c>
      <c r="BU620" s="11" t="s">
        <v>187</v>
      </c>
    </row>
    <row r="621">
      <c r="A621" s="11" t="s">
        <v>1975</v>
      </c>
      <c r="B621" s="11" t="s">
        <v>78</v>
      </c>
      <c r="C621" s="23">
        <v>45950.0</v>
      </c>
      <c r="D621" s="11" t="s">
        <v>1567</v>
      </c>
      <c r="F621" s="11" t="s">
        <v>5636</v>
      </c>
      <c r="G621" s="11" t="s">
        <v>1971</v>
      </c>
      <c r="H621" s="11">
        <v>1.0</v>
      </c>
      <c r="I621" s="20">
        <v>371.54</v>
      </c>
      <c r="J621" s="20">
        <v>371.54</v>
      </c>
      <c r="BO621" s="20">
        <v>371.54</v>
      </c>
      <c r="BQ621" s="11" t="b">
        <v>1</v>
      </c>
      <c r="BR621" s="20">
        <v>371.54</v>
      </c>
      <c r="BU621" s="11" t="s">
        <v>187</v>
      </c>
    </row>
    <row r="622">
      <c r="A622" s="11" t="s">
        <v>1979</v>
      </c>
      <c r="B622" s="11" t="s">
        <v>78</v>
      </c>
      <c r="C622" s="23">
        <v>45950.0</v>
      </c>
      <c r="D622" s="11" t="s">
        <v>404</v>
      </c>
      <c r="F622" s="11" t="s">
        <v>5660</v>
      </c>
      <c r="G622" s="11">
        <v>7.9792017E7</v>
      </c>
      <c r="H622" s="11">
        <v>1.0</v>
      </c>
      <c r="I622" s="20">
        <v>45.7</v>
      </c>
      <c r="J622" s="20">
        <v>45.7</v>
      </c>
      <c r="BO622" s="20">
        <v>45.7</v>
      </c>
      <c r="BQ622" s="11" t="b">
        <v>1</v>
      </c>
      <c r="BR622" s="20">
        <v>45.7</v>
      </c>
      <c r="BU622" s="11" t="s">
        <v>187</v>
      </c>
    </row>
    <row r="623">
      <c r="A623" s="11">
        <v>1566.0</v>
      </c>
      <c r="B623" s="11" t="s">
        <v>78</v>
      </c>
      <c r="C623" s="23">
        <v>45950.0</v>
      </c>
      <c r="D623" s="11" t="s">
        <v>415</v>
      </c>
      <c r="F623" s="23">
        <v>45931.0</v>
      </c>
      <c r="G623" s="11" t="s">
        <v>1971</v>
      </c>
      <c r="H623" s="11">
        <v>1.0</v>
      </c>
      <c r="I623" s="20">
        <v>190.34</v>
      </c>
      <c r="J623" s="20">
        <v>190.34</v>
      </c>
      <c r="BO623" s="20">
        <v>190.34</v>
      </c>
      <c r="BQ623" s="11" t="b">
        <v>1</v>
      </c>
      <c r="BR623" s="20">
        <v>190.34</v>
      </c>
      <c r="BU623" s="11" t="s">
        <v>187</v>
      </c>
    </row>
    <row r="624">
      <c r="A624" s="11">
        <v>1567.0</v>
      </c>
      <c r="B624" s="11" t="s">
        <v>78</v>
      </c>
      <c r="C624" s="23">
        <v>45950.0</v>
      </c>
      <c r="D624" s="11" t="s">
        <v>1567</v>
      </c>
      <c r="F624" s="23">
        <v>45717.0</v>
      </c>
      <c r="G624" s="11" t="s">
        <v>1971</v>
      </c>
      <c r="H624" s="11">
        <v>1.0</v>
      </c>
      <c r="I624" s="20">
        <v>52.36</v>
      </c>
      <c r="J624" s="20">
        <v>52.36</v>
      </c>
      <c r="BO624" s="20">
        <v>52.36</v>
      </c>
      <c r="BQ624" s="11" t="b">
        <v>1</v>
      </c>
      <c r="BR624" s="20">
        <v>52.36</v>
      </c>
      <c r="BU624" s="11" t="s">
        <v>187</v>
      </c>
    </row>
    <row r="625">
      <c r="A625" s="11" t="s">
        <v>1988</v>
      </c>
      <c r="B625" s="11" t="s">
        <v>78</v>
      </c>
      <c r="C625" s="23">
        <v>45958.0</v>
      </c>
      <c r="D625" s="11" t="s">
        <v>5465</v>
      </c>
      <c r="F625" s="11" t="s">
        <v>5708</v>
      </c>
      <c r="G625" s="11">
        <v>2.3273172E7</v>
      </c>
      <c r="H625" s="11">
        <v>1.0</v>
      </c>
      <c r="I625" s="20">
        <v>700.0</v>
      </c>
      <c r="J625" s="20">
        <v>700.0</v>
      </c>
      <c r="BO625" s="20">
        <v>700.0</v>
      </c>
      <c r="BQ625" s="11" t="b">
        <v>1</v>
      </c>
      <c r="BR625" s="20">
        <v>700.0</v>
      </c>
      <c r="BU625" s="11" t="s">
        <v>187</v>
      </c>
    </row>
    <row r="626">
      <c r="A626" s="11" t="s">
        <v>1992</v>
      </c>
      <c r="B626" s="11" t="s">
        <v>78</v>
      </c>
      <c r="C626" s="23">
        <v>45958.0</v>
      </c>
      <c r="D626" s="11" t="s">
        <v>237</v>
      </c>
      <c r="F626" s="11" t="s">
        <v>5719</v>
      </c>
      <c r="G626" s="11" t="s">
        <v>1958</v>
      </c>
      <c r="H626" s="11">
        <v>1.0</v>
      </c>
      <c r="I626" s="20">
        <v>285.6</v>
      </c>
      <c r="J626" s="20">
        <v>285.6</v>
      </c>
      <c r="BO626" s="20">
        <v>285.6</v>
      </c>
      <c r="BQ626" s="11" t="b">
        <v>1</v>
      </c>
      <c r="BR626" s="20">
        <v>285.6</v>
      </c>
      <c r="BU626" s="11" t="s">
        <v>187</v>
      </c>
    </row>
    <row r="627">
      <c r="A627" s="11">
        <v>1569.0</v>
      </c>
      <c r="B627" s="11" t="s">
        <v>78</v>
      </c>
      <c r="F627" s="11" t="s">
        <v>681</v>
      </c>
      <c r="G627" s="11" t="s">
        <v>376</v>
      </c>
      <c r="H627" s="11">
        <v>1.0</v>
      </c>
      <c r="I627" s="20">
        <v>3498.0</v>
      </c>
      <c r="J627" s="20">
        <v>3498.0</v>
      </c>
      <c r="BO627" s="20">
        <v>3498.0</v>
      </c>
      <c r="BQ627" s="11" t="b">
        <v>0</v>
      </c>
      <c r="BR627" s="20">
        <v>3498.0</v>
      </c>
      <c r="BU627" s="11" t="s">
        <v>187</v>
      </c>
      <c r="BV627" s="11" t="s">
        <v>685</v>
      </c>
    </row>
    <row r="628">
      <c r="A628" s="11">
        <v>1570.0</v>
      </c>
      <c r="B628" s="11" t="s">
        <v>78</v>
      </c>
      <c r="F628" s="11" t="s">
        <v>687</v>
      </c>
      <c r="G628" s="11" t="s">
        <v>376</v>
      </c>
      <c r="H628" s="11">
        <v>1.0</v>
      </c>
      <c r="I628" s="20">
        <v>292.0</v>
      </c>
      <c r="J628" s="20">
        <v>292.0</v>
      </c>
      <c r="BO628" s="20">
        <v>292.0</v>
      </c>
      <c r="BQ628" s="11" t="b">
        <v>0</v>
      </c>
      <c r="BR628" s="20">
        <v>292.0</v>
      </c>
      <c r="BU628" s="11" t="s">
        <v>187</v>
      </c>
      <c r="BV628" s="11" t="s">
        <v>3675</v>
      </c>
    </row>
    <row r="629">
      <c r="A629" s="11">
        <v>1571.0</v>
      </c>
      <c r="B629" s="11" t="s">
        <v>78</v>
      </c>
      <c r="F629" s="11" t="s">
        <v>687</v>
      </c>
      <c r="G629" s="11" t="s">
        <v>376</v>
      </c>
      <c r="H629" s="11">
        <v>1.0</v>
      </c>
      <c r="I629" s="20">
        <v>292.0</v>
      </c>
      <c r="J629" s="20">
        <v>292.0</v>
      </c>
      <c r="BO629" s="20">
        <v>292.0</v>
      </c>
      <c r="BQ629" s="11" t="b">
        <v>0</v>
      </c>
      <c r="BR629" s="20">
        <v>292.0</v>
      </c>
      <c r="BU629" s="11" t="s">
        <v>187</v>
      </c>
      <c r="BV629" s="11" t="s">
        <v>704</v>
      </c>
    </row>
    <row r="630">
      <c r="A630" s="11">
        <v>1572.0</v>
      </c>
      <c r="B630" s="11" t="s">
        <v>78</v>
      </c>
      <c r="C630" s="23">
        <v>45958.0</v>
      </c>
      <c r="D630" s="11" t="s">
        <v>415</v>
      </c>
      <c r="F630" s="11" t="s">
        <v>1015</v>
      </c>
      <c r="G630" s="11" t="s">
        <v>1017</v>
      </c>
      <c r="H630" s="11">
        <v>1.0</v>
      </c>
      <c r="I630" s="20">
        <v>22.0</v>
      </c>
      <c r="J630" s="20">
        <v>22.0</v>
      </c>
      <c r="BO630" s="20">
        <v>22.0</v>
      </c>
      <c r="BQ630" s="11" t="b">
        <v>1</v>
      </c>
      <c r="BR630" s="20">
        <v>22.0</v>
      </c>
      <c r="BU630" s="11" t="s">
        <v>187</v>
      </c>
    </row>
    <row r="631">
      <c r="A631" s="11">
        <v>1573.0</v>
      </c>
      <c r="B631" s="11" t="s">
        <v>78</v>
      </c>
      <c r="C631" s="23">
        <v>45958.0</v>
      </c>
      <c r="D631" s="11" t="s">
        <v>415</v>
      </c>
      <c r="F631" s="11" t="s">
        <v>1022</v>
      </c>
      <c r="G631" s="11" t="s">
        <v>1023</v>
      </c>
      <c r="H631" s="11">
        <v>1.0</v>
      </c>
      <c r="I631" s="20">
        <v>10.0</v>
      </c>
      <c r="J631" s="20">
        <v>10.0</v>
      </c>
      <c r="BO631" s="20">
        <v>10.0</v>
      </c>
      <c r="BQ631" s="11" t="b">
        <v>1</v>
      </c>
      <c r="BR631" s="20">
        <v>10.0</v>
      </c>
      <c r="BU631" s="11" t="s">
        <v>187</v>
      </c>
    </row>
    <row r="632">
      <c r="A632" s="11">
        <v>1574.0</v>
      </c>
      <c r="B632" s="11" t="s">
        <v>78</v>
      </c>
      <c r="C632" s="23">
        <v>45958.0</v>
      </c>
      <c r="D632" s="11" t="s">
        <v>629</v>
      </c>
      <c r="F632" s="11" t="s">
        <v>633</v>
      </c>
      <c r="G632" s="11" t="s">
        <v>1870</v>
      </c>
      <c r="H632" s="11">
        <v>1.0</v>
      </c>
      <c r="I632" s="20">
        <v>2430.62</v>
      </c>
      <c r="J632" s="20">
        <v>2430.62</v>
      </c>
      <c r="BO632" s="20">
        <v>2430.62</v>
      </c>
      <c r="BQ632" s="11" t="b">
        <v>1</v>
      </c>
      <c r="BR632" s="20">
        <v>2430.62</v>
      </c>
      <c r="BU632" s="11" t="s">
        <v>187</v>
      </c>
    </row>
    <row r="633">
      <c r="A633" s="11">
        <v>1575.0</v>
      </c>
      <c r="B633" s="11" t="s">
        <v>78</v>
      </c>
      <c r="F633" s="11" t="s">
        <v>2638</v>
      </c>
      <c r="G633" s="11" t="s">
        <v>376</v>
      </c>
      <c r="H633" s="11">
        <v>1.0</v>
      </c>
      <c r="I633" s="20">
        <v>1.0</v>
      </c>
      <c r="J633" s="20">
        <v>1.0</v>
      </c>
      <c r="BO633" s="20">
        <v>1.0</v>
      </c>
      <c r="BQ633" s="11" t="b">
        <v>0</v>
      </c>
      <c r="BR633" s="20">
        <v>1.0</v>
      </c>
      <c r="BU633" s="11" t="s">
        <v>187</v>
      </c>
      <c r="BV633" s="11" t="s">
        <v>225</v>
      </c>
    </row>
    <row r="634">
      <c r="A634" s="11">
        <v>1576.0</v>
      </c>
      <c r="B634" s="11" t="s">
        <v>78</v>
      </c>
      <c r="F634" s="11" t="s">
        <v>2638</v>
      </c>
      <c r="G634" s="11" t="s">
        <v>376</v>
      </c>
      <c r="H634" s="11">
        <v>1.0</v>
      </c>
      <c r="I634" s="20">
        <v>1.0</v>
      </c>
      <c r="J634" s="20">
        <v>1.0</v>
      </c>
      <c r="BO634" s="20">
        <v>1.0</v>
      </c>
      <c r="BQ634" s="11" t="b">
        <v>0</v>
      </c>
      <c r="BR634" s="20">
        <v>1.0</v>
      </c>
      <c r="BU634" s="11" t="s">
        <v>187</v>
      </c>
      <c r="BV634" s="11" t="s">
        <v>113</v>
      </c>
    </row>
    <row r="635">
      <c r="A635" s="11">
        <v>1577.0</v>
      </c>
      <c r="B635" s="11" t="s">
        <v>78</v>
      </c>
      <c r="F635" s="11" t="s">
        <v>2638</v>
      </c>
      <c r="G635" s="11" t="s">
        <v>376</v>
      </c>
      <c r="H635" s="11">
        <v>1.0</v>
      </c>
      <c r="I635" s="20">
        <v>1.0</v>
      </c>
      <c r="J635" s="20">
        <v>1.0</v>
      </c>
      <c r="BO635" s="20">
        <v>1.0</v>
      </c>
      <c r="BQ635" s="11" t="b">
        <v>0</v>
      </c>
      <c r="BR635" s="20">
        <v>1.0</v>
      </c>
      <c r="BU635" s="11" t="s">
        <v>187</v>
      </c>
      <c r="BV635" s="11" t="s">
        <v>2055</v>
      </c>
    </row>
    <row r="636">
      <c r="A636" s="11">
        <v>1578.0</v>
      </c>
      <c r="B636" s="11" t="s">
        <v>78</v>
      </c>
      <c r="F636" s="11" t="s">
        <v>2638</v>
      </c>
      <c r="G636" s="11" t="s">
        <v>376</v>
      </c>
      <c r="H636" s="11">
        <v>1.0</v>
      </c>
      <c r="I636" s="20">
        <v>1.0</v>
      </c>
      <c r="J636" s="20">
        <v>1.0</v>
      </c>
      <c r="BO636" s="20">
        <v>1.0</v>
      </c>
      <c r="BQ636" s="11" t="b">
        <v>0</v>
      </c>
      <c r="BR636" s="20">
        <v>1.0</v>
      </c>
      <c r="BU636" s="11" t="s">
        <v>187</v>
      </c>
      <c r="BV636" s="11" t="s">
        <v>3739</v>
      </c>
    </row>
    <row r="637">
      <c r="A637" s="11">
        <v>1.71608141E8</v>
      </c>
      <c r="B637" s="11" t="s">
        <v>78</v>
      </c>
      <c r="C637" s="23">
        <v>45958.0</v>
      </c>
      <c r="D637" s="11" t="s">
        <v>451</v>
      </c>
      <c r="F637" s="11" t="s">
        <v>5801</v>
      </c>
      <c r="G637" s="11">
        <v>7.9792017E7</v>
      </c>
      <c r="H637" s="11">
        <v>1.0</v>
      </c>
      <c r="I637" s="20">
        <v>82.03</v>
      </c>
      <c r="J637" s="20">
        <v>82.03</v>
      </c>
      <c r="BO637" s="20">
        <v>82.03</v>
      </c>
      <c r="BQ637" s="11" t="b">
        <v>1</v>
      </c>
      <c r="BR637" s="20">
        <v>82.03</v>
      </c>
      <c r="BU637" s="11" t="s">
        <v>187</v>
      </c>
    </row>
    <row r="638">
      <c r="A638" s="11" t="s">
        <v>2038</v>
      </c>
      <c r="B638" s="11" t="s">
        <v>78</v>
      </c>
      <c r="C638" s="23">
        <v>45958.0</v>
      </c>
      <c r="D638" s="11" t="s">
        <v>237</v>
      </c>
      <c r="F638" s="11" t="s">
        <v>5805</v>
      </c>
      <c r="G638" s="11" t="s">
        <v>2040</v>
      </c>
      <c r="H638" s="11">
        <v>1.0</v>
      </c>
      <c r="I638" s="20">
        <v>3195.9</v>
      </c>
      <c r="J638" s="20">
        <v>3195.9</v>
      </c>
      <c r="BO638" s="20">
        <v>3195.9</v>
      </c>
      <c r="BQ638" s="11" t="b">
        <v>1</v>
      </c>
      <c r="BR638" s="20">
        <v>3195.9</v>
      </c>
      <c r="BU638" s="11" t="s">
        <v>187</v>
      </c>
    </row>
    <row r="639">
      <c r="A639" s="11" t="s">
        <v>2043</v>
      </c>
      <c r="B639" s="11" t="s">
        <v>78</v>
      </c>
      <c r="D639" s="11" t="s">
        <v>237</v>
      </c>
      <c r="F639" s="11" t="s">
        <v>5808</v>
      </c>
      <c r="G639" s="11" t="s">
        <v>1958</v>
      </c>
      <c r="H639" s="11">
        <v>1.0</v>
      </c>
      <c r="I639" s="20">
        <v>1176.13</v>
      </c>
      <c r="J639" s="20">
        <v>1176.13</v>
      </c>
      <c r="BO639" s="20">
        <v>1176.13</v>
      </c>
      <c r="BQ639" s="11" t="b">
        <v>0</v>
      </c>
      <c r="BR639" s="20">
        <v>1176.13</v>
      </c>
      <c r="BU639" s="11" t="s">
        <v>5814</v>
      </c>
    </row>
    <row r="640">
      <c r="A640" s="11" t="s">
        <v>2047</v>
      </c>
      <c r="B640" s="11" t="s">
        <v>78</v>
      </c>
      <c r="C640" s="23">
        <v>45960.0</v>
      </c>
      <c r="F640" s="11" t="s">
        <v>783</v>
      </c>
      <c r="G640" s="11" t="s">
        <v>350</v>
      </c>
      <c r="H640" s="11">
        <v>1.0</v>
      </c>
      <c r="I640" s="20">
        <v>500.0</v>
      </c>
      <c r="J640" s="20">
        <v>500.0</v>
      </c>
      <c r="BO640" s="20">
        <v>500.0</v>
      </c>
      <c r="BQ640" s="11" t="b">
        <v>1</v>
      </c>
      <c r="BR640" s="20">
        <v>500.0</v>
      </c>
      <c r="BU640" s="11" t="s">
        <v>187</v>
      </c>
      <c r="BV640" s="11" t="s">
        <v>225</v>
      </c>
    </row>
    <row r="641">
      <c r="A641" s="11">
        <v>1587.0</v>
      </c>
      <c r="B641" s="11" t="s">
        <v>78</v>
      </c>
      <c r="D641" s="11" t="s">
        <v>176</v>
      </c>
      <c r="F641" s="11" t="s">
        <v>1440</v>
      </c>
      <c r="G641" s="11" t="s">
        <v>179</v>
      </c>
      <c r="H641" s="11">
        <v>1.0</v>
      </c>
      <c r="I641" s="20">
        <v>550.0</v>
      </c>
      <c r="J641" s="20">
        <v>550.0</v>
      </c>
      <c r="BO641" s="20">
        <v>550.0</v>
      </c>
      <c r="BQ641" s="11" t="b">
        <v>0</v>
      </c>
      <c r="BR641" s="20">
        <v>550.0</v>
      </c>
      <c r="BU641" s="11" t="s">
        <v>187</v>
      </c>
    </row>
    <row r="642">
      <c r="A642" s="11">
        <v>1588.0</v>
      </c>
      <c r="B642" s="11" t="s">
        <v>78</v>
      </c>
      <c r="D642" s="20">
        <v>3.6037127E7</v>
      </c>
      <c r="F642" s="11" t="s">
        <v>2162</v>
      </c>
      <c r="G642" s="11" t="s">
        <v>1726</v>
      </c>
      <c r="H642" s="11">
        <v>1.0</v>
      </c>
      <c r="I642" s="20">
        <v>120.0</v>
      </c>
      <c r="J642" s="20">
        <v>120.0</v>
      </c>
      <c r="BO642" s="20">
        <v>120.0</v>
      </c>
      <c r="BQ642" s="11" t="b">
        <v>0</v>
      </c>
      <c r="BR642" s="20">
        <v>120.0</v>
      </c>
      <c r="BU642" s="11" t="s">
        <v>187</v>
      </c>
    </row>
    <row r="643">
      <c r="A643" s="11">
        <v>1589.0</v>
      </c>
      <c r="B643" s="11" t="s">
        <v>78</v>
      </c>
      <c r="D643" s="11" t="s">
        <v>2509</v>
      </c>
      <c r="F643" s="11" t="s">
        <v>2638</v>
      </c>
      <c r="G643" s="11" t="s">
        <v>1898</v>
      </c>
      <c r="H643" s="11">
        <v>1.0</v>
      </c>
      <c r="I643" s="20">
        <v>130.5</v>
      </c>
      <c r="J643" s="20">
        <v>130.5</v>
      </c>
      <c r="BO643" s="20">
        <v>130.5</v>
      </c>
      <c r="BQ643" s="11" t="b">
        <v>0</v>
      </c>
      <c r="BR643" s="20">
        <v>130.5</v>
      </c>
      <c r="BU643" s="11" t="s">
        <v>187</v>
      </c>
    </row>
    <row r="644">
      <c r="A644" s="11">
        <v>1590.0</v>
      </c>
      <c r="B644" s="11" t="s">
        <v>78</v>
      </c>
      <c r="D644" s="11" t="s">
        <v>1676</v>
      </c>
      <c r="F644" s="11" t="s">
        <v>2802</v>
      </c>
      <c r="G644" s="11" t="s">
        <v>1902</v>
      </c>
      <c r="H644" s="11">
        <v>1.0</v>
      </c>
      <c r="I644" s="20">
        <v>1.0</v>
      </c>
      <c r="J644" s="20">
        <v>1.0</v>
      </c>
      <c r="BO644" s="20">
        <v>1.0</v>
      </c>
      <c r="BQ644" s="11" t="b">
        <v>0</v>
      </c>
      <c r="BR644" s="20">
        <v>1.0</v>
      </c>
      <c r="BU644" s="11" t="s">
        <v>187</v>
      </c>
    </row>
    <row r="645">
      <c r="A645" s="11">
        <v>1591.0</v>
      </c>
      <c r="B645" s="11" t="s">
        <v>78</v>
      </c>
      <c r="D645" s="11" t="s">
        <v>2535</v>
      </c>
      <c r="F645" s="11" t="s">
        <v>2638</v>
      </c>
      <c r="G645" s="11" t="s">
        <v>1906</v>
      </c>
      <c r="H645" s="11">
        <v>1.0</v>
      </c>
      <c r="I645" s="20">
        <v>70.0</v>
      </c>
      <c r="J645" s="20">
        <v>70.0</v>
      </c>
      <c r="BO645" s="20">
        <v>70.0</v>
      </c>
      <c r="BQ645" s="11" t="b">
        <v>0</v>
      </c>
      <c r="BR645" s="20">
        <v>70.0</v>
      </c>
      <c r="BU645" s="11" t="s">
        <v>187</v>
      </c>
    </row>
    <row r="646">
      <c r="A646" s="11" t="s">
        <v>5840</v>
      </c>
      <c r="B646" s="11" t="s">
        <v>78</v>
      </c>
      <c r="C646" s="12">
        <v>45960.0</v>
      </c>
      <c r="D646" s="11" t="s">
        <v>5118</v>
      </c>
      <c r="E646" s="11" t="s">
        <v>5843</v>
      </c>
      <c r="F646" s="11" t="s">
        <v>5845</v>
      </c>
      <c r="BP646" s="11" t="s">
        <v>5846</v>
      </c>
      <c r="BQ646" s="11" t="b">
        <v>0</v>
      </c>
      <c r="BS646" s="19" t="s">
        <v>5849</v>
      </c>
      <c r="BT646" s="11" t="b">
        <v>1</v>
      </c>
      <c r="BU646" s="11" t="s">
        <v>2932</v>
      </c>
    </row>
    <row r="647">
      <c r="A647" s="11" t="s">
        <v>5851</v>
      </c>
      <c r="B647" s="11" t="s">
        <v>78</v>
      </c>
      <c r="C647" s="12">
        <v>45960.0</v>
      </c>
      <c r="D647" s="11" t="s">
        <v>739</v>
      </c>
      <c r="E647" s="11" t="s">
        <v>5853</v>
      </c>
      <c r="F647" s="11" t="s">
        <v>5854</v>
      </c>
      <c r="BP647" s="11" t="s">
        <v>5857</v>
      </c>
      <c r="BQ647" s="11" t="b">
        <v>0</v>
      </c>
      <c r="BS647" s="19" t="s">
        <v>5858</v>
      </c>
      <c r="BT647" s="11" t="b">
        <v>1</v>
      </c>
      <c r="BU647" s="11" t="s">
        <v>2932</v>
      </c>
    </row>
    <row r="648">
      <c r="A648" s="11" t="s">
        <v>5860</v>
      </c>
      <c r="B648" s="11" t="s">
        <v>78</v>
      </c>
      <c r="C648" s="12">
        <v>45959.0</v>
      </c>
      <c r="D648" s="11" t="s">
        <v>5118</v>
      </c>
      <c r="E648" s="11" t="s">
        <v>5861</v>
      </c>
      <c r="F648" s="11" t="s">
        <v>5862</v>
      </c>
      <c r="BP648" s="11" t="s">
        <v>5864</v>
      </c>
      <c r="BQ648" s="11" t="b">
        <v>0</v>
      </c>
      <c r="BS648" s="19" t="s">
        <v>5866</v>
      </c>
      <c r="BT648" s="11" t="b">
        <v>1</v>
      </c>
      <c r="BU648" s="11" t="s">
        <v>2932</v>
      </c>
    </row>
    <row r="649">
      <c r="A649" s="11" t="s">
        <v>5867</v>
      </c>
      <c r="B649" s="11" t="s">
        <v>78</v>
      </c>
      <c r="C649" s="12">
        <v>45961.0</v>
      </c>
      <c r="D649" s="11" t="s">
        <v>104</v>
      </c>
      <c r="E649" s="11" t="s">
        <v>5870</v>
      </c>
      <c r="F649" s="11" t="s">
        <v>5871</v>
      </c>
      <c r="BP649" s="11" t="s">
        <v>5873</v>
      </c>
      <c r="BQ649" s="11" t="b">
        <v>0</v>
      </c>
      <c r="BS649" s="19" t="s">
        <v>5875</v>
      </c>
      <c r="BT649" s="11" t="b">
        <v>1</v>
      </c>
      <c r="BU649" s="11" t="s">
        <v>2932</v>
      </c>
    </row>
    <row r="650">
      <c r="A650" s="11" t="s">
        <v>5877</v>
      </c>
      <c r="B650" s="11" t="s">
        <v>78</v>
      </c>
      <c r="C650" s="18">
        <v>45962.0</v>
      </c>
      <c r="D650" s="11" t="s">
        <v>1105</v>
      </c>
      <c r="E650" s="11" t="s">
        <v>5878</v>
      </c>
      <c r="F650" s="11" t="s">
        <v>5880</v>
      </c>
      <c r="BP650" s="11" t="s">
        <v>5882</v>
      </c>
      <c r="BQ650" s="11" t="b">
        <v>0</v>
      </c>
      <c r="BS650" s="19" t="s">
        <v>5884</v>
      </c>
      <c r="BT650" s="11" t="b">
        <v>1</v>
      </c>
      <c r="BU650" s="11" t="s">
        <v>2932</v>
      </c>
    </row>
    <row r="651">
      <c r="A651" s="11" t="s">
        <v>5886</v>
      </c>
      <c r="B651" s="11" t="s">
        <v>78</v>
      </c>
      <c r="C651" s="12">
        <v>45961.0</v>
      </c>
      <c r="D651" s="11" t="s">
        <v>85</v>
      </c>
      <c r="E651" s="11" t="s">
        <v>5888</v>
      </c>
      <c r="F651" s="11" t="s">
        <v>4209</v>
      </c>
      <c r="BP651" s="11" t="s">
        <v>5892</v>
      </c>
      <c r="BQ651" s="11" t="b">
        <v>0</v>
      </c>
      <c r="BS651" s="19" t="s">
        <v>5894</v>
      </c>
      <c r="BT651" s="11" t="b">
        <v>1</v>
      </c>
      <c r="BU651" s="11" t="s">
        <v>2932</v>
      </c>
    </row>
    <row r="652">
      <c r="A652" s="11" t="s">
        <v>5895</v>
      </c>
      <c r="B652" s="11" t="s">
        <v>78</v>
      </c>
      <c r="C652" s="12">
        <v>45959.0</v>
      </c>
      <c r="D652" s="11" t="s">
        <v>739</v>
      </c>
      <c r="E652" s="11" t="s">
        <v>5897</v>
      </c>
      <c r="F652" s="11" t="s">
        <v>5898</v>
      </c>
      <c r="BP652" s="11" t="s">
        <v>5900</v>
      </c>
      <c r="BQ652" s="11" t="b">
        <v>0</v>
      </c>
      <c r="BS652" s="19" t="s">
        <v>5901</v>
      </c>
      <c r="BT652" s="11" t="b">
        <v>1</v>
      </c>
      <c r="BU652" s="11" t="s">
        <v>2932</v>
      </c>
    </row>
    <row r="653">
      <c r="A653" s="11" t="s">
        <v>5903</v>
      </c>
      <c r="B653" s="11" t="s">
        <v>78</v>
      </c>
      <c r="C653" s="12">
        <v>45958.0</v>
      </c>
      <c r="D653" s="11" t="s">
        <v>2549</v>
      </c>
      <c r="E653" s="11" t="s">
        <v>5905</v>
      </c>
      <c r="F653" s="11" t="s">
        <v>5907</v>
      </c>
      <c r="BP653" s="11" t="s">
        <v>5909</v>
      </c>
      <c r="BQ653" s="11" t="b">
        <v>0</v>
      </c>
      <c r="BS653" s="19" t="s">
        <v>5911</v>
      </c>
      <c r="BT653" s="11" t="b">
        <v>1</v>
      </c>
      <c r="BU653" s="11" t="s">
        <v>2932</v>
      </c>
    </row>
    <row r="654">
      <c r="A654" s="11" t="s">
        <v>5913</v>
      </c>
      <c r="B654" s="11" t="s">
        <v>78</v>
      </c>
      <c r="C654" s="12">
        <v>45961.0</v>
      </c>
      <c r="D654" s="11" t="s">
        <v>992</v>
      </c>
      <c r="E654" s="11" t="s">
        <v>5915</v>
      </c>
      <c r="F654" s="11" t="s">
        <v>5917</v>
      </c>
      <c r="BP654" s="11" t="s">
        <v>5918</v>
      </c>
      <c r="BQ654" s="11" t="b">
        <v>0</v>
      </c>
      <c r="BS654" s="19" t="s">
        <v>5920</v>
      </c>
      <c r="BT654" s="11" t="b">
        <v>1</v>
      </c>
      <c r="BU654" s="11" t="s">
        <v>2932</v>
      </c>
    </row>
    <row r="655">
      <c r="A655" s="11" t="s">
        <v>5922</v>
      </c>
      <c r="B655" s="11" t="s">
        <v>78</v>
      </c>
      <c r="C655" s="18">
        <v>45962.0</v>
      </c>
      <c r="D655" s="11" t="s">
        <v>5924</v>
      </c>
      <c r="E655" s="11" t="s">
        <v>5925</v>
      </c>
      <c r="F655" s="11" t="s">
        <v>5927</v>
      </c>
      <c r="BP655" s="11" t="s">
        <v>5929</v>
      </c>
      <c r="BQ655" s="11" t="b">
        <v>0</v>
      </c>
      <c r="BS655" s="19" t="s">
        <v>5932</v>
      </c>
      <c r="BT655" s="11" t="b">
        <v>1</v>
      </c>
      <c r="BU655" s="11" t="s">
        <v>2932</v>
      </c>
    </row>
    <row r="656">
      <c r="A656" s="11" t="s">
        <v>5933</v>
      </c>
      <c r="B656" s="11" t="s">
        <v>78</v>
      </c>
      <c r="C656" s="18">
        <v>45963.0</v>
      </c>
      <c r="D656" s="11" t="s">
        <v>2549</v>
      </c>
      <c r="E656" s="11" t="s">
        <v>5934</v>
      </c>
      <c r="F656" s="11" t="s">
        <v>5936</v>
      </c>
      <c r="BP656" s="11" t="s">
        <v>5937</v>
      </c>
      <c r="BQ656" s="11" t="b">
        <v>0</v>
      </c>
      <c r="BS656" s="19" t="s">
        <v>5939</v>
      </c>
      <c r="BT656" s="11" t="b">
        <v>1</v>
      </c>
      <c r="BU656" s="11" t="s">
        <v>2932</v>
      </c>
    </row>
    <row r="657">
      <c r="A657" s="11" t="s">
        <v>2074</v>
      </c>
      <c r="B657" s="11" t="s">
        <v>78</v>
      </c>
      <c r="D657" s="11" t="s">
        <v>547</v>
      </c>
      <c r="F657" s="11" t="s">
        <v>973</v>
      </c>
      <c r="G657" s="11" t="s">
        <v>975</v>
      </c>
      <c r="H657" s="11">
        <v>1.0</v>
      </c>
      <c r="I657" s="20">
        <v>1045.0</v>
      </c>
      <c r="J657" s="20">
        <v>1045.0</v>
      </c>
      <c r="BO657" s="20">
        <v>1045.0</v>
      </c>
      <c r="BQ657" s="11" t="b">
        <v>0</v>
      </c>
      <c r="BR657" s="20">
        <v>1045.0</v>
      </c>
      <c r="BU657" s="11" t="s">
        <v>187</v>
      </c>
    </row>
    <row r="658">
      <c r="A658" s="11">
        <v>1592.0</v>
      </c>
      <c r="B658" s="11" t="s">
        <v>78</v>
      </c>
      <c r="D658" s="11" t="s">
        <v>547</v>
      </c>
      <c r="F658" s="11" t="s">
        <v>964</v>
      </c>
      <c r="G658" s="11" t="s">
        <v>648</v>
      </c>
      <c r="H658" s="11">
        <v>1.0</v>
      </c>
      <c r="I658" s="20">
        <v>625.0</v>
      </c>
      <c r="J658" s="20">
        <v>625.0</v>
      </c>
      <c r="BO658" s="20">
        <v>625.0</v>
      </c>
      <c r="BQ658" s="11" t="b">
        <v>0</v>
      </c>
      <c r="BR658" s="20">
        <v>625.0</v>
      </c>
      <c r="BU658" s="11" t="s">
        <v>187</v>
      </c>
    </row>
    <row r="659">
      <c r="A659" s="11">
        <v>1593.0</v>
      </c>
      <c r="B659" s="11" t="s">
        <v>78</v>
      </c>
      <c r="D659" s="11" t="s">
        <v>547</v>
      </c>
      <c r="F659" s="11" t="s">
        <v>955</v>
      </c>
      <c r="G659" s="11" t="s">
        <v>957</v>
      </c>
      <c r="H659" s="11">
        <v>1.0</v>
      </c>
      <c r="I659" s="20">
        <v>375.0</v>
      </c>
      <c r="J659" s="20">
        <v>375.0</v>
      </c>
      <c r="BO659" s="20">
        <v>375.0</v>
      </c>
      <c r="BQ659" s="11" t="b">
        <v>0</v>
      </c>
      <c r="BR659" s="20">
        <v>375.0</v>
      </c>
      <c r="BU659" s="11" t="s">
        <v>187</v>
      </c>
    </row>
    <row r="660">
      <c r="A660" s="11">
        <v>1594.0</v>
      </c>
      <c r="B660" s="11" t="s">
        <v>78</v>
      </c>
      <c r="D660" s="11" t="s">
        <v>192</v>
      </c>
      <c r="F660" s="11" t="s">
        <v>195</v>
      </c>
      <c r="G660" s="11" t="s">
        <v>196</v>
      </c>
      <c r="H660" s="11">
        <v>1.0</v>
      </c>
      <c r="I660" s="20">
        <v>2500.0</v>
      </c>
      <c r="J660" s="20">
        <v>2500.0</v>
      </c>
      <c r="BO660" s="20">
        <v>2500.0</v>
      </c>
      <c r="BQ660" s="11" t="b">
        <v>0</v>
      </c>
      <c r="BR660" s="20">
        <v>2500.0</v>
      </c>
      <c r="BU660" s="11" t="s">
        <v>187</v>
      </c>
    </row>
    <row r="661">
      <c r="A661" s="11">
        <v>1595.0</v>
      </c>
      <c r="B661" s="11" t="s">
        <v>78</v>
      </c>
      <c r="D661" s="11" t="s">
        <v>1217</v>
      </c>
      <c r="F661" s="11" t="s">
        <v>1218</v>
      </c>
      <c r="G661" s="11" t="s">
        <v>502</v>
      </c>
      <c r="H661" s="11">
        <v>1.0</v>
      </c>
      <c r="I661" s="20">
        <v>119.0</v>
      </c>
      <c r="J661" s="20">
        <v>119.0</v>
      </c>
      <c r="BO661" s="20">
        <v>119.0</v>
      </c>
      <c r="BQ661" s="11" t="b">
        <v>0</v>
      </c>
      <c r="BR661" s="20">
        <v>119.0</v>
      </c>
      <c r="BU661" s="11" t="s">
        <v>235</v>
      </c>
    </row>
    <row r="662">
      <c r="A662" s="11">
        <v>1596.0</v>
      </c>
      <c r="B662" s="11" t="s">
        <v>78</v>
      </c>
      <c r="D662" s="11" t="s">
        <v>415</v>
      </c>
      <c r="F662" s="11" t="s">
        <v>5961</v>
      </c>
      <c r="G662" s="11" t="s">
        <v>1497</v>
      </c>
      <c r="H662" s="11">
        <v>1.0</v>
      </c>
      <c r="I662" s="20">
        <v>253.0</v>
      </c>
      <c r="J662" s="20">
        <v>253.0</v>
      </c>
      <c r="BO662" s="20">
        <v>253.0</v>
      </c>
      <c r="BQ662" s="11" t="b">
        <v>0</v>
      </c>
      <c r="BR662" s="20">
        <v>253.0</v>
      </c>
      <c r="BU662" s="11" t="s">
        <v>187</v>
      </c>
    </row>
    <row r="663">
      <c r="A663" s="11" t="s">
        <v>2096</v>
      </c>
      <c r="B663" s="11" t="s">
        <v>78</v>
      </c>
      <c r="D663" s="11" t="s">
        <v>5965</v>
      </c>
      <c r="F663" s="11" t="s">
        <v>5966</v>
      </c>
      <c r="G663" s="11" t="s">
        <v>2099</v>
      </c>
      <c r="H663" s="11">
        <v>1.0</v>
      </c>
      <c r="I663" s="20">
        <v>7546.84</v>
      </c>
      <c r="J663" s="20">
        <v>7546.84</v>
      </c>
      <c r="BO663" s="20">
        <v>7546.84</v>
      </c>
      <c r="BQ663" s="11" t="b">
        <v>0</v>
      </c>
      <c r="BR663" s="20">
        <v>7546.84</v>
      </c>
      <c r="BU663" s="11" t="s">
        <v>213</v>
      </c>
    </row>
    <row r="664">
      <c r="A664" s="11" t="s">
        <v>2102</v>
      </c>
      <c r="B664" s="11" t="s">
        <v>78</v>
      </c>
      <c r="C664" s="23">
        <v>45966.0</v>
      </c>
      <c r="D664" s="11" t="s">
        <v>547</v>
      </c>
      <c r="F664" s="11" t="s">
        <v>5970</v>
      </c>
      <c r="G664" s="11" t="s">
        <v>1694</v>
      </c>
      <c r="H664" s="11">
        <v>1.0</v>
      </c>
      <c r="I664" s="20">
        <v>565.74</v>
      </c>
      <c r="J664" s="20">
        <v>565.74</v>
      </c>
      <c r="BO664" s="20">
        <v>565.74</v>
      </c>
      <c r="BQ664" s="11" t="b">
        <v>1</v>
      </c>
      <c r="BR664" s="20">
        <v>565.74</v>
      </c>
      <c r="BU664" s="11" t="s">
        <v>235</v>
      </c>
    </row>
    <row r="665">
      <c r="A665" s="11" t="s">
        <v>5973</v>
      </c>
      <c r="B665" s="11" t="s">
        <v>78</v>
      </c>
      <c r="C665" s="18">
        <v>45965.0</v>
      </c>
      <c r="D665" s="11" t="s">
        <v>237</v>
      </c>
      <c r="E665" s="11" t="s">
        <v>5974</v>
      </c>
      <c r="F665" s="11" t="s">
        <v>2291</v>
      </c>
      <c r="BP665" s="11" t="s">
        <v>5975</v>
      </c>
      <c r="BQ665" s="11" t="b">
        <v>0</v>
      </c>
      <c r="BT665" s="11" t="b">
        <v>0</v>
      </c>
      <c r="BU665" s="11" t="s">
        <v>2932</v>
      </c>
      <c r="BW665" s="11" t="s">
        <v>5977</v>
      </c>
    </row>
    <row r="666">
      <c r="A666" s="11" t="s">
        <v>5978</v>
      </c>
      <c r="B666" s="11" t="s">
        <v>78</v>
      </c>
      <c r="C666" s="18">
        <v>45965.0</v>
      </c>
      <c r="D666" s="11" t="s">
        <v>5487</v>
      </c>
      <c r="E666" s="11" t="s">
        <v>5981</v>
      </c>
      <c r="F666" s="11" t="s">
        <v>5982</v>
      </c>
      <c r="BP666" s="11" t="s">
        <v>5984</v>
      </c>
      <c r="BQ666" s="11" t="b">
        <v>0</v>
      </c>
      <c r="BT666" s="11" t="b">
        <v>0</v>
      </c>
      <c r="BU666" s="11" t="s">
        <v>2932</v>
      </c>
    </row>
    <row r="667">
      <c r="A667" s="11" t="s">
        <v>5985</v>
      </c>
      <c r="B667" s="11" t="s">
        <v>78</v>
      </c>
      <c r="C667" s="18">
        <v>45966.0</v>
      </c>
      <c r="D667" s="11" t="s">
        <v>5487</v>
      </c>
      <c r="E667" s="11" t="s">
        <v>5987</v>
      </c>
      <c r="F667" s="11" t="s">
        <v>2510</v>
      </c>
      <c r="BP667" s="11" t="s">
        <v>5988</v>
      </c>
      <c r="BQ667" s="11" t="b">
        <v>0</v>
      </c>
      <c r="BT667" s="11" t="b">
        <v>0</v>
      </c>
      <c r="BU667" s="11" t="s">
        <v>2932</v>
      </c>
    </row>
    <row r="668">
      <c r="A668" s="11" t="s">
        <v>2105</v>
      </c>
      <c r="B668" s="11" t="s">
        <v>78</v>
      </c>
      <c r="D668" s="11" t="s">
        <v>1567</v>
      </c>
      <c r="F668" s="11" t="s">
        <v>59</v>
      </c>
      <c r="G668" s="11" t="s">
        <v>2106</v>
      </c>
      <c r="H668" s="11">
        <v>1.0</v>
      </c>
      <c r="I668" s="20">
        <v>536.03</v>
      </c>
      <c r="J668" s="20">
        <v>536.03</v>
      </c>
      <c r="BO668" s="20">
        <v>536.03</v>
      </c>
      <c r="BQ668" s="11" t="b">
        <v>0</v>
      </c>
      <c r="BR668" s="20">
        <v>536.03</v>
      </c>
      <c r="BU668" s="11" t="s">
        <v>5814</v>
      </c>
    </row>
    <row r="669">
      <c r="A669" s="11">
        <v>1603.0</v>
      </c>
      <c r="B669" s="11" t="s">
        <v>78</v>
      </c>
      <c r="D669" s="11" t="s">
        <v>1046</v>
      </c>
      <c r="F669" s="11" t="s">
        <v>2638</v>
      </c>
      <c r="G669" s="11" t="s">
        <v>1936</v>
      </c>
      <c r="H669" s="11">
        <v>1.0</v>
      </c>
      <c r="I669" s="20">
        <v>1.0</v>
      </c>
      <c r="J669" s="20">
        <v>1.0</v>
      </c>
      <c r="BO669" s="20">
        <v>1.0</v>
      </c>
      <c r="BQ669" s="11" t="b">
        <v>0</v>
      </c>
      <c r="BR669" s="20">
        <v>1.0</v>
      </c>
      <c r="BU669" s="11" t="s">
        <v>187</v>
      </c>
    </row>
    <row r="670">
      <c r="A670" s="11" t="s">
        <v>5998</v>
      </c>
      <c r="B670" s="11" t="s">
        <v>78</v>
      </c>
      <c r="C670" s="18">
        <v>45966.0</v>
      </c>
      <c r="D670" s="11" t="s">
        <v>992</v>
      </c>
      <c r="E670" s="11" t="s">
        <v>5999</v>
      </c>
      <c r="F670" s="11" t="s">
        <v>6001</v>
      </c>
      <c r="BP670" s="11" t="s">
        <v>6002</v>
      </c>
      <c r="BQ670" s="11" t="b">
        <v>0</v>
      </c>
      <c r="BS670" s="19" t="s">
        <v>6004</v>
      </c>
      <c r="BT670" s="11" t="b">
        <v>1</v>
      </c>
      <c r="BU670" s="11" t="s">
        <v>2932</v>
      </c>
    </row>
    <row r="671">
      <c r="A671" s="11" t="s">
        <v>6006</v>
      </c>
      <c r="B671" s="11" t="s">
        <v>78</v>
      </c>
      <c r="C671" s="18">
        <v>45962.0</v>
      </c>
      <c r="D671" s="11" t="s">
        <v>1913</v>
      </c>
      <c r="E671" s="11" t="s">
        <v>6009</v>
      </c>
      <c r="F671" s="11" t="s">
        <v>6010</v>
      </c>
      <c r="BP671" s="11" t="s">
        <v>6013</v>
      </c>
      <c r="BQ671" s="11" t="b">
        <v>0</v>
      </c>
      <c r="BS671" s="19" t="s">
        <v>6014</v>
      </c>
      <c r="BT671" s="11" t="b">
        <v>1</v>
      </c>
      <c r="BU671" s="11" t="s">
        <v>2932</v>
      </c>
    </row>
    <row r="672">
      <c r="A672" s="11" t="s">
        <v>6016</v>
      </c>
      <c r="B672" s="11" t="s">
        <v>78</v>
      </c>
      <c r="C672" s="18">
        <v>45968.0</v>
      </c>
      <c r="D672" s="11" t="s">
        <v>992</v>
      </c>
      <c r="E672" s="11" t="s">
        <v>6018</v>
      </c>
      <c r="F672" s="11" t="s">
        <v>6019</v>
      </c>
      <c r="BP672" s="11" t="s">
        <v>6020</v>
      </c>
      <c r="BQ672" s="11" t="b">
        <v>0</v>
      </c>
      <c r="BS672" s="19" t="s">
        <v>6021</v>
      </c>
      <c r="BT672" s="11" t="b">
        <v>1</v>
      </c>
      <c r="BU672" s="11" t="s">
        <v>2932</v>
      </c>
    </row>
    <row r="673">
      <c r="A673" s="11" t="s">
        <v>6026</v>
      </c>
      <c r="B673" s="11" t="s">
        <v>78</v>
      </c>
      <c r="C673" s="18">
        <v>45968.0</v>
      </c>
      <c r="D673" s="11" t="s">
        <v>104</v>
      </c>
      <c r="E673" s="11" t="s">
        <v>6030</v>
      </c>
      <c r="F673" s="11" t="s">
        <v>6031</v>
      </c>
      <c r="BP673" s="11" t="s">
        <v>6032</v>
      </c>
      <c r="BQ673" s="11" t="b">
        <v>0</v>
      </c>
      <c r="BS673" s="19" t="s">
        <v>6035</v>
      </c>
      <c r="BT673" s="11" t="b">
        <v>1</v>
      </c>
      <c r="BU673" s="11" t="s">
        <v>2932</v>
      </c>
      <c r="BW673" s="11" t="s">
        <v>6036</v>
      </c>
    </row>
    <row r="674">
      <c r="A674" s="11" t="s">
        <v>6039</v>
      </c>
      <c r="B674" s="11" t="s">
        <v>78</v>
      </c>
      <c r="C674" s="18">
        <v>45968.0</v>
      </c>
      <c r="D674" s="11" t="s">
        <v>85</v>
      </c>
      <c r="E674" s="11" t="s">
        <v>6041</v>
      </c>
      <c r="F674" s="11" t="s">
        <v>4209</v>
      </c>
      <c r="BP674" s="11" t="s">
        <v>6042</v>
      </c>
      <c r="BQ674" s="11" t="b">
        <v>0</v>
      </c>
      <c r="BS674" s="19" t="s">
        <v>6044</v>
      </c>
      <c r="BT674" s="11" t="b">
        <v>1</v>
      </c>
      <c r="BU674" s="11" t="s">
        <v>2932</v>
      </c>
    </row>
    <row r="675">
      <c r="A675" s="11" t="s">
        <v>6045</v>
      </c>
      <c r="B675" s="11" t="s">
        <v>78</v>
      </c>
      <c r="C675" s="18">
        <v>45968.0</v>
      </c>
      <c r="D675" s="11" t="s">
        <v>85</v>
      </c>
      <c r="E675" s="11" t="s">
        <v>6047</v>
      </c>
      <c r="F675" s="11" t="s">
        <v>6048</v>
      </c>
      <c r="BP675" s="11" t="s">
        <v>6050</v>
      </c>
      <c r="BQ675" s="11" t="b">
        <v>0</v>
      </c>
      <c r="BS675" s="19" t="s">
        <v>6051</v>
      </c>
      <c r="BT675" s="11" t="b">
        <v>1</v>
      </c>
      <c r="BU675" s="11" t="s">
        <v>2932</v>
      </c>
    </row>
    <row r="676">
      <c r="A676" s="11" t="s">
        <v>6053</v>
      </c>
      <c r="B676" s="11" t="s">
        <v>78</v>
      </c>
      <c r="C676" s="18">
        <v>45966.0</v>
      </c>
      <c r="D676" s="11" t="s">
        <v>104</v>
      </c>
      <c r="E676" s="11" t="s">
        <v>6054</v>
      </c>
      <c r="F676" s="11" t="s">
        <v>6056</v>
      </c>
      <c r="BP676" s="11" t="s">
        <v>6057</v>
      </c>
      <c r="BQ676" s="11" t="b">
        <v>0</v>
      </c>
      <c r="BS676" s="19" t="s">
        <v>6059</v>
      </c>
      <c r="BT676" s="11" t="b">
        <v>1</v>
      </c>
      <c r="BU676" s="11" t="s">
        <v>2932</v>
      </c>
    </row>
    <row r="677">
      <c r="A677" s="11" t="s">
        <v>2116</v>
      </c>
      <c r="B677" s="11" t="s">
        <v>78</v>
      </c>
      <c r="C677" s="23">
        <v>45968.0</v>
      </c>
      <c r="F677" s="11" t="s">
        <v>783</v>
      </c>
      <c r="G677" s="11" t="s">
        <v>350</v>
      </c>
      <c r="H677" s="11">
        <v>1.0</v>
      </c>
      <c r="I677" s="20">
        <v>200.0</v>
      </c>
      <c r="J677" s="20">
        <v>200.0</v>
      </c>
      <c r="BO677" s="20">
        <v>200.0</v>
      </c>
      <c r="BQ677" s="11" t="b">
        <v>1</v>
      </c>
      <c r="BR677" s="20">
        <v>200.0</v>
      </c>
      <c r="BU677" s="11" t="s">
        <v>187</v>
      </c>
      <c r="BV677" s="11" t="s">
        <v>126</v>
      </c>
    </row>
    <row r="678">
      <c r="A678" s="11" t="s">
        <v>2120</v>
      </c>
      <c r="B678" s="11" t="s">
        <v>78</v>
      </c>
      <c r="D678" s="11" t="s">
        <v>237</v>
      </c>
      <c r="F678" s="11" t="s">
        <v>6065</v>
      </c>
      <c r="G678" s="11" t="s">
        <v>1874</v>
      </c>
      <c r="H678" s="11">
        <v>1.0</v>
      </c>
      <c r="I678" s="20">
        <v>10.0</v>
      </c>
      <c r="J678" s="20">
        <v>10.0</v>
      </c>
      <c r="BO678" s="20">
        <v>10.0</v>
      </c>
      <c r="BQ678" s="11" t="b">
        <v>0</v>
      </c>
      <c r="BR678" s="20">
        <v>10.0</v>
      </c>
      <c r="BU678" s="11" t="s">
        <v>5814</v>
      </c>
    </row>
    <row r="679">
      <c r="A679" s="11" t="s">
        <v>2124</v>
      </c>
      <c r="B679" s="11" t="s">
        <v>78</v>
      </c>
      <c r="D679" s="11" t="s">
        <v>5487</v>
      </c>
      <c r="F679" s="11" t="s">
        <v>6069</v>
      </c>
      <c r="G679" s="11" t="s">
        <v>2040</v>
      </c>
      <c r="H679" s="11">
        <v>1.0</v>
      </c>
      <c r="I679" s="20">
        <v>1315.0</v>
      </c>
      <c r="J679" s="20">
        <v>1315.0</v>
      </c>
      <c r="BO679" s="20">
        <v>1315.0</v>
      </c>
      <c r="BQ679" s="11" t="b">
        <v>0</v>
      </c>
      <c r="BR679" s="20">
        <v>1315.0</v>
      </c>
      <c r="BU679" s="11" t="s">
        <v>5814</v>
      </c>
    </row>
    <row r="680">
      <c r="A680" s="11" t="s">
        <v>2128</v>
      </c>
      <c r="B680" s="11" t="s">
        <v>78</v>
      </c>
      <c r="D680" s="11" t="s">
        <v>237</v>
      </c>
      <c r="F680" s="11" t="s">
        <v>6072</v>
      </c>
      <c r="G680" s="11" t="s">
        <v>1958</v>
      </c>
      <c r="H680" s="11">
        <v>1.0</v>
      </c>
      <c r="I680" s="20">
        <v>670.17</v>
      </c>
      <c r="J680" s="20">
        <v>670.17</v>
      </c>
      <c r="BO680" s="20">
        <v>670.17</v>
      </c>
      <c r="BQ680" s="11" t="b">
        <v>0</v>
      </c>
      <c r="BR680" s="20">
        <v>670.17</v>
      </c>
      <c r="BU680" s="11" t="s">
        <v>5814</v>
      </c>
    </row>
    <row r="681">
      <c r="A681" s="11" t="s">
        <v>6074</v>
      </c>
      <c r="B681" s="11" t="s">
        <v>78</v>
      </c>
      <c r="C681" s="18">
        <v>45969.0</v>
      </c>
      <c r="D681" s="11" t="s">
        <v>104</v>
      </c>
      <c r="E681" s="11" t="s">
        <v>6075</v>
      </c>
      <c r="F681" s="11" t="s">
        <v>6076</v>
      </c>
      <c r="BP681" s="11" t="s">
        <v>6077</v>
      </c>
      <c r="BQ681" s="11" t="b">
        <v>0</v>
      </c>
      <c r="BS681" s="19" t="s">
        <v>6078</v>
      </c>
      <c r="BT681" s="11" t="b">
        <v>1</v>
      </c>
      <c r="BU681" s="11" t="s">
        <v>2932</v>
      </c>
    </row>
    <row r="682">
      <c r="A682" s="11" t="s">
        <v>6079</v>
      </c>
      <c r="B682" s="11" t="s">
        <v>78</v>
      </c>
      <c r="C682" s="18">
        <v>45970.0</v>
      </c>
      <c r="D682" s="11" t="s">
        <v>85</v>
      </c>
      <c r="E682" s="11" t="s">
        <v>6081</v>
      </c>
      <c r="F682" s="11" t="s">
        <v>6082</v>
      </c>
      <c r="BP682" s="11" t="s">
        <v>6083</v>
      </c>
      <c r="BQ682" s="11" t="b">
        <v>0</v>
      </c>
      <c r="BS682" s="19" t="s">
        <v>6084</v>
      </c>
      <c r="BT682" s="11" t="b">
        <v>1</v>
      </c>
      <c r="BU682" s="11" t="s">
        <v>2932</v>
      </c>
    </row>
    <row r="683">
      <c r="A683" s="11">
        <v>1608.0</v>
      </c>
      <c r="B683" s="11" t="s">
        <v>78</v>
      </c>
      <c r="D683" s="11" t="s">
        <v>1046</v>
      </c>
      <c r="F683" s="11" t="s">
        <v>1557</v>
      </c>
      <c r="G683" s="11" t="s">
        <v>1049</v>
      </c>
      <c r="H683" s="11">
        <v>1.0</v>
      </c>
      <c r="I683" s="20">
        <v>1.0</v>
      </c>
      <c r="J683" s="20">
        <v>1.0</v>
      </c>
      <c r="BO683" s="20">
        <v>1.0</v>
      </c>
      <c r="BQ683" s="11" t="b">
        <v>0</v>
      </c>
      <c r="BR683" s="20">
        <v>1.0</v>
      </c>
      <c r="BU683" s="11" t="s">
        <v>187</v>
      </c>
    </row>
    <row r="684">
      <c r="A684" s="11">
        <v>1609.0</v>
      </c>
      <c r="B684" s="11" t="s">
        <v>78</v>
      </c>
      <c r="D684" s="11" t="s">
        <v>1046</v>
      </c>
      <c r="F684" s="11" t="s">
        <v>2638</v>
      </c>
      <c r="G684" s="11" t="s">
        <v>1944</v>
      </c>
      <c r="H684" s="11">
        <v>1.0</v>
      </c>
      <c r="I684" s="20">
        <v>1.0</v>
      </c>
      <c r="J684" s="20">
        <v>1.0</v>
      </c>
      <c r="BO684" s="20">
        <v>1.0</v>
      </c>
      <c r="BQ684" s="11" t="b">
        <v>0</v>
      </c>
      <c r="BR684" s="20">
        <v>1.0</v>
      </c>
      <c r="BU684" s="11" t="s">
        <v>187</v>
      </c>
    </row>
    <row r="685">
      <c r="A685" s="11" t="s">
        <v>2139</v>
      </c>
      <c r="B685" s="11" t="s">
        <v>78</v>
      </c>
      <c r="C685" s="23">
        <v>45972.0</v>
      </c>
      <c r="F685" s="11" t="s">
        <v>6085</v>
      </c>
      <c r="G685" s="11" t="s">
        <v>350</v>
      </c>
      <c r="H685" s="11">
        <v>1.0</v>
      </c>
      <c r="I685" s="20">
        <v>480.0</v>
      </c>
      <c r="J685" s="20">
        <v>480.0</v>
      </c>
      <c r="BO685" s="20">
        <v>480.0</v>
      </c>
      <c r="BQ685" s="11" t="b">
        <v>1</v>
      </c>
      <c r="BR685" s="20">
        <v>480.0</v>
      </c>
      <c r="BU685" s="11" t="s">
        <v>187</v>
      </c>
      <c r="BV685" s="11" t="s">
        <v>113</v>
      </c>
    </row>
    <row r="686">
      <c r="A686" s="11" t="s">
        <v>6086</v>
      </c>
      <c r="B686" s="11" t="s">
        <v>78</v>
      </c>
      <c r="C686" s="12">
        <v>45973.0</v>
      </c>
      <c r="D686" s="11" t="s">
        <v>817</v>
      </c>
      <c r="E686" s="11" t="s">
        <v>6087</v>
      </c>
      <c r="F686" s="11" t="s">
        <v>968</v>
      </c>
      <c r="BP686" s="11" t="s">
        <v>6088</v>
      </c>
      <c r="BQ686" s="11" t="b">
        <v>0</v>
      </c>
      <c r="BT686" s="11" t="b">
        <v>0</v>
      </c>
      <c r="BU686" s="11" t="s">
        <v>2932</v>
      </c>
    </row>
    <row r="687">
      <c r="A687" s="11" t="s">
        <v>6089</v>
      </c>
      <c r="B687" s="11" t="s">
        <v>78</v>
      </c>
      <c r="C687" s="12">
        <v>45940.0</v>
      </c>
      <c r="D687" s="11" t="s">
        <v>2549</v>
      </c>
      <c r="E687" s="11" t="s">
        <v>6090</v>
      </c>
      <c r="F687" s="11" t="s">
        <v>6091</v>
      </c>
      <c r="BP687" s="11" t="s">
        <v>6092</v>
      </c>
      <c r="BQ687" s="11" t="b">
        <v>0</v>
      </c>
      <c r="BS687" s="19" t="s">
        <v>6093</v>
      </c>
      <c r="BT687" s="11" t="b">
        <v>1</v>
      </c>
      <c r="BU687" s="11" t="s">
        <v>2932</v>
      </c>
    </row>
    <row r="688">
      <c r="A688" s="11" t="s">
        <v>6094</v>
      </c>
      <c r="B688" s="11" t="s">
        <v>78</v>
      </c>
      <c r="C688" s="12">
        <v>45971.0</v>
      </c>
      <c r="D688" s="11" t="s">
        <v>5924</v>
      </c>
      <c r="E688" s="11" t="s">
        <v>6095</v>
      </c>
      <c r="F688" s="11" t="s">
        <v>6096</v>
      </c>
      <c r="BP688" s="11" t="s">
        <v>6097</v>
      </c>
      <c r="BQ688" s="11" t="b">
        <v>0</v>
      </c>
      <c r="BS688" s="19" t="s">
        <v>6098</v>
      </c>
      <c r="BT688" s="11" t="b">
        <v>1</v>
      </c>
      <c r="BU688" s="11" t="s">
        <v>2932</v>
      </c>
    </row>
    <row r="689">
      <c r="A689" s="11" t="s">
        <v>6099</v>
      </c>
      <c r="B689" s="11" t="s">
        <v>78</v>
      </c>
      <c r="C689" s="12">
        <v>45972.0</v>
      </c>
      <c r="D689" s="11" t="s">
        <v>6100</v>
      </c>
      <c r="E689" s="11" t="s">
        <v>6101</v>
      </c>
      <c r="F689" s="11" t="s">
        <v>6102</v>
      </c>
      <c r="BP689" s="11" t="s">
        <v>6103</v>
      </c>
      <c r="BQ689" s="11" t="b">
        <v>0</v>
      </c>
      <c r="BS689" s="19" t="s">
        <v>6104</v>
      </c>
      <c r="BT689" s="11" t="b">
        <v>1</v>
      </c>
      <c r="BU689" s="11" t="s">
        <v>2932</v>
      </c>
    </row>
    <row r="690">
      <c r="A690" s="11" t="s">
        <v>6105</v>
      </c>
      <c r="B690" s="11" t="s">
        <v>78</v>
      </c>
      <c r="C690" s="12">
        <v>45972.0</v>
      </c>
      <c r="D690" s="11" t="s">
        <v>5924</v>
      </c>
      <c r="E690" s="11" t="s">
        <v>6106</v>
      </c>
      <c r="F690" s="11" t="s">
        <v>6107</v>
      </c>
      <c r="BP690" s="11" t="s">
        <v>6108</v>
      </c>
      <c r="BQ690" s="11" t="b">
        <v>0</v>
      </c>
      <c r="BS690" s="19" t="s">
        <v>6109</v>
      </c>
      <c r="BT690" s="11" t="b">
        <v>1</v>
      </c>
      <c r="BU690" s="11" t="s">
        <v>2932</v>
      </c>
    </row>
    <row r="691">
      <c r="A691" s="11" t="s">
        <v>6110</v>
      </c>
      <c r="B691" s="11" t="s">
        <v>78</v>
      </c>
      <c r="C691" s="12">
        <v>45954.0</v>
      </c>
      <c r="D691" s="11" t="s">
        <v>237</v>
      </c>
      <c r="E691" s="11" t="s">
        <v>6113</v>
      </c>
      <c r="F691" s="11" t="s">
        <v>2510</v>
      </c>
      <c r="BP691" s="11" t="s">
        <v>6114</v>
      </c>
      <c r="BQ691" s="11" t="b">
        <v>0</v>
      </c>
      <c r="BT691" s="11" t="b">
        <v>0</v>
      </c>
      <c r="BU691" s="11" t="s">
        <v>2932</v>
      </c>
      <c r="BW691" s="11" t="s">
        <v>6115</v>
      </c>
      <c r="BX691" s="11" t="s">
        <v>6116</v>
      </c>
    </row>
    <row r="692">
      <c r="A692" s="11" t="s">
        <v>6117</v>
      </c>
      <c r="B692" s="11" t="s">
        <v>78</v>
      </c>
      <c r="C692" s="12">
        <v>45973.0</v>
      </c>
      <c r="D692" s="11" t="s">
        <v>992</v>
      </c>
      <c r="E692" s="11" t="s">
        <v>6118</v>
      </c>
      <c r="F692" s="11" t="s">
        <v>6119</v>
      </c>
      <c r="BP692" s="11" t="s">
        <v>6120</v>
      </c>
      <c r="BQ692" s="11" t="b">
        <v>0</v>
      </c>
      <c r="BS692" s="19" t="s">
        <v>6121</v>
      </c>
      <c r="BT692" s="11" t="b">
        <v>1</v>
      </c>
      <c r="BU692" s="11" t="s">
        <v>2932</v>
      </c>
    </row>
    <row r="693">
      <c r="A693" s="11" t="s">
        <v>6122</v>
      </c>
      <c r="B693" s="11" t="s">
        <v>78</v>
      </c>
      <c r="C693" s="12">
        <v>45972.0</v>
      </c>
      <c r="D693" s="11" t="s">
        <v>513</v>
      </c>
      <c r="E693" s="11" t="s">
        <v>6123</v>
      </c>
      <c r="F693" s="11" t="s">
        <v>6124</v>
      </c>
      <c r="BP693" s="11" t="s">
        <v>6125</v>
      </c>
      <c r="BQ693" s="11" t="b">
        <v>0</v>
      </c>
      <c r="BS693" s="19" t="s">
        <v>6126</v>
      </c>
      <c r="BT693" s="11" t="b">
        <v>1</v>
      </c>
      <c r="BU693" s="11" t="s">
        <v>2932</v>
      </c>
    </row>
    <row r="694">
      <c r="A694" s="11" t="s">
        <v>6127</v>
      </c>
      <c r="B694" s="11" t="s">
        <v>78</v>
      </c>
      <c r="C694" s="12">
        <v>45974.0</v>
      </c>
      <c r="D694" s="11" t="s">
        <v>2622</v>
      </c>
      <c r="E694" s="11" t="s">
        <v>6128</v>
      </c>
      <c r="F694" s="11" t="s">
        <v>6129</v>
      </c>
      <c r="BP694" s="11" t="s">
        <v>6130</v>
      </c>
      <c r="BQ694" s="11" t="b">
        <v>0</v>
      </c>
      <c r="BS694" s="19" t="s">
        <v>6131</v>
      </c>
      <c r="BT694" s="11" t="b">
        <v>1</v>
      </c>
      <c r="BU694" s="11" t="s">
        <v>2932</v>
      </c>
    </row>
    <row r="695">
      <c r="A695" s="11" t="s">
        <v>6132</v>
      </c>
      <c r="B695" s="11" t="s">
        <v>78</v>
      </c>
      <c r="C695" s="12">
        <v>45973.0</v>
      </c>
      <c r="D695" s="11" t="s">
        <v>3478</v>
      </c>
      <c r="E695" s="11" t="s">
        <v>6133</v>
      </c>
      <c r="F695" s="11" t="s">
        <v>6134</v>
      </c>
      <c r="BP695" s="11" t="s">
        <v>6135</v>
      </c>
      <c r="BQ695" s="11" t="b">
        <v>0</v>
      </c>
      <c r="BS695" s="19" t="s">
        <v>6136</v>
      </c>
      <c r="BT695" s="11" t="b">
        <v>1</v>
      </c>
      <c r="BU695" s="11" t="s">
        <v>2932</v>
      </c>
    </row>
    <row r="696">
      <c r="A696" s="11" t="s">
        <v>6137</v>
      </c>
      <c r="B696" s="11" t="s">
        <v>78</v>
      </c>
      <c r="C696" s="12">
        <v>45975.0</v>
      </c>
      <c r="D696" s="11" t="s">
        <v>104</v>
      </c>
      <c r="E696" s="11" t="s">
        <v>6138</v>
      </c>
      <c r="F696" s="11" t="s">
        <v>6139</v>
      </c>
      <c r="BP696" s="11" t="s">
        <v>6140</v>
      </c>
      <c r="BQ696" s="11" t="b">
        <v>0</v>
      </c>
      <c r="BS696" s="19" t="s">
        <v>6141</v>
      </c>
      <c r="BT696" s="11" t="b">
        <v>1</v>
      </c>
      <c r="BU696" s="11" t="s">
        <v>2932</v>
      </c>
    </row>
    <row r="697">
      <c r="A697" s="11" t="s">
        <v>6142</v>
      </c>
      <c r="B697" s="11" t="s">
        <v>78</v>
      </c>
      <c r="C697" s="12">
        <v>45975.0</v>
      </c>
      <c r="D697" s="11" t="s">
        <v>85</v>
      </c>
      <c r="E697" s="11" t="s">
        <v>6143</v>
      </c>
      <c r="F697" s="11" t="s">
        <v>6144</v>
      </c>
      <c r="BP697" s="11" t="s">
        <v>6145</v>
      </c>
      <c r="BQ697" s="11" t="b">
        <v>0</v>
      </c>
      <c r="BS697" s="19" t="s">
        <v>6146</v>
      </c>
      <c r="BT697" s="11" t="b">
        <v>1</v>
      </c>
      <c r="BU697" s="11" t="s">
        <v>2932</v>
      </c>
    </row>
    <row r="698">
      <c r="A698" s="11" t="s">
        <v>6147</v>
      </c>
      <c r="B698" s="11" t="s">
        <v>78</v>
      </c>
      <c r="C698" s="12">
        <v>45975.0</v>
      </c>
      <c r="D698" s="11" t="s">
        <v>992</v>
      </c>
      <c r="E698" s="11" t="s">
        <v>6148</v>
      </c>
      <c r="F698" s="11" t="s">
        <v>5408</v>
      </c>
      <c r="BP698" s="11" t="s">
        <v>6149</v>
      </c>
      <c r="BQ698" s="11" t="b">
        <v>0</v>
      </c>
      <c r="BS698" s="19" t="s">
        <v>6150</v>
      </c>
      <c r="BT698" s="11" t="b">
        <v>1</v>
      </c>
      <c r="BU698" s="11" t="s">
        <v>2932</v>
      </c>
    </row>
    <row r="699">
      <c r="A699" s="11" t="s">
        <v>6151</v>
      </c>
      <c r="B699" s="11" t="s">
        <v>78</v>
      </c>
      <c r="C699" s="12">
        <v>45975.0</v>
      </c>
      <c r="D699" s="11" t="s">
        <v>3117</v>
      </c>
      <c r="E699" s="11" t="s">
        <v>6152</v>
      </c>
      <c r="F699" s="11" t="s">
        <v>6153</v>
      </c>
      <c r="BP699" s="11" t="s">
        <v>6154</v>
      </c>
      <c r="BQ699" s="11" t="b">
        <v>0</v>
      </c>
      <c r="BS699" s="19" t="s">
        <v>6155</v>
      </c>
      <c r="BT699" s="11" t="b">
        <v>1</v>
      </c>
      <c r="BU699" s="11" t="s">
        <v>2932</v>
      </c>
    </row>
    <row r="700">
      <c r="A700" s="11" t="s">
        <v>2143</v>
      </c>
      <c r="B700" s="11" t="s">
        <v>78</v>
      </c>
      <c r="C700" s="23">
        <v>45975.0</v>
      </c>
      <c r="D700" s="11" t="s">
        <v>6156</v>
      </c>
      <c r="F700" s="11" t="s">
        <v>6157</v>
      </c>
      <c r="G700" s="11" t="s">
        <v>1694</v>
      </c>
      <c r="H700" s="11">
        <v>1.0</v>
      </c>
      <c r="I700" s="20">
        <v>99.98</v>
      </c>
      <c r="J700" s="20">
        <v>99.98</v>
      </c>
      <c r="BO700" s="20">
        <v>99.98</v>
      </c>
      <c r="BQ700" s="11" t="b">
        <v>1</v>
      </c>
      <c r="BR700" s="20">
        <v>99.98</v>
      </c>
      <c r="BU700" s="11" t="s">
        <v>235</v>
      </c>
    </row>
    <row r="701">
      <c r="A701" s="11">
        <v>1613.0</v>
      </c>
      <c r="B701" s="11" t="s">
        <v>78</v>
      </c>
      <c r="D701" s="11" t="s">
        <v>817</v>
      </c>
      <c r="F701" s="11" t="s">
        <v>6158</v>
      </c>
      <c r="G701" s="11" t="s">
        <v>2149</v>
      </c>
      <c r="H701" s="11">
        <v>1.0</v>
      </c>
      <c r="I701" s="20">
        <v>1.0</v>
      </c>
      <c r="J701" s="20">
        <v>1.0</v>
      </c>
      <c r="BO701" s="20">
        <v>1.0</v>
      </c>
      <c r="BQ701" s="11" t="b">
        <v>0</v>
      </c>
      <c r="BR701" s="20">
        <v>1.0</v>
      </c>
      <c r="BU701" s="11" t="s">
        <v>187</v>
      </c>
    </row>
    <row r="702">
      <c r="A702" s="11" t="s">
        <v>2152</v>
      </c>
      <c r="B702" s="11" t="s">
        <v>78</v>
      </c>
      <c r="C702" s="23">
        <v>45977.0</v>
      </c>
      <c r="F702" s="11" t="s">
        <v>783</v>
      </c>
      <c r="G702" s="11" t="s">
        <v>350</v>
      </c>
      <c r="H702" s="11">
        <v>1.0</v>
      </c>
      <c r="I702" s="20">
        <v>300.0</v>
      </c>
      <c r="J702" s="20">
        <v>300.0</v>
      </c>
      <c r="BO702" s="20">
        <v>300.0</v>
      </c>
      <c r="BQ702" s="11" t="b">
        <v>1</v>
      </c>
      <c r="BR702" s="20">
        <v>300.0</v>
      </c>
      <c r="BU702" s="11" t="s">
        <v>187</v>
      </c>
      <c r="BV702" s="11" t="s">
        <v>126</v>
      </c>
    </row>
    <row r="703">
      <c r="A703" s="11">
        <v>1615.0</v>
      </c>
      <c r="B703" s="11" t="s">
        <v>78</v>
      </c>
      <c r="D703" s="11" t="s">
        <v>415</v>
      </c>
      <c r="F703" s="23">
        <v>45931.0</v>
      </c>
      <c r="G703" s="11" t="s">
        <v>1971</v>
      </c>
      <c r="H703" s="11">
        <v>1.0</v>
      </c>
      <c r="I703" s="20">
        <v>190.34</v>
      </c>
      <c r="J703" s="20">
        <v>190.34</v>
      </c>
      <c r="BO703" s="20">
        <v>190.34</v>
      </c>
      <c r="BQ703" s="11" t="b">
        <v>0</v>
      </c>
      <c r="BR703" s="20">
        <v>190.34</v>
      </c>
      <c r="BU703" s="11" t="s">
        <v>5814</v>
      </c>
    </row>
    <row r="704">
      <c r="A704" s="11">
        <v>1616.0</v>
      </c>
      <c r="B704" s="11" t="s">
        <v>78</v>
      </c>
      <c r="D704" s="11" t="s">
        <v>1567</v>
      </c>
      <c r="F704" s="23">
        <v>45717.0</v>
      </c>
      <c r="G704" s="11" t="s">
        <v>1971</v>
      </c>
      <c r="H704" s="11">
        <v>1.0</v>
      </c>
      <c r="I704" s="20">
        <v>52.36</v>
      </c>
      <c r="J704" s="20">
        <v>52.36</v>
      </c>
      <c r="BO704" s="20">
        <v>52.36</v>
      </c>
      <c r="BQ704" s="11" t="b">
        <v>0</v>
      </c>
      <c r="BR704" s="20">
        <v>52.36</v>
      </c>
      <c r="BU704" s="11" t="s">
        <v>5814</v>
      </c>
    </row>
    <row r="705">
      <c r="A705" s="11">
        <v>1617.0</v>
      </c>
      <c r="B705" s="11" t="s">
        <v>78</v>
      </c>
      <c r="D705" s="11" t="s">
        <v>415</v>
      </c>
      <c r="F705" s="23">
        <v>45931.0</v>
      </c>
      <c r="G705" s="11" t="s">
        <v>1971</v>
      </c>
      <c r="H705" s="11">
        <v>1.0</v>
      </c>
      <c r="I705" s="20">
        <v>190.34</v>
      </c>
      <c r="J705" s="20">
        <v>190.34</v>
      </c>
      <c r="BO705" s="20">
        <v>190.34</v>
      </c>
      <c r="BQ705" s="11" t="b">
        <v>0</v>
      </c>
      <c r="BR705" s="20">
        <v>190.34</v>
      </c>
      <c r="BU705" s="11" t="s">
        <v>5814</v>
      </c>
    </row>
    <row r="706">
      <c r="A706" s="11">
        <v>1618.0</v>
      </c>
      <c r="B706" s="11" t="s">
        <v>78</v>
      </c>
      <c r="D706" s="11" t="s">
        <v>1567</v>
      </c>
      <c r="F706" s="23">
        <v>45717.0</v>
      </c>
      <c r="G706" s="11" t="s">
        <v>1971</v>
      </c>
      <c r="H706" s="11">
        <v>1.0</v>
      </c>
      <c r="I706" s="20">
        <v>52.36</v>
      </c>
      <c r="J706" s="20">
        <v>52.36</v>
      </c>
      <c r="BO706" s="20">
        <v>52.36</v>
      </c>
      <c r="BQ706" s="11" t="b">
        <v>0</v>
      </c>
      <c r="BR706" s="20">
        <v>52.36</v>
      </c>
      <c r="BU706" s="11" t="s">
        <v>5814</v>
      </c>
    </row>
    <row r="707">
      <c r="A707" s="11" t="s">
        <v>2165</v>
      </c>
      <c r="B707" s="11" t="s">
        <v>78</v>
      </c>
      <c r="D707" s="11" t="s">
        <v>404</v>
      </c>
      <c r="F707" s="11" t="s">
        <v>6161</v>
      </c>
      <c r="G707" s="11">
        <v>7.9792017E7</v>
      </c>
      <c r="H707" s="11">
        <v>1.0</v>
      </c>
      <c r="I707" s="20">
        <v>1136.65</v>
      </c>
      <c r="J707" s="20">
        <v>1136.65</v>
      </c>
      <c r="BO707" s="20">
        <v>1136.65</v>
      </c>
      <c r="BQ707" s="11" t="b">
        <v>0</v>
      </c>
      <c r="BR707" s="20">
        <v>1136.65</v>
      </c>
      <c r="BU707" s="11" t="s">
        <v>5814</v>
      </c>
    </row>
    <row r="708">
      <c r="A708" s="11" t="s">
        <v>2169</v>
      </c>
      <c r="B708" s="11" t="s">
        <v>78</v>
      </c>
      <c r="D708" s="11" t="s">
        <v>415</v>
      </c>
      <c r="F708" s="11" t="s">
        <v>6162</v>
      </c>
      <c r="G708" s="11" t="s">
        <v>2170</v>
      </c>
      <c r="H708" s="11">
        <v>1.0</v>
      </c>
      <c r="I708" s="20">
        <v>134.0</v>
      </c>
      <c r="J708" s="20">
        <v>134.0</v>
      </c>
      <c r="BO708" s="20">
        <v>134.0</v>
      </c>
      <c r="BQ708" s="11" t="b">
        <v>0</v>
      </c>
      <c r="BR708" s="20">
        <v>134.0</v>
      </c>
      <c r="BU708" s="11" t="s">
        <v>213</v>
      </c>
    </row>
    <row r="709">
      <c r="A709" s="11" t="s">
        <v>2176</v>
      </c>
      <c r="B709" s="11" t="s">
        <v>78</v>
      </c>
      <c r="C709" s="23">
        <v>45979.0</v>
      </c>
      <c r="D709" s="11" t="s">
        <v>4510</v>
      </c>
      <c r="F709" s="66">
        <v>45690.0</v>
      </c>
      <c r="G709" s="11" t="s">
        <v>419</v>
      </c>
      <c r="H709" s="11">
        <v>1.0</v>
      </c>
      <c r="I709" s="20">
        <v>905.44</v>
      </c>
      <c r="J709" s="20">
        <v>905.44</v>
      </c>
      <c r="BO709" s="20">
        <v>905.44</v>
      </c>
      <c r="BQ709" s="11" t="b">
        <v>1</v>
      </c>
      <c r="BR709" s="20">
        <v>905.44</v>
      </c>
      <c r="BU709" s="11" t="s">
        <v>187</v>
      </c>
    </row>
    <row r="710">
      <c r="A710" s="11" t="s">
        <v>6163</v>
      </c>
      <c r="B710" s="11" t="s">
        <v>78</v>
      </c>
      <c r="C710" s="23">
        <v>45978.0</v>
      </c>
      <c r="D710" s="11" t="s">
        <v>445</v>
      </c>
      <c r="E710" s="11" t="s">
        <v>6164</v>
      </c>
      <c r="F710" s="11" t="s">
        <v>6165</v>
      </c>
      <c r="G710" s="11"/>
      <c r="H710" s="11"/>
      <c r="I710" s="20"/>
      <c r="J710" s="20"/>
      <c r="BO710" s="20"/>
      <c r="BP710" s="11" t="s">
        <v>6166</v>
      </c>
      <c r="BQ710" s="11" t="b">
        <v>0</v>
      </c>
      <c r="BR710" s="20"/>
      <c r="BS710" s="19" t="s">
        <v>6167</v>
      </c>
      <c r="BT710" s="11" t="b">
        <v>1</v>
      </c>
      <c r="BU710" s="11" t="s">
        <v>2932</v>
      </c>
    </row>
    <row r="711">
      <c r="A711" s="11" t="s">
        <v>6168</v>
      </c>
      <c r="B711" s="11" t="s">
        <v>78</v>
      </c>
      <c r="C711" s="23">
        <v>45978.0</v>
      </c>
      <c r="D711" s="11" t="s">
        <v>1094</v>
      </c>
      <c r="E711" s="11" t="s">
        <v>6169</v>
      </c>
      <c r="F711" s="11" t="s">
        <v>6170</v>
      </c>
      <c r="G711" s="11"/>
      <c r="H711" s="11"/>
      <c r="I711" s="20"/>
      <c r="J711" s="20"/>
      <c r="BO711" s="20"/>
      <c r="BP711" s="11" t="s">
        <v>6171</v>
      </c>
      <c r="BQ711" s="11" t="b">
        <v>0</v>
      </c>
      <c r="BR711" s="20"/>
      <c r="BS711" s="19" t="s">
        <v>6172</v>
      </c>
      <c r="BT711" s="11" t="b">
        <v>1</v>
      </c>
      <c r="BU711" s="11" t="s">
        <v>2932</v>
      </c>
    </row>
    <row r="712">
      <c r="A712" s="11" t="s">
        <v>6173</v>
      </c>
      <c r="B712" s="11" t="s">
        <v>78</v>
      </c>
      <c r="C712" s="23">
        <v>45980.0</v>
      </c>
      <c r="D712" s="11" t="s">
        <v>1105</v>
      </c>
      <c r="E712" s="11" t="s">
        <v>6174</v>
      </c>
      <c r="F712" s="11" t="s">
        <v>6175</v>
      </c>
      <c r="G712" s="11"/>
      <c r="H712" s="11"/>
      <c r="I712" s="20"/>
      <c r="J712" s="20"/>
      <c r="BO712" s="20"/>
      <c r="BP712" s="11" t="s">
        <v>6176</v>
      </c>
      <c r="BQ712" s="11" t="b">
        <v>0</v>
      </c>
      <c r="BR712" s="20"/>
      <c r="BS712" s="19" t="s">
        <v>6177</v>
      </c>
      <c r="BT712" s="11" t="b">
        <v>1</v>
      </c>
      <c r="BU712" s="11" t="s">
        <v>2932</v>
      </c>
    </row>
    <row r="713">
      <c r="A713" s="11" t="s">
        <v>6178</v>
      </c>
      <c r="B713" s="11" t="s">
        <v>78</v>
      </c>
      <c r="C713" s="23">
        <v>45977.0</v>
      </c>
      <c r="D713" s="11" t="s">
        <v>2549</v>
      </c>
      <c r="E713" s="11" t="s">
        <v>6179</v>
      </c>
      <c r="F713" s="11" t="s">
        <v>6181</v>
      </c>
      <c r="G713" s="11"/>
      <c r="H713" s="11"/>
      <c r="I713" s="20"/>
      <c r="J713" s="20"/>
      <c r="BO713" s="20"/>
      <c r="BP713" s="11" t="s">
        <v>6183</v>
      </c>
      <c r="BQ713" s="11" t="b">
        <v>0</v>
      </c>
      <c r="BR713" s="20"/>
      <c r="BS713" s="19" t="s">
        <v>6184</v>
      </c>
      <c r="BT713" s="11" t="b">
        <v>1</v>
      </c>
      <c r="BU713" s="11" t="s">
        <v>2932</v>
      </c>
    </row>
    <row r="714">
      <c r="A714" s="11" t="s">
        <v>6185</v>
      </c>
      <c r="B714" s="11" t="s">
        <v>78</v>
      </c>
      <c r="C714" s="23">
        <v>45978.0</v>
      </c>
      <c r="D714" s="11" t="s">
        <v>992</v>
      </c>
      <c r="E714" s="11" t="s">
        <v>6186</v>
      </c>
      <c r="F714" s="11" t="s">
        <v>6187</v>
      </c>
      <c r="G714" s="11"/>
      <c r="H714" s="11"/>
      <c r="I714" s="20"/>
      <c r="J714" s="20"/>
      <c r="BO714" s="20"/>
      <c r="BP714" s="11" t="s">
        <v>6188</v>
      </c>
      <c r="BQ714" s="11" t="b">
        <v>0</v>
      </c>
      <c r="BR714" s="20"/>
      <c r="BS714" s="19" t="s">
        <v>6189</v>
      </c>
      <c r="BT714" s="11" t="b">
        <v>1</v>
      </c>
      <c r="BU714" s="11" t="s">
        <v>2932</v>
      </c>
    </row>
    <row r="715">
      <c r="A715" s="11" t="s">
        <v>6190</v>
      </c>
      <c r="B715" s="11" t="s">
        <v>78</v>
      </c>
      <c r="C715" s="23">
        <v>45980.0</v>
      </c>
      <c r="D715" s="11" t="s">
        <v>6191</v>
      </c>
      <c r="E715" s="11" t="s">
        <v>6192</v>
      </c>
      <c r="F715" s="11" t="s">
        <v>6193</v>
      </c>
      <c r="G715" s="11"/>
      <c r="H715" s="11"/>
      <c r="I715" s="20"/>
      <c r="J715" s="20"/>
      <c r="BO715" s="20"/>
      <c r="BP715" s="11" t="s">
        <v>6194</v>
      </c>
      <c r="BQ715" s="11" t="b">
        <v>0</v>
      </c>
      <c r="BR715" s="20"/>
      <c r="BS715" s="19" t="s">
        <v>6195</v>
      </c>
      <c r="BT715" s="11" t="b">
        <v>1</v>
      </c>
      <c r="BU715" s="11" t="s">
        <v>2932</v>
      </c>
    </row>
    <row r="716">
      <c r="A716" s="11" t="s">
        <v>2180</v>
      </c>
      <c r="B716" s="11" t="s">
        <v>78</v>
      </c>
      <c r="C716" s="23"/>
      <c r="D716" s="11" t="s">
        <v>415</v>
      </c>
      <c r="E716" s="11"/>
      <c r="F716" s="11" t="s">
        <v>6196</v>
      </c>
      <c r="G716" s="11" t="s">
        <v>2181</v>
      </c>
      <c r="H716" s="11">
        <v>1.0</v>
      </c>
      <c r="I716" s="20">
        <v>66.0</v>
      </c>
      <c r="J716" s="20">
        <v>66.0</v>
      </c>
      <c r="BO716" s="20">
        <v>66.0</v>
      </c>
      <c r="BP716" s="11"/>
      <c r="BQ716" s="11" t="b">
        <v>0</v>
      </c>
      <c r="BR716" s="20">
        <v>66.0</v>
      </c>
      <c r="BS716" s="11"/>
      <c r="BT716" s="11"/>
      <c r="BU716" s="11" t="s">
        <v>213</v>
      </c>
    </row>
    <row r="717">
      <c r="A717" s="11" t="s">
        <v>2185</v>
      </c>
      <c r="B717" s="11" t="s">
        <v>78</v>
      </c>
      <c r="C717" s="23"/>
      <c r="D717" s="11" t="s">
        <v>415</v>
      </c>
      <c r="E717" s="11"/>
      <c r="F717" s="11" t="s">
        <v>6199</v>
      </c>
      <c r="G717" s="11" t="s">
        <v>2186</v>
      </c>
      <c r="H717" s="11">
        <v>1.0</v>
      </c>
      <c r="I717" s="20">
        <v>20.0</v>
      </c>
      <c r="J717" s="20">
        <v>20.0</v>
      </c>
      <c r="BO717" s="20">
        <v>20.0</v>
      </c>
      <c r="BP717" s="11"/>
      <c r="BQ717" s="11" t="b">
        <v>0</v>
      </c>
      <c r="BR717" s="20">
        <v>20.0</v>
      </c>
      <c r="BS717" s="11"/>
      <c r="BT717" s="11"/>
      <c r="BU717" s="11" t="s">
        <v>213</v>
      </c>
    </row>
    <row r="718">
      <c r="A718" s="11" t="s">
        <v>2189</v>
      </c>
      <c r="B718" s="11" t="s">
        <v>78</v>
      </c>
      <c r="C718" s="23">
        <v>45981.0</v>
      </c>
      <c r="D718" s="11"/>
      <c r="E718" s="11"/>
      <c r="F718" s="11" t="s">
        <v>6200</v>
      </c>
      <c r="G718" s="11" t="s">
        <v>376</v>
      </c>
      <c r="H718" s="11">
        <v>1.0</v>
      </c>
      <c r="I718" s="20">
        <v>1291.83</v>
      </c>
      <c r="J718" s="20">
        <v>1291.83</v>
      </c>
      <c r="BO718" s="20">
        <v>1291.83</v>
      </c>
      <c r="BP718" s="11"/>
      <c r="BQ718" s="11" t="b">
        <v>1</v>
      </c>
      <c r="BR718" s="20">
        <v>1291.83</v>
      </c>
      <c r="BS718" s="11"/>
      <c r="BT718" s="11"/>
      <c r="BU718" s="11" t="s">
        <v>187</v>
      </c>
      <c r="BV718" s="11" t="s">
        <v>225</v>
      </c>
    </row>
    <row r="719">
      <c r="A719" s="11" t="s">
        <v>2193</v>
      </c>
      <c r="B719" s="11" t="s">
        <v>78</v>
      </c>
      <c r="C719" s="23"/>
      <c r="D719" s="11"/>
      <c r="E719" s="11"/>
      <c r="F719" s="11" t="s">
        <v>6201</v>
      </c>
      <c r="G719" s="11" t="s">
        <v>376</v>
      </c>
      <c r="H719" s="11">
        <v>1.0</v>
      </c>
      <c r="I719" s="20">
        <v>0.01</v>
      </c>
      <c r="J719" s="20">
        <v>0.01</v>
      </c>
      <c r="BO719" s="20">
        <v>0.01</v>
      </c>
      <c r="BP719" s="11"/>
      <c r="BQ719" s="11" t="b">
        <v>0</v>
      </c>
      <c r="BR719" s="20">
        <v>0.01</v>
      </c>
      <c r="BS719" s="11"/>
      <c r="BT719" s="11"/>
      <c r="BU719" s="11" t="s">
        <v>5814</v>
      </c>
      <c r="BV719" s="11" t="s">
        <v>225</v>
      </c>
    </row>
    <row r="720">
      <c r="A720" s="11" t="s">
        <v>2197</v>
      </c>
      <c r="B720" s="11" t="s">
        <v>78</v>
      </c>
      <c r="C720" s="23">
        <v>45981.0</v>
      </c>
      <c r="D720" s="11"/>
      <c r="E720" s="11"/>
      <c r="F720" s="11" t="s">
        <v>6200</v>
      </c>
      <c r="G720" s="11" t="s">
        <v>376</v>
      </c>
      <c r="H720" s="11">
        <v>1.0</v>
      </c>
      <c r="I720" s="20">
        <v>182.1</v>
      </c>
      <c r="J720" s="20">
        <v>182.1</v>
      </c>
      <c r="BO720" s="20">
        <v>182.1</v>
      </c>
      <c r="BP720" s="11"/>
      <c r="BQ720" s="11" t="b">
        <v>1</v>
      </c>
      <c r="BR720" s="20">
        <v>182.1</v>
      </c>
      <c r="BS720" s="11"/>
      <c r="BT720" s="11"/>
      <c r="BU720" s="11" t="s">
        <v>187</v>
      </c>
      <c r="BV720" s="11" t="s">
        <v>126</v>
      </c>
    </row>
    <row r="721">
      <c r="A721" s="11" t="s">
        <v>2200</v>
      </c>
      <c r="B721" s="11" t="s">
        <v>78</v>
      </c>
      <c r="C721" s="23"/>
      <c r="D721" s="11"/>
      <c r="E721" s="11"/>
      <c r="F721" s="11" t="s">
        <v>6201</v>
      </c>
      <c r="G721" s="11" t="s">
        <v>376</v>
      </c>
      <c r="H721" s="11">
        <v>1.0</v>
      </c>
      <c r="I721" s="20">
        <v>0.01</v>
      </c>
      <c r="J721" s="20">
        <v>0.01</v>
      </c>
      <c r="BO721" s="20">
        <v>0.01</v>
      </c>
      <c r="BP721" s="11"/>
      <c r="BQ721" s="11" t="b">
        <v>0</v>
      </c>
      <c r="BR721" s="20">
        <v>0.01</v>
      </c>
      <c r="BS721" s="11"/>
      <c r="BT721" s="11"/>
      <c r="BU721" s="11" t="s">
        <v>5814</v>
      </c>
      <c r="BV721" s="11" t="s">
        <v>126</v>
      </c>
    </row>
    <row r="722">
      <c r="A722" s="11" t="s">
        <v>2203</v>
      </c>
      <c r="B722" s="11" t="s">
        <v>78</v>
      </c>
      <c r="C722" s="23">
        <v>45981.0</v>
      </c>
      <c r="D722" s="11"/>
      <c r="E722" s="11"/>
      <c r="F722" s="11" t="s">
        <v>6200</v>
      </c>
      <c r="G722" s="11" t="s">
        <v>376</v>
      </c>
      <c r="H722" s="11">
        <v>1.0</v>
      </c>
      <c r="I722" s="20">
        <v>781.75</v>
      </c>
      <c r="J722" s="20">
        <v>781.75</v>
      </c>
      <c r="BO722" s="20">
        <v>781.75</v>
      </c>
      <c r="BP722" s="11"/>
      <c r="BQ722" s="11" t="b">
        <v>1</v>
      </c>
      <c r="BR722" s="20">
        <v>781.75</v>
      </c>
      <c r="BS722" s="11"/>
      <c r="BT722" s="11"/>
      <c r="BU722" s="11" t="s">
        <v>187</v>
      </c>
      <c r="BV722" s="11" t="s">
        <v>113</v>
      </c>
    </row>
    <row r="723">
      <c r="A723" s="11" t="s">
        <v>2207</v>
      </c>
      <c r="B723" s="11" t="s">
        <v>78</v>
      </c>
      <c r="C723" s="23"/>
      <c r="D723" s="11"/>
      <c r="E723" s="11"/>
      <c r="F723" s="11" t="s">
        <v>6201</v>
      </c>
      <c r="G723" s="11" t="s">
        <v>376</v>
      </c>
      <c r="H723" s="11">
        <v>1.0</v>
      </c>
      <c r="I723" s="20">
        <v>0.01</v>
      </c>
      <c r="J723" s="20">
        <v>0.01</v>
      </c>
      <c r="BO723" s="20">
        <v>0.01</v>
      </c>
      <c r="BP723" s="11"/>
      <c r="BQ723" s="11" t="b">
        <v>0</v>
      </c>
      <c r="BR723" s="20">
        <v>0.01</v>
      </c>
      <c r="BS723" s="11"/>
      <c r="BT723" s="11"/>
      <c r="BU723" s="11" t="s">
        <v>5814</v>
      </c>
      <c r="BV723" s="11" t="s">
        <v>113</v>
      </c>
    </row>
    <row r="724">
      <c r="A724" s="11" t="s">
        <v>2210</v>
      </c>
      <c r="B724" s="11" t="s">
        <v>78</v>
      </c>
      <c r="C724" s="23">
        <v>45981.0</v>
      </c>
      <c r="D724" s="11"/>
      <c r="E724" s="11"/>
      <c r="F724" s="11" t="s">
        <v>6200</v>
      </c>
      <c r="G724" s="11" t="s">
        <v>376</v>
      </c>
      <c r="H724" s="11">
        <v>1.0</v>
      </c>
      <c r="I724" s="20">
        <v>418.04</v>
      </c>
      <c r="J724" s="20">
        <v>418.04</v>
      </c>
      <c r="BO724" s="20">
        <v>418.04</v>
      </c>
      <c r="BP724" s="11"/>
      <c r="BQ724" s="11" t="b">
        <v>1</v>
      </c>
      <c r="BR724" s="20">
        <v>418.04</v>
      </c>
      <c r="BS724" s="11"/>
      <c r="BT724" s="11"/>
      <c r="BU724" s="11" t="s">
        <v>187</v>
      </c>
      <c r="BV724" s="11" t="s">
        <v>3739</v>
      </c>
    </row>
    <row r="725">
      <c r="A725" s="11" t="s">
        <v>2214</v>
      </c>
      <c r="B725" s="11" t="s">
        <v>78</v>
      </c>
      <c r="C725" s="23"/>
      <c r="D725" s="11"/>
      <c r="E725" s="11"/>
      <c r="F725" s="11" t="s">
        <v>6201</v>
      </c>
      <c r="G725" s="11" t="s">
        <v>376</v>
      </c>
      <c r="H725" s="11">
        <v>1.0</v>
      </c>
      <c r="I725" s="20">
        <v>0.01</v>
      </c>
      <c r="J725" s="20">
        <v>0.01</v>
      </c>
      <c r="BO725" s="20">
        <v>0.01</v>
      </c>
      <c r="BP725" s="11"/>
      <c r="BQ725" s="11" t="b">
        <v>0</v>
      </c>
      <c r="BR725" s="20">
        <v>0.01</v>
      </c>
      <c r="BS725" s="11"/>
      <c r="BT725" s="11"/>
      <c r="BU725" s="11" t="s">
        <v>5814</v>
      </c>
      <c r="BV725" s="11" t="s">
        <v>3739</v>
      </c>
    </row>
    <row r="726">
      <c r="A726" s="11" t="s">
        <v>2218</v>
      </c>
      <c r="B726" s="11" t="s">
        <v>78</v>
      </c>
      <c r="C726" s="23">
        <v>45981.0</v>
      </c>
      <c r="D726" s="11"/>
      <c r="E726" s="11"/>
      <c r="F726" s="11" t="s">
        <v>6200</v>
      </c>
      <c r="G726" s="11" t="s">
        <v>376</v>
      </c>
      <c r="H726" s="11">
        <v>1.0</v>
      </c>
      <c r="I726" s="20">
        <v>1749.0</v>
      </c>
      <c r="J726" s="20">
        <v>1749.0</v>
      </c>
      <c r="BO726" s="20">
        <v>1749.0</v>
      </c>
      <c r="BP726" s="11"/>
      <c r="BQ726" s="11" t="b">
        <v>1</v>
      </c>
      <c r="BR726" s="20">
        <v>1749.0</v>
      </c>
      <c r="BS726" s="11"/>
      <c r="BT726" s="11"/>
      <c r="BU726" s="11" t="s">
        <v>187</v>
      </c>
      <c r="BV726" s="11" t="s">
        <v>685</v>
      </c>
    </row>
    <row r="727">
      <c r="A727" s="11" t="s">
        <v>2221</v>
      </c>
      <c r="B727" s="11" t="s">
        <v>78</v>
      </c>
      <c r="C727" s="23"/>
      <c r="D727" s="11"/>
      <c r="E727" s="11"/>
      <c r="F727" s="11" t="s">
        <v>6201</v>
      </c>
      <c r="G727" s="11" t="s">
        <v>376</v>
      </c>
      <c r="H727" s="11">
        <v>1.0</v>
      </c>
      <c r="I727" s="20">
        <v>1749.0</v>
      </c>
      <c r="J727" s="20">
        <v>1749.0</v>
      </c>
      <c r="BO727" s="20">
        <v>1749.0</v>
      </c>
      <c r="BP727" s="11"/>
      <c r="BQ727" s="11" t="b">
        <v>0</v>
      </c>
      <c r="BR727" s="20">
        <v>1749.0</v>
      </c>
      <c r="BS727" s="11"/>
      <c r="BT727" s="11"/>
      <c r="BU727" s="11" t="s">
        <v>5814</v>
      </c>
      <c r="BV727" s="11" t="s">
        <v>685</v>
      </c>
    </row>
    <row r="728">
      <c r="A728" s="11" t="s">
        <v>2224</v>
      </c>
      <c r="B728" s="11" t="s">
        <v>78</v>
      </c>
      <c r="C728" s="23">
        <v>45981.0</v>
      </c>
      <c r="D728" s="11"/>
      <c r="E728" s="11"/>
      <c r="F728" s="11" t="s">
        <v>6200</v>
      </c>
      <c r="G728" s="11" t="s">
        <v>376</v>
      </c>
      <c r="H728" s="11">
        <v>1.0</v>
      </c>
      <c r="I728" s="20">
        <v>146.0</v>
      </c>
      <c r="J728" s="20">
        <v>146.0</v>
      </c>
      <c r="BO728" s="20">
        <v>146.0</v>
      </c>
      <c r="BP728" s="11"/>
      <c r="BQ728" s="11" t="b">
        <v>1</v>
      </c>
      <c r="BR728" s="20">
        <v>146.0</v>
      </c>
      <c r="BS728" s="11"/>
      <c r="BT728" s="11"/>
      <c r="BU728" s="11" t="s">
        <v>187</v>
      </c>
      <c r="BV728" s="11" t="s">
        <v>3675</v>
      </c>
    </row>
    <row r="729">
      <c r="A729" s="11" t="s">
        <v>2228</v>
      </c>
      <c r="B729" s="11" t="s">
        <v>78</v>
      </c>
      <c r="C729" s="23"/>
      <c r="D729" s="11"/>
      <c r="E729" s="11"/>
      <c r="F729" s="11" t="s">
        <v>6201</v>
      </c>
      <c r="G729" s="11" t="s">
        <v>376</v>
      </c>
      <c r="H729" s="11">
        <v>1.0</v>
      </c>
      <c r="I729" s="20">
        <v>146.0</v>
      </c>
      <c r="J729" s="20">
        <v>146.0</v>
      </c>
      <c r="BO729" s="20">
        <v>146.0</v>
      </c>
      <c r="BP729" s="11"/>
      <c r="BQ729" s="11" t="b">
        <v>0</v>
      </c>
      <c r="BR729" s="20">
        <v>146.0</v>
      </c>
      <c r="BS729" s="11"/>
      <c r="BT729" s="11"/>
      <c r="BU729" s="11" t="s">
        <v>5814</v>
      </c>
      <c r="BV729" s="11" t="s">
        <v>3675</v>
      </c>
    </row>
    <row r="730">
      <c r="A730" s="11" t="s">
        <v>2231</v>
      </c>
      <c r="B730" s="11" t="s">
        <v>78</v>
      </c>
      <c r="C730" s="23">
        <v>45981.0</v>
      </c>
      <c r="D730" s="11"/>
      <c r="E730" s="11"/>
      <c r="F730" s="11" t="s">
        <v>6200</v>
      </c>
      <c r="G730" s="11" t="s">
        <v>376</v>
      </c>
      <c r="H730" s="11">
        <v>1.0</v>
      </c>
      <c r="I730" s="20">
        <v>146.0</v>
      </c>
      <c r="J730" s="20">
        <v>146.0</v>
      </c>
      <c r="BO730" s="20">
        <v>146.0</v>
      </c>
      <c r="BP730" s="11"/>
      <c r="BQ730" s="11" t="b">
        <v>1</v>
      </c>
      <c r="BR730" s="20">
        <v>146.0</v>
      </c>
      <c r="BS730" s="11"/>
      <c r="BT730" s="11"/>
      <c r="BU730" s="11" t="s">
        <v>187</v>
      </c>
      <c r="BV730" s="11" t="s">
        <v>704</v>
      </c>
    </row>
    <row r="731">
      <c r="A731" s="11" t="s">
        <v>2235</v>
      </c>
      <c r="B731" s="11" t="s">
        <v>78</v>
      </c>
      <c r="C731" s="23"/>
      <c r="D731" s="11"/>
      <c r="E731" s="11"/>
      <c r="F731" s="11" t="s">
        <v>6201</v>
      </c>
      <c r="G731" s="11" t="s">
        <v>376</v>
      </c>
      <c r="H731" s="11">
        <v>1.0</v>
      </c>
      <c r="I731" s="20">
        <v>146.0</v>
      </c>
      <c r="J731" s="20">
        <v>146.0</v>
      </c>
      <c r="BO731" s="20">
        <v>146.0</v>
      </c>
      <c r="BP731" s="11"/>
      <c r="BQ731" s="11" t="b">
        <v>0</v>
      </c>
      <c r="BR731" s="20">
        <v>146.0</v>
      </c>
      <c r="BS731" s="11"/>
      <c r="BT731" s="11"/>
      <c r="BU731" s="11" t="s">
        <v>5814</v>
      </c>
      <c r="BV731" s="11" t="s">
        <v>704</v>
      </c>
    </row>
    <row r="732">
      <c r="A732" s="11" t="s">
        <v>6202</v>
      </c>
      <c r="B732" s="11" t="s">
        <v>78</v>
      </c>
      <c r="C732" s="23">
        <v>45979.0</v>
      </c>
      <c r="D732" s="11" t="s">
        <v>5487</v>
      </c>
      <c r="E732" s="11" t="s">
        <v>6203</v>
      </c>
      <c r="F732" s="11" t="s">
        <v>2277</v>
      </c>
      <c r="G732" s="11"/>
      <c r="H732" s="11"/>
      <c r="I732" s="20"/>
      <c r="J732" s="20"/>
      <c r="BO732" s="20"/>
      <c r="BP732" s="11" t="s">
        <v>6204</v>
      </c>
      <c r="BQ732" s="11" t="b">
        <v>0</v>
      </c>
      <c r="BR732" s="20"/>
      <c r="BS732" s="11"/>
      <c r="BT732" s="11" t="b">
        <v>0</v>
      </c>
      <c r="BU732" s="11" t="s">
        <v>2932</v>
      </c>
      <c r="BV732" s="11"/>
      <c r="BW732" s="11" t="s">
        <v>6205</v>
      </c>
    </row>
    <row r="733">
      <c r="A733" s="11" t="s">
        <v>6206</v>
      </c>
      <c r="B733" s="11" t="s">
        <v>78</v>
      </c>
      <c r="C733" s="23">
        <v>45979.0</v>
      </c>
      <c r="D733" s="11" t="s">
        <v>5487</v>
      </c>
      <c r="E733" s="11" t="s">
        <v>6207</v>
      </c>
      <c r="F733" s="11" t="s">
        <v>6208</v>
      </c>
      <c r="G733" s="11"/>
      <c r="H733" s="11"/>
      <c r="I733" s="20"/>
      <c r="J733" s="20"/>
      <c r="BO733" s="20"/>
      <c r="BP733" s="11" t="s">
        <v>6209</v>
      </c>
      <c r="BQ733" s="11" t="b">
        <v>0</v>
      </c>
      <c r="BR733" s="20"/>
      <c r="BS733" s="11"/>
      <c r="BT733" s="11" t="b">
        <v>0</v>
      </c>
      <c r="BU733" s="11" t="s">
        <v>2932</v>
      </c>
      <c r="BV733" s="11"/>
      <c r="BW733" s="11"/>
    </row>
    <row r="734">
      <c r="A734" s="11" t="s">
        <v>6210</v>
      </c>
      <c r="B734" s="11" t="s">
        <v>78</v>
      </c>
      <c r="C734" s="23">
        <v>45981.0</v>
      </c>
      <c r="D734" s="11" t="s">
        <v>104</v>
      </c>
      <c r="E734" s="11" t="s">
        <v>6211</v>
      </c>
      <c r="F734" s="11" t="s">
        <v>6212</v>
      </c>
      <c r="G734" s="11"/>
      <c r="H734" s="11"/>
      <c r="I734" s="20"/>
      <c r="J734" s="20"/>
      <c r="BO734" s="20"/>
      <c r="BP734" s="11" t="s">
        <v>6213</v>
      </c>
      <c r="BQ734" s="11" t="b">
        <v>0</v>
      </c>
      <c r="BR734" s="20"/>
      <c r="BS734" s="19" t="s">
        <v>6214</v>
      </c>
      <c r="BT734" s="11" t="b">
        <v>1</v>
      </c>
      <c r="BU734" s="11" t="s">
        <v>5814</v>
      </c>
      <c r="BV734" s="11"/>
      <c r="BW734" s="11"/>
    </row>
    <row r="735">
      <c r="A735" s="11" t="s">
        <v>6215</v>
      </c>
      <c r="B735" s="11" t="s">
        <v>78</v>
      </c>
      <c r="C735" s="23">
        <v>45981.0</v>
      </c>
      <c r="D735" s="11" t="s">
        <v>168</v>
      </c>
      <c r="E735" s="11" t="s">
        <v>6216</v>
      </c>
      <c r="F735" s="11" t="s">
        <v>6217</v>
      </c>
      <c r="G735" s="11"/>
      <c r="H735" s="11"/>
      <c r="I735" s="20"/>
      <c r="J735" s="20"/>
      <c r="BO735" s="20"/>
      <c r="BP735" s="11" t="s">
        <v>6218</v>
      </c>
      <c r="BQ735" s="11" t="b">
        <v>0</v>
      </c>
      <c r="BR735" s="20"/>
      <c r="BS735" s="19" t="s">
        <v>6219</v>
      </c>
      <c r="BT735" s="11" t="b">
        <v>1</v>
      </c>
      <c r="BU735" s="11" t="s">
        <v>2932</v>
      </c>
      <c r="BV735" s="11"/>
      <c r="BW735" s="11"/>
    </row>
    <row r="736">
      <c r="A736" s="11" t="s">
        <v>6220</v>
      </c>
      <c r="B736" s="11" t="s">
        <v>78</v>
      </c>
      <c r="C736" s="23">
        <v>45981.0</v>
      </c>
      <c r="D736" s="11" t="s">
        <v>6221</v>
      </c>
      <c r="E736" s="11" t="s">
        <v>6222</v>
      </c>
      <c r="F736" s="11" t="s">
        <v>6223</v>
      </c>
      <c r="G736" s="11"/>
      <c r="H736" s="11"/>
      <c r="I736" s="20"/>
      <c r="J736" s="20"/>
      <c r="BO736" s="20"/>
      <c r="BP736" s="11" t="s">
        <v>6224</v>
      </c>
      <c r="BQ736" s="11" t="b">
        <v>0</v>
      </c>
      <c r="BR736" s="20"/>
      <c r="BS736" s="19" t="s">
        <v>6225</v>
      </c>
      <c r="BT736" s="11" t="b">
        <v>1</v>
      </c>
      <c r="BU736" s="11" t="s">
        <v>2932</v>
      </c>
      <c r="BV736" s="11"/>
      <c r="BW736" s="11"/>
    </row>
    <row r="737">
      <c r="A737" s="11">
        <v>1638.0</v>
      </c>
      <c r="B737" s="11" t="s">
        <v>78</v>
      </c>
      <c r="C737" s="23"/>
      <c r="D737" s="11"/>
      <c r="E737" s="11"/>
      <c r="F737" s="11" t="s">
        <v>681</v>
      </c>
      <c r="G737" s="11" t="s">
        <v>376</v>
      </c>
      <c r="H737" s="11">
        <v>1.0</v>
      </c>
      <c r="I737" s="20">
        <v>3498.0</v>
      </c>
      <c r="J737" s="20">
        <v>3498.0</v>
      </c>
      <c r="BO737" s="20">
        <v>3498.0</v>
      </c>
      <c r="BP737" s="11"/>
      <c r="BQ737" s="11" t="b">
        <v>0</v>
      </c>
      <c r="BR737" s="20">
        <v>3498.0</v>
      </c>
      <c r="BS737" s="11"/>
      <c r="BT737" s="11"/>
      <c r="BU737" s="11" t="s">
        <v>187</v>
      </c>
      <c r="BV737" s="11" t="s">
        <v>685</v>
      </c>
      <c r="BW737" s="11"/>
    </row>
    <row r="738">
      <c r="A738" s="11">
        <v>1639.0</v>
      </c>
      <c r="B738" s="11" t="s">
        <v>78</v>
      </c>
      <c r="C738" s="23"/>
      <c r="D738" s="11"/>
      <c r="E738" s="11"/>
      <c r="F738" s="11" t="s">
        <v>687</v>
      </c>
      <c r="G738" s="11" t="s">
        <v>376</v>
      </c>
      <c r="H738" s="11">
        <v>1.0</v>
      </c>
      <c r="I738" s="20">
        <v>292.0</v>
      </c>
      <c r="J738" s="20">
        <v>292.0</v>
      </c>
      <c r="BO738" s="20">
        <v>292.0</v>
      </c>
      <c r="BP738" s="11"/>
      <c r="BQ738" s="11" t="b">
        <v>0</v>
      </c>
      <c r="BR738" s="20">
        <v>292.0</v>
      </c>
      <c r="BS738" s="11"/>
      <c r="BT738" s="11"/>
      <c r="BU738" s="11" t="s">
        <v>187</v>
      </c>
      <c r="BV738" s="11" t="s">
        <v>3675</v>
      </c>
      <c r="BW738" s="11"/>
    </row>
    <row r="739">
      <c r="A739" s="11">
        <v>1640.0</v>
      </c>
      <c r="B739" s="11" t="s">
        <v>78</v>
      </c>
      <c r="C739" s="23"/>
      <c r="D739" s="11"/>
      <c r="E739" s="11"/>
      <c r="F739" s="11" t="s">
        <v>687</v>
      </c>
      <c r="G739" s="11" t="s">
        <v>376</v>
      </c>
      <c r="H739" s="11">
        <v>1.0</v>
      </c>
      <c r="I739" s="20">
        <v>292.0</v>
      </c>
      <c r="J739" s="20">
        <v>292.0</v>
      </c>
      <c r="BO739" s="20">
        <v>292.0</v>
      </c>
      <c r="BP739" s="11"/>
      <c r="BQ739" s="11" t="b">
        <v>0</v>
      </c>
      <c r="BR739" s="20">
        <v>292.0</v>
      </c>
      <c r="BS739" s="11"/>
      <c r="BT739" s="11"/>
      <c r="BU739" s="11" t="s">
        <v>187</v>
      </c>
      <c r="BV739" s="11" t="s">
        <v>704</v>
      </c>
      <c r="BW739" s="11"/>
    </row>
    <row r="740">
      <c r="A740" s="11">
        <v>1641.0</v>
      </c>
      <c r="B740" s="11" t="s">
        <v>78</v>
      </c>
      <c r="C740" s="23"/>
      <c r="D740" s="11" t="s">
        <v>415</v>
      </c>
      <c r="E740" s="11"/>
      <c r="F740" s="11" t="s">
        <v>1015</v>
      </c>
      <c r="G740" s="11" t="s">
        <v>1017</v>
      </c>
      <c r="H740" s="11">
        <v>1.0</v>
      </c>
      <c r="I740" s="20">
        <v>22.0</v>
      </c>
      <c r="J740" s="20">
        <v>22.0</v>
      </c>
      <c r="BO740" s="20">
        <v>22.0</v>
      </c>
      <c r="BP740" s="11"/>
      <c r="BQ740" s="11" t="b">
        <v>0</v>
      </c>
      <c r="BR740" s="20">
        <v>22.0</v>
      </c>
      <c r="BS740" s="11"/>
      <c r="BT740" s="11"/>
      <c r="BU740" s="11" t="s">
        <v>213</v>
      </c>
      <c r="BV740" s="11"/>
      <c r="BW740" s="11"/>
    </row>
    <row r="741">
      <c r="A741" s="11">
        <v>1642.0</v>
      </c>
      <c r="B741" s="11" t="s">
        <v>78</v>
      </c>
      <c r="C741" s="23"/>
      <c r="D741" s="11" t="s">
        <v>415</v>
      </c>
      <c r="E741" s="11"/>
      <c r="F741" s="11" t="s">
        <v>1022</v>
      </c>
      <c r="G741" s="11" t="s">
        <v>1023</v>
      </c>
      <c r="H741" s="11">
        <v>1.0</v>
      </c>
      <c r="I741" s="20">
        <v>10.0</v>
      </c>
      <c r="J741" s="20">
        <v>10.0</v>
      </c>
      <c r="BO741" s="20">
        <v>10.0</v>
      </c>
      <c r="BP741" s="11"/>
      <c r="BQ741" s="11" t="b">
        <v>0</v>
      </c>
      <c r="BR741" s="20">
        <v>10.0</v>
      </c>
      <c r="BS741" s="11"/>
      <c r="BT741" s="11"/>
      <c r="BU741" s="11" t="s">
        <v>213</v>
      </c>
      <c r="BV741" s="11"/>
      <c r="BW741" s="11"/>
    </row>
    <row r="742">
      <c r="A742" s="11">
        <v>1643.0</v>
      </c>
      <c r="B742" s="11" t="s">
        <v>78</v>
      </c>
      <c r="C742" s="23"/>
      <c r="D742" s="11" t="s">
        <v>629</v>
      </c>
      <c r="E742" s="11"/>
      <c r="F742" s="11" t="s">
        <v>633</v>
      </c>
      <c r="G742" s="11" t="s">
        <v>1870</v>
      </c>
      <c r="H742" s="11">
        <v>1.0</v>
      </c>
      <c r="I742" s="20">
        <v>1.0</v>
      </c>
      <c r="J742" s="20">
        <v>1.0</v>
      </c>
      <c r="BO742" s="20">
        <v>1.0</v>
      </c>
      <c r="BP742" s="11"/>
      <c r="BQ742" s="11" t="b">
        <v>0</v>
      </c>
      <c r="BR742" s="20">
        <v>1.0</v>
      </c>
      <c r="BS742" s="11"/>
      <c r="BT742" s="11"/>
      <c r="BU742" s="11" t="s">
        <v>187</v>
      </c>
      <c r="BV742" s="11"/>
      <c r="BW742" s="11"/>
    </row>
    <row r="743">
      <c r="A743" s="11">
        <v>1644.0</v>
      </c>
      <c r="B743" s="11" t="s">
        <v>78</v>
      </c>
      <c r="C743" s="23"/>
      <c r="D743" s="11"/>
      <c r="E743" s="11"/>
      <c r="F743" s="11" t="s">
        <v>2638</v>
      </c>
      <c r="G743" s="11" t="s">
        <v>376</v>
      </c>
      <c r="H743" s="11">
        <v>1.0</v>
      </c>
      <c r="I743" s="20">
        <v>1.0</v>
      </c>
      <c r="J743" s="20">
        <v>1.0</v>
      </c>
      <c r="BO743" s="20">
        <v>1.0</v>
      </c>
      <c r="BP743" s="11"/>
      <c r="BQ743" s="11" t="b">
        <v>0</v>
      </c>
      <c r="BR743" s="20">
        <v>1.0</v>
      </c>
      <c r="BS743" s="11"/>
      <c r="BT743" s="11"/>
      <c r="BU743" s="11" t="s">
        <v>187</v>
      </c>
      <c r="BV743" s="11" t="s">
        <v>225</v>
      </c>
      <c r="BW743" s="11"/>
    </row>
    <row r="744">
      <c r="A744" s="11">
        <v>1645.0</v>
      </c>
      <c r="B744" s="11" t="s">
        <v>78</v>
      </c>
      <c r="C744" s="23"/>
      <c r="D744" s="11"/>
      <c r="E744" s="11"/>
      <c r="F744" s="11" t="s">
        <v>2638</v>
      </c>
      <c r="G744" s="11" t="s">
        <v>376</v>
      </c>
      <c r="H744" s="11">
        <v>1.0</v>
      </c>
      <c r="I744" s="20">
        <v>1.0</v>
      </c>
      <c r="J744" s="20">
        <v>1.0</v>
      </c>
      <c r="BO744" s="20">
        <v>1.0</v>
      </c>
      <c r="BP744" s="11"/>
      <c r="BQ744" s="11" t="b">
        <v>0</v>
      </c>
      <c r="BR744" s="20">
        <v>1.0</v>
      </c>
      <c r="BS744" s="11"/>
      <c r="BT744" s="11"/>
      <c r="BU744" s="11" t="s">
        <v>187</v>
      </c>
      <c r="BV744" s="11" t="s">
        <v>113</v>
      </c>
      <c r="BW744" s="11"/>
    </row>
    <row r="745">
      <c r="A745" s="11">
        <v>1646.0</v>
      </c>
      <c r="B745" s="11" t="s">
        <v>78</v>
      </c>
      <c r="C745" s="23"/>
      <c r="D745" s="11"/>
      <c r="E745" s="11"/>
      <c r="F745" s="11" t="s">
        <v>2638</v>
      </c>
      <c r="G745" s="11" t="s">
        <v>376</v>
      </c>
      <c r="H745" s="11">
        <v>1.0</v>
      </c>
      <c r="I745" s="20">
        <v>1.0</v>
      </c>
      <c r="J745" s="20">
        <v>1.0</v>
      </c>
      <c r="BO745" s="20">
        <v>1.0</v>
      </c>
      <c r="BP745" s="11"/>
      <c r="BQ745" s="11" t="b">
        <v>0</v>
      </c>
      <c r="BR745" s="20">
        <v>1.0</v>
      </c>
      <c r="BS745" s="11"/>
      <c r="BT745" s="11"/>
      <c r="BU745" s="11" t="s">
        <v>187</v>
      </c>
      <c r="BV745" s="11" t="s">
        <v>126</v>
      </c>
      <c r="BW745" s="11"/>
    </row>
    <row r="746">
      <c r="A746" s="11">
        <v>1647.0</v>
      </c>
      <c r="B746" s="11" t="s">
        <v>78</v>
      </c>
      <c r="C746" s="23"/>
      <c r="D746" s="11"/>
      <c r="E746" s="11"/>
      <c r="F746" s="11" t="s">
        <v>2638</v>
      </c>
      <c r="G746" s="11" t="s">
        <v>376</v>
      </c>
      <c r="H746" s="11">
        <v>1.0</v>
      </c>
      <c r="I746" s="20">
        <v>1.0</v>
      </c>
      <c r="J746" s="20">
        <v>1.0</v>
      </c>
      <c r="BO746" s="20">
        <v>1.0</v>
      </c>
      <c r="BP746" s="11"/>
      <c r="BQ746" s="11" t="b">
        <v>0</v>
      </c>
      <c r="BR746" s="20">
        <v>1.0</v>
      </c>
      <c r="BS746" s="11"/>
      <c r="BT746" s="11"/>
      <c r="BU746" s="11" t="s">
        <v>187</v>
      </c>
      <c r="BV746" s="11" t="s">
        <v>3739</v>
      </c>
      <c r="BW746" s="11"/>
    </row>
    <row r="747">
      <c r="A747" s="11" t="s">
        <v>6226</v>
      </c>
      <c r="B747" s="11" t="s">
        <v>78</v>
      </c>
      <c r="C747" s="23">
        <v>45982.0</v>
      </c>
      <c r="D747" s="11" t="s">
        <v>992</v>
      </c>
      <c r="E747" s="11" t="s">
        <v>6227</v>
      </c>
      <c r="F747" s="11" t="s">
        <v>2909</v>
      </c>
      <c r="G747" s="11"/>
      <c r="H747" s="11"/>
      <c r="I747" s="20"/>
      <c r="J747" s="20"/>
      <c r="BO747" s="20"/>
      <c r="BP747" s="11" t="s">
        <v>6228</v>
      </c>
      <c r="BQ747" s="11" t="b">
        <v>0</v>
      </c>
      <c r="BR747" s="20"/>
      <c r="BS747" s="19" t="s">
        <v>6229</v>
      </c>
      <c r="BT747" s="11" t="b">
        <v>1</v>
      </c>
      <c r="BU747" s="11" t="s">
        <v>2932</v>
      </c>
      <c r="BV747" s="11"/>
      <c r="BW747" s="11"/>
    </row>
    <row r="748">
      <c r="A748" s="11" t="s">
        <v>6230</v>
      </c>
      <c r="B748" s="11" t="s">
        <v>78</v>
      </c>
      <c r="C748" s="23">
        <v>45973.0</v>
      </c>
      <c r="D748" s="11" t="s">
        <v>4510</v>
      </c>
      <c r="E748" s="11" t="s">
        <v>6231</v>
      </c>
      <c r="F748" s="11" t="s">
        <v>6232</v>
      </c>
      <c r="G748" s="11"/>
      <c r="H748" s="11"/>
      <c r="I748" s="20"/>
      <c r="J748" s="20"/>
      <c r="BO748" s="20"/>
      <c r="BP748" s="11" t="s">
        <v>6233</v>
      </c>
      <c r="BQ748" s="11" t="b">
        <v>0</v>
      </c>
      <c r="BR748" s="20"/>
      <c r="BS748" s="11"/>
      <c r="BT748" s="11" t="b">
        <v>0</v>
      </c>
      <c r="BU748" s="11" t="s">
        <v>2932</v>
      </c>
      <c r="BV748" s="11"/>
      <c r="BW748" s="11"/>
    </row>
    <row r="749">
      <c r="A749" s="11" t="s">
        <v>6234</v>
      </c>
      <c r="B749" s="11" t="s">
        <v>78</v>
      </c>
      <c r="C749" s="23">
        <v>45982.0</v>
      </c>
      <c r="D749" s="11" t="s">
        <v>6235</v>
      </c>
      <c r="E749" s="11" t="s">
        <v>6236</v>
      </c>
      <c r="F749" s="11" t="s">
        <v>6237</v>
      </c>
      <c r="G749" s="11"/>
      <c r="H749" s="11"/>
      <c r="I749" s="20"/>
      <c r="J749" s="20"/>
      <c r="BO749" s="20"/>
      <c r="BP749" s="11" t="s">
        <v>6238</v>
      </c>
      <c r="BQ749" s="11" t="b">
        <v>0</v>
      </c>
      <c r="BR749" s="20"/>
      <c r="BS749" s="19" t="s">
        <v>6239</v>
      </c>
      <c r="BT749" s="11" t="b">
        <v>1</v>
      </c>
      <c r="BU749" s="11" t="s">
        <v>2932</v>
      </c>
      <c r="BV749" s="11"/>
      <c r="BW749" s="11"/>
    </row>
    <row r="750">
      <c r="A750" s="11" t="s">
        <v>2269</v>
      </c>
      <c r="B750" s="11" t="s">
        <v>78</v>
      </c>
      <c r="C750" s="23"/>
      <c r="D750" s="11" t="s">
        <v>237</v>
      </c>
      <c r="E750" s="11"/>
      <c r="F750" s="11" t="s">
        <v>6240</v>
      </c>
      <c r="G750" s="11" t="s">
        <v>2040</v>
      </c>
      <c r="H750" s="11">
        <v>1.0</v>
      </c>
      <c r="I750" s="20">
        <v>111.0</v>
      </c>
      <c r="J750" s="20">
        <v>111.0</v>
      </c>
      <c r="BO750" s="20">
        <v>111.0</v>
      </c>
      <c r="BP750" s="11"/>
      <c r="BQ750" s="11" t="b">
        <v>0</v>
      </c>
      <c r="BR750" s="20">
        <v>111.0</v>
      </c>
      <c r="BS750" s="11"/>
      <c r="BT750" s="11"/>
      <c r="BU750" s="11" t="s">
        <v>5814</v>
      </c>
      <c r="BV750" s="11"/>
      <c r="BW750" s="11"/>
    </row>
    <row r="751">
      <c r="A751" s="11" t="s">
        <v>2272</v>
      </c>
      <c r="B751" s="11" t="s">
        <v>78</v>
      </c>
      <c r="C751" s="23"/>
      <c r="D751" s="11" t="s">
        <v>237</v>
      </c>
      <c r="E751" s="11"/>
      <c r="F751" s="11" t="s">
        <v>6241</v>
      </c>
      <c r="G751" s="11" t="s">
        <v>2040</v>
      </c>
      <c r="H751" s="11">
        <v>1.0</v>
      </c>
      <c r="I751" s="20">
        <v>4371.0</v>
      </c>
      <c r="J751" s="20">
        <v>4371.0</v>
      </c>
      <c r="BO751" s="20">
        <v>4371.0</v>
      </c>
      <c r="BP751" s="11"/>
      <c r="BQ751" s="11" t="b">
        <v>0</v>
      </c>
      <c r="BR751" s="20">
        <v>4371.0</v>
      </c>
      <c r="BS751" s="11"/>
      <c r="BT751" s="11"/>
      <c r="BU751" s="11" t="s">
        <v>5814</v>
      </c>
      <c r="BV751" s="11"/>
      <c r="BW751" s="11"/>
    </row>
    <row r="752">
      <c r="A752" s="11" t="s">
        <v>2275</v>
      </c>
      <c r="B752" s="11" t="s">
        <v>78</v>
      </c>
      <c r="C752" s="23"/>
      <c r="D752" s="11" t="s">
        <v>237</v>
      </c>
      <c r="E752" s="11"/>
      <c r="F752" s="11" t="s">
        <v>6242</v>
      </c>
      <c r="G752" s="11" t="s">
        <v>1958</v>
      </c>
      <c r="H752" s="11">
        <v>1.0</v>
      </c>
      <c r="I752" s="20">
        <v>2934.84</v>
      </c>
      <c r="J752" s="20">
        <v>2934.84</v>
      </c>
      <c r="BO752" s="20">
        <v>2934.84</v>
      </c>
      <c r="BP752" s="11"/>
      <c r="BQ752" s="11" t="b">
        <v>0</v>
      </c>
      <c r="BR752" s="20">
        <v>2934.84</v>
      </c>
      <c r="BS752" s="11"/>
      <c r="BT752" s="11"/>
      <c r="BU752" s="11" t="s">
        <v>5814</v>
      </c>
      <c r="BV752" s="11"/>
      <c r="BW752" s="11"/>
    </row>
    <row r="753">
      <c r="A753" s="11" t="s">
        <v>6243</v>
      </c>
      <c r="B753" s="11" t="s">
        <v>78</v>
      </c>
      <c r="C753" s="23">
        <v>45983.0</v>
      </c>
      <c r="D753" s="11" t="s">
        <v>1201</v>
      </c>
      <c r="E753" s="11" t="s">
        <v>6244</v>
      </c>
      <c r="F753" s="11" t="s">
        <v>6245</v>
      </c>
      <c r="G753" s="11"/>
      <c r="H753" s="11"/>
      <c r="I753" s="20"/>
      <c r="J753" s="20"/>
      <c r="BO753" s="20"/>
      <c r="BP753" s="11" t="s">
        <v>6246</v>
      </c>
      <c r="BQ753" s="11" t="b">
        <v>0</v>
      </c>
      <c r="BR753" s="20"/>
      <c r="BS753" s="19" t="s">
        <v>6247</v>
      </c>
      <c r="BT753" s="11" t="b">
        <v>1</v>
      </c>
      <c r="BU753" s="11" t="s">
        <v>2932</v>
      </c>
      <c r="BV753" s="11"/>
      <c r="BW753" s="11"/>
    </row>
    <row r="754">
      <c r="A754" s="11" t="s">
        <v>6248</v>
      </c>
      <c r="B754" s="11" t="s">
        <v>78</v>
      </c>
      <c r="C754" s="23">
        <v>45983.0</v>
      </c>
      <c r="D754" s="11" t="s">
        <v>104</v>
      </c>
      <c r="E754" s="11" t="s">
        <v>6249</v>
      </c>
      <c r="F754" s="11" t="s">
        <v>6250</v>
      </c>
      <c r="G754" s="11"/>
      <c r="H754" s="11"/>
      <c r="I754" s="20"/>
      <c r="J754" s="20"/>
      <c r="BO754" s="20"/>
      <c r="BP754" s="11" t="s">
        <v>6251</v>
      </c>
      <c r="BQ754" s="11" t="b">
        <v>0</v>
      </c>
      <c r="BR754" s="20"/>
      <c r="BS754" s="19" t="s">
        <v>6252</v>
      </c>
      <c r="BT754" s="11" t="b">
        <v>1</v>
      </c>
      <c r="BU754" s="11" t="s">
        <v>2932</v>
      </c>
      <c r="BV754" s="11"/>
      <c r="BW754" s="11"/>
    </row>
    <row r="755">
      <c r="A755" s="11" t="s">
        <v>6253</v>
      </c>
      <c r="B755" s="11" t="s">
        <v>78</v>
      </c>
      <c r="C755" s="23">
        <v>45984.0</v>
      </c>
      <c r="D755" s="11" t="s">
        <v>6191</v>
      </c>
      <c r="E755" s="11" t="s">
        <v>6254</v>
      </c>
      <c r="F755" s="11" t="s">
        <v>6255</v>
      </c>
      <c r="G755" s="11"/>
      <c r="H755" s="11"/>
      <c r="I755" s="20"/>
      <c r="J755" s="20"/>
      <c r="BO755" s="20"/>
      <c r="BP755" s="11" t="s">
        <v>6256</v>
      </c>
      <c r="BQ755" s="11" t="b">
        <v>0</v>
      </c>
      <c r="BR755" s="20"/>
      <c r="BS755" s="19" t="s">
        <v>6257</v>
      </c>
      <c r="BT755" s="11" t="b">
        <v>1</v>
      </c>
      <c r="BU755" s="11" t="s">
        <v>5814</v>
      </c>
      <c r="BV755" s="11"/>
      <c r="BW755" s="11"/>
    </row>
    <row r="756">
      <c r="A756" s="11" t="s">
        <v>6258</v>
      </c>
      <c r="B756" s="11" t="s">
        <v>78</v>
      </c>
      <c r="C756" s="23">
        <v>45982.0</v>
      </c>
      <c r="D756" s="11" t="s">
        <v>5487</v>
      </c>
      <c r="E756" s="11" t="s">
        <v>6259</v>
      </c>
      <c r="F756" s="11" t="s">
        <v>6260</v>
      </c>
      <c r="G756" s="11"/>
      <c r="H756" s="11"/>
      <c r="I756" s="20"/>
      <c r="J756" s="20"/>
      <c r="BO756" s="20"/>
      <c r="BP756" s="11" t="s">
        <v>6261</v>
      </c>
      <c r="BQ756" s="11" t="b">
        <v>0</v>
      </c>
      <c r="BR756" s="20"/>
      <c r="BS756" s="11"/>
      <c r="BT756" s="11" t="b">
        <v>0</v>
      </c>
      <c r="BU756" s="11" t="s">
        <v>2932</v>
      </c>
      <c r="BV756" s="11"/>
      <c r="BW756" s="11" t="s">
        <v>6262</v>
      </c>
      <c r="BX756" s="11" t="s">
        <v>6263</v>
      </c>
      <c r="BY756" s="11" t="s">
        <v>6264</v>
      </c>
    </row>
    <row r="757">
      <c r="A757" s="11" t="s">
        <v>6265</v>
      </c>
      <c r="B757" s="11" t="s">
        <v>78</v>
      </c>
      <c r="C757" s="23">
        <v>45966.0</v>
      </c>
      <c r="D757" s="11" t="s">
        <v>5487</v>
      </c>
      <c r="E757" s="11" t="s">
        <v>6266</v>
      </c>
      <c r="F757" s="11" t="s">
        <v>6267</v>
      </c>
      <c r="G757" s="11"/>
      <c r="H757" s="11"/>
      <c r="I757" s="20"/>
      <c r="J757" s="20"/>
      <c r="BO757" s="20"/>
      <c r="BP757" s="11" t="s">
        <v>6268</v>
      </c>
      <c r="BQ757" s="11" t="b">
        <v>0</v>
      </c>
      <c r="BR757" s="20"/>
      <c r="BS757" s="11"/>
      <c r="BT757" s="11" t="b">
        <v>0</v>
      </c>
      <c r="BU757" s="11" t="s">
        <v>2932</v>
      </c>
      <c r="BV757" s="11"/>
      <c r="BW757" s="11" t="s">
        <v>6269</v>
      </c>
      <c r="BX757" s="11"/>
      <c r="BY757" s="11"/>
    </row>
    <row r="758">
      <c r="A758" s="11" t="s">
        <v>6270</v>
      </c>
      <c r="B758" s="11" t="s">
        <v>78</v>
      </c>
      <c r="C758" s="23">
        <v>45979.0</v>
      </c>
      <c r="D758" s="11" t="s">
        <v>4510</v>
      </c>
      <c r="E758" s="11" t="s">
        <v>6271</v>
      </c>
      <c r="F758" s="11" t="s">
        <v>6272</v>
      </c>
      <c r="G758" s="11"/>
      <c r="H758" s="11"/>
      <c r="I758" s="20"/>
      <c r="J758" s="20"/>
      <c r="BO758" s="20"/>
      <c r="BP758" s="11" t="s">
        <v>6273</v>
      </c>
      <c r="BQ758" s="11" t="b">
        <v>0</v>
      </c>
      <c r="BR758" s="20"/>
      <c r="BS758" s="11"/>
      <c r="BT758" s="11" t="b">
        <v>0</v>
      </c>
      <c r="BU758" s="11" t="s">
        <v>2932</v>
      </c>
      <c r="BV758" s="11"/>
      <c r="BW758" s="11" t="s">
        <v>6274</v>
      </c>
      <c r="BX758" s="11" t="s">
        <v>6275</v>
      </c>
      <c r="BY758" s="11"/>
    </row>
    <row r="759">
      <c r="A759" s="11" t="s">
        <v>6276</v>
      </c>
      <c r="B759" s="11" t="s">
        <v>78</v>
      </c>
      <c r="C759" s="23">
        <v>45982.0</v>
      </c>
      <c r="D759" s="11" t="s">
        <v>237</v>
      </c>
      <c r="E759" s="11" t="s">
        <v>6277</v>
      </c>
      <c r="F759" s="11" t="s">
        <v>6278</v>
      </c>
      <c r="G759" s="11"/>
      <c r="H759" s="11"/>
      <c r="I759" s="20"/>
      <c r="J759" s="20"/>
      <c r="BO759" s="20"/>
      <c r="BP759" s="11" t="s">
        <v>6279</v>
      </c>
      <c r="BQ759" s="11" t="b">
        <v>0</v>
      </c>
      <c r="BR759" s="20"/>
      <c r="BS759" s="11"/>
      <c r="BT759" s="11" t="b">
        <v>0</v>
      </c>
      <c r="BU759" s="11" t="s">
        <v>2932</v>
      </c>
      <c r="BV759" s="11"/>
      <c r="BW759" s="11" t="s">
        <v>6280</v>
      </c>
      <c r="BX759" s="11" t="s">
        <v>6281</v>
      </c>
      <c r="BY759" s="11"/>
    </row>
    <row r="760">
      <c r="A760" s="11" t="s">
        <v>6282</v>
      </c>
      <c r="B760" s="11" t="s">
        <v>78</v>
      </c>
      <c r="C760" s="23">
        <v>45982.0</v>
      </c>
      <c r="D760" s="11" t="s">
        <v>237</v>
      </c>
      <c r="E760" s="11" t="s">
        <v>6283</v>
      </c>
      <c r="F760" s="11" t="s">
        <v>6284</v>
      </c>
      <c r="G760" s="11"/>
      <c r="H760" s="11"/>
      <c r="I760" s="20"/>
      <c r="J760" s="20"/>
      <c r="BO760" s="20"/>
      <c r="BP760" s="11" t="s">
        <v>6286</v>
      </c>
      <c r="BQ760" s="11" t="b">
        <v>0</v>
      </c>
      <c r="BR760" s="20"/>
      <c r="BS760" s="11"/>
      <c r="BT760" s="11" t="b">
        <v>0</v>
      </c>
      <c r="BU760" s="11" t="s">
        <v>5814</v>
      </c>
      <c r="BV760" s="11"/>
      <c r="BW760" s="11" t="s">
        <v>6288</v>
      </c>
      <c r="BX760" s="11"/>
      <c r="BY760" s="11"/>
    </row>
    <row r="761">
      <c r="A761" s="11" t="s">
        <v>6289</v>
      </c>
      <c r="B761" s="11" t="s">
        <v>78</v>
      </c>
      <c r="C761" s="23">
        <v>45987.0</v>
      </c>
      <c r="D761" s="11" t="s">
        <v>992</v>
      </c>
      <c r="E761" s="11" t="s">
        <v>6291</v>
      </c>
      <c r="F761" s="11" t="s">
        <v>4668</v>
      </c>
      <c r="G761" s="11"/>
      <c r="H761" s="11"/>
      <c r="I761" s="20"/>
      <c r="J761" s="20"/>
      <c r="BO761" s="20"/>
      <c r="BP761" s="11" t="s">
        <v>6292</v>
      </c>
      <c r="BQ761" s="11" t="b">
        <v>0</v>
      </c>
      <c r="BR761" s="20"/>
      <c r="BS761" s="19" t="s">
        <v>6293</v>
      </c>
      <c r="BT761" s="11" t="b">
        <v>1</v>
      </c>
      <c r="BU761" s="11" t="s">
        <v>2932</v>
      </c>
      <c r="BV761" s="11"/>
      <c r="BW761" s="11"/>
      <c r="BX761" s="11"/>
      <c r="BY761" s="11"/>
    </row>
    <row r="762">
      <c r="A762" s="11" t="s">
        <v>6294</v>
      </c>
      <c r="B762" s="11" t="s">
        <v>78</v>
      </c>
      <c r="C762" s="23">
        <v>45986.0</v>
      </c>
      <c r="D762" s="11" t="s">
        <v>2549</v>
      </c>
      <c r="E762" s="11" t="s">
        <v>6295</v>
      </c>
      <c r="F762" s="11" t="s">
        <v>6296</v>
      </c>
      <c r="G762" s="11"/>
      <c r="H762" s="11"/>
      <c r="I762" s="20"/>
      <c r="J762" s="20"/>
      <c r="BO762" s="20"/>
      <c r="BP762" s="11" t="s">
        <v>6297</v>
      </c>
      <c r="BQ762" s="11" t="b">
        <v>0</v>
      </c>
      <c r="BR762" s="20"/>
      <c r="BS762" s="19" t="s">
        <v>6298</v>
      </c>
      <c r="BT762" s="11" t="b">
        <v>1</v>
      </c>
      <c r="BU762" s="11" t="s">
        <v>2932</v>
      </c>
      <c r="BV762" s="11"/>
      <c r="BW762" s="11"/>
      <c r="BX762" s="11"/>
      <c r="BY762" s="11"/>
    </row>
    <row r="763">
      <c r="A763" s="11" t="s">
        <v>2279</v>
      </c>
      <c r="B763" s="11" t="s">
        <v>78</v>
      </c>
      <c r="C763" s="23">
        <v>45987.0</v>
      </c>
      <c r="D763" s="11"/>
      <c r="E763" s="11"/>
      <c r="F763" s="11" t="s">
        <v>783</v>
      </c>
      <c r="G763" s="11" t="s">
        <v>350</v>
      </c>
      <c r="H763" s="11">
        <v>1.0</v>
      </c>
      <c r="I763" s="20">
        <v>500.0</v>
      </c>
      <c r="J763" s="20">
        <v>500.0</v>
      </c>
      <c r="BO763" s="20">
        <v>500.0</v>
      </c>
      <c r="BP763" s="11"/>
      <c r="BQ763" s="11" t="b">
        <v>1</v>
      </c>
      <c r="BR763" s="20">
        <v>500.0</v>
      </c>
      <c r="BS763" s="11"/>
      <c r="BT763" s="11"/>
      <c r="BU763" s="11" t="s">
        <v>187</v>
      </c>
      <c r="BV763" s="11" t="s">
        <v>126</v>
      </c>
      <c r="BW763" s="11"/>
      <c r="BX763" s="11"/>
      <c r="BY763" s="11"/>
    </row>
    <row r="764">
      <c r="A764" s="11" t="s">
        <v>6301</v>
      </c>
      <c r="B764" s="11" t="s">
        <v>78</v>
      </c>
      <c r="C764" s="23">
        <v>45990.0</v>
      </c>
      <c r="D764" s="11" t="s">
        <v>85</v>
      </c>
      <c r="E764" s="11" t="s">
        <v>6303</v>
      </c>
      <c r="F764" s="11" t="s">
        <v>3193</v>
      </c>
      <c r="G764" s="11"/>
      <c r="H764" s="11"/>
      <c r="I764" s="20"/>
      <c r="J764" s="20"/>
      <c r="BO764" s="20"/>
      <c r="BP764" s="11" t="s">
        <v>6305</v>
      </c>
      <c r="BQ764" s="11" t="b">
        <v>0</v>
      </c>
      <c r="BR764" s="20"/>
      <c r="BS764" s="19" t="s">
        <v>6306</v>
      </c>
      <c r="BT764" s="11" t="b">
        <v>1</v>
      </c>
      <c r="BU764" s="11" t="s">
        <v>2932</v>
      </c>
      <c r="BV764" s="11"/>
      <c r="BW764" s="11"/>
      <c r="BX764" s="11"/>
      <c r="BY764" s="11"/>
    </row>
    <row r="765">
      <c r="A765" s="11" t="s">
        <v>6307</v>
      </c>
      <c r="B765" s="11" t="s">
        <v>78</v>
      </c>
      <c r="C765" s="23">
        <v>45992.0</v>
      </c>
      <c r="D765" s="11" t="s">
        <v>104</v>
      </c>
      <c r="E765" s="11" t="s">
        <v>6308</v>
      </c>
      <c r="F765" s="11" t="s">
        <v>380</v>
      </c>
      <c r="G765" s="11"/>
      <c r="H765" s="11"/>
      <c r="I765" s="20"/>
      <c r="J765" s="20"/>
      <c r="BO765" s="20"/>
      <c r="BP765" s="11" t="s">
        <v>6309</v>
      </c>
      <c r="BQ765" s="11" t="b">
        <v>0</v>
      </c>
      <c r="BR765" s="20"/>
      <c r="BS765" s="19" t="s">
        <v>6310</v>
      </c>
      <c r="BT765" s="11" t="b">
        <v>1</v>
      </c>
      <c r="BU765" s="11" t="s">
        <v>2932</v>
      </c>
      <c r="BV765" s="11"/>
      <c r="BW765" s="11"/>
      <c r="BX765" s="11"/>
      <c r="BY765" s="11"/>
    </row>
    <row r="766">
      <c r="A766" s="11" t="s">
        <v>6311</v>
      </c>
      <c r="B766" s="11" t="s">
        <v>78</v>
      </c>
      <c r="C766" s="23">
        <v>45990.0</v>
      </c>
      <c r="D766" s="11" t="s">
        <v>104</v>
      </c>
      <c r="E766" s="11" t="s">
        <v>6312</v>
      </c>
      <c r="F766" s="11" t="s">
        <v>380</v>
      </c>
      <c r="G766" s="11"/>
      <c r="H766" s="11"/>
      <c r="I766" s="20"/>
      <c r="J766" s="20"/>
      <c r="BO766" s="20"/>
      <c r="BP766" s="11" t="s">
        <v>6313</v>
      </c>
      <c r="BQ766" s="11" t="b">
        <v>0</v>
      </c>
      <c r="BR766" s="20"/>
      <c r="BS766" s="19" t="s">
        <v>6314</v>
      </c>
      <c r="BT766" s="11" t="b">
        <v>1</v>
      </c>
      <c r="BU766" s="11" t="s">
        <v>2932</v>
      </c>
      <c r="BV766" s="11"/>
      <c r="BW766" s="11"/>
      <c r="BX766" s="11"/>
      <c r="BY766" s="11"/>
    </row>
    <row r="767">
      <c r="A767" s="11" t="s">
        <v>6315</v>
      </c>
      <c r="B767" s="11" t="s">
        <v>78</v>
      </c>
      <c r="C767" s="23">
        <v>45989.0</v>
      </c>
      <c r="D767" s="11" t="s">
        <v>992</v>
      </c>
      <c r="E767" s="11" t="s">
        <v>6316</v>
      </c>
      <c r="F767" s="11" t="s">
        <v>3235</v>
      </c>
      <c r="G767" s="11"/>
      <c r="H767" s="11"/>
      <c r="I767" s="20"/>
      <c r="J767" s="20"/>
      <c r="BO767" s="20"/>
      <c r="BP767" s="11" t="s">
        <v>6317</v>
      </c>
      <c r="BQ767" s="11" t="b">
        <v>0</v>
      </c>
      <c r="BR767" s="20"/>
      <c r="BS767" s="19" t="s">
        <v>6318</v>
      </c>
      <c r="BT767" s="11" t="b">
        <v>1</v>
      </c>
      <c r="BU767" s="11" t="s">
        <v>2932</v>
      </c>
      <c r="BV767" s="11"/>
      <c r="BW767" s="11"/>
      <c r="BX767" s="11"/>
      <c r="BY767" s="11"/>
    </row>
    <row r="768">
      <c r="A768" s="11" t="s">
        <v>6319</v>
      </c>
      <c r="B768" s="11" t="s">
        <v>78</v>
      </c>
      <c r="C768" s="23">
        <v>45991.0</v>
      </c>
      <c r="D768" s="11" t="s">
        <v>2549</v>
      </c>
      <c r="E768" s="11" t="s">
        <v>6320</v>
      </c>
      <c r="F768" s="11" t="s">
        <v>6321</v>
      </c>
      <c r="G768" s="11"/>
      <c r="H768" s="11"/>
      <c r="I768" s="20"/>
      <c r="J768" s="20"/>
      <c r="BO768" s="20"/>
      <c r="BP768" s="11" t="s">
        <v>6322</v>
      </c>
      <c r="BQ768" s="11" t="b">
        <v>0</v>
      </c>
      <c r="BR768" s="20"/>
      <c r="BS768" s="19" t="s">
        <v>6323</v>
      </c>
      <c r="BT768" s="11" t="b">
        <v>1</v>
      </c>
      <c r="BU768" s="11" t="s">
        <v>5814</v>
      </c>
      <c r="BV768" s="11"/>
      <c r="BW768" s="11"/>
      <c r="BX768" s="11"/>
      <c r="BY768" s="11"/>
    </row>
    <row r="769">
      <c r="A769" s="11" t="s">
        <v>6324</v>
      </c>
      <c r="B769" s="11" t="s">
        <v>78</v>
      </c>
      <c r="C769" s="23">
        <v>45992.0</v>
      </c>
      <c r="D769" s="11" t="s">
        <v>992</v>
      </c>
      <c r="E769" s="11" t="s">
        <v>6325</v>
      </c>
      <c r="F769" s="11" t="s">
        <v>3235</v>
      </c>
      <c r="G769" s="11"/>
      <c r="H769" s="11"/>
      <c r="I769" s="20"/>
      <c r="J769" s="20"/>
      <c r="BO769" s="20"/>
      <c r="BP769" s="11" t="s">
        <v>6326</v>
      </c>
      <c r="BQ769" s="11" t="b">
        <v>0</v>
      </c>
      <c r="BR769" s="20"/>
      <c r="BS769" s="19" t="s">
        <v>6327</v>
      </c>
      <c r="BT769" s="11" t="b">
        <v>1</v>
      </c>
      <c r="BU769" s="11" t="s">
        <v>2932</v>
      </c>
      <c r="BV769" s="11"/>
      <c r="BW769" s="11"/>
      <c r="BX769" s="11"/>
      <c r="BY769" s="11"/>
    </row>
    <row r="770">
      <c r="A770" s="11" t="s">
        <v>6329</v>
      </c>
      <c r="B770" s="11" t="s">
        <v>78</v>
      </c>
      <c r="C770" s="23">
        <v>45989.0</v>
      </c>
      <c r="D770" s="11" t="s">
        <v>237</v>
      </c>
      <c r="E770" s="11" t="s">
        <v>6330</v>
      </c>
      <c r="F770" s="11" t="s">
        <v>6331</v>
      </c>
      <c r="G770" s="11"/>
      <c r="H770" s="11"/>
      <c r="I770" s="20"/>
      <c r="J770" s="20"/>
      <c r="BO770" s="20"/>
      <c r="BP770" s="11" t="s">
        <v>6332</v>
      </c>
      <c r="BQ770" s="11" t="b">
        <v>0</v>
      </c>
      <c r="BR770" s="20"/>
      <c r="BS770" s="11"/>
      <c r="BT770" s="11" t="b">
        <v>0</v>
      </c>
      <c r="BU770" s="11" t="s">
        <v>2932</v>
      </c>
      <c r="BV770" s="11"/>
      <c r="BW770" s="11" t="s">
        <v>6333</v>
      </c>
      <c r="BX770" s="11"/>
      <c r="BY770" s="11"/>
    </row>
    <row r="771">
      <c r="A771" s="11" t="s">
        <v>2283</v>
      </c>
      <c r="B771" s="11" t="s">
        <v>78</v>
      </c>
      <c r="C771" s="23">
        <v>45993.0</v>
      </c>
      <c r="D771" s="11" t="s">
        <v>1913</v>
      </c>
      <c r="E771" s="11"/>
      <c r="F771" s="11" t="s">
        <v>6334</v>
      </c>
      <c r="G771" s="11" t="s">
        <v>648</v>
      </c>
      <c r="H771" s="11">
        <v>1.0</v>
      </c>
      <c r="I771" s="20">
        <v>63.5</v>
      </c>
      <c r="J771" s="20">
        <v>63.5</v>
      </c>
      <c r="BO771" s="20">
        <v>63.5</v>
      </c>
      <c r="BP771" s="11"/>
      <c r="BQ771" s="11" t="b">
        <v>1</v>
      </c>
      <c r="BR771" s="20">
        <v>63.5</v>
      </c>
      <c r="BS771" s="11"/>
      <c r="BT771" s="11"/>
      <c r="BU771" s="11" t="s">
        <v>235</v>
      </c>
      <c r="BV771" s="11"/>
      <c r="BW771" s="11"/>
      <c r="BX771" s="11"/>
      <c r="BY771" s="11"/>
    </row>
    <row r="772">
      <c r="A772" s="11" t="s">
        <v>6336</v>
      </c>
      <c r="B772" s="11" t="s">
        <v>78</v>
      </c>
      <c r="C772" s="23">
        <v>45994.0</v>
      </c>
      <c r="D772" s="11" t="s">
        <v>6337</v>
      </c>
      <c r="E772" s="11" t="s">
        <v>6338</v>
      </c>
      <c r="F772" s="11" t="s">
        <v>6339</v>
      </c>
      <c r="G772" s="11"/>
      <c r="H772" s="11"/>
      <c r="I772" s="20"/>
      <c r="J772" s="20"/>
      <c r="BO772" s="20"/>
      <c r="BP772" s="11" t="s">
        <v>6340</v>
      </c>
      <c r="BQ772" s="11" t="b">
        <v>0</v>
      </c>
      <c r="BR772" s="20"/>
      <c r="BS772" s="19" t="s">
        <v>6341</v>
      </c>
      <c r="BT772" s="11" t="b">
        <v>1</v>
      </c>
      <c r="BU772" s="11" t="s">
        <v>2932</v>
      </c>
      <c r="BV772" s="11"/>
      <c r="BW772" s="11"/>
      <c r="BX772" s="11"/>
      <c r="BY772" s="11"/>
    </row>
    <row r="773">
      <c r="A773" s="11" t="s">
        <v>6342</v>
      </c>
      <c r="B773" s="11" t="s">
        <v>78</v>
      </c>
      <c r="C773" s="23">
        <v>45994.0</v>
      </c>
      <c r="D773" s="11" t="s">
        <v>168</v>
      </c>
      <c r="E773" s="11" t="s">
        <v>6343</v>
      </c>
      <c r="F773" s="11" t="s">
        <v>6344</v>
      </c>
      <c r="G773" s="11"/>
      <c r="H773" s="11"/>
      <c r="I773" s="20"/>
      <c r="J773" s="20"/>
      <c r="BO773" s="20"/>
      <c r="BP773" s="11" t="s">
        <v>6345</v>
      </c>
      <c r="BQ773" s="11" t="b">
        <v>0</v>
      </c>
      <c r="BR773" s="20"/>
      <c r="BS773" s="19" t="s">
        <v>6346</v>
      </c>
      <c r="BT773" s="11" t="b">
        <v>1</v>
      </c>
      <c r="BU773" s="11" t="s">
        <v>2932</v>
      </c>
      <c r="BV773" s="11"/>
      <c r="BW773" s="11"/>
      <c r="BX773" s="11"/>
      <c r="BY773" s="11"/>
    </row>
    <row r="774">
      <c r="A774" s="11" t="s">
        <v>6347</v>
      </c>
      <c r="B774" s="11" t="s">
        <v>78</v>
      </c>
      <c r="C774" s="23">
        <v>45993.0</v>
      </c>
      <c r="D774" s="11" t="s">
        <v>513</v>
      </c>
      <c r="E774" s="11" t="s">
        <v>6348</v>
      </c>
      <c r="F774" s="11" t="s">
        <v>6349</v>
      </c>
      <c r="G774" s="11"/>
      <c r="H774" s="11"/>
      <c r="I774" s="20"/>
      <c r="J774" s="20"/>
      <c r="BO774" s="20"/>
      <c r="BP774" s="11" t="s">
        <v>6350</v>
      </c>
      <c r="BQ774" s="11" t="b">
        <v>0</v>
      </c>
      <c r="BR774" s="20"/>
      <c r="BS774" s="19" t="s">
        <v>6351</v>
      </c>
      <c r="BT774" s="11" t="b">
        <v>1</v>
      </c>
      <c r="BU774" s="11" t="s">
        <v>2932</v>
      </c>
      <c r="BV774" s="11"/>
      <c r="BW774" s="11"/>
      <c r="BX774" s="11"/>
      <c r="BY774" s="11"/>
    </row>
    <row r="775">
      <c r="A775" s="11" t="s">
        <v>2288</v>
      </c>
      <c r="B775" s="11" t="s">
        <v>78</v>
      </c>
      <c r="C775" s="23">
        <v>45994.0</v>
      </c>
      <c r="D775" s="11" t="s">
        <v>237</v>
      </c>
      <c r="E775" s="11"/>
      <c r="F775" s="11" t="s">
        <v>6352</v>
      </c>
      <c r="G775" s="11" t="s">
        <v>2289</v>
      </c>
      <c r="H775" s="11">
        <v>1.0</v>
      </c>
      <c r="I775" s="20">
        <v>83.75</v>
      </c>
      <c r="J775" s="20">
        <v>83.75</v>
      </c>
      <c r="BO775" s="20">
        <v>83.75</v>
      </c>
      <c r="BP775" s="11"/>
      <c r="BQ775" s="11" t="b">
        <v>1</v>
      </c>
      <c r="BR775" s="20">
        <v>83.75</v>
      </c>
      <c r="BS775" s="11"/>
      <c r="BT775" s="11"/>
      <c r="BU775" s="11" t="s">
        <v>187</v>
      </c>
      <c r="BV775" s="11"/>
      <c r="BW775" s="11"/>
      <c r="BX775" s="11"/>
      <c r="BY775" s="11"/>
    </row>
    <row r="776">
      <c r="A776" s="11" t="s">
        <v>2293</v>
      </c>
      <c r="B776" s="11" t="s">
        <v>78</v>
      </c>
      <c r="C776" s="23">
        <v>45994.0</v>
      </c>
      <c r="D776" s="11" t="s">
        <v>237</v>
      </c>
      <c r="E776" s="11"/>
      <c r="F776" s="11" t="s">
        <v>6353</v>
      </c>
      <c r="G776" s="11" t="s">
        <v>1958</v>
      </c>
      <c r="H776" s="11">
        <v>1.0</v>
      </c>
      <c r="I776" s="20">
        <v>386.17</v>
      </c>
      <c r="J776" s="20">
        <v>386.17</v>
      </c>
      <c r="BO776" s="20">
        <v>386.17</v>
      </c>
      <c r="BP776" s="11"/>
      <c r="BQ776" s="11" t="b">
        <v>1</v>
      </c>
      <c r="BR776" s="20">
        <v>386.17</v>
      </c>
      <c r="BS776" s="11"/>
      <c r="BT776" s="11"/>
      <c r="BU776" s="11" t="s">
        <v>187</v>
      </c>
      <c r="BV776" s="11"/>
      <c r="BW776" s="11"/>
      <c r="BX776" s="11"/>
      <c r="BY776" s="11"/>
    </row>
    <row r="777">
      <c r="A777" s="11" t="s">
        <v>6355</v>
      </c>
      <c r="B777" s="11" t="s">
        <v>78</v>
      </c>
      <c r="C777" s="23">
        <v>45994.0</v>
      </c>
      <c r="D777" s="11" t="s">
        <v>6356</v>
      </c>
      <c r="E777" s="11" t="s">
        <v>6357</v>
      </c>
      <c r="F777" s="11" t="s">
        <v>6358</v>
      </c>
      <c r="G777" s="11"/>
      <c r="H777" s="11"/>
      <c r="I777" s="20"/>
      <c r="J777" s="20"/>
      <c r="BO777" s="20"/>
      <c r="BP777" s="11" t="s">
        <v>6359</v>
      </c>
      <c r="BQ777" s="11" t="b">
        <v>0</v>
      </c>
      <c r="BR777" s="20"/>
      <c r="BS777" s="11"/>
      <c r="BT777" s="11" t="b">
        <v>0</v>
      </c>
      <c r="BU777" s="11" t="s">
        <v>2932</v>
      </c>
      <c r="BV777" s="11"/>
      <c r="BW777" s="11" t="s">
        <v>6360</v>
      </c>
      <c r="BX777" s="11"/>
      <c r="BY777" s="11"/>
    </row>
    <row r="778">
      <c r="A778" s="11" t="s">
        <v>6361</v>
      </c>
      <c r="B778" s="11" t="s">
        <v>78</v>
      </c>
      <c r="C778" s="23">
        <v>45993.0</v>
      </c>
      <c r="D778" s="11" t="s">
        <v>4510</v>
      </c>
      <c r="E778" s="11" t="s">
        <v>6362</v>
      </c>
      <c r="F778" s="11" t="s">
        <v>6363</v>
      </c>
      <c r="G778" s="11"/>
      <c r="H778" s="11"/>
      <c r="I778" s="20"/>
      <c r="J778" s="20"/>
      <c r="BO778" s="20"/>
      <c r="BP778" s="11" t="s">
        <v>6365</v>
      </c>
      <c r="BQ778" s="11" t="b">
        <v>0</v>
      </c>
      <c r="BR778" s="20"/>
      <c r="BS778" s="11"/>
      <c r="BT778" s="11" t="b">
        <v>0</v>
      </c>
      <c r="BU778" s="11" t="s">
        <v>2932</v>
      </c>
      <c r="BV778" s="11"/>
      <c r="BW778" s="11" t="s">
        <v>6366</v>
      </c>
      <c r="BX778" s="11"/>
      <c r="BY778" s="11"/>
    </row>
    <row r="779">
      <c r="A779" s="11" t="s">
        <v>2297</v>
      </c>
      <c r="B779" s="11" t="s">
        <v>78</v>
      </c>
      <c r="C779" s="23">
        <v>45995.0</v>
      </c>
      <c r="D779" s="11" t="s">
        <v>237</v>
      </c>
      <c r="E779" s="11"/>
      <c r="F779" s="11" t="s">
        <v>6367</v>
      </c>
      <c r="G779" s="11" t="s">
        <v>2289</v>
      </c>
      <c r="H779" s="11">
        <v>1.0</v>
      </c>
      <c r="I779" s="20">
        <v>278.11</v>
      </c>
      <c r="J779" s="20">
        <v>278.11</v>
      </c>
      <c r="BO779" s="20">
        <v>278.11</v>
      </c>
      <c r="BP779" s="11"/>
      <c r="BQ779" s="11" t="b">
        <v>1</v>
      </c>
      <c r="BR779" s="20">
        <v>278.11</v>
      </c>
      <c r="BS779" s="11"/>
      <c r="BT779" s="11"/>
      <c r="BU779" s="11" t="s">
        <v>187</v>
      </c>
      <c r="BV779" s="11"/>
      <c r="BW779" s="11"/>
      <c r="BX779" s="11"/>
      <c r="BY779" s="11"/>
    </row>
    <row r="780">
      <c r="A780" s="11" t="s">
        <v>2302</v>
      </c>
      <c r="B780" s="11" t="s">
        <v>78</v>
      </c>
      <c r="C780" s="23">
        <v>45995.0</v>
      </c>
      <c r="D780" s="11" t="s">
        <v>237</v>
      </c>
      <c r="E780" s="11"/>
      <c r="F780" s="11" t="s">
        <v>6368</v>
      </c>
      <c r="G780" s="11" t="s">
        <v>2289</v>
      </c>
      <c r="H780" s="11">
        <v>1.0</v>
      </c>
      <c r="I780" s="20">
        <v>60.31</v>
      </c>
      <c r="J780" s="20">
        <v>60.31</v>
      </c>
      <c r="BO780" s="20">
        <v>60.31</v>
      </c>
      <c r="BP780" s="11"/>
      <c r="BQ780" s="11" t="b">
        <v>1</v>
      </c>
      <c r="BR780" s="20">
        <v>60.31</v>
      </c>
      <c r="BS780" s="11"/>
      <c r="BT780" s="11"/>
      <c r="BU780" s="11" t="s">
        <v>187</v>
      </c>
      <c r="BV780" s="11"/>
      <c r="BW780" s="11"/>
      <c r="BX780" s="11"/>
      <c r="BY780" s="11"/>
    </row>
    <row r="781">
      <c r="A781" s="11" t="s">
        <v>2306</v>
      </c>
      <c r="B781" s="11" t="s">
        <v>78</v>
      </c>
      <c r="C781" s="23">
        <v>45995.0</v>
      </c>
      <c r="D781" s="11" t="s">
        <v>848</v>
      </c>
      <c r="E781" s="11"/>
      <c r="F781" s="11" t="s">
        <v>6371</v>
      </c>
      <c r="G781" s="11" t="s">
        <v>851</v>
      </c>
      <c r="H781" s="11">
        <v>1.0</v>
      </c>
      <c r="I781" s="20">
        <v>500.0</v>
      </c>
      <c r="J781" s="20">
        <v>500.0</v>
      </c>
      <c r="BO781" s="20">
        <v>500.0</v>
      </c>
      <c r="BP781" s="11"/>
      <c r="BQ781" s="11" t="b">
        <v>1</v>
      </c>
      <c r="BR781" s="20">
        <v>500.0</v>
      </c>
      <c r="BS781" s="11"/>
      <c r="BT781" s="11"/>
      <c r="BU781" s="11" t="s">
        <v>235</v>
      </c>
      <c r="BV781" s="11"/>
      <c r="BW781" s="11"/>
      <c r="BX781" s="11"/>
      <c r="BY781" s="11"/>
    </row>
    <row r="782">
      <c r="A782" s="11" t="s">
        <v>6373</v>
      </c>
      <c r="B782" s="11" t="s">
        <v>78</v>
      </c>
      <c r="C782" s="23">
        <v>45995.0</v>
      </c>
      <c r="D782" s="11" t="s">
        <v>237</v>
      </c>
      <c r="E782" s="11" t="s">
        <v>6374</v>
      </c>
      <c r="F782" s="11" t="s">
        <v>6375</v>
      </c>
      <c r="G782" s="11"/>
      <c r="H782" s="11"/>
      <c r="I782" s="20"/>
      <c r="J782" s="20"/>
      <c r="BO782" s="20"/>
      <c r="BP782" s="11" t="s">
        <v>6376</v>
      </c>
      <c r="BQ782" s="11" t="b">
        <v>0</v>
      </c>
      <c r="BR782" s="20"/>
      <c r="BS782" s="11"/>
      <c r="BT782" s="11" t="b">
        <v>0</v>
      </c>
      <c r="BU782" s="11" t="s">
        <v>2932</v>
      </c>
      <c r="BV782" s="11"/>
      <c r="BW782" s="11"/>
      <c r="BX782" s="11"/>
      <c r="BY782" s="11"/>
    </row>
    <row r="783">
      <c r="A783" s="11" t="s">
        <v>6377</v>
      </c>
      <c r="B783" s="11" t="s">
        <v>78</v>
      </c>
      <c r="C783" s="23">
        <v>45993.0</v>
      </c>
      <c r="D783" s="11" t="s">
        <v>237</v>
      </c>
      <c r="E783" s="11" t="s">
        <v>6378</v>
      </c>
      <c r="F783" s="11" t="s">
        <v>6379</v>
      </c>
      <c r="G783" s="11"/>
      <c r="H783" s="11"/>
      <c r="I783" s="20"/>
      <c r="J783" s="20"/>
      <c r="BO783" s="20"/>
      <c r="BP783" s="11" t="s">
        <v>6381</v>
      </c>
      <c r="BQ783" s="11" t="b">
        <v>0</v>
      </c>
      <c r="BR783" s="20"/>
      <c r="BS783" s="11"/>
      <c r="BT783" s="11" t="b">
        <v>0</v>
      </c>
      <c r="BU783" s="11" t="s">
        <v>2932</v>
      </c>
      <c r="BV783" s="11"/>
      <c r="BW783" s="11" t="s">
        <v>6382</v>
      </c>
      <c r="BX783" s="11" t="s">
        <v>6383</v>
      </c>
      <c r="BY783" s="11" t="s">
        <v>6384</v>
      </c>
    </row>
    <row r="784">
      <c r="A784" s="11" t="s">
        <v>6385</v>
      </c>
      <c r="B784" s="11" t="s">
        <v>78</v>
      </c>
      <c r="C784" s="23">
        <v>45996.0</v>
      </c>
      <c r="D784" s="11" t="s">
        <v>992</v>
      </c>
      <c r="E784" s="11" t="s">
        <v>6386</v>
      </c>
      <c r="F784" s="11" t="s">
        <v>6387</v>
      </c>
      <c r="G784" s="11"/>
      <c r="H784" s="11"/>
      <c r="I784" s="20"/>
      <c r="J784" s="20"/>
      <c r="BO784" s="20"/>
      <c r="BP784" s="11" t="s">
        <v>6388</v>
      </c>
      <c r="BQ784" s="11" t="b">
        <v>0</v>
      </c>
      <c r="BR784" s="20"/>
      <c r="BS784" s="19" t="s">
        <v>6390</v>
      </c>
      <c r="BT784" s="11" t="b">
        <v>1</v>
      </c>
      <c r="BU784" s="11" t="s">
        <v>2932</v>
      </c>
      <c r="BV784" s="11"/>
      <c r="BW784" s="11"/>
      <c r="BX784" s="11"/>
      <c r="BY784" s="11"/>
    </row>
    <row r="785">
      <c r="A785" s="11" t="s">
        <v>6391</v>
      </c>
      <c r="B785" s="11" t="s">
        <v>78</v>
      </c>
      <c r="C785" s="23">
        <v>45997.0</v>
      </c>
      <c r="D785" s="11" t="s">
        <v>6191</v>
      </c>
      <c r="E785" s="11" t="s">
        <v>6392</v>
      </c>
      <c r="F785" s="11" t="s">
        <v>6393</v>
      </c>
      <c r="G785" s="11"/>
      <c r="H785" s="11"/>
      <c r="I785" s="20"/>
      <c r="J785" s="20"/>
      <c r="BO785" s="20"/>
      <c r="BP785" s="11" t="s">
        <v>6394</v>
      </c>
      <c r="BQ785" s="11" t="b">
        <v>0</v>
      </c>
      <c r="BR785" s="20"/>
      <c r="BS785" s="19" t="s">
        <v>6395</v>
      </c>
      <c r="BT785" s="11" t="b">
        <v>1</v>
      </c>
      <c r="BU785" s="11" t="s">
        <v>2932</v>
      </c>
      <c r="BV785" s="11"/>
      <c r="BW785" s="11"/>
      <c r="BX785" s="11"/>
      <c r="BY785" s="11"/>
    </row>
    <row r="786">
      <c r="A786" s="11" t="s">
        <v>6396</v>
      </c>
      <c r="B786" s="11" t="s">
        <v>78</v>
      </c>
      <c r="C786" s="23">
        <v>45998.0</v>
      </c>
      <c r="D786" s="11" t="s">
        <v>2549</v>
      </c>
      <c r="E786" s="11" t="s">
        <v>6397</v>
      </c>
      <c r="F786" s="11" t="s">
        <v>6399</v>
      </c>
      <c r="G786" s="11"/>
      <c r="H786" s="11"/>
      <c r="I786" s="20"/>
      <c r="J786" s="20"/>
      <c r="BO786" s="20"/>
      <c r="BP786" s="11" t="s">
        <v>6400</v>
      </c>
      <c r="BQ786" s="11" t="b">
        <v>0</v>
      </c>
      <c r="BR786" s="20"/>
      <c r="BS786" s="19" t="s">
        <v>6401</v>
      </c>
      <c r="BT786" s="11" t="b">
        <v>1</v>
      </c>
      <c r="BU786" s="11" t="s">
        <v>2932</v>
      </c>
      <c r="BV786" s="11"/>
      <c r="BW786" s="11"/>
      <c r="BX786" s="11"/>
      <c r="BY786" s="11"/>
    </row>
    <row r="787">
      <c r="A787" s="11" t="s">
        <v>6402</v>
      </c>
      <c r="B787" s="11" t="s">
        <v>78</v>
      </c>
      <c r="C787" s="23">
        <v>45999.0</v>
      </c>
      <c r="D787" s="11" t="s">
        <v>992</v>
      </c>
      <c r="E787" s="11" t="s">
        <v>6403</v>
      </c>
      <c r="F787" s="11" t="s">
        <v>4668</v>
      </c>
      <c r="G787" s="11"/>
      <c r="H787" s="11"/>
      <c r="I787" s="20"/>
      <c r="J787" s="20"/>
      <c r="BO787" s="20"/>
      <c r="BP787" s="11" t="s">
        <v>6405</v>
      </c>
      <c r="BQ787" s="11" t="b">
        <v>0</v>
      </c>
      <c r="BR787" s="20"/>
      <c r="BS787" s="19" t="s">
        <v>6406</v>
      </c>
      <c r="BT787" s="11" t="b">
        <v>1</v>
      </c>
      <c r="BU787" s="11" t="s">
        <v>2932</v>
      </c>
      <c r="BV787" s="11"/>
      <c r="BW787" s="11"/>
      <c r="BX787" s="11"/>
      <c r="BY787" s="11"/>
    </row>
    <row r="788">
      <c r="A788" s="11" t="s">
        <v>6408</v>
      </c>
      <c r="B788" s="11" t="s">
        <v>78</v>
      </c>
      <c r="C788" s="23">
        <v>45997.0</v>
      </c>
      <c r="D788" s="11" t="s">
        <v>104</v>
      </c>
      <c r="E788" s="11" t="s">
        <v>6409</v>
      </c>
      <c r="F788" s="11" t="s">
        <v>6410</v>
      </c>
      <c r="G788" s="11"/>
      <c r="H788" s="11"/>
      <c r="I788" s="20"/>
      <c r="J788" s="20"/>
      <c r="BO788" s="20"/>
      <c r="BP788" s="11" t="s">
        <v>6411</v>
      </c>
      <c r="BQ788" s="11" t="b">
        <v>0</v>
      </c>
      <c r="BR788" s="20"/>
      <c r="BS788" s="19" t="s">
        <v>6412</v>
      </c>
      <c r="BT788" s="11" t="b">
        <v>1</v>
      </c>
      <c r="BU788" s="11" t="s">
        <v>2932</v>
      </c>
      <c r="BV788" s="11"/>
      <c r="BW788" s="11"/>
      <c r="BX788" s="11"/>
      <c r="BY788" s="11"/>
    </row>
    <row r="789">
      <c r="A789" s="11" t="s">
        <v>6413</v>
      </c>
      <c r="B789" s="11" t="s">
        <v>78</v>
      </c>
      <c r="C789" s="23">
        <v>45997.0</v>
      </c>
      <c r="D789" s="11" t="s">
        <v>1201</v>
      </c>
      <c r="E789" s="11" t="s">
        <v>6414</v>
      </c>
      <c r="F789" s="11" t="s">
        <v>6415</v>
      </c>
      <c r="G789" s="11"/>
      <c r="H789" s="11"/>
      <c r="I789" s="20"/>
      <c r="J789" s="20"/>
      <c r="BO789" s="20"/>
      <c r="BP789" s="11" t="s">
        <v>6417</v>
      </c>
      <c r="BQ789" s="11" t="b">
        <v>0</v>
      </c>
      <c r="BR789" s="20"/>
      <c r="BS789" s="19" t="s">
        <v>6418</v>
      </c>
      <c r="BT789" s="11" t="b">
        <v>1</v>
      </c>
      <c r="BU789" s="11" t="s">
        <v>2932</v>
      </c>
      <c r="BV789" s="11"/>
      <c r="BW789" s="11"/>
      <c r="BX789" s="11"/>
      <c r="BY789" s="11"/>
    </row>
    <row r="790">
      <c r="A790" s="11" t="s">
        <v>6419</v>
      </c>
      <c r="B790" s="11" t="s">
        <v>78</v>
      </c>
      <c r="C790" s="23">
        <v>45995.0</v>
      </c>
      <c r="D790" s="11" t="s">
        <v>104</v>
      </c>
      <c r="E790" s="11" t="s">
        <v>6420</v>
      </c>
      <c r="F790" s="11" t="s">
        <v>4727</v>
      </c>
      <c r="G790" s="11"/>
      <c r="H790" s="11"/>
      <c r="I790" s="20"/>
      <c r="J790" s="20"/>
      <c r="BO790" s="20"/>
      <c r="BP790" s="11" t="s">
        <v>6421</v>
      </c>
      <c r="BQ790" s="11" t="b">
        <v>0</v>
      </c>
      <c r="BR790" s="20"/>
      <c r="BS790" s="19" t="s">
        <v>6422</v>
      </c>
      <c r="BT790" s="11" t="b">
        <v>1</v>
      </c>
      <c r="BU790" s="11" t="s">
        <v>2932</v>
      </c>
      <c r="BV790" s="11"/>
      <c r="BW790" s="11"/>
      <c r="BX790" s="11"/>
      <c r="BY790" s="11"/>
    </row>
    <row r="791">
      <c r="A791" s="11" t="s">
        <v>2310</v>
      </c>
      <c r="B791" s="11" t="s">
        <v>78</v>
      </c>
      <c r="C791" s="23">
        <v>45999.0</v>
      </c>
      <c r="D791" s="11"/>
      <c r="E791" s="11"/>
      <c r="F791" s="11" t="s">
        <v>783</v>
      </c>
      <c r="G791" s="11" t="s">
        <v>350</v>
      </c>
      <c r="H791" s="11">
        <v>1.0</v>
      </c>
      <c r="I791" s="20">
        <v>300.0</v>
      </c>
      <c r="J791" s="20">
        <v>300.0</v>
      </c>
      <c r="BO791" s="20">
        <v>300.0</v>
      </c>
      <c r="BP791" s="11"/>
      <c r="BQ791" s="11" t="b">
        <v>1</v>
      </c>
      <c r="BR791" s="20">
        <v>300.0</v>
      </c>
      <c r="BS791" s="11"/>
      <c r="BT791" s="11"/>
      <c r="BU791" s="11" t="s">
        <v>187</v>
      </c>
      <c r="BV791" s="11" t="s">
        <v>113</v>
      </c>
      <c r="BW791" s="11"/>
      <c r="BX791" s="11"/>
      <c r="BY791" s="11"/>
    </row>
    <row r="792">
      <c r="A792" s="11" t="s">
        <v>2313</v>
      </c>
      <c r="B792" s="11" t="s">
        <v>78</v>
      </c>
      <c r="C792" s="23">
        <v>45999.0</v>
      </c>
      <c r="D792" s="11" t="s">
        <v>3512</v>
      </c>
      <c r="E792" s="11"/>
      <c r="F792" s="11" t="s">
        <v>619</v>
      </c>
      <c r="G792" s="11" t="s">
        <v>621</v>
      </c>
      <c r="H792" s="11">
        <v>1.0</v>
      </c>
      <c r="I792" s="20">
        <v>201.99</v>
      </c>
      <c r="J792" s="20">
        <v>201.99</v>
      </c>
      <c r="BO792" s="20">
        <v>201.99</v>
      </c>
      <c r="BP792" s="11"/>
      <c r="BQ792" s="11" t="b">
        <v>1</v>
      </c>
      <c r="BR792" s="20">
        <v>201.99</v>
      </c>
      <c r="BS792" s="11"/>
      <c r="BT792" s="11"/>
      <c r="BU792" s="11" t="s">
        <v>235</v>
      </c>
      <c r="BV792" s="11"/>
      <c r="BW792" s="11"/>
      <c r="BX792" s="11"/>
      <c r="BY792" s="11"/>
    </row>
    <row r="793">
      <c r="A793" s="11" t="s">
        <v>2317</v>
      </c>
      <c r="B793" s="11" t="s">
        <v>78</v>
      </c>
      <c r="C793" s="23">
        <v>45999.0</v>
      </c>
      <c r="D793" s="11" t="s">
        <v>6423</v>
      </c>
      <c r="E793" s="11"/>
      <c r="F793" s="11" t="s">
        <v>6424</v>
      </c>
      <c r="G793" s="11" t="s">
        <v>2318</v>
      </c>
      <c r="H793" s="11">
        <v>1.0</v>
      </c>
      <c r="I793" s="20">
        <v>71.96</v>
      </c>
      <c r="J793" s="20">
        <v>71.96</v>
      </c>
      <c r="BO793" s="20">
        <v>71.96</v>
      </c>
      <c r="BP793" s="11"/>
      <c r="BQ793" s="11" t="b">
        <v>1</v>
      </c>
      <c r="BR793" s="20">
        <v>71.96</v>
      </c>
      <c r="BS793" s="11"/>
      <c r="BT793" s="11"/>
      <c r="BU793" s="11" t="s">
        <v>187</v>
      </c>
      <c r="BV793" s="11"/>
      <c r="BW793" s="11"/>
      <c r="BX793" s="11"/>
      <c r="BY793" s="11"/>
    </row>
    <row r="794">
      <c r="A794" s="11" t="s">
        <v>6425</v>
      </c>
      <c r="B794" s="11" t="s">
        <v>78</v>
      </c>
      <c r="C794" s="23">
        <v>46000.0</v>
      </c>
      <c r="D794" s="11" t="s">
        <v>1201</v>
      </c>
      <c r="E794" s="11" t="s">
        <v>6427</v>
      </c>
      <c r="F794" s="11" t="s">
        <v>6428</v>
      </c>
      <c r="G794" s="11"/>
      <c r="H794" s="11"/>
      <c r="I794" s="20"/>
      <c r="J794" s="20"/>
      <c r="BO794" s="20"/>
      <c r="BP794" s="11" t="s">
        <v>6429</v>
      </c>
      <c r="BQ794" s="11" t="b">
        <v>0</v>
      </c>
      <c r="BR794" s="20"/>
      <c r="BS794" s="19" t="s">
        <v>6430</v>
      </c>
      <c r="BT794" s="11" t="b">
        <v>1</v>
      </c>
      <c r="BU794" s="11" t="s">
        <v>2932</v>
      </c>
      <c r="BV794" s="11"/>
      <c r="BW794" s="11"/>
      <c r="BX794" s="11"/>
      <c r="BY794" s="11"/>
    </row>
    <row r="795">
      <c r="A795" s="11" t="s">
        <v>6431</v>
      </c>
      <c r="B795" s="11" t="s">
        <v>78</v>
      </c>
      <c r="C795" s="23">
        <v>46000.0</v>
      </c>
      <c r="D795" s="11" t="s">
        <v>168</v>
      </c>
      <c r="E795" s="11" t="s">
        <v>6432</v>
      </c>
      <c r="F795" s="11" t="s">
        <v>6433</v>
      </c>
      <c r="G795" s="11"/>
      <c r="H795" s="11"/>
      <c r="I795" s="20"/>
      <c r="J795" s="20"/>
      <c r="BO795" s="20"/>
      <c r="BP795" s="11" t="s">
        <v>6434</v>
      </c>
      <c r="BQ795" s="11" t="b">
        <v>0</v>
      </c>
      <c r="BR795" s="20"/>
      <c r="BS795" s="19" t="s">
        <v>6435</v>
      </c>
      <c r="BT795" s="11" t="b">
        <v>1</v>
      </c>
      <c r="BU795" s="11" t="s">
        <v>2932</v>
      </c>
      <c r="BV795" s="11"/>
      <c r="BW795" s="11" t="s">
        <v>6436</v>
      </c>
      <c r="BX795" s="11"/>
      <c r="BY795" s="11"/>
    </row>
    <row r="796">
      <c r="A796" s="11" t="s">
        <v>6437</v>
      </c>
      <c r="B796" s="11" t="s">
        <v>78</v>
      </c>
      <c r="C796" s="23">
        <v>46000.0</v>
      </c>
      <c r="D796" s="11" t="s">
        <v>6438</v>
      </c>
      <c r="E796" s="11" t="s">
        <v>6439</v>
      </c>
      <c r="F796" s="11" t="s">
        <v>6440</v>
      </c>
      <c r="G796" s="11"/>
      <c r="H796" s="11"/>
      <c r="I796" s="20"/>
      <c r="J796" s="20"/>
      <c r="BO796" s="20"/>
      <c r="BP796" s="11" t="s">
        <v>6441</v>
      </c>
      <c r="BQ796" s="11" t="b">
        <v>0</v>
      </c>
      <c r="BR796" s="20"/>
      <c r="BS796" s="19" t="s">
        <v>6442</v>
      </c>
      <c r="BT796" s="11" t="b">
        <v>1</v>
      </c>
      <c r="BU796" s="11" t="s">
        <v>2932</v>
      </c>
      <c r="BV796" s="11"/>
      <c r="BW796" s="11"/>
      <c r="BX796" s="11"/>
      <c r="BY796" s="11"/>
    </row>
    <row r="797">
      <c r="A797" s="11">
        <v>1655.0</v>
      </c>
      <c r="B797" s="11" t="s">
        <v>78</v>
      </c>
      <c r="C797" s="23">
        <v>46000.0</v>
      </c>
      <c r="D797" s="11" t="s">
        <v>176</v>
      </c>
      <c r="E797" s="11"/>
      <c r="F797" s="11" t="s">
        <v>1440</v>
      </c>
      <c r="G797" s="11" t="s">
        <v>179</v>
      </c>
      <c r="H797" s="11">
        <v>1.0</v>
      </c>
      <c r="I797" s="20">
        <v>1000.0</v>
      </c>
      <c r="J797" s="20">
        <v>1000.0</v>
      </c>
      <c r="BO797" s="20">
        <v>1000.0</v>
      </c>
      <c r="BP797" s="11"/>
      <c r="BQ797" s="11" t="b">
        <v>1</v>
      </c>
      <c r="BR797" s="20">
        <v>1000.0</v>
      </c>
      <c r="BS797" s="11"/>
      <c r="BT797" s="11"/>
      <c r="BU797" s="11" t="s">
        <v>187</v>
      </c>
      <c r="BV797" s="11"/>
      <c r="BW797" s="11"/>
      <c r="BX797" s="11"/>
      <c r="BY797" s="11"/>
    </row>
    <row r="798">
      <c r="A798" s="11">
        <v>1656.0</v>
      </c>
      <c r="B798" s="11" t="s">
        <v>78</v>
      </c>
      <c r="C798" s="23">
        <v>46000.0</v>
      </c>
      <c r="D798" s="11">
        <v>3.6037127E7</v>
      </c>
      <c r="E798" s="11"/>
      <c r="F798" s="11" t="s">
        <v>2162</v>
      </c>
      <c r="G798" s="11" t="s">
        <v>1726</v>
      </c>
      <c r="H798" s="11">
        <v>1.0</v>
      </c>
      <c r="I798" s="20">
        <v>120.0</v>
      </c>
      <c r="J798" s="20">
        <v>120.0</v>
      </c>
      <c r="BO798" s="20">
        <v>120.0</v>
      </c>
      <c r="BP798" s="11"/>
      <c r="BQ798" s="11" t="b">
        <v>1</v>
      </c>
      <c r="BR798" s="20">
        <v>120.0</v>
      </c>
      <c r="BS798" s="11"/>
      <c r="BT798" s="11"/>
      <c r="BU798" s="11" t="s">
        <v>187</v>
      </c>
      <c r="BV798" s="11"/>
      <c r="BW798" s="11"/>
      <c r="BX798" s="11"/>
      <c r="BY798" s="11"/>
    </row>
    <row r="799">
      <c r="A799" s="11">
        <v>1657.0</v>
      </c>
      <c r="B799" s="11" t="s">
        <v>78</v>
      </c>
      <c r="C799" s="23">
        <v>46000.0</v>
      </c>
      <c r="D799" s="11" t="s">
        <v>2509</v>
      </c>
      <c r="E799" s="11"/>
      <c r="F799" s="11" t="s">
        <v>2638</v>
      </c>
      <c r="G799" s="11" t="s">
        <v>1898</v>
      </c>
      <c r="H799" s="11">
        <v>1.0</v>
      </c>
      <c r="I799" s="20">
        <v>104.4</v>
      </c>
      <c r="J799" s="20">
        <v>104.4</v>
      </c>
      <c r="BO799" s="20">
        <v>104.4</v>
      </c>
      <c r="BP799" s="11"/>
      <c r="BQ799" s="11" t="b">
        <v>1</v>
      </c>
      <c r="BR799" s="20">
        <v>104.4</v>
      </c>
      <c r="BS799" s="11"/>
      <c r="BT799" s="11"/>
      <c r="BU799" s="11" t="s">
        <v>187</v>
      </c>
      <c r="BV799" s="11"/>
      <c r="BW799" s="11"/>
      <c r="BX799" s="11"/>
      <c r="BY799" s="11"/>
    </row>
    <row r="800">
      <c r="A800" s="11">
        <v>1658.0</v>
      </c>
      <c r="B800" s="11" t="s">
        <v>78</v>
      </c>
      <c r="C800" s="23">
        <v>46000.0</v>
      </c>
      <c r="D800" s="11" t="s">
        <v>1676</v>
      </c>
      <c r="E800" s="11"/>
      <c r="F800" s="11" t="s">
        <v>2802</v>
      </c>
      <c r="G800" s="11" t="s">
        <v>1902</v>
      </c>
      <c r="H800" s="11">
        <v>1.0</v>
      </c>
      <c r="I800" s="20">
        <v>1249.67</v>
      </c>
      <c r="J800" s="20">
        <v>1249.67</v>
      </c>
      <c r="BO800" s="20">
        <v>1249.67</v>
      </c>
      <c r="BP800" s="11"/>
      <c r="BQ800" s="11" t="b">
        <v>1</v>
      </c>
      <c r="BR800" s="20">
        <v>1249.67</v>
      </c>
      <c r="BS800" s="11"/>
      <c r="BT800" s="11"/>
      <c r="BU800" s="11" t="s">
        <v>187</v>
      </c>
      <c r="BV800" s="11"/>
      <c r="BW800" s="11"/>
      <c r="BX800" s="11"/>
      <c r="BY800" s="11"/>
    </row>
    <row r="801">
      <c r="A801" s="11">
        <v>1659.0</v>
      </c>
      <c r="B801" s="11" t="s">
        <v>78</v>
      </c>
      <c r="C801" s="23">
        <v>46000.0</v>
      </c>
      <c r="D801" s="11" t="s">
        <v>2535</v>
      </c>
      <c r="E801" s="11"/>
      <c r="F801" s="11" t="s">
        <v>2638</v>
      </c>
      <c r="G801" s="11" t="s">
        <v>1906</v>
      </c>
      <c r="H801" s="11">
        <v>1.0</v>
      </c>
      <c r="I801" s="20">
        <v>59.8</v>
      </c>
      <c r="J801" s="20">
        <v>59.8</v>
      </c>
      <c r="BO801" s="20">
        <v>59.8</v>
      </c>
      <c r="BP801" s="11"/>
      <c r="BQ801" s="11" t="b">
        <v>1</v>
      </c>
      <c r="BR801" s="20">
        <v>59.8</v>
      </c>
      <c r="BS801" s="11"/>
      <c r="BT801" s="11"/>
      <c r="BU801" s="11" t="s">
        <v>187</v>
      </c>
      <c r="BV801" s="11"/>
      <c r="BW801" s="11"/>
      <c r="BX801" s="11"/>
      <c r="BY801" s="11"/>
    </row>
    <row r="802">
      <c r="A802" s="11">
        <v>1660.0</v>
      </c>
      <c r="B802" s="11" t="s">
        <v>78</v>
      </c>
      <c r="C802" s="23">
        <v>46000.0</v>
      </c>
      <c r="D802" s="11" t="s">
        <v>5965</v>
      </c>
      <c r="E802" s="11"/>
      <c r="F802" s="11" t="s">
        <v>6447</v>
      </c>
      <c r="G802" s="11" t="s">
        <v>2099</v>
      </c>
      <c r="H802" s="11">
        <v>1.0</v>
      </c>
      <c r="I802" s="20">
        <v>1886.71</v>
      </c>
      <c r="J802" s="20">
        <v>1886.71</v>
      </c>
      <c r="BO802" s="20">
        <v>1886.71</v>
      </c>
      <c r="BP802" s="11"/>
      <c r="BQ802" s="11" t="b">
        <v>1</v>
      </c>
      <c r="BR802" s="20">
        <v>1886.71</v>
      </c>
      <c r="BS802" s="11"/>
      <c r="BT802" s="11"/>
      <c r="BU802" s="11" t="s">
        <v>187</v>
      </c>
      <c r="BV802" s="11"/>
      <c r="BW802" s="11"/>
      <c r="BX802" s="11"/>
      <c r="BY802" s="11"/>
    </row>
    <row r="803">
      <c r="A803" s="11" t="s">
        <v>2337</v>
      </c>
      <c r="B803" s="11" t="s">
        <v>78</v>
      </c>
      <c r="C803" s="23">
        <v>46000.0</v>
      </c>
      <c r="D803" s="11" t="s">
        <v>237</v>
      </c>
      <c r="E803" s="11"/>
      <c r="F803" s="11" t="s">
        <v>6448</v>
      </c>
      <c r="G803" s="11" t="s">
        <v>1958</v>
      </c>
      <c r="H803" s="11">
        <v>1.0</v>
      </c>
      <c r="I803" s="20">
        <v>136.96</v>
      </c>
      <c r="J803" s="20">
        <v>136.96</v>
      </c>
      <c r="BO803" s="20">
        <v>136.96</v>
      </c>
      <c r="BP803" s="11"/>
      <c r="BQ803" s="11" t="b">
        <v>1</v>
      </c>
      <c r="BR803" s="20">
        <v>136.96</v>
      </c>
      <c r="BS803" s="11"/>
      <c r="BT803" s="11"/>
      <c r="BU803" s="11" t="s">
        <v>187</v>
      </c>
      <c r="BV803" s="11"/>
      <c r="BW803" s="11"/>
      <c r="BX803" s="11"/>
      <c r="BY803" s="11"/>
    </row>
    <row r="804">
      <c r="A804" s="11">
        <v>1675.0</v>
      </c>
      <c r="B804" s="11" t="s">
        <v>78</v>
      </c>
      <c r="C804" s="23">
        <v>46000.0</v>
      </c>
      <c r="D804" s="11" t="s">
        <v>192</v>
      </c>
      <c r="E804" s="11"/>
      <c r="F804" s="11" t="s">
        <v>195</v>
      </c>
      <c r="G804" s="11" t="s">
        <v>196</v>
      </c>
      <c r="H804" s="11">
        <v>1.0</v>
      </c>
      <c r="I804" s="20">
        <v>2500.0</v>
      </c>
      <c r="J804" s="20">
        <v>2500.0</v>
      </c>
      <c r="BO804" s="20">
        <v>2500.0</v>
      </c>
      <c r="BP804" s="11"/>
      <c r="BQ804" s="11" t="b">
        <v>1</v>
      </c>
      <c r="BR804" s="20">
        <v>2500.0</v>
      </c>
      <c r="BS804" s="11"/>
      <c r="BT804" s="11"/>
      <c r="BU804" s="11" t="s">
        <v>187</v>
      </c>
      <c r="BV804" s="11"/>
      <c r="BW804" s="11"/>
      <c r="BX804" s="11"/>
      <c r="BY804" s="11"/>
    </row>
    <row r="805">
      <c r="A805" s="11">
        <v>1676.0</v>
      </c>
      <c r="B805" s="11" t="s">
        <v>78</v>
      </c>
      <c r="C805" s="23">
        <v>46000.0</v>
      </c>
      <c r="D805" s="11" t="s">
        <v>1217</v>
      </c>
      <c r="E805" s="11"/>
      <c r="F805" s="11" t="s">
        <v>1218</v>
      </c>
      <c r="G805" s="11" t="s">
        <v>502</v>
      </c>
      <c r="H805" s="11">
        <v>1.0</v>
      </c>
      <c r="I805" s="20">
        <v>131.9</v>
      </c>
      <c r="J805" s="20">
        <v>131.9</v>
      </c>
      <c r="BO805" s="20">
        <v>131.9</v>
      </c>
      <c r="BP805" s="11"/>
      <c r="BQ805" s="11" t="b">
        <v>1</v>
      </c>
      <c r="BR805" s="20">
        <v>131.9</v>
      </c>
      <c r="BS805" s="11"/>
      <c r="BT805" s="11"/>
      <c r="BU805" s="11" t="s">
        <v>187</v>
      </c>
      <c r="BV805" s="11"/>
      <c r="BW805" s="11"/>
      <c r="BX805" s="11"/>
      <c r="BY805" s="11"/>
    </row>
    <row r="806">
      <c r="A806" s="11" t="s">
        <v>2345</v>
      </c>
      <c r="B806" s="11" t="s">
        <v>78</v>
      </c>
      <c r="C806" s="23">
        <v>46000.0</v>
      </c>
      <c r="D806" s="11" t="s">
        <v>176</v>
      </c>
      <c r="E806" s="11"/>
      <c r="F806" s="11" t="s">
        <v>6449</v>
      </c>
      <c r="G806" s="11" t="s">
        <v>2346</v>
      </c>
      <c r="H806" s="11">
        <v>1.0</v>
      </c>
      <c r="I806" s="20">
        <v>950.0</v>
      </c>
      <c r="J806" s="20">
        <v>950.0</v>
      </c>
      <c r="BO806" s="20">
        <v>950.0</v>
      </c>
      <c r="BP806" s="11"/>
      <c r="BQ806" s="11" t="b">
        <v>1</v>
      </c>
      <c r="BR806" s="20">
        <v>950.0</v>
      </c>
      <c r="BS806" s="11"/>
      <c r="BT806" s="11"/>
      <c r="BU806" s="11" t="s">
        <v>187</v>
      </c>
      <c r="BV806" s="11"/>
      <c r="BW806" s="11"/>
      <c r="BX806" s="11"/>
      <c r="BY806" s="11"/>
    </row>
    <row r="807">
      <c r="A807" s="19" t="s">
        <v>6450</v>
      </c>
      <c r="B807" s="11" t="s">
        <v>78</v>
      </c>
      <c r="C807" s="23">
        <v>46003.0</v>
      </c>
      <c r="D807" s="11" t="s">
        <v>104</v>
      </c>
      <c r="E807" s="11" t="s">
        <v>6451</v>
      </c>
      <c r="F807" s="11" t="s">
        <v>380</v>
      </c>
      <c r="G807" s="11"/>
      <c r="H807" s="11"/>
      <c r="I807" s="20"/>
      <c r="J807" s="20"/>
      <c r="BO807" s="20"/>
      <c r="BP807" s="11" t="s">
        <v>6452</v>
      </c>
      <c r="BQ807" s="11" t="b">
        <v>0</v>
      </c>
      <c r="BR807" s="20"/>
      <c r="BS807" s="19" t="s">
        <v>6454</v>
      </c>
      <c r="BT807" s="11" t="b">
        <v>1</v>
      </c>
      <c r="BU807" s="11" t="s">
        <v>5814</v>
      </c>
      <c r="BV807" s="11"/>
      <c r="BW807" s="11"/>
      <c r="BX807" s="11"/>
      <c r="BY807" s="11"/>
    </row>
    <row r="808">
      <c r="A808" s="11" t="s">
        <v>6456</v>
      </c>
      <c r="B808" s="11" t="s">
        <v>78</v>
      </c>
      <c r="C808" s="23">
        <v>46003.0</v>
      </c>
      <c r="D808" s="11" t="s">
        <v>85</v>
      </c>
      <c r="E808" s="11" t="s">
        <v>6457</v>
      </c>
      <c r="F808" s="11" t="s">
        <v>4402</v>
      </c>
      <c r="G808" s="11"/>
      <c r="H808" s="11"/>
      <c r="I808" s="20"/>
      <c r="J808" s="20"/>
      <c r="BO808" s="20"/>
      <c r="BP808" s="11" t="s">
        <v>6458</v>
      </c>
      <c r="BQ808" s="11" t="b">
        <v>0</v>
      </c>
      <c r="BR808" s="20"/>
      <c r="BS808" s="19" t="s">
        <v>6459</v>
      </c>
      <c r="BT808" s="11" t="b">
        <v>1</v>
      </c>
      <c r="BU808" s="11" t="s">
        <v>2932</v>
      </c>
      <c r="BV808" s="11"/>
      <c r="BW808" s="11"/>
      <c r="BX808" s="11"/>
      <c r="BY808" s="11"/>
    </row>
    <row r="809">
      <c r="A809" s="19" t="s">
        <v>6460</v>
      </c>
      <c r="B809" s="11" t="s">
        <v>78</v>
      </c>
      <c r="C809" s="23">
        <v>46003.0</v>
      </c>
      <c r="D809" s="11" t="s">
        <v>992</v>
      </c>
      <c r="E809" s="11" t="s">
        <v>6461</v>
      </c>
      <c r="F809" s="11" t="s">
        <v>3235</v>
      </c>
      <c r="G809" s="11"/>
      <c r="H809" s="11"/>
      <c r="I809" s="20"/>
      <c r="J809" s="20"/>
      <c r="BO809" s="20"/>
      <c r="BP809" s="11" t="s">
        <v>6462</v>
      </c>
      <c r="BQ809" s="11" t="b">
        <v>0</v>
      </c>
      <c r="BR809" s="20"/>
      <c r="BS809" s="19" t="s">
        <v>6463</v>
      </c>
      <c r="BT809" s="11" t="b">
        <v>1</v>
      </c>
      <c r="BU809" s="11" t="s">
        <v>5814</v>
      </c>
      <c r="BV809" s="11"/>
      <c r="BW809" s="11"/>
      <c r="BX809" s="11"/>
      <c r="BY809" s="11"/>
    </row>
    <row r="810">
      <c r="A810" s="11" t="s">
        <v>6464</v>
      </c>
      <c r="B810" s="11" t="s">
        <v>78</v>
      </c>
      <c r="C810" s="23">
        <v>46003.0</v>
      </c>
      <c r="D810" s="11" t="s">
        <v>817</v>
      </c>
      <c r="E810" s="11" t="s">
        <v>6465</v>
      </c>
      <c r="F810" s="11" t="s">
        <v>2244</v>
      </c>
      <c r="G810" s="11"/>
      <c r="H810" s="11"/>
      <c r="I810" s="20"/>
      <c r="J810" s="20"/>
      <c r="BO810" s="20"/>
      <c r="BP810" s="11" t="s">
        <v>6467</v>
      </c>
      <c r="BQ810" s="11" t="b">
        <v>0</v>
      </c>
      <c r="BR810" s="20"/>
      <c r="BS810" s="11"/>
      <c r="BT810" s="11" t="b">
        <v>0</v>
      </c>
      <c r="BU810" s="11" t="s">
        <v>2932</v>
      </c>
      <c r="BV810" s="11"/>
      <c r="BW810" s="11"/>
      <c r="BX810" s="11"/>
      <c r="BY810" s="11"/>
    </row>
    <row r="811">
      <c r="A811" s="11">
        <v>1672.0</v>
      </c>
      <c r="B811" s="11" t="s">
        <v>78</v>
      </c>
      <c r="C811" s="23">
        <v>46006.0</v>
      </c>
      <c r="D811" s="11" t="s">
        <v>547</v>
      </c>
      <c r="E811" s="11"/>
      <c r="F811" s="11" t="s">
        <v>973</v>
      </c>
      <c r="G811" s="11" t="s">
        <v>975</v>
      </c>
      <c r="H811" s="11">
        <v>1.0</v>
      </c>
      <c r="I811" s="20">
        <v>1045.0</v>
      </c>
      <c r="J811" s="20">
        <v>1045.0</v>
      </c>
      <c r="BO811" s="20">
        <v>1045.0</v>
      </c>
      <c r="BP811" s="11"/>
      <c r="BQ811" s="11" t="b">
        <v>1</v>
      </c>
      <c r="BR811" s="20">
        <v>1045.0</v>
      </c>
      <c r="BS811" s="11"/>
      <c r="BT811" s="11"/>
      <c r="BU811" s="11" t="s">
        <v>187</v>
      </c>
      <c r="BV811" s="11"/>
      <c r="BW811" s="11"/>
      <c r="BX811" s="11"/>
      <c r="BY811" s="11"/>
    </row>
    <row r="812">
      <c r="A812" s="11">
        <v>1674.0</v>
      </c>
      <c r="B812" s="11" t="s">
        <v>78</v>
      </c>
      <c r="C812" s="23">
        <v>46006.0</v>
      </c>
      <c r="D812" s="11" t="s">
        <v>547</v>
      </c>
      <c r="E812" s="11"/>
      <c r="F812" s="11" t="s">
        <v>955</v>
      </c>
      <c r="G812" s="11" t="s">
        <v>957</v>
      </c>
      <c r="H812" s="11">
        <v>1.0</v>
      </c>
      <c r="I812" s="20">
        <v>375.0</v>
      </c>
      <c r="J812" s="20">
        <v>375.0</v>
      </c>
      <c r="BO812" s="20">
        <v>375.0</v>
      </c>
      <c r="BP812" s="11"/>
      <c r="BQ812" s="11" t="b">
        <v>1</v>
      </c>
      <c r="BR812" s="20">
        <v>375.0</v>
      </c>
      <c r="BS812" s="11"/>
      <c r="BT812" s="11"/>
      <c r="BU812" s="11" t="s">
        <v>187</v>
      </c>
      <c r="BV812" s="11"/>
      <c r="BW812" s="11"/>
      <c r="BX812" s="11"/>
      <c r="BY812" s="11"/>
    </row>
    <row r="813">
      <c r="A813" s="11" t="s">
        <v>2357</v>
      </c>
      <c r="B813" s="11" t="s">
        <v>78</v>
      </c>
      <c r="C813" s="23">
        <v>46006.0</v>
      </c>
      <c r="D813" s="11" t="s">
        <v>6470</v>
      </c>
      <c r="E813" s="11"/>
      <c r="F813" s="11" t="s">
        <v>6472</v>
      </c>
      <c r="G813" s="11" t="s">
        <v>2360</v>
      </c>
      <c r="H813" s="11">
        <v>1.0</v>
      </c>
      <c r="I813" s="20">
        <v>1153.66</v>
      </c>
      <c r="J813" s="20">
        <v>1153.66</v>
      </c>
      <c r="BO813" s="20">
        <v>1153.66</v>
      </c>
      <c r="BP813" s="11"/>
      <c r="BQ813" s="11" t="b">
        <v>1</v>
      </c>
      <c r="BR813" s="20">
        <v>1153.66</v>
      </c>
      <c r="BS813" s="11"/>
      <c r="BT813" s="11"/>
      <c r="BU813" s="11" t="s">
        <v>187</v>
      </c>
      <c r="BV813" s="11"/>
      <c r="BW813" s="11"/>
      <c r="BX813" s="11"/>
      <c r="BY813" s="11"/>
    </row>
    <row r="814">
      <c r="A814" s="11" t="s">
        <v>2363</v>
      </c>
      <c r="B814" s="11" t="s">
        <v>78</v>
      </c>
      <c r="C814" s="23">
        <v>46006.0</v>
      </c>
      <c r="D814" s="11" t="s">
        <v>237</v>
      </c>
      <c r="E814" s="11"/>
      <c r="F814" s="11" t="s">
        <v>6472</v>
      </c>
      <c r="G814" s="11" t="s">
        <v>2360</v>
      </c>
      <c r="H814" s="11">
        <v>1.0</v>
      </c>
      <c r="I814" s="20">
        <v>4446.88</v>
      </c>
      <c r="J814" s="20">
        <v>4446.88</v>
      </c>
      <c r="BO814" s="20">
        <v>4446.88</v>
      </c>
      <c r="BP814" s="11"/>
      <c r="BQ814" s="11" t="b">
        <v>1</v>
      </c>
      <c r="BR814" s="20">
        <v>4446.88</v>
      </c>
      <c r="BS814" s="11"/>
      <c r="BT814" s="11"/>
      <c r="BU814" s="11" t="s">
        <v>187</v>
      </c>
      <c r="BV814" s="11"/>
      <c r="BW814" s="11"/>
      <c r="BX814" s="11"/>
      <c r="BY814" s="11"/>
    </row>
    <row r="815">
      <c r="A815" s="11">
        <v>1678.0</v>
      </c>
      <c r="B815" s="11" t="s">
        <v>78</v>
      </c>
      <c r="C815" s="23">
        <v>46007.0</v>
      </c>
      <c r="D815" s="11" t="s">
        <v>1046</v>
      </c>
      <c r="E815" s="11"/>
      <c r="F815" s="11" t="s">
        <v>2638</v>
      </c>
      <c r="G815" s="11" t="s">
        <v>1936</v>
      </c>
      <c r="H815" s="11">
        <v>1.0</v>
      </c>
      <c r="I815" s="20">
        <v>1042.0</v>
      </c>
      <c r="J815" s="20">
        <v>1042.0</v>
      </c>
      <c r="BO815" s="20">
        <v>1042.0</v>
      </c>
      <c r="BP815" s="11"/>
      <c r="BQ815" s="11" t="b">
        <v>1</v>
      </c>
      <c r="BR815" s="20">
        <v>1042.0</v>
      </c>
      <c r="BS815" s="11"/>
      <c r="BT815" s="11"/>
      <c r="BU815" s="11" t="s">
        <v>187</v>
      </c>
      <c r="BV815" s="11"/>
      <c r="BW815" s="11"/>
      <c r="BX815" s="11"/>
      <c r="BY815" s="11"/>
    </row>
    <row r="816">
      <c r="A816" s="11">
        <v>1683.0</v>
      </c>
      <c r="B816" s="11" t="s">
        <v>78</v>
      </c>
      <c r="C816" s="23">
        <v>46007.0</v>
      </c>
      <c r="D816" s="11" t="s">
        <v>1046</v>
      </c>
      <c r="E816" s="11"/>
      <c r="F816" s="11" t="s">
        <v>1557</v>
      </c>
      <c r="G816" s="11" t="s">
        <v>1049</v>
      </c>
      <c r="H816" s="11">
        <v>1.0</v>
      </c>
      <c r="I816" s="20">
        <v>9767.16</v>
      </c>
      <c r="J816" s="20">
        <v>9767.16</v>
      </c>
      <c r="BO816" s="20">
        <v>9767.16</v>
      </c>
      <c r="BP816" s="11"/>
      <c r="BQ816" s="11" t="b">
        <v>1</v>
      </c>
      <c r="BR816" s="20">
        <v>9767.16</v>
      </c>
      <c r="BS816" s="11"/>
      <c r="BT816" s="11"/>
      <c r="BU816" s="11" t="s">
        <v>187</v>
      </c>
      <c r="BV816" s="11"/>
      <c r="BW816" s="11"/>
      <c r="BX816" s="11"/>
      <c r="BY816" s="11"/>
    </row>
    <row r="817">
      <c r="A817" s="11">
        <v>1684.0</v>
      </c>
      <c r="B817" s="11" t="s">
        <v>78</v>
      </c>
      <c r="C817" s="23">
        <v>46007.0</v>
      </c>
      <c r="D817" s="11" t="s">
        <v>1046</v>
      </c>
      <c r="E817" s="11"/>
      <c r="F817" s="11" t="s">
        <v>2638</v>
      </c>
      <c r="G817" s="11" t="s">
        <v>1944</v>
      </c>
      <c r="H817" s="11">
        <v>1.0</v>
      </c>
      <c r="I817" s="20">
        <v>1038.78</v>
      </c>
      <c r="J817" s="20">
        <v>1038.78</v>
      </c>
      <c r="BO817" s="20">
        <v>1038.78</v>
      </c>
      <c r="BP817" s="11"/>
      <c r="BQ817" s="11" t="b">
        <v>1</v>
      </c>
      <c r="BR817" s="20">
        <v>1038.78</v>
      </c>
      <c r="BS817" s="11"/>
      <c r="BT817" s="11"/>
      <c r="BU817" s="11" t="s">
        <v>187</v>
      </c>
      <c r="BV817" s="11"/>
      <c r="BW817" s="11"/>
      <c r="BX817" s="11"/>
      <c r="BY817" s="11"/>
    </row>
    <row r="818">
      <c r="A818" s="11" t="s">
        <v>2376</v>
      </c>
      <c r="B818" s="11" t="s">
        <v>78</v>
      </c>
      <c r="C818" s="23">
        <v>46007.0</v>
      </c>
      <c r="D818" s="11" t="s">
        <v>1046</v>
      </c>
      <c r="E818" s="11"/>
      <c r="F818" s="11" t="s">
        <v>6476</v>
      </c>
      <c r="G818" s="11" t="s">
        <v>1936</v>
      </c>
      <c r="H818" s="11">
        <v>1.0</v>
      </c>
      <c r="I818" s="20">
        <v>492.21</v>
      </c>
      <c r="J818" s="20">
        <v>492.21</v>
      </c>
      <c r="BO818" s="20">
        <v>492.21</v>
      </c>
      <c r="BP818" s="11"/>
      <c r="BQ818" s="11" t="b">
        <v>1</v>
      </c>
      <c r="BR818" s="20">
        <v>492.21</v>
      </c>
      <c r="BS818" s="11"/>
      <c r="BT818" s="11"/>
      <c r="BU818" s="11" t="s">
        <v>187</v>
      </c>
      <c r="BV818" s="11"/>
      <c r="BW818" s="11"/>
      <c r="BX818" s="11"/>
      <c r="BY818" s="11"/>
    </row>
    <row r="819">
      <c r="A819" s="11" t="s">
        <v>2383</v>
      </c>
      <c r="B819" s="11" t="s">
        <v>78</v>
      </c>
      <c r="C819" s="23">
        <v>46007.0</v>
      </c>
      <c r="D819" s="11" t="s">
        <v>5487</v>
      </c>
      <c r="E819" s="11"/>
      <c r="F819" s="11" t="s">
        <v>6478</v>
      </c>
      <c r="G819" s="11" t="s">
        <v>1958</v>
      </c>
      <c r="H819" s="11">
        <v>1.0</v>
      </c>
      <c r="I819" s="20">
        <v>1818.52</v>
      </c>
      <c r="J819" s="20">
        <v>1818.52</v>
      </c>
      <c r="BO819" s="20">
        <v>1818.52</v>
      </c>
      <c r="BP819" s="11"/>
      <c r="BQ819" s="11" t="b">
        <v>1</v>
      </c>
      <c r="BR819" s="20">
        <v>1818.52</v>
      </c>
      <c r="BS819" s="11"/>
      <c r="BT819" s="11"/>
      <c r="BU819" s="11" t="s">
        <v>187</v>
      </c>
      <c r="BV819" s="11"/>
      <c r="BW819" s="11"/>
      <c r="BX819" s="11"/>
      <c r="BY819" s="11"/>
    </row>
    <row r="820">
      <c r="A820" s="11" t="s">
        <v>2387</v>
      </c>
      <c r="B820" s="11" t="s">
        <v>78</v>
      </c>
      <c r="C820" s="23">
        <v>46007.0</v>
      </c>
      <c r="D820" s="11" t="s">
        <v>1567</v>
      </c>
      <c r="E820" s="11"/>
      <c r="F820" s="11" t="s">
        <v>6479</v>
      </c>
      <c r="G820" s="11" t="s">
        <v>2106</v>
      </c>
      <c r="H820" s="11">
        <v>1.0</v>
      </c>
      <c r="I820" s="20">
        <v>617.67</v>
      </c>
      <c r="J820" s="20">
        <v>617.67</v>
      </c>
      <c r="BO820" s="20">
        <v>617.67</v>
      </c>
      <c r="BP820" s="11"/>
      <c r="BQ820" s="11" t="b">
        <v>1</v>
      </c>
      <c r="BR820" s="20">
        <v>617.67</v>
      </c>
      <c r="BS820" s="11"/>
      <c r="BT820" s="11"/>
      <c r="BU820" s="11" t="s">
        <v>187</v>
      </c>
      <c r="BV820" s="11"/>
      <c r="BW820" s="11"/>
      <c r="BX820" s="11"/>
      <c r="BY820" s="11"/>
    </row>
    <row r="821">
      <c r="A821" s="11" t="s">
        <v>2392</v>
      </c>
      <c r="B821" s="11" t="s">
        <v>78</v>
      </c>
      <c r="C821" s="23">
        <v>46007.0</v>
      </c>
      <c r="D821" s="11" t="s">
        <v>237</v>
      </c>
      <c r="E821" s="11"/>
      <c r="F821" s="11" t="s">
        <v>6482</v>
      </c>
      <c r="G821" s="11" t="s">
        <v>1958</v>
      </c>
      <c r="H821" s="11">
        <v>1.0</v>
      </c>
      <c r="I821" s="20">
        <v>8385.65</v>
      </c>
      <c r="J821" s="20">
        <v>8385.65</v>
      </c>
      <c r="BO821" s="20">
        <v>8385.65</v>
      </c>
      <c r="BP821" s="11"/>
      <c r="BQ821" s="11" t="b">
        <v>1</v>
      </c>
      <c r="BR821" s="20">
        <v>8385.65</v>
      </c>
      <c r="BS821" s="11"/>
      <c r="BT821" s="11"/>
      <c r="BU821" s="11" t="s">
        <v>187</v>
      </c>
      <c r="BV821" s="11"/>
      <c r="BW821" s="11"/>
      <c r="BX821" s="11"/>
      <c r="BY821" s="11"/>
    </row>
    <row r="822">
      <c r="A822" s="11" t="s">
        <v>6483</v>
      </c>
      <c r="B822" s="11" t="s">
        <v>78</v>
      </c>
      <c r="C822" s="23">
        <v>46005.0</v>
      </c>
      <c r="D822" s="11" t="s">
        <v>6484</v>
      </c>
      <c r="E822" s="11" t="s">
        <v>6485</v>
      </c>
      <c r="F822" s="11" t="s">
        <v>6486</v>
      </c>
      <c r="G822" s="11"/>
      <c r="H822" s="11"/>
      <c r="I822" s="20"/>
      <c r="J822" s="20"/>
      <c r="BO822" s="20"/>
      <c r="BP822" s="11" t="s">
        <v>6487</v>
      </c>
      <c r="BQ822" s="11" t="b">
        <v>0</v>
      </c>
      <c r="BR822" s="20"/>
      <c r="BS822" s="19" t="s">
        <v>6488</v>
      </c>
      <c r="BT822" s="11" t="b">
        <v>1</v>
      </c>
      <c r="BU822" s="11" t="s">
        <v>2932</v>
      </c>
      <c r="BV822" s="11"/>
      <c r="BW822" s="11"/>
      <c r="BX822" s="11"/>
      <c r="BY822" s="11"/>
    </row>
    <row r="823">
      <c r="A823" s="11" t="s">
        <v>6489</v>
      </c>
      <c r="B823" s="11" t="s">
        <v>78</v>
      </c>
      <c r="C823" s="23">
        <v>46005.0</v>
      </c>
      <c r="D823" s="11" t="s">
        <v>2549</v>
      </c>
      <c r="E823" s="11" t="s">
        <v>6491</v>
      </c>
      <c r="F823" s="11" t="s">
        <v>6492</v>
      </c>
      <c r="G823" s="11"/>
      <c r="H823" s="11"/>
      <c r="I823" s="20"/>
      <c r="J823" s="20"/>
      <c r="BO823" s="20"/>
      <c r="BP823" s="11" t="s">
        <v>6494</v>
      </c>
      <c r="BQ823" s="11" t="b">
        <v>0</v>
      </c>
      <c r="BR823" s="20"/>
      <c r="BS823" s="19" t="s">
        <v>6495</v>
      </c>
      <c r="BT823" s="11" t="b">
        <v>1</v>
      </c>
      <c r="BU823" s="11" t="s">
        <v>2932</v>
      </c>
      <c r="BV823" s="11"/>
      <c r="BW823" s="11"/>
      <c r="BX823" s="11"/>
      <c r="BY823" s="11"/>
    </row>
    <row r="824">
      <c r="A824" s="11" t="s">
        <v>6496</v>
      </c>
      <c r="B824" s="11" t="s">
        <v>78</v>
      </c>
      <c r="C824" s="23">
        <v>46005.0</v>
      </c>
      <c r="D824" s="11" t="s">
        <v>2549</v>
      </c>
      <c r="E824" s="11" t="s">
        <v>6497</v>
      </c>
      <c r="F824" s="11" t="s">
        <v>6498</v>
      </c>
      <c r="G824" s="11"/>
      <c r="H824" s="11"/>
      <c r="I824" s="20"/>
      <c r="J824" s="20"/>
      <c r="BO824" s="20"/>
      <c r="BP824" s="11" t="s">
        <v>6499</v>
      </c>
      <c r="BQ824" s="11" t="b">
        <v>0</v>
      </c>
      <c r="BR824" s="20"/>
      <c r="BS824" s="19" t="s">
        <v>6500</v>
      </c>
      <c r="BT824" s="11" t="b">
        <v>1</v>
      </c>
      <c r="BU824" s="11" t="s">
        <v>2932</v>
      </c>
      <c r="BV824" s="11"/>
      <c r="BW824" s="11"/>
      <c r="BX824" s="11"/>
      <c r="BY824" s="11"/>
    </row>
    <row r="825">
      <c r="A825" s="11" t="s">
        <v>6502</v>
      </c>
      <c r="B825" s="11" t="s">
        <v>78</v>
      </c>
      <c r="C825" s="23">
        <v>46005.0</v>
      </c>
      <c r="D825" s="11" t="s">
        <v>6191</v>
      </c>
      <c r="E825" s="11" t="s">
        <v>6503</v>
      </c>
      <c r="F825" s="11" t="s">
        <v>6504</v>
      </c>
      <c r="G825" s="11"/>
      <c r="H825" s="11"/>
      <c r="I825" s="20"/>
      <c r="J825" s="20"/>
      <c r="BO825" s="20"/>
      <c r="BP825" s="11" t="s">
        <v>6505</v>
      </c>
      <c r="BQ825" s="11" t="b">
        <v>0</v>
      </c>
      <c r="BR825" s="20"/>
      <c r="BS825" s="19" t="s">
        <v>6507</v>
      </c>
      <c r="BT825" s="11" t="b">
        <v>1</v>
      </c>
      <c r="BU825" s="11" t="s">
        <v>2932</v>
      </c>
      <c r="BV825" s="11"/>
      <c r="BW825" s="11"/>
      <c r="BX825" s="11"/>
      <c r="BY825" s="11"/>
    </row>
    <row r="826">
      <c r="A826" s="11" t="s">
        <v>6508</v>
      </c>
      <c r="B826" s="11" t="s">
        <v>78</v>
      </c>
      <c r="C826" s="23">
        <v>46006.0</v>
      </c>
      <c r="D826" s="11" t="s">
        <v>992</v>
      </c>
      <c r="E826" s="11" t="s">
        <v>6509</v>
      </c>
      <c r="F826" s="11" t="s">
        <v>6510</v>
      </c>
      <c r="G826" s="11"/>
      <c r="H826" s="11"/>
      <c r="I826" s="20"/>
      <c r="J826" s="20"/>
      <c r="BO826" s="20"/>
      <c r="BP826" s="11" t="s">
        <v>6511</v>
      </c>
      <c r="BQ826" s="11" t="b">
        <v>0</v>
      </c>
      <c r="BR826" s="20"/>
      <c r="BS826" s="19" t="s">
        <v>6512</v>
      </c>
      <c r="BT826" s="11" t="b">
        <v>1</v>
      </c>
      <c r="BU826" s="11" t="s">
        <v>5814</v>
      </c>
      <c r="BV826" s="11"/>
      <c r="BW826" s="11"/>
      <c r="BX826" s="11"/>
      <c r="BY826" s="11"/>
    </row>
    <row r="827">
      <c r="A827" s="11" t="s">
        <v>6513</v>
      </c>
      <c r="B827" s="11" t="s">
        <v>78</v>
      </c>
      <c r="C827" s="23">
        <v>46009.0</v>
      </c>
      <c r="D827" s="11" t="s">
        <v>3478</v>
      </c>
      <c r="E827" s="11" t="s">
        <v>6514</v>
      </c>
      <c r="F827" s="11" t="s">
        <v>781</v>
      </c>
      <c r="G827" s="11"/>
      <c r="H827" s="11"/>
      <c r="I827" s="20"/>
      <c r="J827" s="20"/>
      <c r="BO827" s="20"/>
      <c r="BP827" s="11" t="s">
        <v>6515</v>
      </c>
      <c r="BQ827" s="11" t="b">
        <v>0</v>
      </c>
      <c r="BR827" s="20"/>
      <c r="BS827" s="19" t="s">
        <v>6516</v>
      </c>
      <c r="BT827" s="11" t="b">
        <v>1</v>
      </c>
      <c r="BU827" s="11" t="s">
        <v>2932</v>
      </c>
      <c r="BV827" s="11"/>
      <c r="BW827" s="11" t="s">
        <v>6517</v>
      </c>
      <c r="BX827" s="11"/>
      <c r="BY827" s="11"/>
    </row>
    <row r="828">
      <c r="A828" s="11" t="s">
        <v>6518</v>
      </c>
      <c r="B828" s="11" t="s">
        <v>78</v>
      </c>
      <c r="C828" s="23">
        <v>46009.0</v>
      </c>
      <c r="D828" s="11" t="s">
        <v>85</v>
      </c>
      <c r="E828" s="11" t="s">
        <v>6519</v>
      </c>
      <c r="F828" s="11" t="s">
        <v>6520</v>
      </c>
      <c r="G828" s="11"/>
      <c r="H828" s="11"/>
      <c r="I828" s="20"/>
      <c r="J828" s="20"/>
      <c r="BO828" s="20"/>
      <c r="BP828" s="11" t="s">
        <v>6521</v>
      </c>
      <c r="BQ828" s="11" t="b">
        <v>0</v>
      </c>
      <c r="BR828" s="20"/>
      <c r="BS828" s="19" t="s">
        <v>6522</v>
      </c>
      <c r="BT828" s="11" t="b">
        <v>1</v>
      </c>
      <c r="BU828" s="11" t="s">
        <v>2932</v>
      </c>
      <c r="BV828" s="11"/>
      <c r="BW828" s="11"/>
      <c r="BX828" s="11"/>
      <c r="BY828" s="11"/>
    </row>
    <row r="829">
      <c r="A829" s="11" t="s">
        <v>6523</v>
      </c>
      <c r="B829" s="11" t="s">
        <v>78</v>
      </c>
      <c r="C829" s="23">
        <v>46009.0</v>
      </c>
      <c r="D829" s="11" t="s">
        <v>104</v>
      </c>
      <c r="E829" s="11" t="s">
        <v>6524</v>
      </c>
      <c r="F829" s="11" t="s">
        <v>6525</v>
      </c>
      <c r="G829" s="11"/>
      <c r="H829" s="11"/>
      <c r="I829" s="20"/>
      <c r="J829" s="20"/>
      <c r="BO829" s="20"/>
      <c r="BP829" s="11" t="s">
        <v>6526</v>
      </c>
      <c r="BQ829" s="11" t="b">
        <v>0</v>
      </c>
      <c r="BR829" s="20"/>
      <c r="BS829" s="19" t="s">
        <v>6527</v>
      </c>
      <c r="BT829" s="11" t="b">
        <v>1</v>
      </c>
      <c r="BU829" s="11" t="s">
        <v>2932</v>
      </c>
      <c r="BV829" s="11"/>
      <c r="BW829" s="11"/>
      <c r="BX829" s="11"/>
      <c r="BY829" s="11"/>
    </row>
    <row r="830">
      <c r="A830" s="11" t="s">
        <v>6528</v>
      </c>
      <c r="B830" s="11" t="s">
        <v>78</v>
      </c>
      <c r="C830" s="23">
        <v>46006.0</v>
      </c>
      <c r="D830" s="11" t="s">
        <v>104</v>
      </c>
      <c r="E830" s="11" t="s">
        <v>6529</v>
      </c>
      <c r="F830" s="11" t="s">
        <v>6530</v>
      </c>
      <c r="G830" s="11"/>
      <c r="H830" s="11"/>
      <c r="I830" s="20"/>
      <c r="J830" s="20"/>
      <c r="BO830" s="20"/>
      <c r="BP830" s="11" t="s">
        <v>6531</v>
      </c>
      <c r="BQ830" s="11" t="b">
        <v>0</v>
      </c>
      <c r="BR830" s="20"/>
      <c r="BS830" s="19" t="s">
        <v>6532</v>
      </c>
      <c r="BT830" s="11" t="b">
        <v>1</v>
      </c>
      <c r="BU830" s="11" t="s">
        <v>2932</v>
      </c>
      <c r="BV830" s="11"/>
      <c r="BW830" s="11"/>
      <c r="BX830" s="11"/>
      <c r="BY830" s="11"/>
    </row>
    <row r="831">
      <c r="A831" s="11" t="s">
        <v>6533</v>
      </c>
      <c r="B831" s="11" t="s">
        <v>78</v>
      </c>
      <c r="C831" s="23">
        <v>46006.0</v>
      </c>
      <c r="D831" s="11" t="s">
        <v>513</v>
      </c>
      <c r="E831" s="11" t="s">
        <v>6534</v>
      </c>
      <c r="F831" s="11" t="s">
        <v>4269</v>
      </c>
      <c r="G831" s="11"/>
      <c r="H831" s="11"/>
      <c r="I831" s="20"/>
      <c r="J831" s="20"/>
      <c r="BO831" s="20"/>
      <c r="BP831" s="11" t="s">
        <v>6535</v>
      </c>
      <c r="BQ831" s="11" t="b">
        <v>0</v>
      </c>
      <c r="BR831" s="20"/>
      <c r="BS831" s="19" t="s">
        <v>6536</v>
      </c>
      <c r="BT831" s="11" t="b">
        <v>1</v>
      </c>
      <c r="BU831" s="11" t="s">
        <v>2932</v>
      </c>
      <c r="BV831" s="11"/>
      <c r="BW831" s="11"/>
      <c r="BX831" s="11"/>
      <c r="BY831" s="11"/>
    </row>
    <row r="832">
      <c r="A832" s="11" t="s">
        <v>6537</v>
      </c>
      <c r="B832" s="11" t="s">
        <v>78</v>
      </c>
      <c r="C832" s="23">
        <v>46007.0</v>
      </c>
      <c r="D832" s="11" t="s">
        <v>237</v>
      </c>
      <c r="E832" s="11" t="s">
        <v>6538</v>
      </c>
      <c r="F832" s="11" t="s">
        <v>6539</v>
      </c>
      <c r="G832" s="11"/>
      <c r="H832" s="11"/>
      <c r="I832" s="20"/>
      <c r="J832" s="20"/>
      <c r="BO832" s="20"/>
      <c r="BP832" s="11" t="s">
        <v>6541</v>
      </c>
      <c r="BQ832" s="11" t="b">
        <v>0</v>
      </c>
      <c r="BR832" s="20"/>
      <c r="BS832" s="11"/>
      <c r="BT832" s="11" t="b">
        <v>0</v>
      </c>
      <c r="BU832" s="11" t="s">
        <v>2932</v>
      </c>
      <c r="BV832" s="11"/>
      <c r="BW832" s="11" t="s">
        <v>6542</v>
      </c>
      <c r="BX832" s="11" t="s">
        <v>6543</v>
      </c>
      <c r="BY832" s="11"/>
    </row>
    <row r="833">
      <c r="A833" s="11">
        <v>1699.0</v>
      </c>
      <c r="B833" s="11" t="s">
        <v>78</v>
      </c>
      <c r="C833" s="23">
        <v>46014.0</v>
      </c>
      <c r="D833" s="11" t="s">
        <v>415</v>
      </c>
      <c r="E833" s="11"/>
      <c r="F833" s="23">
        <v>45931.0</v>
      </c>
      <c r="G833" s="11" t="s">
        <v>1971</v>
      </c>
      <c r="H833" s="11">
        <v>1.0</v>
      </c>
      <c r="I833" s="20">
        <v>190.34</v>
      </c>
      <c r="J833" s="20">
        <v>190.34</v>
      </c>
      <c r="BO833" s="20">
        <v>190.34</v>
      </c>
      <c r="BP833" s="11"/>
      <c r="BQ833" s="11" t="b">
        <v>1</v>
      </c>
      <c r="BR833" s="20">
        <v>190.34</v>
      </c>
      <c r="BS833" s="11"/>
      <c r="BT833" s="11"/>
      <c r="BU833" s="11" t="s">
        <v>187</v>
      </c>
      <c r="BV833" s="11"/>
      <c r="BW833" s="11"/>
      <c r="BX833" s="11"/>
      <c r="BY833" s="11"/>
    </row>
    <row r="834">
      <c r="A834" s="11">
        <v>1700.0</v>
      </c>
      <c r="B834" s="11" t="s">
        <v>78</v>
      </c>
      <c r="C834" s="23">
        <v>46014.0</v>
      </c>
      <c r="D834" s="11" t="s">
        <v>1567</v>
      </c>
      <c r="E834" s="11"/>
      <c r="F834" s="23">
        <v>45717.0</v>
      </c>
      <c r="G834" s="11" t="s">
        <v>1971</v>
      </c>
      <c r="H834" s="11">
        <v>1.0</v>
      </c>
      <c r="I834" s="20">
        <v>52.36</v>
      </c>
      <c r="J834" s="20">
        <v>52.36</v>
      </c>
      <c r="BO834" s="20">
        <v>52.36</v>
      </c>
      <c r="BP834" s="11"/>
      <c r="BQ834" s="11" t="b">
        <v>1</v>
      </c>
      <c r="BR834" s="20">
        <v>52.36</v>
      </c>
      <c r="BS834" s="11"/>
      <c r="BT834" s="11"/>
      <c r="BU834" s="11" t="s">
        <v>187</v>
      </c>
      <c r="BV834" s="11"/>
      <c r="BW834" s="11"/>
      <c r="BX834" s="11"/>
      <c r="BY834" s="11"/>
    </row>
    <row r="835">
      <c r="A835" s="11" t="s">
        <v>2408</v>
      </c>
      <c r="B835" s="11" t="s">
        <v>78</v>
      </c>
      <c r="C835" s="23">
        <v>46014.0</v>
      </c>
      <c r="D835" s="11" t="s">
        <v>5487</v>
      </c>
      <c r="E835" s="11"/>
      <c r="F835" s="11" t="s">
        <v>6546</v>
      </c>
      <c r="G835" s="11" t="s">
        <v>2040</v>
      </c>
      <c r="H835" s="11">
        <v>1.0</v>
      </c>
      <c r="I835" s="20">
        <v>3760.8</v>
      </c>
      <c r="J835" s="20">
        <v>3760.8</v>
      </c>
      <c r="BO835" s="20">
        <v>3760.8</v>
      </c>
      <c r="BP835" s="11"/>
      <c r="BQ835" s="11" t="b">
        <v>1</v>
      </c>
      <c r="BR835" s="20">
        <v>3760.8</v>
      </c>
      <c r="BS835" s="11"/>
      <c r="BT835" s="11"/>
      <c r="BU835" s="11" t="s">
        <v>187</v>
      </c>
      <c r="BV835" s="11"/>
      <c r="BW835" s="11"/>
      <c r="BX835" s="11"/>
      <c r="BY835" s="11"/>
    </row>
    <row r="836">
      <c r="A836" s="11">
        <v>1707.0</v>
      </c>
      <c r="B836" s="11" t="s">
        <v>78</v>
      </c>
      <c r="C836" s="23">
        <v>46014.0</v>
      </c>
      <c r="D836" s="11" t="s">
        <v>415</v>
      </c>
      <c r="E836" s="11"/>
      <c r="F836" s="11" t="s">
        <v>1015</v>
      </c>
      <c r="G836" s="11" t="s">
        <v>1017</v>
      </c>
      <c r="H836" s="11">
        <v>1.0</v>
      </c>
      <c r="I836" s="20">
        <v>22.0</v>
      </c>
      <c r="J836" s="20">
        <v>22.0</v>
      </c>
      <c r="BO836" s="20">
        <v>22.0</v>
      </c>
      <c r="BP836" s="11"/>
      <c r="BQ836" s="11" t="b">
        <v>1</v>
      </c>
      <c r="BR836" s="20">
        <v>22.0</v>
      </c>
      <c r="BS836" s="11"/>
      <c r="BT836" s="11"/>
      <c r="BU836" s="11" t="s">
        <v>187</v>
      </c>
      <c r="BV836" s="11"/>
      <c r="BW836" s="11"/>
      <c r="BX836" s="11"/>
      <c r="BY836" s="11"/>
    </row>
    <row r="837">
      <c r="A837" s="11">
        <v>1708.0</v>
      </c>
      <c r="B837" s="11" t="s">
        <v>78</v>
      </c>
      <c r="C837" s="23">
        <v>46014.0</v>
      </c>
      <c r="D837" s="11" t="s">
        <v>415</v>
      </c>
      <c r="E837" s="11"/>
      <c r="F837" s="11" t="s">
        <v>1022</v>
      </c>
      <c r="G837" s="11" t="s">
        <v>1023</v>
      </c>
      <c r="H837" s="11">
        <v>1.0</v>
      </c>
      <c r="I837" s="20">
        <v>10.0</v>
      </c>
      <c r="J837" s="20">
        <v>10.0</v>
      </c>
      <c r="BO837" s="20">
        <v>10.0</v>
      </c>
      <c r="BP837" s="11"/>
      <c r="BQ837" s="11" t="b">
        <v>1</v>
      </c>
      <c r="BR837" s="20">
        <v>10.0</v>
      </c>
      <c r="BS837" s="11"/>
      <c r="BT837" s="11"/>
      <c r="BU837" s="11" t="s">
        <v>187</v>
      </c>
      <c r="BV837" s="11"/>
      <c r="BW837" s="11"/>
      <c r="BX837" s="11"/>
      <c r="BY837" s="11"/>
    </row>
    <row r="838">
      <c r="A838" s="11" t="s">
        <v>2421</v>
      </c>
      <c r="B838" s="11" t="s">
        <v>78</v>
      </c>
      <c r="C838" s="23">
        <v>46014.0</v>
      </c>
      <c r="D838" s="11"/>
      <c r="E838" s="11"/>
      <c r="F838" s="11" t="s">
        <v>6552</v>
      </c>
      <c r="G838" s="11" t="s">
        <v>609</v>
      </c>
      <c r="H838" s="11">
        <v>1.0</v>
      </c>
      <c r="I838" s="20">
        <v>283.1</v>
      </c>
      <c r="J838" s="20">
        <v>283.1</v>
      </c>
      <c r="BO838" s="20">
        <v>283.1</v>
      </c>
      <c r="BP838" s="11"/>
      <c r="BQ838" s="11" t="b">
        <v>1</v>
      </c>
      <c r="BR838" s="20">
        <v>283.1</v>
      </c>
      <c r="BS838" s="11"/>
      <c r="BT838" s="11"/>
      <c r="BU838" s="11" t="s">
        <v>235</v>
      </c>
      <c r="BV838" s="11" t="s">
        <v>685</v>
      </c>
      <c r="BW838" s="11"/>
      <c r="BX838" s="11"/>
      <c r="BY838" s="11"/>
    </row>
    <row r="839">
      <c r="A839" s="11" t="s">
        <v>2425</v>
      </c>
      <c r="B839" s="11" t="s">
        <v>78</v>
      </c>
      <c r="C839" s="23">
        <v>46014.0</v>
      </c>
      <c r="D839" s="11" t="s">
        <v>1201</v>
      </c>
      <c r="E839" s="11"/>
      <c r="F839" s="11" t="s">
        <v>6553</v>
      </c>
      <c r="G839" s="11" t="s">
        <v>738</v>
      </c>
      <c r="H839" s="11">
        <v>1.0</v>
      </c>
      <c r="I839" s="20">
        <v>763.05</v>
      </c>
      <c r="J839" s="20">
        <v>763.05</v>
      </c>
      <c r="BO839" s="20">
        <v>763.05</v>
      </c>
      <c r="BP839" s="11"/>
      <c r="BQ839" s="11" t="b">
        <v>1</v>
      </c>
      <c r="BR839" s="20">
        <v>763.05</v>
      </c>
      <c r="BS839" s="11"/>
      <c r="BT839" s="11"/>
      <c r="BU839" s="11" t="s">
        <v>235</v>
      </c>
      <c r="BV839" s="11"/>
      <c r="BW839" s="11"/>
      <c r="BX839" s="11"/>
      <c r="BY839" s="11"/>
    </row>
    <row r="840">
      <c r="A840" s="11" t="s">
        <v>2429</v>
      </c>
      <c r="B840" s="11" t="s">
        <v>78</v>
      </c>
      <c r="C840" s="23">
        <v>46014.0</v>
      </c>
      <c r="D840" s="11" t="s">
        <v>1279</v>
      </c>
      <c r="E840" s="11"/>
      <c r="F840" s="11" t="s">
        <v>6556</v>
      </c>
      <c r="G840" s="11" t="s">
        <v>738</v>
      </c>
      <c r="H840" s="11">
        <v>1.0</v>
      </c>
      <c r="I840" s="20">
        <v>64.95</v>
      </c>
      <c r="J840" s="20">
        <v>64.95</v>
      </c>
      <c r="BO840" s="20">
        <v>64.95</v>
      </c>
      <c r="BP840" s="11"/>
      <c r="BQ840" s="11" t="b">
        <v>1</v>
      </c>
      <c r="BR840" s="20">
        <v>64.95</v>
      </c>
      <c r="BS840" s="11"/>
      <c r="BT840" s="11"/>
      <c r="BU840" s="11" t="s">
        <v>235</v>
      </c>
      <c r="BV840" s="11"/>
      <c r="BW840" s="11"/>
      <c r="BX840" s="11"/>
      <c r="BY840" s="11"/>
    </row>
    <row r="841">
      <c r="A841" s="11">
        <v>1.91335743E8</v>
      </c>
      <c r="B841" s="11" t="s">
        <v>78</v>
      </c>
      <c r="C841" s="23">
        <v>46014.0</v>
      </c>
      <c r="D841" s="11" t="s">
        <v>6557</v>
      </c>
      <c r="E841" s="11"/>
      <c r="F841" s="11" t="s">
        <v>6558</v>
      </c>
      <c r="G841" s="11" t="s">
        <v>738</v>
      </c>
      <c r="H841" s="11">
        <v>1.0</v>
      </c>
      <c r="I841" s="20">
        <v>139.5</v>
      </c>
      <c r="J841" s="20">
        <v>139.5</v>
      </c>
      <c r="BO841" s="20">
        <v>139.5</v>
      </c>
      <c r="BP841" s="11"/>
      <c r="BQ841" s="11" t="b">
        <v>1</v>
      </c>
      <c r="BR841" s="20">
        <v>139.5</v>
      </c>
      <c r="BS841" s="11"/>
      <c r="BT841" s="11"/>
      <c r="BU841" s="11" t="s">
        <v>235</v>
      </c>
      <c r="BV841" s="11"/>
      <c r="BW841" s="11"/>
      <c r="BX841" s="11"/>
      <c r="BY841" s="11"/>
    </row>
    <row r="842">
      <c r="A842" s="11" t="s">
        <v>3379</v>
      </c>
      <c r="B842" s="11" t="s">
        <v>78</v>
      </c>
      <c r="C842" s="23">
        <v>46017.0</v>
      </c>
      <c r="D842" s="11" t="s">
        <v>104</v>
      </c>
      <c r="E842" s="11" t="s">
        <v>6559</v>
      </c>
      <c r="F842" s="11" t="s">
        <v>6560</v>
      </c>
      <c r="G842" s="11"/>
      <c r="H842" s="11"/>
      <c r="I842" s="20"/>
      <c r="J842" s="20"/>
      <c r="BO842" s="20"/>
      <c r="BP842" s="11" t="s">
        <v>6562</v>
      </c>
      <c r="BQ842" s="11" t="b">
        <v>0</v>
      </c>
      <c r="BR842" s="20"/>
      <c r="BS842" s="19" t="s">
        <v>6564</v>
      </c>
      <c r="BT842" s="11" t="b">
        <v>1</v>
      </c>
      <c r="BU842" s="11" t="s">
        <v>5814</v>
      </c>
      <c r="BV842" s="11"/>
      <c r="BW842" s="11"/>
      <c r="BX842" s="11"/>
      <c r="BY842" s="11"/>
    </row>
    <row r="843">
      <c r="A843" s="11" t="s">
        <v>5475</v>
      </c>
      <c r="B843" s="11" t="s">
        <v>78</v>
      </c>
      <c r="C843" s="23">
        <v>46014.0</v>
      </c>
      <c r="D843" s="19" t="s">
        <v>6565</v>
      </c>
      <c r="E843" s="11" t="s">
        <v>6567</v>
      </c>
      <c r="F843" s="11" t="s">
        <v>6568</v>
      </c>
      <c r="G843" s="11"/>
      <c r="H843" s="11"/>
      <c r="I843" s="20"/>
      <c r="J843" s="20"/>
      <c r="BO843" s="20"/>
      <c r="BP843" s="11" t="s">
        <v>6570</v>
      </c>
      <c r="BQ843" s="11" t="b">
        <v>0</v>
      </c>
      <c r="BR843" s="20"/>
      <c r="BS843" s="19" t="s">
        <v>6571</v>
      </c>
      <c r="BT843" s="11" t="b">
        <v>1</v>
      </c>
      <c r="BU843" s="11" t="s">
        <v>2932</v>
      </c>
      <c r="BV843" s="11"/>
      <c r="BW843" s="11" t="s">
        <v>6572</v>
      </c>
      <c r="BX843" s="11"/>
      <c r="BY843" s="11"/>
    </row>
    <row r="844">
      <c r="A844" s="11" t="s">
        <v>3283</v>
      </c>
      <c r="B844" s="11" t="s">
        <v>78</v>
      </c>
      <c r="C844" s="23">
        <v>46010.0</v>
      </c>
      <c r="D844" s="11" t="s">
        <v>85</v>
      </c>
      <c r="E844" s="11" t="s">
        <v>6573</v>
      </c>
      <c r="F844" s="11" t="s">
        <v>6574</v>
      </c>
      <c r="G844" s="11"/>
      <c r="H844" s="11"/>
      <c r="I844" s="20"/>
      <c r="J844" s="20"/>
      <c r="BO844" s="20"/>
      <c r="BP844" s="11" t="s">
        <v>6576</v>
      </c>
      <c r="BQ844" s="11" t="b">
        <v>0</v>
      </c>
      <c r="BR844" s="20"/>
      <c r="BS844" s="19" t="s">
        <v>6577</v>
      </c>
      <c r="BT844" s="11" t="b">
        <v>1</v>
      </c>
      <c r="BU844" s="11" t="s">
        <v>2932</v>
      </c>
      <c r="BV844" s="11"/>
      <c r="BW844" s="11"/>
      <c r="BX844" s="11"/>
      <c r="BY844" s="11"/>
    </row>
    <row r="845">
      <c r="A845" s="11" t="s">
        <v>3317</v>
      </c>
      <c r="B845" s="11" t="s">
        <v>78</v>
      </c>
      <c r="C845" s="23">
        <v>46013.0</v>
      </c>
      <c r="D845" s="11" t="s">
        <v>104</v>
      </c>
      <c r="E845" s="11" t="s">
        <v>6578</v>
      </c>
      <c r="F845" s="11" t="s">
        <v>4727</v>
      </c>
      <c r="G845" s="11"/>
      <c r="H845" s="11"/>
      <c r="I845" s="20"/>
      <c r="J845" s="20"/>
      <c r="BO845" s="20"/>
      <c r="BP845" s="11" t="s">
        <v>6579</v>
      </c>
      <c r="BQ845" s="11" t="b">
        <v>0</v>
      </c>
      <c r="BR845" s="20"/>
      <c r="BS845" s="19" t="s">
        <v>6580</v>
      </c>
      <c r="BT845" s="11" t="b">
        <v>1</v>
      </c>
      <c r="BU845" s="11" t="s">
        <v>2932</v>
      </c>
      <c r="BV845" s="11"/>
      <c r="BW845" s="11"/>
      <c r="BX845" s="11"/>
      <c r="BY845" s="11"/>
    </row>
    <row r="846">
      <c r="A846" s="11" t="s">
        <v>3343</v>
      </c>
      <c r="B846" s="11" t="s">
        <v>78</v>
      </c>
      <c r="C846" s="23">
        <v>46013.0</v>
      </c>
      <c r="D846" s="11" t="s">
        <v>104</v>
      </c>
      <c r="E846" s="11" t="s">
        <v>6581</v>
      </c>
      <c r="F846" s="11" t="s">
        <v>6583</v>
      </c>
      <c r="G846" s="11"/>
      <c r="H846" s="11"/>
      <c r="I846" s="20"/>
      <c r="J846" s="20"/>
      <c r="BO846" s="20"/>
      <c r="BP846" s="11" t="s">
        <v>6585</v>
      </c>
      <c r="BQ846" s="11" t="b">
        <v>0</v>
      </c>
      <c r="BR846" s="20"/>
      <c r="BS846" s="19" t="s">
        <v>6586</v>
      </c>
      <c r="BT846" s="11" t="b">
        <v>1</v>
      </c>
      <c r="BU846" s="11" t="s">
        <v>2932</v>
      </c>
      <c r="BV846" s="11"/>
      <c r="BW846" s="11"/>
      <c r="BX846" s="11"/>
      <c r="BY846" s="11"/>
    </row>
    <row r="847">
      <c r="A847" s="11" t="s">
        <v>3324</v>
      </c>
      <c r="B847" s="11" t="s">
        <v>78</v>
      </c>
      <c r="C847" s="23">
        <v>46010.0</v>
      </c>
      <c r="D847" s="11" t="s">
        <v>992</v>
      </c>
      <c r="E847" s="11" t="s">
        <v>6589</v>
      </c>
      <c r="F847" s="11" t="s">
        <v>6590</v>
      </c>
      <c r="G847" s="11"/>
      <c r="H847" s="11"/>
      <c r="I847" s="20"/>
      <c r="J847" s="20"/>
      <c r="BO847" s="20"/>
      <c r="BP847" s="11" t="s">
        <v>6591</v>
      </c>
      <c r="BQ847" s="11" t="b">
        <v>0</v>
      </c>
      <c r="BR847" s="20"/>
      <c r="BS847" s="19" t="s">
        <v>6592</v>
      </c>
      <c r="BT847" s="11" t="b">
        <v>1</v>
      </c>
      <c r="BU847" s="11" t="s">
        <v>2932</v>
      </c>
      <c r="BV847" s="11"/>
      <c r="BW847" s="11"/>
      <c r="BX847" s="11"/>
      <c r="BY847" s="11"/>
    </row>
    <row r="848">
      <c r="A848" s="11" t="s">
        <v>3329</v>
      </c>
      <c r="B848" s="11" t="s">
        <v>78</v>
      </c>
      <c r="C848" s="23">
        <v>46011.0</v>
      </c>
      <c r="D848" s="11" t="s">
        <v>6191</v>
      </c>
      <c r="E848" s="11" t="s">
        <v>6593</v>
      </c>
      <c r="F848" s="11" t="s">
        <v>6594</v>
      </c>
      <c r="G848" s="11"/>
      <c r="H848" s="11"/>
      <c r="I848" s="20"/>
      <c r="J848" s="20"/>
      <c r="BO848" s="20"/>
      <c r="BP848" s="11" t="s">
        <v>6595</v>
      </c>
      <c r="BQ848" s="11" t="b">
        <v>0</v>
      </c>
      <c r="BR848" s="20"/>
      <c r="BS848" s="19" t="s">
        <v>6596</v>
      </c>
      <c r="BT848" s="11" t="b">
        <v>1</v>
      </c>
      <c r="BU848" s="11" t="s">
        <v>2932</v>
      </c>
      <c r="BV848" s="11"/>
      <c r="BW848" s="11"/>
      <c r="BX848" s="11"/>
      <c r="BY848" s="11"/>
    </row>
    <row r="849">
      <c r="A849" s="11" t="s">
        <v>3333</v>
      </c>
      <c r="B849" s="11" t="s">
        <v>78</v>
      </c>
      <c r="C849" s="23">
        <v>46012.0</v>
      </c>
      <c r="D849" s="11" t="s">
        <v>6484</v>
      </c>
      <c r="E849" s="11" t="s">
        <v>6599</v>
      </c>
      <c r="F849" s="11" t="s">
        <v>6600</v>
      </c>
      <c r="G849" s="11"/>
      <c r="H849" s="11"/>
      <c r="I849" s="20"/>
      <c r="J849" s="20"/>
      <c r="BO849" s="20"/>
      <c r="BP849" s="11" t="s">
        <v>6601</v>
      </c>
      <c r="BQ849" s="11" t="b">
        <v>0</v>
      </c>
      <c r="BR849" s="20"/>
      <c r="BS849" s="19" t="s">
        <v>6602</v>
      </c>
      <c r="BT849" s="11" t="b">
        <v>1</v>
      </c>
      <c r="BU849" s="11" t="s">
        <v>2932</v>
      </c>
      <c r="BV849" s="11"/>
      <c r="BW849" s="11"/>
      <c r="BX849" s="11"/>
      <c r="BY849" s="11"/>
    </row>
    <row r="850">
      <c r="A850" s="11" t="s">
        <v>3337</v>
      </c>
      <c r="B850" s="11" t="s">
        <v>78</v>
      </c>
      <c r="C850" s="23">
        <v>46012.0</v>
      </c>
      <c r="D850" s="11" t="s">
        <v>2549</v>
      </c>
      <c r="E850" s="11" t="s">
        <v>6604</v>
      </c>
      <c r="F850" s="11" t="s">
        <v>6605</v>
      </c>
      <c r="G850" s="11"/>
      <c r="H850" s="11"/>
      <c r="I850" s="20"/>
      <c r="J850" s="20"/>
      <c r="BO850" s="20"/>
      <c r="BP850" s="11" t="s">
        <v>6606</v>
      </c>
      <c r="BQ850" s="11" t="b">
        <v>0</v>
      </c>
      <c r="BR850" s="20"/>
      <c r="BS850" s="19" t="s">
        <v>6607</v>
      </c>
      <c r="BT850" s="11" t="b">
        <v>1</v>
      </c>
      <c r="BU850" s="11" t="s">
        <v>2932</v>
      </c>
      <c r="BV850" s="11"/>
      <c r="BW850" s="11"/>
      <c r="BX850" s="11"/>
      <c r="BY850" s="11"/>
    </row>
    <row r="851">
      <c r="A851" s="11" t="s">
        <v>3392</v>
      </c>
      <c r="B851" s="11" t="s">
        <v>78</v>
      </c>
      <c r="C851" s="23">
        <v>46017.0</v>
      </c>
      <c r="D851" s="11" t="s">
        <v>992</v>
      </c>
      <c r="E851" s="11" t="s">
        <v>6608</v>
      </c>
      <c r="F851" s="11" t="s">
        <v>6609</v>
      </c>
      <c r="G851" s="11"/>
      <c r="H851" s="11"/>
      <c r="I851" s="20"/>
      <c r="J851" s="20"/>
      <c r="BO851" s="20"/>
      <c r="BP851" s="11" t="s">
        <v>6610</v>
      </c>
      <c r="BQ851" s="11" t="b">
        <v>0</v>
      </c>
      <c r="BR851" s="20"/>
      <c r="BS851" s="19" t="s">
        <v>6611</v>
      </c>
      <c r="BT851" s="11" t="b">
        <v>1</v>
      </c>
      <c r="BU851" s="11" t="s">
        <v>2932</v>
      </c>
      <c r="BV851" s="11"/>
      <c r="BW851" s="11"/>
      <c r="BX851" s="11"/>
      <c r="BY851" s="11"/>
    </row>
    <row r="852">
      <c r="A852" s="11" t="s">
        <v>3352</v>
      </c>
      <c r="B852" s="11" t="s">
        <v>78</v>
      </c>
      <c r="C852" s="23">
        <v>46013.0</v>
      </c>
      <c r="D852" s="11" t="s">
        <v>513</v>
      </c>
      <c r="E852" s="11" t="s">
        <v>6613</v>
      </c>
      <c r="F852" s="11" t="s">
        <v>6614</v>
      </c>
      <c r="G852" s="11"/>
      <c r="H852" s="11"/>
      <c r="I852" s="20"/>
      <c r="J852" s="20"/>
      <c r="BO852" s="20"/>
      <c r="BP852" s="11" t="s">
        <v>6615</v>
      </c>
      <c r="BQ852" s="11" t="b">
        <v>0</v>
      </c>
      <c r="BR852" s="20"/>
      <c r="BS852" s="19" t="s">
        <v>6616</v>
      </c>
      <c r="BT852" s="11" t="b">
        <v>1</v>
      </c>
      <c r="BU852" s="11" t="s">
        <v>2932</v>
      </c>
      <c r="BV852" s="11"/>
      <c r="BW852" s="11"/>
      <c r="BX852" s="11"/>
      <c r="BY852" s="11"/>
    </row>
    <row r="853">
      <c r="A853" s="11" t="s">
        <v>3278</v>
      </c>
      <c r="B853" s="11" t="s">
        <v>78</v>
      </c>
      <c r="C853" s="23">
        <v>46009.0</v>
      </c>
      <c r="D853" s="11" t="s">
        <v>237</v>
      </c>
      <c r="E853" s="11" t="s">
        <v>6617</v>
      </c>
      <c r="F853" s="11" t="s">
        <v>6618</v>
      </c>
      <c r="G853" s="11"/>
      <c r="H853" s="11"/>
      <c r="I853" s="20"/>
      <c r="J853" s="20"/>
      <c r="BO853" s="20"/>
      <c r="BP853" s="11" t="s">
        <v>6619</v>
      </c>
      <c r="BQ853" s="11" t="b">
        <v>0</v>
      </c>
      <c r="BR853" s="20"/>
      <c r="BS853" s="11"/>
      <c r="BT853" s="11" t="b">
        <v>0</v>
      </c>
      <c r="BU853" s="11" t="s">
        <v>2932</v>
      </c>
      <c r="BV853" s="11"/>
      <c r="BW853" s="11" t="s">
        <v>6620</v>
      </c>
      <c r="BX853" s="11" t="s">
        <v>6621</v>
      </c>
      <c r="BY853" s="11"/>
    </row>
    <row r="854">
      <c r="A854" s="11" t="s">
        <v>2438</v>
      </c>
      <c r="B854" s="11" t="s">
        <v>78</v>
      </c>
      <c r="C854" s="23">
        <v>46019.0</v>
      </c>
      <c r="D854" s="11"/>
      <c r="E854" s="11"/>
      <c r="F854" s="11" t="s">
        <v>783</v>
      </c>
      <c r="G854" s="11" t="s">
        <v>350</v>
      </c>
      <c r="H854" s="11">
        <v>1.0</v>
      </c>
      <c r="I854" s="20">
        <v>500.0</v>
      </c>
      <c r="J854" s="20">
        <v>500.0</v>
      </c>
      <c r="BO854" s="20">
        <v>500.0</v>
      </c>
      <c r="BP854" s="11"/>
      <c r="BQ854" s="11" t="b">
        <v>1</v>
      </c>
      <c r="BR854" s="20">
        <v>500.0</v>
      </c>
      <c r="BS854" s="11"/>
      <c r="BT854" s="11"/>
      <c r="BU854" s="11" t="s">
        <v>187</v>
      </c>
      <c r="BV854" s="11" t="s">
        <v>126</v>
      </c>
      <c r="BW854" s="11"/>
      <c r="BX854" s="11"/>
      <c r="BY854" s="11"/>
    </row>
    <row r="855">
      <c r="A855" s="11" t="s">
        <v>3439</v>
      </c>
      <c r="B855" s="11" t="s">
        <v>78</v>
      </c>
      <c r="C855" s="23">
        <v>46018.0</v>
      </c>
      <c r="D855" s="11" t="s">
        <v>2549</v>
      </c>
      <c r="E855" s="11" t="s">
        <v>6622</v>
      </c>
      <c r="F855" s="11" t="s">
        <v>6623</v>
      </c>
      <c r="G855" s="11"/>
      <c r="H855" s="11"/>
      <c r="I855" s="20"/>
      <c r="J855" s="20"/>
      <c r="BO855" s="20"/>
      <c r="BP855" s="11" t="s">
        <v>6624</v>
      </c>
      <c r="BQ855" s="11" t="b">
        <v>0</v>
      </c>
      <c r="BR855" s="20"/>
      <c r="BS855" s="19" t="s">
        <v>6626</v>
      </c>
      <c r="BT855" s="11" t="b">
        <v>1</v>
      </c>
      <c r="BU855" s="11" t="s">
        <v>2932</v>
      </c>
      <c r="BV855" s="11"/>
      <c r="BW855" s="11"/>
      <c r="BX855" s="11"/>
      <c r="BY855" s="11"/>
    </row>
    <row r="856">
      <c r="A856" s="11" t="s">
        <v>5427</v>
      </c>
      <c r="B856" s="11" t="s">
        <v>78</v>
      </c>
      <c r="C856" s="23">
        <v>46019.0</v>
      </c>
      <c r="D856" s="11" t="s">
        <v>6191</v>
      </c>
      <c r="E856" s="11" t="s">
        <v>6628</v>
      </c>
      <c r="F856" s="11" t="s">
        <v>6629</v>
      </c>
      <c r="G856" s="11"/>
      <c r="H856" s="11"/>
      <c r="I856" s="20"/>
      <c r="J856" s="20"/>
      <c r="BO856" s="20"/>
      <c r="BP856" s="11" t="s">
        <v>6630</v>
      </c>
      <c r="BQ856" s="11" t="b">
        <v>0</v>
      </c>
      <c r="BR856" s="20"/>
      <c r="BS856" s="19" t="s">
        <v>6631</v>
      </c>
      <c r="BT856" s="11" t="b">
        <v>1</v>
      </c>
      <c r="BU856" s="11" t="s">
        <v>2932</v>
      </c>
      <c r="BV856" s="11"/>
      <c r="BW856" s="11"/>
      <c r="BX856" s="11"/>
      <c r="BY856" s="11"/>
    </row>
    <row r="857">
      <c r="A857" s="11" t="s">
        <v>3454</v>
      </c>
      <c r="B857" s="11" t="s">
        <v>78</v>
      </c>
      <c r="C857" s="23">
        <v>46019.0</v>
      </c>
      <c r="D857" s="11" t="s">
        <v>6191</v>
      </c>
      <c r="E857" s="11" t="s">
        <v>6632</v>
      </c>
      <c r="F857" s="11" t="s">
        <v>6633</v>
      </c>
      <c r="G857" s="11"/>
      <c r="H857" s="11"/>
      <c r="I857" s="20"/>
      <c r="J857" s="20"/>
      <c r="BO857" s="20"/>
      <c r="BP857" s="11" t="s">
        <v>6634</v>
      </c>
      <c r="BQ857" s="11" t="b">
        <v>0</v>
      </c>
      <c r="BR857" s="20"/>
      <c r="BS857" s="19" t="s">
        <v>6635</v>
      </c>
      <c r="BT857" s="11" t="b">
        <v>1</v>
      </c>
      <c r="BU857" s="11" t="s">
        <v>2932</v>
      </c>
      <c r="BV857" s="11"/>
      <c r="BW857" s="11"/>
      <c r="BX857" s="11"/>
      <c r="BY857" s="11"/>
    </row>
    <row r="858">
      <c r="A858" s="11" t="s">
        <v>3460</v>
      </c>
      <c r="B858" s="11" t="s">
        <v>78</v>
      </c>
      <c r="C858" s="23">
        <v>46020.0</v>
      </c>
      <c r="D858" s="11" t="s">
        <v>992</v>
      </c>
      <c r="E858" s="11" t="s">
        <v>6636</v>
      </c>
      <c r="F858" s="11" t="s">
        <v>4668</v>
      </c>
      <c r="G858" s="11"/>
      <c r="H858" s="11"/>
      <c r="I858" s="20"/>
      <c r="J858" s="20"/>
      <c r="BO858" s="20"/>
      <c r="BP858" s="11" t="s">
        <v>6637</v>
      </c>
      <c r="BQ858" s="11" t="b">
        <v>0</v>
      </c>
      <c r="BR858" s="20"/>
      <c r="BS858" s="19" t="s">
        <v>6638</v>
      </c>
      <c r="BT858" s="11" t="b">
        <v>1</v>
      </c>
      <c r="BU858" s="11" t="s">
        <v>2932</v>
      </c>
      <c r="BV858" s="11"/>
      <c r="BW858" s="11"/>
      <c r="BX858" s="11"/>
      <c r="BY858" s="11"/>
    </row>
    <row r="859">
      <c r="A859" s="11" t="s">
        <v>3397</v>
      </c>
      <c r="B859" s="11" t="s">
        <v>78</v>
      </c>
      <c r="C859" s="23">
        <v>46017.0</v>
      </c>
      <c r="D859" s="11" t="s">
        <v>6484</v>
      </c>
      <c r="E859" s="11" t="s">
        <v>6639</v>
      </c>
      <c r="F859" s="11" t="s">
        <v>6641</v>
      </c>
      <c r="G859" s="11"/>
      <c r="H859" s="11"/>
      <c r="I859" s="20"/>
      <c r="J859" s="20"/>
      <c r="BO859" s="20"/>
      <c r="BP859" s="11" t="s">
        <v>6642</v>
      </c>
      <c r="BQ859" s="11" t="b">
        <v>0</v>
      </c>
      <c r="BR859" s="20"/>
      <c r="BS859" s="19" t="s">
        <v>6643</v>
      </c>
      <c r="BT859" s="11" t="b">
        <v>1</v>
      </c>
      <c r="BU859" s="11" t="s">
        <v>2932</v>
      </c>
      <c r="BV859" s="11"/>
      <c r="BW859" s="11"/>
      <c r="BX859" s="11"/>
      <c r="BY859" s="11"/>
    </row>
    <row r="860">
      <c r="A860" s="11" t="s">
        <v>3442</v>
      </c>
      <c r="B860" s="11" t="s">
        <v>78</v>
      </c>
      <c r="C860" s="23">
        <v>46018.0</v>
      </c>
      <c r="D860" s="11" t="s">
        <v>104</v>
      </c>
      <c r="E860" s="11" t="s">
        <v>6644</v>
      </c>
      <c r="F860" s="11" t="s">
        <v>6645</v>
      </c>
      <c r="G860" s="11"/>
      <c r="H860" s="11"/>
      <c r="I860" s="20"/>
      <c r="J860" s="20"/>
      <c r="BO860" s="20"/>
      <c r="BP860" s="11" t="s">
        <v>6646</v>
      </c>
      <c r="BQ860" s="11" t="b">
        <v>0</v>
      </c>
      <c r="BR860" s="20"/>
      <c r="BS860" s="19" t="s">
        <v>6647</v>
      </c>
      <c r="BT860" s="11" t="b">
        <v>1</v>
      </c>
      <c r="BU860" s="11" t="s">
        <v>2932</v>
      </c>
      <c r="BV860" s="11"/>
      <c r="BW860" s="11"/>
      <c r="BX860" s="11"/>
      <c r="BY860" s="11"/>
    </row>
    <row r="861">
      <c r="A861" s="11" t="s">
        <v>2440</v>
      </c>
      <c r="B861" s="11" t="s">
        <v>78</v>
      </c>
      <c r="C861" s="23">
        <v>46020.0</v>
      </c>
      <c r="D861" s="11" t="s">
        <v>5465</v>
      </c>
      <c r="E861" s="11"/>
      <c r="F861" s="11" t="s">
        <v>6648</v>
      </c>
      <c r="G861" s="11" t="s">
        <v>2443</v>
      </c>
      <c r="H861" s="11">
        <v>1.0</v>
      </c>
      <c r="I861" s="20">
        <v>50.0</v>
      </c>
      <c r="J861" s="20">
        <v>50.0</v>
      </c>
      <c r="BO861" s="20">
        <v>50.0</v>
      </c>
      <c r="BP861" s="11"/>
      <c r="BQ861" s="11" t="b">
        <v>1</v>
      </c>
      <c r="BR861" s="20">
        <v>50.0</v>
      </c>
      <c r="BS861" s="11"/>
      <c r="BT861" s="11"/>
      <c r="BU861" s="11" t="s">
        <v>187</v>
      </c>
      <c r="BV861" s="11"/>
      <c r="BW861" s="11"/>
      <c r="BX861" s="11"/>
      <c r="BY861" s="11"/>
    </row>
    <row r="862">
      <c r="A862" s="11" t="s">
        <v>3401</v>
      </c>
      <c r="B862" s="11" t="s">
        <v>78</v>
      </c>
      <c r="C862" s="23">
        <v>46017.0</v>
      </c>
      <c r="D862" s="11" t="s">
        <v>85</v>
      </c>
      <c r="E862" s="11" t="s">
        <v>6649</v>
      </c>
      <c r="F862" s="11" t="s">
        <v>6650</v>
      </c>
      <c r="G862" s="11"/>
      <c r="H862" s="11"/>
      <c r="I862" s="20"/>
      <c r="J862" s="20"/>
      <c r="BO862" s="20"/>
      <c r="BP862" s="11" t="s">
        <v>6652</v>
      </c>
      <c r="BQ862" s="11" t="b">
        <v>0</v>
      </c>
      <c r="BR862" s="20"/>
      <c r="BS862" s="19" t="s">
        <v>6653</v>
      </c>
      <c r="BT862" s="11" t="b">
        <v>1</v>
      </c>
      <c r="BU862" s="11" t="s">
        <v>2932</v>
      </c>
      <c r="BV862" s="11"/>
      <c r="BW862" s="11"/>
      <c r="BX862" s="11"/>
      <c r="BY862" s="11"/>
    </row>
    <row r="863">
      <c r="A863" s="11" t="s">
        <v>3474</v>
      </c>
      <c r="B863" s="11" t="s">
        <v>78</v>
      </c>
      <c r="C863" s="23">
        <v>46021.0</v>
      </c>
      <c r="D863" s="11" t="s">
        <v>1627</v>
      </c>
      <c r="E863" s="11" t="s">
        <v>6655</v>
      </c>
      <c r="F863" s="11" t="s">
        <v>6657</v>
      </c>
      <c r="G863" s="11"/>
      <c r="H863" s="11"/>
      <c r="I863" s="20"/>
      <c r="J863" s="20"/>
      <c r="BO863" s="20"/>
      <c r="BP863" s="11" t="s">
        <v>6656</v>
      </c>
      <c r="BQ863" s="11" t="b">
        <v>0</v>
      </c>
      <c r="BR863" s="20"/>
      <c r="BS863" s="19" t="s">
        <v>6658</v>
      </c>
      <c r="BT863" s="11" t="b">
        <v>1</v>
      </c>
      <c r="BU863" s="11" t="s">
        <v>2932</v>
      </c>
      <c r="BV863" s="11"/>
      <c r="BW863" s="11"/>
      <c r="BX863" s="11"/>
      <c r="BY863" s="11"/>
    </row>
    <row r="864">
      <c r="A864" s="11" t="s">
        <v>2447</v>
      </c>
      <c r="B864" s="11" t="s">
        <v>78</v>
      </c>
      <c r="C864" s="23">
        <v>46021.0</v>
      </c>
      <c r="D864" s="11" t="s">
        <v>237</v>
      </c>
      <c r="E864" s="11"/>
      <c r="F864" s="11" t="s">
        <v>6659</v>
      </c>
      <c r="G864" s="11" t="s">
        <v>1958</v>
      </c>
      <c r="H864" s="11">
        <v>1.0</v>
      </c>
      <c r="I864" s="20">
        <v>2375.72</v>
      </c>
      <c r="J864" s="20">
        <v>2375.72</v>
      </c>
      <c r="BO864" s="20">
        <v>2375.72</v>
      </c>
      <c r="BP864" s="11"/>
      <c r="BQ864" s="11" t="b">
        <v>1</v>
      </c>
      <c r="BR864" s="20">
        <v>2375.72</v>
      </c>
      <c r="BS864" s="11"/>
      <c r="BT864" s="11"/>
      <c r="BU864" s="11" t="s">
        <v>187</v>
      </c>
      <c r="BV864" s="11"/>
      <c r="BW864" s="11"/>
      <c r="BX864" s="11"/>
      <c r="BY864" s="11"/>
    </row>
    <row r="865">
      <c r="A865" s="11">
        <v>1704.0</v>
      </c>
      <c r="B865" s="11" t="s">
        <v>78</v>
      </c>
      <c r="C865" s="23">
        <v>46021.0</v>
      </c>
      <c r="D865" s="11"/>
      <c r="E865" s="11"/>
      <c r="F865" s="11" t="s">
        <v>681</v>
      </c>
      <c r="G865" s="11" t="s">
        <v>376</v>
      </c>
      <c r="H865" s="11">
        <v>1.0</v>
      </c>
      <c r="I865" s="20">
        <v>3498.0</v>
      </c>
      <c r="J865" s="20">
        <v>3498.0</v>
      </c>
      <c r="BO865" s="20">
        <v>3498.0</v>
      </c>
      <c r="BP865" s="11"/>
      <c r="BQ865" s="11" t="b">
        <v>1</v>
      </c>
      <c r="BR865" s="20">
        <v>3498.0</v>
      </c>
      <c r="BS865" s="11"/>
      <c r="BT865" s="11"/>
      <c r="BU865" s="11" t="s">
        <v>187</v>
      </c>
      <c r="BV865" s="11" t="s">
        <v>685</v>
      </c>
      <c r="BW865" s="11"/>
      <c r="BX865" s="11"/>
      <c r="BY865" s="11"/>
    </row>
    <row r="866">
      <c r="A866" s="11">
        <v>1705.0</v>
      </c>
      <c r="B866" s="11" t="s">
        <v>78</v>
      </c>
      <c r="C866" s="23">
        <v>46021.0</v>
      </c>
      <c r="D866" s="11"/>
      <c r="E866" s="11"/>
      <c r="F866" s="11" t="s">
        <v>687</v>
      </c>
      <c r="G866" s="11" t="s">
        <v>376</v>
      </c>
      <c r="H866" s="11">
        <v>1.0</v>
      </c>
      <c r="I866" s="20">
        <v>292.0</v>
      </c>
      <c r="J866" s="20">
        <v>292.0</v>
      </c>
      <c r="BO866" s="20">
        <v>292.0</v>
      </c>
      <c r="BP866" s="11"/>
      <c r="BQ866" s="11" t="b">
        <v>1</v>
      </c>
      <c r="BR866" s="20">
        <v>292.0</v>
      </c>
      <c r="BS866" s="11"/>
      <c r="BT866" s="11"/>
      <c r="BU866" s="11" t="s">
        <v>187</v>
      </c>
      <c r="BV866" s="11" t="s">
        <v>3675</v>
      </c>
      <c r="BW866" s="11"/>
      <c r="BX866" s="11"/>
      <c r="BY866" s="11"/>
    </row>
    <row r="867">
      <c r="A867" s="11">
        <v>1706.0</v>
      </c>
      <c r="B867" s="11" t="s">
        <v>78</v>
      </c>
      <c r="C867" s="23">
        <v>46021.0</v>
      </c>
      <c r="D867" s="11"/>
      <c r="E867" s="11"/>
      <c r="F867" s="11" t="s">
        <v>687</v>
      </c>
      <c r="G867" s="11" t="s">
        <v>376</v>
      </c>
      <c r="H867" s="11">
        <v>1.0</v>
      </c>
      <c r="I867" s="20">
        <v>292.0</v>
      </c>
      <c r="J867" s="20">
        <v>292.0</v>
      </c>
      <c r="BO867" s="20">
        <v>292.0</v>
      </c>
      <c r="BP867" s="11"/>
      <c r="BQ867" s="11" t="b">
        <v>1</v>
      </c>
      <c r="BR867" s="20">
        <v>292.0</v>
      </c>
      <c r="BS867" s="11"/>
      <c r="BT867" s="11"/>
      <c r="BU867" s="11" t="s">
        <v>187</v>
      </c>
      <c r="BV867" s="11" t="s">
        <v>704</v>
      </c>
      <c r="BW867" s="11"/>
      <c r="BX867" s="11"/>
      <c r="BY867" s="11"/>
    </row>
    <row r="868">
      <c r="A868" s="11">
        <v>1709.0</v>
      </c>
      <c r="B868" s="11" t="s">
        <v>78</v>
      </c>
      <c r="C868" s="23">
        <v>46021.0</v>
      </c>
      <c r="D868" s="11" t="s">
        <v>629</v>
      </c>
      <c r="E868" s="11"/>
      <c r="F868" s="11" t="s">
        <v>633</v>
      </c>
      <c r="G868" s="11" t="s">
        <v>1870</v>
      </c>
      <c r="H868" s="11">
        <v>1.0</v>
      </c>
      <c r="I868" s="20">
        <v>3135.75</v>
      </c>
      <c r="J868" s="20">
        <v>3135.75</v>
      </c>
      <c r="BO868" s="20">
        <v>3135.75</v>
      </c>
      <c r="BP868" s="11"/>
      <c r="BQ868" s="11" t="b">
        <v>1</v>
      </c>
      <c r="BR868" s="20">
        <v>3135.75</v>
      </c>
      <c r="BS868" s="11"/>
      <c r="BT868" s="11"/>
      <c r="BU868" s="11" t="s">
        <v>187</v>
      </c>
      <c r="BV868" s="11"/>
      <c r="BW868" s="11"/>
      <c r="BX868" s="11"/>
      <c r="BY868" s="11"/>
    </row>
    <row r="869">
      <c r="A869" s="11">
        <v>1710.0</v>
      </c>
      <c r="B869" s="11" t="s">
        <v>78</v>
      </c>
      <c r="C869" s="23">
        <v>46021.0</v>
      </c>
      <c r="D869" s="11"/>
      <c r="E869" s="11"/>
      <c r="F869" s="11" t="s">
        <v>2638</v>
      </c>
      <c r="G869" s="11" t="s">
        <v>376</v>
      </c>
      <c r="H869" s="11">
        <v>1.0</v>
      </c>
      <c r="I869" s="20">
        <v>3389.14</v>
      </c>
      <c r="J869" s="20">
        <v>3389.14</v>
      </c>
      <c r="BO869" s="20">
        <v>3389.14</v>
      </c>
      <c r="BP869" s="11"/>
      <c r="BQ869" s="11" t="b">
        <v>1</v>
      </c>
      <c r="BR869" s="20">
        <v>3389.14</v>
      </c>
      <c r="BS869" s="11"/>
      <c r="BT869" s="11"/>
      <c r="BU869" s="11" t="s">
        <v>187</v>
      </c>
      <c r="BV869" s="11" t="s">
        <v>225</v>
      </c>
      <c r="BW869" s="11"/>
      <c r="BX869" s="11"/>
      <c r="BY869" s="11"/>
    </row>
    <row r="870">
      <c r="A870" s="11">
        <v>1711.0</v>
      </c>
      <c r="B870" s="11" t="s">
        <v>78</v>
      </c>
      <c r="C870" s="23">
        <v>46021.0</v>
      </c>
      <c r="D870" s="11"/>
      <c r="E870" s="11"/>
      <c r="F870" s="11" t="s">
        <v>2638</v>
      </c>
      <c r="G870" s="11" t="s">
        <v>376</v>
      </c>
      <c r="H870" s="11">
        <v>1.0</v>
      </c>
      <c r="I870" s="20">
        <v>1375.5</v>
      </c>
      <c r="J870" s="20">
        <v>1375.5</v>
      </c>
      <c r="BO870" s="20">
        <v>1375.5</v>
      </c>
      <c r="BP870" s="11"/>
      <c r="BQ870" s="11" t="b">
        <v>1</v>
      </c>
      <c r="BR870" s="20">
        <v>1375.5</v>
      </c>
      <c r="BS870" s="11"/>
      <c r="BT870" s="11"/>
      <c r="BU870" s="11" t="s">
        <v>187</v>
      </c>
      <c r="BV870" s="11" t="s">
        <v>113</v>
      </c>
      <c r="BW870" s="11"/>
      <c r="BX870" s="11"/>
      <c r="BY870" s="11"/>
    </row>
    <row r="871">
      <c r="A871" s="11">
        <v>1712.0</v>
      </c>
      <c r="B871" s="11" t="s">
        <v>78</v>
      </c>
      <c r="C871" s="23">
        <v>46021.0</v>
      </c>
      <c r="D871" s="11"/>
      <c r="E871" s="11"/>
      <c r="F871" s="11" t="s">
        <v>2638</v>
      </c>
      <c r="G871" s="11" t="s">
        <v>376</v>
      </c>
      <c r="H871" s="11">
        <v>1.0</v>
      </c>
      <c r="I871" s="20">
        <v>1493.78</v>
      </c>
      <c r="J871" s="20">
        <v>1493.78</v>
      </c>
      <c r="BO871" s="20">
        <v>1493.78</v>
      </c>
      <c r="BP871" s="11"/>
      <c r="BQ871" s="11" t="b">
        <v>1</v>
      </c>
      <c r="BR871" s="20">
        <v>1493.78</v>
      </c>
      <c r="BS871" s="11"/>
      <c r="BT871" s="11"/>
      <c r="BU871" s="11" t="s">
        <v>187</v>
      </c>
      <c r="BV871" s="11" t="s">
        <v>126</v>
      </c>
      <c r="BW871" s="11"/>
      <c r="BX871" s="11"/>
      <c r="BY871" s="11"/>
    </row>
    <row r="872">
      <c r="A872" s="11">
        <v>1713.0</v>
      </c>
      <c r="B872" s="11" t="s">
        <v>78</v>
      </c>
      <c r="C872" s="23">
        <v>46021.0</v>
      </c>
      <c r="D872" s="11"/>
      <c r="E872" s="11"/>
      <c r="F872" s="11" t="s">
        <v>2638</v>
      </c>
      <c r="G872" s="11" t="s">
        <v>376</v>
      </c>
      <c r="H872" s="11">
        <v>1.0</v>
      </c>
      <c r="I872" s="20">
        <v>2004.6</v>
      </c>
      <c r="J872" s="20">
        <v>2004.6</v>
      </c>
      <c r="BO872" s="20">
        <v>2004.6</v>
      </c>
      <c r="BP872" s="11"/>
      <c r="BQ872" s="11" t="b">
        <v>1</v>
      </c>
      <c r="BR872" s="20">
        <v>2004.6</v>
      </c>
      <c r="BS872" s="11"/>
      <c r="BT872" s="11"/>
      <c r="BU872" s="11" t="s">
        <v>187</v>
      </c>
      <c r="BV872" s="11" t="s">
        <v>3739</v>
      </c>
      <c r="BW872" s="11"/>
      <c r="BX872" s="11"/>
      <c r="BY872" s="11"/>
    </row>
    <row r="873">
      <c r="A873" s="11" t="s">
        <v>2485</v>
      </c>
      <c r="B873" s="11" t="s">
        <v>78</v>
      </c>
      <c r="C873" s="23">
        <v>46021.0</v>
      </c>
      <c r="D873" s="11" t="s">
        <v>237</v>
      </c>
      <c r="E873" s="11"/>
      <c r="F873" s="11" t="s">
        <v>6665</v>
      </c>
      <c r="G873" s="11" t="s">
        <v>1958</v>
      </c>
      <c r="H873" s="11">
        <v>1.0</v>
      </c>
      <c r="I873" s="20">
        <v>10955.07</v>
      </c>
      <c r="J873" s="20">
        <v>10955.07</v>
      </c>
      <c r="BO873" s="20">
        <v>10955.07</v>
      </c>
      <c r="BP873" s="11"/>
      <c r="BQ873" s="11" t="b">
        <v>1</v>
      </c>
      <c r="BR873" s="20">
        <v>10955.07</v>
      </c>
      <c r="BS873" s="11"/>
      <c r="BT873" s="11"/>
      <c r="BU873" s="11" t="s">
        <v>187</v>
      </c>
      <c r="BV873" s="11"/>
      <c r="BW873" s="11"/>
      <c r="BX873" s="11"/>
      <c r="BY873" s="11"/>
    </row>
    <row r="874">
      <c r="A874" s="11" t="s">
        <v>3481</v>
      </c>
      <c r="B874" s="11" t="s">
        <v>78</v>
      </c>
      <c r="C874" s="23">
        <v>46021.0</v>
      </c>
      <c r="D874" s="11" t="s">
        <v>237</v>
      </c>
      <c r="E874" s="11" t="s">
        <v>6666</v>
      </c>
      <c r="F874" s="11" t="s">
        <v>6668</v>
      </c>
      <c r="G874" s="11"/>
      <c r="H874" s="11"/>
      <c r="I874" s="20"/>
      <c r="J874" s="20"/>
      <c r="BO874" s="20"/>
      <c r="BP874" s="11" t="s">
        <v>6667</v>
      </c>
      <c r="BQ874" s="11" t="b">
        <v>0</v>
      </c>
      <c r="BR874" s="20"/>
      <c r="BS874" s="11"/>
      <c r="BT874" s="11" t="b">
        <v>0</v>
      </c>
      <c r="BU874" s="11" t="s">
        <v>2932</v>
      </c>
      <c r="BV874" s="11"/>
      <c r="BW874" s="11" t="s">
        <v>6669</v>
      </c>
      <c r="BX874" s="11" t="s">
        <v>6670</v>
      </c>
      <c r="BY874" s="11"/>
    </row>
    <row r="875">
      <c r="A875" s="11" t="s">
        <v>3551</v>
      </c>
      <c r="B875" s="11" t="s">
        <v>78</v>
      </c>
      <c r="C875" s="23">
        <v>46027.0</v>
      </c>
      <c r="D875" s="11" t="s">
        <v>1094</v>
      </c>
      <c r="E875" s="11" t="s">
        <v>6671</v>
      </c>
      <c r="F875" s="11" t="s">
        <v>6673</v>
      </c>
      <c r="G875" s="11"/>
      <c r="H875" s="11"/>
      <c r="I875" s="20"/>
      <c r="J875" s="20"/>
      <c r="BO875" s="20"/>
      <c r="BP875" s="11" t="s">
        <v>6672</v>
      </c>
      <c r="BQ875" s="11" t="b">
        <v>0</v>
      </c>
      <c r="BR875" s="20"/>
      <c r="BS875" s="19" t="s">
        <v>6700</v>
      </c>
      <c r="BT875" s="11" t="b">
        <v>1</v>
      </c>
      <c r="BU875" s="11" t="s">
        <v>2932</v>
      </c>
      <c r="BV875" s="11"/>
      <c r="BW875" s="11"/>
      <c r="BX875" s="11"/>
      <c r="BY875" s="11"/>
    </row>
    <row r="876">
      <c r="A876" s="11" t="s">
        <v>3555</v>
      </c>
      <c r="B876" s="11" t="s">
        <v>78</v>
      </c>
      <c r="C876" s="23">
        <v>46027.0</v>
      </c>
      <c r="D876" s="11" t="s">
        <v>104</v>
      </c>
      <c r="E876" s="11" t="s">
        <v>6675</v>
      </c>
      <c r="F876" s="11" t="s">
        <v>6677</v>
      </c>
      <c r="G876" s="11"/>
      <c r="H876" s="11"/>
      <c r="I876" s="20"/>
      <c r="J876" s="20"/>
      <c r="BO876" s="20"/>
      <c r="BP876" s="11" t="s">
        <v>6676</v>
      </c>
      <c r="BQ876" s="11" t="b">
        <v>0</v>
      </c>
      <c r="BR876" s="20"/>
      <c r="BS876" s="19" t="s">
        <v>6705</v>
      </c>
      <c r="BT876" s="11" t="b">
        <v>1</v>
      </c>
      <c r="BU876" s="11" t="s">
        <v>2932</v>
      </c>
      <c r="BV876" s="11"/>
      <c r="BW876" s="11"/>
      <c r="BX876" s="11"/>
      <c r="BY876" s="11"/>
    </row>
    <row r="877">
      <c r="A877" s="11" t="s">
        <v>3571</v>
      </c>
      <c r="B877" s="11" t="s">
        <v>78</v>
      </c>
      <c r="C877" s="23">
        <v>46027.0</v>
      </c>
      <c r="D877" s="11" t="s">
        <v>1105</v>
      </c>
      <c r="E877" s="11" t="s">
        <v>6678</v>
      </c>
      <c r="F877" s="11" t="s">
        <v>6680</v>
      </c>
      <c r="G877" s="11"/>
      <c r="H877" s="11"/>
      <c r="I877" s="20"/>
      <c r="J877" s="20"/>
      <c r="BO877" s="20"/>
      <c r="BP877" s="11" t="s">
        <v>6679</v>
      </c>
      <c r="BQ877" s="11" t="b">
        <v>0</v>
      </c>
      <c r="BR877" s="20"/>
      <c r="BS877" s="19" t="s">
        <v>6712</v>
      </c>
      <c r="BT877" s="11" t="b">
        <v>1</v>
      </c>
      <c r="BU877" s="11" t="s">
        <v>2932</v>
      </c>
      <c r="BV877" s="11"/>
      <c r="BW877" s="11"/>
      <c r="BX877" s="11"/>
      <c r="BY877" s="11"/>
    </row>
    <row r="878">
      <c r="A878" s="11" t="s">
        <v>3587</v>
      </c>
      <c r="B878" s="11" t="s">
        <v>78</v>
      </c>
      <c r="C878" s="23">
        <v>46027.0</v>
      </c>
      <c r="D878" s="11" t="s">
        <v>1094</v>
      </c>
      <c r="E878" s="11" t="s">
        <v>6681</v>
      </c>
      <c r="F878" s="11" t="s">
        <v>781</v>
      </c>
      <c r="G878" s="11"/>
      <c r="H878" s="11"/>
      <c r="I878" s="20"/>
      <c r="J878" s="20"/>
      <c r="BO878" s="20"/>
      <c r="BP878" s="11" t="s">
        <v>6682</v>
      </c>
      <c r="BQ878" s="11" t="b">
        <v>0</v>
      </c>
      <c r="BR878" s="20"/>
      <c r="BS878" s="19" t="s">
        <v>6720</v>
      </c>
      <c r="BT878" s="11" t="b">
        <v>1</v>
      </c>
      <c r="BU878" s="11" t="s">
        <v>2932</v>
      </c>
      <c r="BV878" s="11"/>
      <c r="BW878" s="11"/>
      <c r="BX878" s="11"/>
      <c r="BY878" s="11"/>
    </row>
    <row r="879">
      <c r="A879" s="11" t="s">
        <v>3504</v>
      </c>
      <c r="B879" s="11" t="s">
        <v>78</v>
      </c>
      <c r="C879" s="23">
        <v>46024.0</v>
      </c>
      <c r="D879" s="11" t="s">
        <v>85</v>
      </c>
      <c r="E879" s="11" t="s">
        <v>6684</v>
      </c>
      <c r="F879" s="11" t="s">
        <v>6686</v>
      </c>
      <c r="G879" s="11"/>
      <c r="H879" s="11"/>
      <c r="I879" s="20"/>
      <c r="J879" s="20"/>
      <c r="BO879" s="20"/>
      <c r="BP879" s="11" t="s">
        <v>6685</v>
      </c>
      <c r="BQ879" s="11" t="b">
        <v>0</v>
      </c>
      <c r="BR879" s="20"/>
      <c r="BS879" s="19" t="s">
        <v>6721</v>
      </c>
      <c r="BT879" s="11" t="b">
        <v>1</v>
      </c>
      <c r="BU879" s="11" t="s">
        <v>2932</v>
      </c>
      <c r="BV879" s="11"/>
      <c r="BW879" s="11"/>
      <c r="BX879" s="11"/>
      <c r="BY879" s="11"/>
    </row>
    <row r="880">
      <c r="A880" s="11" t="s">
        <v>3524</v>
      </c>
      <c r="B880" s="11" t="s">
        <v>78</v>
      </c>
      <c r="C880" s="23">
        <v>46024.0</v>
      </c>
      <c r="D880" s="11" t="s">
        <v>104</v>
      </c>
      <c r="E880" s="11" t="s">
        <v>6688</v>
      </c>
      <c r="F880" s="11" t="s">
        <v>6690</v>
      </c>
      <c r="G880" s="11"/>
      <c r="H880" s="11"/>
      <c r="I880" s="20"/>
      <c r="J880" s="20"/>
      <c r="BO880" s="20"/>
      <c r="BP880" s="11" t="s">
        <v>6689</v>
      </c>
      <c r="BQ880" s="11" t="b">
        <v>0</v>
      </c>
      <c r="BR880" s="20"/>
      <c r="BS880" s="19" t="s">
        <v>6725</v>
      </c>
      <c r="BT880" s="11" t="b">
        <v>1</v>
      </c>
      <c r="BU880" s="11" t="s">
        <v>2932</v>
      </c>
      <c r="BV880" s="11"/>
      <c r="BW880" s="11"/>
      <c r="BX880" s="11"/>
      <c r="BY880" s="11"/>
    </row>
    <row r="881">
      <c r="A881" s="11" t="s">
        <v>3540</v>
      </c>
      <c r="B881" s="11" t="s">
        <v>78</v>
      </c>
      <c r="C881" s="23">
        <v>46024.0</v>
      </c>
      <c r="D881" s="11" t="s">
        <v>992</v>
      </c>
      <c r="E881" s="11" t="s">
        <v>6692</v>
      </c>
      <c r="F881" s="11" t="s">
        <v>6694</v>
      </c>
      <c r="G881" s="11"/>
      <c r="H881" s="11"/>
      <c r="I881" s="20"/>
      <c r="J881" s="20"/>
      <c r="BO881" s="20"/>
      <c r="BP881" s="11" t="s">
        <v>6693</v>
      </c>
      <c r="BQ881" s="11" t="b">
        <v>0</v>
      </c>
      <c r="BR881" s="20"/>
      <c r="BS881" s="19" t="s">
        <v>6726</v>
      </c>
      <c r="BT881" s="11" t="b">
        <v>1</v>
      </c>
      <c r="BU881" s="11" t="s">
        <v>2932</v>
      </c>
      <c r="BV881" s="11"/>
      <c r="BW881" s="11"/>
      <c r="BX881" s="11"/>
      <c r="BY881" s="11"/>
    </row>
    <row r="882">
      <c r="A882" s="11" t="s">
        <v>3545</v>
      </c>
      <c r="B882" s="11" t="s">
        <v>78</v>
      </c>
      <c r="C882" s="23">
        <v>46025.0</v>
      </c>
      <c r="D882" s="11" t="s">
        <v>6191</v>
      </c>
      <c r="E882" s="11" t="s">
        <v>6695</v>
      </c>
      <c r="F882" s="11" t="s">
        <v>6697</v>
      </c>
      <c r="G882" s="11"/>
      <c r="H882" s="11"/>
      <c r="I882" s="20"/>
      <c r="J882" s="20"/>
      <c r="BO882" s="20"/>
      <c r="BP882" s="11" t="s">
        <v>6696</v>
      </c>
      <c r="BQ882" s="11" t="b">
        <v>0</v>
      </c>
      <c r="BR882" s="20"/>
      <c r="BS882" s="19" t="s">
        <v>6730</v>
      </c>
      <c r="BT882" s="11" t="b">
        <v>1</v>
      </c>
      <c r="BU882" s="11" t="s">
        <v>2932</v>
      </c>
      <c r="BV882" s="11"/>
      <c r="BW882" s="11"/>
      <c r="BX882" s="11"/>
      <c r="BY882" s="11"/>
    </row>
    <row r="883">
      <c r="A883" s="11" t="s">
        <v>3592</v>
      </c>
      <c r="B883" s="11" t="s">
        <v>78</v>
      </c>
      <c r="C883" s="23">
        <v>46027.0</v>
      </c>
      <c r="D883" s="11" t="s">
        <v>992</v>
      </c>
      <c r="E883" s="11" t="s">
        <v>6698</v>
      </c>
      <c r="F883" s="11" t="s">
        <v>6701</v>
      </c>
      <c r="G883" s="11"/>
      <c r="H883" s="11"/>
      <c r="I883" s="20"/>
      <c r="J883" s="20"/>
      <c r="BO883" s="20"/>
      <c r="BP883" s="11" t="s">
        <v>6699</v>
      </c>
      <c r="BQ883" s="11" t="b">
        <v>0</v>
      </c>
      <c r="BR883" s="20"/>
      <c r="BS883" s="19" t="s">
        <v>6733</v>
      </c>
      <c r="BT883" s="11" t="b">
        <v>1</v>
      </c>
      <c r="BU883" s="11" t="s">
        <v>2932</v>
      </c>
      <c r="BV883" s="11"/>
      <c r="BW883" s="11"/>
      <c r="BX883" s="11"/>
      <c r="BY883" s="11"/>
    </row>
    <row r="884">
      <c r="A884" s="11" t="s">
        <v>3596</v>
      </c>
      <c r="B884" s="11" t="s">
        <v>78</v>
      </c>
      <c r="C884" s="23">
        <v>46027.0</v>
      </c>
      <c r="D884" s="11" t="s">
        <v>2549</v>
      </c>
      <c r="E884" s="11" t="s">
        <v>6702</v>
      </c>
      <c r="F884" s="11" t="s">
        <v>6704</v>
      </c>
      <c r="G884" s="11"/>
      <c r="H884" s="11"/>
      <c r="I884" s="20"/>
      <c r="J884" s="20"/>
      <c r="BO884" s="20"/>
      <c r="BP884" s="11" t="s">
        <v>6703</v>
      </c>
      <c r="BQ884" s="11" t="b">
        <v>0</v>
      </c>
      <c r="BR884" s="20"/>
      <c r="BS884" s="19" t="s">
        <v>6738</v>
      </c>
      <c r="BT884" s="11" t="b">
        <v>1</v>
      </c>
      <c r="BU884" s="11" t="s">
        <v>2932</v>
      </c>
      <c r="BV884" s="11"/>
      <c r="BW884" s="11"/>
      <c r="BX884" s="11"/>
      <c r="BY884" s="11"/>
    </row>
    <row r="885">
      <c r="A885" s="11" t="s">
        <v>3495</v>
      </c>
      <c r="B885" s="11" t="s">
        <v>78</v>
      </c>
      <c r="C885" s="23">
        <v>46022.0</v>
      </c>
      <c r="D885" s="11" t="s">
        <v>237</v>
      </c>
      <c r="E885" s="11" t="s">
        <v>6707</v>
      </c>
      <c r="F885" s="11" t="s">
        <v>6709</v>
      </c>
      <c r="G885" s="11"/>
      <c r="H885" s="11"/>
      <c r="I885" s="20"/>
      <c r="J885" s="20"/>
      <c r="BO885" s="20"/>
      <c r="BP885" s="11" t="s">
        <v>6708</v>
      </c>
      <c r="BQ885" s="11" t="b">
        <v>0</v>
      </c>
      <c r="BR885" s="20"/>
      <c r="BS885" s="11"/>
      <c r="BT885" s="11" t="b">
        <v>0</v>
      </c>
      <c r="BU885" s="11" t="s">
        <v>2932</v>
      </c>
      <c r="BV885" s="11"/>
      <c r="BW885" s="11" t="s">
        <v>6710</v>
      </c>
      <c r="BX885" s="11" t="s">
        <v>6711</v>
      </c>
      <c r="BY885" s="11"/>
    </row>
    <row r="886">
      <c r="A886" s="11" t="s">
        <v>3464</v>
      </c>
      <c r="B886" s="11" t="s">
        <v>78</v>
      </c>
      <c r="C886" s="23">
        <v>46020.0</v>
      </c>
      <c r="D886" s="11" t="s">
        <v>4510</v>
      </c>
      <c r="E886" s="11" t="s">
        <v>6713</v>
      </c>
      <c r="F886" s="11" t="s">
        <v>6715</v>
      </c>
      <c r="G886" s="11"/>
      <c r="H886" s="11"/>
      <c r="I886" s="20"/>
      <c r="J886" s="20"/>
      <c r="BO886" s="20"/>
      <c r="BP886" s="11" t="s">
        <v>6714</v>
      </c>
      <c r="BQ886" s="11" t="b">
        <v>0</v>
      </c>
      <c r="BR886" s="20"/>
      <c r="BS886" s="11"/>
      <c r="BT886" s="11" t="b">
        <v>0</v>
      </c>
      <c r="BU886" s="11" t="s">
        <v>2932</v>
      </c>
      <c r="BV886" s="11"/>
      <c r="BW886" s="11" t="s">
        <v>6716</v>
      </c>
      <c r="BX886" s="11" t="s">
        <v>6717</v>
      </c>
      <c r="BY886" s="11"/>
    </row>
    <row r="887">
      <c r="A887" s="11" t="s">
        <v>3600</v>
      </c>
      <c r="B887" s="11" t="s">
        <v>78</v>
      </c>
      <c r="C887" s="23">
        <v>46027.0</v>
      </c>
      <c r="D887" s="11" t="s">
        <v>513</v>
      </c>
      <c r="E887" s="11" t="s">
        <v>6718</v>
      </c>
      <c r="F887" s="11" t="s">
        <v>6349</v>
      </c>
      <c r="G887" s="11"/>
      <c r="H887" s="11"/>
      <c r="I887" s="20"/>
      <c r="J887" s="20"/>
      <c r="BO887" s="20"/>
      <c r="BP887" s="11" t="s">
        <v>6719</v>
      </c>
      <c r="BQ887" s="11" t="b">
        <v>0</v>
      </c>
      <c r="BR887" s="20"/>
      <c r="BS887" s="19" t="s">
        <v>6743</v>
      </c>
      <c r="BT887" s="11" t="b">
        <v>1</v>
      </c>
      <c r="BU887" s="11" t="s">
        <v>2932</v>
      </c>
      <c r="BV887" s="11"/>
      <c r="BW887" s="11"/>
      <c r="BX887" s="11"/>
      <c r="BY887" s="11"/>
    </row>
    <row r="888">
      <c r="A888" s="11">
        <v>1673.0</v>
      </c>
      <c r="B888" s="11" t="s">
        <v>78</v>
      </c>
      <c r="C888" s="23">
        <v>46028.0</v>
      </c>
      <c r="D888" s="11" t="s">
        <v>547</v>
      </c>
      <c r="E888" s="11"/>
      <c r="F888" s="11" t="s">
        <v>964</v>
      </c>
      <c r="G888" s="11" t="s">
        <v>648</v>
      </c>
      <c r="H888" s="11">
        <v>1.0</v>
      </c>
      <c r="I888" s="20">
        <v>625.0</v>
      </c>
      <c r="J888" s="20">
        <v>625.0</v>
      </c>
      <c r="BO888" s="20">
        <v>625.0</v>
      </c>
      <c r="BP888" s="11"/>
      <c r="BQ888" s="11" t="b">
        <v>1</v>
      </c>
      <c r="BR888" s="20">
        <v>625.0</v>
      </c>
      <c r="BS888" s="11"/>
      <c r="BT888" s="11"/>
      <c r="BU888" s="11" t="s">
        <v>187</v>
      </c>
      <c r="BV888" s="11"/>
      <c r="BW888" s="11"/>
      <c r="BX888" s="11"/>
      <c r="BY888" s="11"/>
    </row>
    <row r="889">
      <c r="A889" s="11" t="s">
        <v>2494</v>
      </c>
      <c r="B889" s="11" t="s">
        <v>78</v>
      </c>
      <c r="C889" s="23">
        <v>46028.0</v>
      </c>
      <c r="D889" s="11" t="s">
        <v>237</v>
      </c>
      <c r="E889" s="11"/>
      <c r="F889" s="11" t="s">
        <v>6722</v>
      </c>
      <c r="G889" s="11" t="s">
        <v>2040</v>
      </c>
      <c r="H889" s="11">
        <v>1.0</v>
      </c>
      <c r="I889" s="20">
        <v>3174.0</v>
      </c>
      <c r="J889" s="20">
        <v>3174.0</v>
      </c>
      <c r="BO889" s="20">
        <v>3174.0</v>
      </c>
      <c r="BP889" s="11"/>
      <c r="BQ889" s="11" t="b">
        <v>1</v>
      </c>
      <c r="BR889" s="20">
        <v>3174.0</v>
      </c>
      <c r="BS889" s="11"/>
      <c r="BT889" s="11"/>
      <c r="BU889" s="11" t="s">
        <v>187</v>
      </c>
      <c r="BV889" s="11"/>
      <c r="BW889" s="11"/>
      <c r="BX889" s="11"/>
      <c r="BY889" s="11"/>
    </row>
    <row r="890">
      <c r="A890" s="11">
        <v>1722.0</v>
      </c>
      <c r="B890" s="11" t="s">
        <v>78</v>
      </c>
      <c r="C890" s="23">
        <v>46028.0</v>
      </c>
      <c r="D890" s="11" t="s">
        <v>176</v>
      </c>
      <c r="E890" s="11"/>
      <c r="F890" s="11" t="s">
        <v>1440</v>
      </c>
      <c r="G890" s="11" t="s">
        <v>179</v>
      </c>
      <c r="H890" s="11">
        <v>1.0</v>
      </c>
      <c r="I890" s="20">
        <v>500.0</v>
      </c>
      <c r="J890" s="20">
        <v>500.0</v>
      </c>
      <c r="BO890" s="20">
        <v>500.0</v>
      </c>
      <c r="BP890" s="11"/>
      <c r="BQ890" s="11" t="b">
        <v>1</v>
      </c>
      <c r="BR890" s="20">
        <v>500.0</v>
      </c>
      <c r="BS890" s="11"/>
      <c r="BT890" s="11"/>
      <c r="BU890" s="11" t="s">
        <v>187</v>
      </c>
      <c r="BV890" s="11"/>
      <c r="BW890" s="11"/>
      <c r="BX890" s="11"/>
      <c r="BY890" s="11"/>
    </row>
    <row r="891">
      <c r="A891" s="11">
        <v>1723.0</v>
      </c>
      <c r="B891" s="11" t="s">
        <v>78</v>
      </c>
      <c r="C891" s="23">
        <v>46028.0</v>
      </c>
      <c r="D891" s="11">
        <v>3.6037127E7</v>
      </c>
      <c r="E891" s="11"/>
      <c r="F891" s="11" t="s">
        <v>2162</v>
      </c>
      <c r="G891" s="11" t="s">
        <v>1726</v>
      </c>
      <c r="H891" s="11">
        <v>1.0</v>
      </c>
      <c r="I891" s="20">
        <v>120.0</v>
      </c>
      <c r="J891" s="20">
        <v>120.0</v>
      </c>
      <c r="BO891" s="20">
        <v>120.0</v>
      </c>
      <c r="BP891" s="11"/>
      <c r="BQ891" s="11" t="b">
        <v>1</v>
      </c>
      <c r="BR891" s="20">
        <v>120.0</v>
      </c>
      <c r="BS891" s="11"/>
      <c r="BT891" s="11"/>
      <c r="BU891" s="11" t="s">
        <v>187</v>
      </c>
      <c r="BV891" s="11"/>
      <c r="BW891" s="11"/>
      <c r="BX891" s="11"/>
      <c r="BY891" s="11"/>
    </row>
    <row r="892">
      <c r="A892" s="11">
        <v>1724.0</v>
      </c>
      <c r="B892" s="11" t="s">
        <v>78</v>
      </c>
      <c r="C892" s="23">
        <v>46028.0</v>
      </c>
      <c r="D892" s="11" t="s">
        <v>2509</v>
      </c>
      <c r="E892" s="11"/>
      <c r="F892" s="11" t="s">
        <v>2638</v>
      </c>
      <c r="G892" s="11" t="s">
        <v>1898</v>
      </c>
      <c r="H892" s="11">
        <v>1.0</v>
      </c>
      <c r="I892" s="20">
        <v>104.4</v>
      </c>
      <c r="J892" s="20">
        <v>104.4</v>
      </c>
      <c r="BO892" s="20">
        <v>104.4</v>
      </c>
      <c r="BP892" s="11"/>
      <c r="BQ892" s="11" t="b">
        <v>1</v>
      </c>
      <c r="BR892" s="20">
        <v>104.4</v>
      </c>
      <c r="BS892" s="11"/>
      <c r="BT892" s="11"/>
      <c r="BU892" s="11" t="s">
        <v>187</v>
      </c>
      <c r="BV892" s="11"/>
      <c r="BW892" s="11"/>
      <c r="BX892" s="11"/>
      <c r="BY892" s="11"/>
    </row>
    <row r="893">
      <c r="A893" s="11">
        <v>1726.0</v>
      </c>
      <c r="B893" s="11" t="s">
        <v>78</v>
      </c>
      <c r="C893" s="23">
        <v>46028.0</v>
      </c>
      <c r="D893" s="11" t="s">
        <v>2535</v>
      </c>
      <c r="E893" s="11"/>
      <c r="F893" s="11" t="s">
        <v>2638</v>
      </c>
      <c r="G893" s="11" t="s">
        <v>1906</v>
      </c>
      <c r="H893" s="11">
        <v>1.0</v>
      </c>
      <c r="I893" s="20">
        <v>59.76</v>
      </c>
      <c r="J893" s="20">
        <v>59.76</v>
      </c>
      <c r="BO893" s="20">
        <v>59.76</v>
      </c>
      <c r="BP893" s="11"/>
      <c r="BQ893" s="11" t="b">
        <v>1</v>
      </c>
      <c r="BR893" s="20">
        <v>59.76</v>
      </c>
      <c r="BS893" s="11"/>
      <c r="BT893" s="11"/>
      <c r="BU893" s="11" t="s">
        <v>187</v>
      </c>
      <c r="BV893" s="11"/>
      <c r="BW893" s="11"/>
      <c r="BX893" s="11"/>
      <c r="BY893" s="11"/>
    </row>
    <row r="894">
      <c r="A894" s="11">
        <v>1727.0</v>
      </c>
      <c r="B894" s="11" t="s">
        <v>78</v>
      </c>
      <c r="C894" s="23">
        <v>46028.0</v>
      </c>
      <c r="D894" s="11" t="s">
        <v>5965</v>
      </c>
      <c r="E894" s="11"/>
      <c r="F894" s="11" t="s">
        <v>6727</v>
      </c>
      <c r="G894" s="11" t="s">
        <v>2099</v>
      </c>
      <c r="H894" s="11">
        <v>1.0</v>
      </c>
      <c r="I894" s="20">
        <v>1886.71</v>
      </c>
      <c r="J894" s="20">
        <v>1886.71</v>
      </c>
      <c r="BO894" s="20">
        <v>1886.71</v>
      </c>
      <c r="BP894" s="11"/>
      <c r="BQ894" s="11" t="b">
        <v>1</v>
      </c>
      <c r="BR894" s="20">
        <v>1886.71</v>
      </c>
      <c r="BS894" s="11"/>
      <c r="BT894" s="11"/>
      <c r="BU894" s="11" t="s">
        <v>187</v>
      </c>
      <c r="BV894" s="11"/>
      <c r="BW894" s="11"/>
      <c r="BX894" s="11"/>
      <c r="BY894" s="11"/>
    </row>
    <row r="895">
      <c r="A895" s="11" t="s">
        <v>2517</v>
      </c>
      <c r="B895" s="11" t="s">
        <v>78</v>
      </c>
      <c r="C895" s="23">
        <v>46028.0</v>
      </c>
      <c r="D895" s="11" t="s">
        <v>237</v>
      </c>
      <c r="E895" s="11"/>
      <c r="F895" s="11" t="s">
        <v>6728</v>
      </c>
      <c r="G895" s="11" t="s">
        <v>1958</v>
      </c>
      <c r="H895" s="11">
        <v>1.0</v>
      </c>
      <c r="I895" s="20">
        <v>1195.13</v>
      </c>
      <c r="J895" s="20">
        <v>1195.13</v>
      </c>
      <c r="BO895" s="20">
        <v>1195.13</v>
      </c>
      <c r="BP895" s="11"/>
      <c r="BQ895" s="11" t="b">
        <v>1</v>
      </c>
      <c r="BR895" s="20">
        <v>1195.13</v>
      </c>
      <c r="BS895" s="11"/>
      <c r="BT895" s="11"/>
      <c r="BU895" s="11" t="s">
        <v>187</v>
      </c>
      <c r="BV895" s="11"/>
      <c r="BW895" s="11"/>
      <c r="BX895" s="11"/>
      <c r="BY895" s="11"/>
    </row>
    <row r="896">
      <c r="A896" s="11">
        <v>1725.0</v>
      </c>
      <c r="B896" s="11" t="s">
        <v>78</v>
      </c>
      <c r="C896" s="23">
        <v>46030.0</v>
      </c>
      <c r="D896" s="11" t="s">
        <v>1676</v>
      </c>
      <c r="E896" s="11"/>
      <c r="F896" s="11" t="s">
        <v>2802</v>
      </c>
      <c r="G896" s="11" t="s">
        <v>1902</v>
      </c>
      <c r="H896" s="11">
        <v>1.0</v>
      </c>
      <c r="I896" s="20">
        <v>1892.5</v>
      </c>
      <c r="J896" s="20">
        <v>1892.5</v>
      </c>
      <c r="BO896" s="20">
        <v>1892.5</v>
      </c>
      <c r="BP896" s="11"/>
      <c r="BQ896" s="11" t="b">
        <v>1</v>
      </c>
      <c r="BR896" s="20">
        <v>1892.5</v>
      </c>
      <c r="BS896" s="11"/>
      <c r="BT896" s="11"/>
      <c r="BU896" s="11" t="s">
        <v>187</v>
      </c>
      <c r="BV896" s="11"/>
      <c r="BW896" s="11"/>
      <c r="BX896" s="11"/>
      <c r="BY896" s="11"/>
    </row>
    <row r="897">
      <c r="A897" s="11" t="s">
        <v>2524</v>
      </c>
      <c r="B897" s="11" t="s">
        <v>78</v>
      </c>
      <c r="C897" s="23">
        <v>46031.0</v>
      </c>
      <c r="D897" s="11" t="s">
        <v>6423</v>
      </c>
      <c r="E897" s="11"/>
      <c r="F897" s="11" t="s">
        <v>6731</v>
      </c>
      <c r="G897" s="11" t="s">
        <v>2318</v>
      </c>
      <c r="H897" s="11">
        <v>1.0</v>
      </c>
      <c r="I897" s="20">
        <v>44.61</v>
      </c>
      <c r="J897" s="20">
        <v>44.61</v>
      </c>
      <c r="BO897" s="20">
        <v>44.61</v>
      </c>
      <c r="BP897" s="11"/>
      <c r="BQ897" s="11" t="b">
        <v>1</v>
      </c>
      <c r="BR897" s="20">
        <v>44.61</v>
      </c>
      <c r="BS897" s="11"/>
      <c r="BT897" s="11"/>
      <c r="BU897" s="11" t="s">
        <v>235</v>
      </c>
      <c r="BV897" s="11"/>
      <c r="BW897" s="11"/>
      <c r="BX897" s="11"/>
      <c r="BY897" s="11"/>
    </row>
    <row r="898">
      <c r="A898" s="11" t="s">
        <v>3619</v>
      </c>
      <c r="B898" s="11" t="s">
        <v>78</v>
      </c>
      <c r="C898" s="23">
        <v>46030.0</v>
      </c>
      <c r="D898" s="11" t="s">
        <v>237</v>
      </c>
      <c r="E898" s="11" t="s">
        <v>6734</v>
      </c>
      <c r="F898" s="11" t="s">
        <v>6736</v>
      </c>
      <c r="G898" s="11"/>
      <c r="H898" s="11"/>
      <c r="I898" s="20"/>
      <c r="J898" s="20"/>
      <c r="BO898" s="20"/>
      <c r="BP898" s="11" t="s">
        <v>6735</v>
      </c>
      <c r="BQ898" s="11" t="b">
        <v>0</v>
      </c>
      <c r="BR898" s="20"/>
      <c r="BS898" s="11"/>
      <c r="BT898" s="11" t="b">
        <v>0</v>
      </c>
      <c r="BU898" s="11" t="s">
        <v>2932</v>
      </c>
      <c r="BV898" s="11"/>
      <c r="BW898" s="11" t="s">
        <v>6737</v>
      </c>
      <c r="BX898" s="11"/>
      <c r="BY898" s="11"/>
    </row>
    <row r="899">
      <c r="A899" s="11" t="s">
        <v>2529</v>
      </c>
      <c r="B899" s="11" t="s">
        <v>78</v>
      </c>
      <c r="C899" s="23">
        <v>46034.0</v>
      </c>
      <c r="D899" s="11" t="s">
        <v>1046</v>
      </c>
      <c r="E899" s="11"/>
      <c r="F899" s="11" t="s">
        <v>6476</v>
      </c>
      <c r="G899" s="11" t="s">
        <v>1944</v>
      </c>
      <c r="H899" s="11">
        <v>1.0</v>
      </c>
      <c r="I899" s="20">
        <v>284.47</v>
      </c>
      <c r="J899" s="20">
        <v>284.47</v>
      </c>
      <c r="BO899" s="20">
        <v>284.47</v>
      </c>
      <c r="BP899" s="11"/>
      <c r="BQ899" s="11" t="b">
        <v>1</v>
      </c>
      <c r="BR899" s="20">
        <v>284.47</v>
      </c>
      <c r="BS899" s="11"/>
      <c r="BT899" s="11"/>
      <c r="BU899" s="11" t="s">
        <v>187</v>
      </c>
      <c r="BV899" s="11"/>
      <c r="BW899" s="11"/>
      <c r="BX899" s="11"/>
      <c r="BY899" s="11"/>
    </row>
    <row r="900">
      <c r="A900" s="11" t="s">
        <v>2534</v>
      </c>
      <c r="B900" s="11" t="s">
        <v>78</v>
      </c>
      <c r="C900" s="23">
        <v>46034.0</v>
      </c>
      <c r="D900" s="11" t="s">
        <v>6470</v>
      </c>
      <c r="E900" s="11"/>
      <c r="F900" s="11" t="s">
        <v>6740</v>
      </c>
      <c r="G900" s="11" t="s">
        <v>2360</v>
      </c>
      <c r="H900" s="11">
        <v>1.0</v>
      </c>
      <c r="I900" s="20">
        <v>1153.66</v>
      </c>
      <c r="J900" s="20">
        <v>1153.66</v>
      </c>
      <c r="BO900" s="20">
        <v>1153.66</v>
      </c>
      <c r="BP900" s="11"/>
      <c r="BQ900" s="11" t="b">
        <v>1</v>
      </c>
      <c r="BR900" s="20">
        <v>1153.66</v>
      </c>
      <c r="BS900" s="11"/>
      <c r="BT900" s="11"/>
      <c r="BU900" s="11" t="s">
        <v>187</v>
      </c>
      <c r="BV900" s="11"/>
      <c r="BW900" s="11"/>
      <c r="BX900" s="11"/>
      <c r="BY900" s="11"/>
    </row>
    <row r="901">
      <c r="A901" s="11" t="s">
        <v>2540</v>
      </c>
      <c r="B901" s="11" t="s">
        <v>78</v>
      </c>
      <c r="C901" s="23">
        <v>46034.0</v>
      </c>
      <c r="D901" s="11" t="s">
        <v>237</v>
      </c>
      <c r="E901" s="11"/>
      <c r="F901" s="11" t="s">
        <v>6740</v>
      </c>
      <c r="G901" s="11" t="s">
        <v>2360</v>
      </c>
      <c r="H901" s="11">
        <v>1.0</v>
      </c>
      <c r="I901" s="20">
        <v>4446.88</v>
      </c>
      <c r="J901" s="20">
        <v>4446.88</v>
      </c>
      <c r="BO901" s="20">
        <v>4446.88</v>
      </c>
      <c r="BP901" s="11"/>
      <c r="BQ901" s="11" t="b">
        <v>1</v>
      </c>
      <c r="BR901" s="20">
        <v>4446.88</v>
      </c>
      <c r="BS901" s="11"/>
      <c r="BT901" s="11"/>
      <c r="BU901" s="11" t="s">
        <v>187</v>
      </c>
      <c r="BV901" s="11"/>
      <c r="BW901" s="11"/>
      <c r="BX901" s="11"/>
      <c r="BY901" s="11"/>
    </row>
    <row r="902">
      <c r="A902" s="11" t="s">
        <v>2543</v>
      </c>
      <c r="B902" s="11" t="s">
        <v>78</v>
      </c>
      <c r="C902" s="23">
        <v>46034.0</v>
      </c>
      <c r="D902" s="11" t="s">
        <v>237</v>
      </c>
      <c r="E902" s="11"/>
      <c r="F902" s="11" t="s">
        <v>6741</v>
      </c>
      <c r="G902" s="11" t="s">
        <v>2040</v>
      </c>
      <c r="H902" s="11">
        <v>1.0</v>
      </c>
      <c r="I902" s="20">
        <v>3866.0</v>
      </c>
      <c r="J902" s="20">
        <v>3866.0</v>
      </c>
      <c r="BO902" s="20">
        <v>3866.0</v>
      </c>
      <c r="BP902" s="11"/>
      <c r="BQ902" s="11" t="b">
        <v>1</v>
      </c>
      <c r="BR902" s="20">
        <v>3866.0</v>
      </c>
      <c r="BS902" s="11"/>
      <c r="BT902" s="11"/>
      <c r="BU902" s="11" t="s">
        <v>187</v>
      </c>
      <c r="BV902" s="11"/>
      <c r="BW902" s="11"/>
      <c r="BX902" s="11"/>
      <c r="BY902" s="11"/>
    </row>
    <row r="903">
      <c r="A903" s="11">
        <v>1734.0</v>
      </c>
      <c r="B903" s="11" t="s">
        <v>78</v>
      </c>
      <c r="C903" s="23">
        <v>46034.0</v>
      </c>
      <c r="D903" s="11" t="s">
        <v>192</v>
      </c>
      <c r="E903" s="11"/>
      <c r="F903" s="11" t="s">
        <v>195</v>
      </c>
      <c r="G903" s="11" t="s">
        <v>196</v>
      </c>
      <c r="H903" s="11">
        <v>1.0</v>
      </c>
      <c r="I903" s="20">
        <v>2500.0</v>
      </c>
      <c r="J903" s="20">
        <v>2500.0</v>
      </c>
      <c r="BO903" s="20">
        <v>2500.0</v>
      </c>
      <c r="BP903" s="11"/>
      <c r="BQ903" s="11" t="b">
        <v>1</v>
      </c>
      <c r="BR903" s="20">
        <v>2500.0</v>
      </c>
      <c r="BS903" s="11"/>
      <c r="BT903" s="11"/>
      <c r="BU903" s="11" t="s">
        <v>187</v>
      </c>
      <c r="BV903" s="11"/>
      <c r="BW903" s="11"/>
      <c r="BX903" s="11"/>
      <c r="BY903" s="11"/>
    </row>
    <row r="904">
      <c r="A904" s="11">
        <v>1735.0</v>
      </c>
      <c r="B904" s="11" t="s">
        <v>78</v>
      </c>
      <c r="C904" s="23">
        <v>46034.0</v>
      </c>
      <c r="D904" s="11" t="s">
        <v>1217</v>
      </c>
      <c r="E904" s="11"/>
      <c r="F904" s="11" t="s">
        <v>1218</v>
      </c>
      <c r="G904" s="11" t="s">
        <v>502</v>
      </c>
      <c r="H904" s="11">
        <v>1.0</v>
      </c>
      <c r="I904" s="20">
        <v>131.9</v>
      </c>
      <c r="J904" s="20">
        <v>131.9</v>
      </c>
      <c r="BO904" s="20">
        <v>131.9</v>
      </c>
      <c r="BP904" s="11"/>
      <c r="BQ904" s="11" t="b">
        <v>1</v>
      </c>
      <c r="BR904" s="20">
        <v>131.9</v>
      </c>
      <c r="BS904" s="11"/>
      <c r="BT904" s="11"/>
      <c r="BU904" s="11" t="s">
        <v>187</v>
      </c>
      <c r="BV904" s="11"/>
      <c r="BW904" s="11"/>
      <c r="BX904" s="11"/>
      <c r="BY904" s="11"/>
    </row>
    <row r="905">
      <c r="A905" s="11">
        <v>1.38784331E8</v>
      </c>
      <c r="B905" s="11" t="s">
        <v>78</v>
      </c>
      <c r="C905" s="23">
        <v>46034.0</v>
      </c>
      <c r="D905" s="11" t="s">
        <v>1567</v>
      </c>
      <c r="E905" s="11"/>
      <c r="F905" s="11" t="s">
        <v>6479</v>
      </c>
      <c r="G905" s="11" t="s">
        <v>2106</v>
      </c>
      <c r="H905" s="11">
        <v>1.0</v>
      </c>
      <c r="I905" s="20">
        <v>701.64</v>
      </c>
      <c r="J905" s="20">
        <v>701.64</v>
      </c>
      <c r="BO905" s="20">
        <v>701.64</v>
      </c>
      <c r="BP905" s="11"/>
      <c r="BQ905" s="11" t="b">
        <v>1</v>
      </c>
      <c r="BR905" s="20">
        <v>701.64</v>
      </c>
      <c r="BS905" s="11"/>
      <c r="BT905" s="11"/>
      <c r="BU905" s="11" t="s">
        <v>187</v>
      </c>
      <c r="BV905" s="11"/>
      <c r="BW905" s="11"/>
      <c r="BX905" s="11"/>
      <c r="BY905" s="11"/>
    </row>
    <row r="906">
      <c r="A906" s="11" t="s">
        <v>3627</v>
      </c>
      <c r="B906" s="11" t="s">
        <v>78</v>
      </c>
      <c r="C906" s="23">
        <v>46030.0</v>
      </c>
      <c r="D906" s="11" t="s">
        <v>85</v>
      </c>
      <c r="E906" s="11" t="s">
        <v>6745</v>
      </c>
      <c r="F906" s="11" t="s">
        <v>6747</v>
      </c>
      <c r="G906" s="11"/>
      <c r="H906" s="11"/>
      <c r="I906" s="20"/>
      <c r="J906" s="20"/>
      <c r="BO906" s="20"/>
      <c r="BP906" s="11" t="s">
        <v>6746</v>
      </c>
      <c r="BQ906" s="11" t="b">
        <v>0</v>
      </c>
      <c r="BR906" s="20"/>
      <c r="BS906" s="19" t="s">
        <v>6828</v>
      </c>
      <c r="BT906" s="11" t="b">
        <v>1</v>
      </c>
      <c r="BU906" s="11" t="s">
        <v>2932</v>
      </c>
      <c r="BV906" s="11"/>
      <c r="BW906" s="11"/>
      <c r="BX906" s="11"/>
      <c r="BY906" s="11"/>
    </row>
    <row r="907">
      <c r="A907" s="11" t="s">
        <v>3614</v>
      </c>
      <c r="B907" s="11" t="s">
        <v>78</v>
      </c>
      <c r="C907" s="23">
        <v>46029.0</v>
      </c>
      <c r="D907" s="11" t="s">
        <v>85</v>
      </c>
      <c r="E907" s="11" t="s">
        <v>6748</v>
      </c>
      <c r="F907" s="11" t="s">
        <v>6751</v>
      </c>
      <c r="G907" s="11"/>
      <c r="H907" s="11"/>
      <c r="I907" s="20"/>
      <c r="J907" s="20"/>
      <c r="BO907" s="20"/>
      <c r="BP907" s="11" t="s">
        <v>6750</v>
      </c>
      <c r="BQ907" s="11" t="b">
        <v>0</v>
      </c>
      <c r="BR907" s="20"/>
      <c r="BS907" s="19" t="s">
        <v>6830</v>
      </c>
      <c r="BT907" s="11" t="b">
        <v>1</v>
      </c>
      <c r="BU907" s="11" t="s">
        <v>2932</v>
      </c>
      <c r="BV907" s="11"/>
      <c r="BW907" s="11"/>
      <c r="BX907" s="11"/>
      <c r="BY907" s="11"/>
    </row>
    <row r="908">
      <c r="A908" s="11" t="s">
        <v>3674</v>
      </c>
      <c r="B908" s="11" t="s">
        <v>78</v>
      </c>
      <c r="C908" s="23">
        <v>46031.0</v>
      </c>
      <c r="D908" s="11" t="s">
        <v>85</v>
      </c>
      <c r="E908" s="11" t="s">
        <v>6753</v>
      </c>
      <c r="F908" s="11" t="s">
        <v>6755</v>
      </c>
      <c r="G908" s="11"/>
      <c r="H908" s="11"/>
      <c r="I908" s="20"/>
      <c r="J908" s="20"/>
      <c r="BO908" s="20"/>
      <c r="BP908" s="11" t="s">
        <v>6754</v>
      </c>
      <c r="BQ908" s="11" t="b">
        <v>0</v>
      </c>
      <c r="BR908" s="20"/>
      <c r="BS908" s="19" t="s">
        <v>6832</v>
      </c>
      <c r="BT908" s="11" t="b">
        <v>1</v>
      </c>
      <c r="BU908" s="11" t="s">
        <v>2932</v>
      </c>
      <c r="BV908" s="11"/>
      <c r="BW908" s="11"/>
      <c r="BX908" s="11"/>
      <c r="BY908" s="11"/>
    </row>
    <row r="909">
      <c r="A909" s="11" t="s">
        <v>3684</v>
      </c>
      <c r="B909" s="11" t="s">
        <v>78</v>
      </c>
      <c r="C909" s="23">
        <v>46031.0</v>
      </c>
      <c r="D909" s="11" t="s">
        <v>104</v>
      </c>
      <c r="E909" s="11" t="s">
        <v>6756</v>
      </c>
      <c r="F909" s="11" t="s">
        <v>6758</v>
      </c>
      <c r="G909" s="11"/>
      <c r="H909" s="11"/>
      <c r="I909" s="20"/>
      <c r="J909" s="20"/>
      <c r="BO909" s="20"/>
      <c r="BP909" s="11" t="s">
        <v>6757</v>
      </c>
      <c r="BQ909" s="11" t="b">
        <v>0</v>
      </c>
      <c r="BR909" s="20"/>
      <c r="BS909" s="19" t="s">
        <v>6835</v>
      </c>
      <c r="BT909" s="11" t="b">
        <v>1</v>
      </c>
      <c r="BU909" s="11" t="s">
        <v>2932</v>
      </c>
      <c r="BV909" s="11"/>
      <c r="BW909" s="11"/>
      <c r="BX909" s="11"/>
      <c r="BY909" s="11"/>
    </row>
    <row r="910">
      <c r="A910" s="11" t="s">
        <v>3609</v>
      </c>
      <c r="B910" s="11" t="s">
        <v>78</v>
      </c>
      <c r="C910" s="23">
        <v>46028.0</v>
      </c>
      <c r="D910" s="11" t="s">
        <v>6191</v>
      </c>
      <c r="E910" s="11" t="s">
        <v>6759</v>
      </c>
      <c r="F910" s="11" t="s">
        <v>6761</v>
      </c>
      <c r="G910" s="11"/>
      <c r="H910" s="11"/>
      <c r="I910" s="20"/>
      <c r="J910" s="20"/>
      <c r="BO910" s="20"/>
      <c r="BP910" s="11" t="s">
        <v>6760</v>
      </c>
      <c r="BQ910" s="11" t="b">
        <v>0</v>
      </c>
      <c r="BR910" s="20"/>
      <c r="BS910" s="19" t="s">
        <v>6840</v>
      </c>
      <c r="BT910" s="11" t="b">
        <v>1</v>
      </c>
      <c r="BU910" s="11" t="s">
        <v>2932</v>
      </c>
      <c r="BV910" s="11"/>
      <c r="BW910" s="11"/>
      <c r="BX910" s="11"/>
      <c r="BY910" s="11"/>
    </row>
    <row r="911">
      <c r="A911" s="11" t="s">
        <v>3689</v>
      </c>
      <c r="B911" s="11" t="s">
        <v>78</v>
      </c>
      <c r="C911" s="23">
        <v>46031.0</v>
      </c>
      <c r="D911" s="11" t="s">
        <v>992</v>
      </c>
      <c r="E911" s="11" t="s">
        <v>6762</v>
      </c>
      <c r="F911" s="11" t="s">
        <v>6765</v>
      </c>
      <c r="G911" s="11"/>
      <c r="H911" s="11"/>
      <c r="I911" s="20"/>
      <c r="J911" s="20"/>
      <c r="BO911" s="20"/>
      <c r="BP911" s="11" t="s">
        <v>6763</v>
      </c>
      <c r="BQ911" s="11" t="b">
        <v>0</v>
      </c>
      <c r="BR911" s="20"/>
      <c r="BS911" s="19" t="s">
        <v>6845</v>
      </c>
      <c r="BT911" s="11" t="b">
        <v>1</v>
      </c>
      <c r="BU911" s="11" t="s">
        <v>5814</v>
      </c>
      <c r="BV911" s="11"/>
      <c r="BW911" s="11"/>
      <c r="BX911" s="11"/>
      <c r="BY911" s="11"/>
    </row>
    <row r="912">
      <c r="A912" s="19" t="s">
        <v>3692</v>
      </c>
      <c r="B912" s="11" t="s">
        <v>78</v>
      </c>
      <c r="C912" s="23">
        <v>46033.0</v>
      </c>
      <c r="D912" s="11" t="s">
        <v>2549</v>
      </c>
      <c r="E912" s="11" t="s">
        <v>6767</v>
      </c>
      <c r="F912" s="11" t="s">
        <v>6769</v>
      </c>
      <c r="G912" s="11"/>
      <c r="H912" s="11"/>
      <c r="I912" s="20"/>
      <c r="J912" s="20"/>
      <c r="BO912" s="20"/>
      <c r="BP912" s="11" t="s">
        <v>6768</v>
      </c>
      <c r="BQ912" s="11" t="b">
        <v>0</v>
      </c>
      <c r="BR912" s="20"/>
      <c r="BS912" s="19" t="s">
        <v>6849</v>
      </c>
      <c r="BT912" s="11" t="b">
        <v>1</v>
      </c>
      <c r="BU912" s="11" t="s">
        <v>2932</v>
      </c>
      <c r="BV912" s="11"/>
      <c r="BW912" s="11"/>
      <c r="BX912" s="11"/>
      <c r="BY912" s="11"/>
    </row>
    <row r="913">
      <c r="A913" s="11" t="s">
        <v>3631</v>
      </c>
      <c r="B913" s="11" t="s">
        <v>78</v>
      </c>
      <c r="C913" s="23">
        <v>46030.0</v>
      </c>
      <c r="D913" s="11" t="s">
        <v>3117</v>
      </c>
      <c r="E913" s="11" t="s">
        <v>6770</v>
      </c>
      <c r="F913" s="11" t="s">
        <v>6772</v>
      </c>
      <c r="G913" s="11"/>
      <c r="H913" s="11"/>
      <c r="I913" s="20"/>
      <c r="J913" s="20"/>
      <c r="BO913" s="20"/>
      <c r="BP913" s="11" t="s">
        <v>6771</v>
      </c>
      <c r="BQ913" s="11" t="b">
        <v>0</v>
      </c>
      <c r="BR913" s="20"/>
      <c r="BS913" s="19" t="s">
        <v>6854</v>
      </c>
      <c r="BT913" s="11" t="b">
        <v>1</v>
      </c>
      <c r="BU913" s="11" t="s">
        <v>2932</v>
      </c>
      <c r="BV913" s="11"/>
      <c r="BW913" s="11" t="s">
        <v>6773</v>
      </c>
      <c r="BX913" s="11"/>
      <c r="BY913" s="11"/>
    </row>
    <row r="914">
      <c r="A914" s="11" t="s">
        <v>4236</v>
      </c>
      <c r="B914" s="11" t="s">
        <v>78</v>
      </c>
      <c r="C914" s="23">
        <v>46078.0</v>
      </c>
      <c r="D914" s="11" t="s">
        <v>817</v>
      </c>
      <c r="E914" s="11" t="s">
        <v>6774</v>
      </c>
      <c r="F914" s="11" t="s">
        <v>6776</v>
      </c>
      <c r="G914" s="11"/>
      <c r="H914" s="11"/>
      <c r="I914" s="20"/>
      <c r="J914" s="20"/>
      <c r="BO914" s="20"/>
      <c r="BP914" s="11" t="s">
        <v>6775</v>
      </c>
      <c r="BQ914" s="11" t="b">
        <v>0</v>
      </c>
      <c r="BR914" s="20"/>
      <c r="BS914" s="11"/>
      <c r="BT914" s="11" t="b">
        <v>0</v>
      </c>
      <c r="BU914" s="11" t="s">
        <v>2932</v>
      </c>
      <c r="BV914" s="11"/>
      <c r="BW914" s="11"/>
      <c r="BX914" s="11"/>
      <c r="BY914" s="11"/>
    </row>
    <row r="915">
      <c r="A915" s="11" t="s">
        <v>3696</v>
      </c>
      <c r="B915" s="11" t="s">
        <v>78</v>
      </c>
      <c r="C915" s="23">
        <v>46034.0</v>
      </c>
      <c r="D915" s="11" t="s">
        <v>4510</v>
      </c>
      <c r="E915" s="11" t="s">
        <v>6779</v>
      </c>
      <c r="F915" s="11" t="s">
        <v>6781</v>
      </c>
      <c r="G915" s="11"/>
      <c r="H915" s="11"/>
      <c r="I915" s="20"/>
      <c r="J915" s="20"/>
      <c r="BO915" s="20"/>
      <c r="BP915" s="11" t="s">
        <v>6780</v>
      </c>
      <c r="BQ915" s="11" t="b">
        <v>0</v>
      </c>
      <c r="BR915" s="20"/>
      <c r="BS915" s="11"/>
      <c r="BT915" s="11" t="b">
        <v>0</v>
      </c>
      <c r="BU915" s="11" t="s">
        <v>2932</v>
      </c>
      <c r="BV915" s="11"/>
      <c r="BW915" s="11" t="s">
        <v>6782</v>
      </c>
      <c r="BX915" s="11" t="s">
        <v>6783</v>
      </c>
      <c r="BY915" s="11"/>
    </row>
    <row r="916">
      <c r="A916" s="11" t="s">
        <v>2560</v>
      </c>
      <c r="B916" s="11" t="s">
        <v>78</v>
      </c>
      <c r="C916" s="23">
        <v>46036.0</v>
      </c>
      <c r="D916" s="11" t="s">
        <v>1046</v>
      </c>
      <c r="E916" s="11"/>
      <c r="F916" s="11" t="s">
        <v>6784</v>
      </c>
      <c r="G916" s="11" t="s">
        <v>1049</v>
      </c>
      <c r="H916" s="11">
        <v>1.0</v>
      </c>
      <c r="I916" s="20">
        <v>257.99</v>
      </c>
      <c r="J916" s="20">
        <v>257.99</v>
      </c>
      <c r="BO916" s="20">
        <v>257.99</v>
      </c>
      <c r="BP916" s="11"/>
      <c r="BQ916" s="11" t="b">
        <v>1</v>
      </c>
      <c r="BR916" s="20">
        <v>257.99</v>
      </c>
      <c r="BS916" s="11"/>
      <c r="BT916" s="11"/>
      <c r="BU916" s="11" t="s">
        <v>187</v>
      </c>
      <c r="BV916" s="11"/>
      <c r="BW916" s="11"/>
      <c r="BX916" s="11"/>
      <c r="BY916" s="11"/>
    </row>
    <row r="917">
      <c r="A917" s="11" t="s">
        <v>3726</v>
      </c>
      <c r="B917" s="11" t="s">
        <v>78</v>
      </c>
      <c r="C917" s="23">
        <v>46036.0</v>
      </c>
      <c r="D917" s="11" t="s">
        <v>6785</v>
      </c>
      <c r="E917" s="11" t="s">
        <v>6786</v>
      </c>
      <c r="F917" s="11" t="s">
        <v>6788</v>
      </c>
      <c r="G917" s="11"/>
      <c r="H917" s="11"/>
      <c r="I917" s="20"/>
      <c r="J917" s="20"/>
      <c r="BO917" s="20"/>
      <c r="BP917" s="11" t="s">
        <v>6787</v>
      </c>
      <c r="BQ917" s="11" t="b">
        <v>0</v>
      </c>
      <c r="BR917" s="20"/>
      <c r="BS917" s="19" t="s">
        <v>6876</v>
      </c>
      <c r="BT917" s="11" t="b">
        <v>1</v>
      </c>
      <c r="BU917" s="11" t="s">
        <v>2932</v>
      </c>
      <c r="BV917" s="11"/>
      <c r="BW917" s="11"/>
      <c r="BX917" s="11"/>
      <c r="BY917" s="11"/>
    </row>
    <row r="918">
      <c r="A918" s="11" t="s">
        <v>3730</v>
      </c>
      <c r="B918" s="11" t="s">
        <v>78</v>
      </c>
      <c r="C918" s="23">
        <v>46036.0</v>
      </c>
      <c r="D918" s="11" t="s">
        <v>739</v>
      </c>
      <c r="E918" s="11" t="s">
        <v>6791</v>
      </c>
      <c r="F918" s="11" t="s">
        <v>6793</v>
      </c>
      <c r="G918" s="11"/>
      <c r="H918" s="11"/>
      <c r="I918" s="20"/>
      <c r="J918" s="20"/>
      <c r="BO918" s="20"/>
      <c r="BP918" s="11" t="s">
        <v>6792</v>
      </c>
      <c r="BQ918" s="11" t="b">
        <v>0</v>
      </c>
      <c r="BR918" s="20"/>
      <c r="BS918" s="19" t="s">
        <v>6882</v>
      </c>
      <c r="BT918" s="11" t="b">
        <v>1</v>
      </c>
      <c r="BU918" s="11" t="s">
        <v>2932</v>
      </c>
      <c r="BV918" s="11"/>
      <c r="BW918" s="11"/>
      <c r="BX918" s="11"/>
      <c r="BY918" s="11"/>
    </row>
    <row r="919">
      <c r="A919" s="11" t="s">
        <v>3743</v>
      </c>
      <c r="B919" s="11" t="s">
        <v>78</v>
      </c>
      <c r="C919" s="23">
        <v>46038.0</v>
      </c>
      <c r="D919" s="11" t="s">
        <v>104</v>
      </c>
      <c r="E919" s="11" t="s">
        <v>6796</v>
      </c>
      <c r="F919" s="11" t="s">
        <v>6798</v>
      </c>
      <c r="G919" s="11"/>
      <c r="H919" s="11"/>
      <c r="I919" s="20"/>
      <c r="J919" s="20"/>
      <c r="BO919" s="20"/>
      <c r="BP919" s="11" t="s">
        <v>6797</v>
      </c>
      <c r="BQ919" s="11" t="b">
        <v>0</v>
      </c>
      <c r="BR919" s="20"/>
      <c r="BS919" s="19" t="s">
        <v>6888</v>
      </c>
      <c r="BT919" s="11" t="b">
        <v>1</v>
      </c>
      <c r="BU919" s="11" t="s">
        <v>2932</v>
      </c>
      <c r="BV919" s="11"/>
      <c r="BW919" s="11"/>
      <c r="BX919" s="11"/>
      <c r="BY919" s="11"/>
    </row>
    <row r="920">
      <c r="A920" s="11" t="s">
        <v>3752</v>
      </c>
      <c r="B920" s="11" t="s">
        <v>78</v>
      </c>
      <c r="C920" s="23">
        <v>46038.0</v>
      </c>
      <c r="D920" s="11" t="s">
        <v>513</v>
      </c>
      <c r="E920" s="11" t="s">
        <v>6800</v>
      </c>
      <c r="F920" s="11" t="s">
        <v>3250</v>
      </c>
      <c r="G920" s="11"/>
      <c r="H920" s="11"/>
      <c r="I920" s="20"/>
      <c r="J920" s="20"/>
      <c r="BO920" s="20"/>
      <c r="BP920" s="11" t="s">
        <v>6801</v>
      </c>
      <c r="BQ920" s="11" t="b">
        <v>0</v>
      </c>
      <c r="BR920" s="20"/>
      <c r="BS920" s="19" t="s">
        <v>6896</v>
      </c>
      <c r="BT920" s="11" t="b">
        <v>1</v>
      </c>
      <c r="BU920" s="11" t="s">
        <v>2932</v>
      </c>
      <c r="BV920" s="11"/>
      <c r="BW920" s="11"/>
      <c r="BX920" s="11"/>
      <c r="BY920" s="11"/>
    </row>
    <row r="921">
      <c r="A921" s="11" t="s">
        <v>3733</v>
      </c>
      <c r="B921" s="11" t="s">
        <v>78</v>
      </c>
      <c r="C921" s="23">
        <v>46036.0</v>
      </c>
      <c r="D921" s="11" t="s">
        <v>992</v>
      </c>
      <c r="E921" s="11" t="s">
        <v>6802</v>
      </c>
      <c r="F921" s="11" t="s">
        <v>3235</v>
      </c>
      <c r="G921" s="11"/>
      <c r="H921" s="11"/>
      <c r="I921" s="20"/>
      <c r="J921" s="20"/>
      <c r="BO921" s="20"/>
      <c r="BP921" s="11" t="s">
        <v>6803</v>
      </c>
      <c r="BQ921" s="11" t="b">
        <v>0</v>
      </c>
      <c r="BR921" s="20"/>
      <c r="BS921" s="19" t="s">
        <v>6898</v>
      </c>
      <c r="BT921" s="11" t="b">
        <v>1</v>
      </c>
      <c r="BU921" s="11" t="s">
        <v>2932</v>
      </c>
      <c r="BV921" s="11"/>
      <c r="BW921" s="11"/>
      <c r="BX921" s="11"/>
      <c r="BY921" s="11"/>
    </row>
    <row r="922">
      <c r="A922" s="11" t="s">
        <v>3756</v>
      </c>
      <c r="B922" s="11" t="s">
        <v>78</v>
      </c>
      <c r="C922" s="23">
        <v>46038.0</v>
      </c>
      <c r="D922" s="11" t="s">
        <v>992</v>
      </c>
      <c r="E922" s="11" t="s">
        <v>6804</v>
      </c>
      <c r="F922" s="11" t="s">
        <v>6806</v>
      </c>
      <c r="G922" s="11"/>
      <c r="H922" s="11"/>
      <c r="I922" s="20"/>
      <c r="J922" s="20"/>
      <c r="BO922" s="20"/>
      <c r="BP922" s="11" t="s">
        <v>6805</v>
      </c>
      <c r="BQ922" s="11" t="b">
        <v>0</v>
      </c>
      <c r="BR922" s="20"/>
      <c r="BS922" s="19" t="s">
        <v>6900</v>
      </c>
      <c r="BT922" s="11" t="b">
        <v>1</v>
      </c>
      <c r="BU922" s="11" t="s">
        <v>2932</v>
      </c>
      <c r="BV922" s="11"/>
      <c r="BW922" s="11"/>
      <c r="BX922" s="11"/>
      <c r="BY922" s="11"/>
    </row>
    <row r="923">
      <c r="A923" s="11" t="s">
        <v>3758</v>
      </c>
      <c r="B923" s="11" t="s">
        <v>78</v>
      </c>
      <c r="C923" s="23">
        <v>46038.0</v>
      </c>
      <c r="D923" s="11" t="s">
        <v>104</v>
      </c>
      <c r="E923" s="11" t="s">
        <v>6807</v>
      </c>
      <c r="F923" s="11" t="s">
        <v>380</v>
      </c>
      <c r="G923" s="11"/>
      <c r="H923" s="11"/>
      <c r="I923" s="20"/>
      <c r="J923" s="20"/>
      <c r="BO923" s="20"/>
      <c r="BP923" s="11" t="s">
        <v>6808</v>
      </c>
      <c r="BQ923" s="11" t="b">
        <v>0</v>
      </c>
      <c r="BR923" s="20"/>
      <c r="BS923" s="19" t="s">
        <v>6888</v>
      </c>
      <c r="BT923" s="11" t="b">
        <v>1</v>
      </c>
      <c r="BU923" s="11" t="s">
        <v>2932</v>
      </c>
      <c r="BV923" s="11"/>
      <c r="BW923" s="11"/>
      <c r="BX923" s="11"/>
      <c r="BY923" s="11"/>
    </row>
    <row r="924">
      <c r="A924" s="11" t="s">
        <v>3771</v>
      </c>
      <c r="B924" s="11" t="s">
        <v>78</v>
      </c>
      <c r="C924" s="23">
        <v>46038.0</v>
      </c>
      <c r="D924" s="11" t="s">
        <v>168</v>
      </c>
      <c r="E924" s="11" t="s">
        <v>6810</v>
      </c>
      <c r="F924" s="11" t="s">
        <v>6813</v>
      </c>
      <c r="G924" s="11"/>
      <c r="H924" s="11"/>
      <c r="I924" s="20"/>
      <c r="J924" s="20"/>
      <c r="BO924" s="20"/>
      <c r="BP924" s="11" t="s">
        <v>6811</v>
      </c>
      <c r="BQ924" s="11" t="b">
        <v>0</v>
      </c>
      <c r="BR924" s="20"/>
      <c r="BS924" s="19" t="s">
        <v>6902</v>
      </c>
      <c r="BT924" s="11" t="b">
        <v>1</v>
      </c>
      <c r="BU924" s="11" t="s">
        <v>2932</v>
      </c>
      <c r="BV924" s="11"/>
      <c r="BW924" s="11"/>
      <c r="BX924" s="11"/>
      <c r="BY924" s="11"/>
    </row>
    <row r="925">
      <c r="A925" s="11" t="s">
        <v>3736</v>
      </c>
      <c r="B925" s="11" t="s">
        <v>78</v>
      </c>
      <c r="C925" s="23">
        <v>46036.0</v>
      </c>
      <c r="D925" s="11" t="s">
        <v>237</v>
      </c>
      <c r="E925" s="11" t="s">
        <v>6816</v>
      </c>
      <c r="F925" s="11" t="s">
        <v>6818</v>
      </c>
      <c r="G925" s="11"/>
      <c r="H925" s="11"/>
      <c r="I925" s="20"/>
      <c r="J925" s="20"/>
      <c r="BO925" s="20"/>
      <c r="BP925" s="11" t="s">
        <v>6817</v>
      </c>
      <c r="BQ925" s="11" t="b">
        <v>0</v>
      </c>
      <c r="BR925" s="20"/>
      <c r="BS925" s="11"/>
      <c r="BT925" s="11" t="b">
        <v>0</v>
      </c>
      <c r="BU925" s="11" t="s">
        <v>2932</v>
      </c>
      <c r="BV925" s="11"/>
      <c r="BW925" s="11" t="s">
        <v>6819</v>
      </c>
      <c r="BX925" s="11" t="s">
        <v>6820</v>
      </c>
      <c r="BY925" s="11"/>
    </row>
    <row r="926">
      <c r="A926" s="11" t="s">
        <v>3702</v>
      </c>
      <c r="B926" s="11" t="s">
        <v>78</v>
      </c>
      <c r="C926" s="23">
        <v>46035.0</v>
      </c>
      <c r="D926" s="11" t="s">
        <v>237</v>
      </c>
      <c r="E926" s="11" t="s">
        <v>6821</v>
      </c>
      <c r="F926" s="11" t="s">
        <v>6823</v>
      </c>
      <c r="G926" s="11"/>
      <c r="H926" s="11"/>
      <c r="I926" s="20"/>
      <c r="J926" s="20"/>
      <c r="BO926" s="20"/>
      <c r="BP926" s="11" t="s">
        <v>6822</v>
      </c>
      <c r="BQ926" s="11" t="b">
        <v>0</v>
      </c>
      <c r="BR926" s="20"/>
      <c r="BS926" s="11"/>
      <c r="BT926" s="11" t="b">
        <v>0</v>
      </c>
      <c r="BU926" s="11" t="s">
        <v>2932</v>
      </c>
      <c r="BV926" s="11"/>
      <c r="BW926" s="11"/>
      <c r="BX926" s="11"/>
      <c r="BY926" s="11"/>
    </row>
    <row r="927">
      <c r="A927" s="11" t="s">
        <v>3715</v>
      </c>
      <c r="B927" s="11" t="s">
        <v>78</v>
      </c>
      <c r="C927" s="23">
        <v>46035.0</v>
      </c>
      <c r="D927" s="11" t="s">
        <v>237</v>
      </c>
      <c r="E927" s="11" t="s">
        <v>6824</v>
      </c>
      <c r="F927" s="11" t="s">
        <v>6826</v>
      </c>
      <c r="G927" s="11"/>
      <c r="H927" s="11"/>
      <c r="I927" s="20"/>
      <c r="J927" s="20"/>
      <c r="BO927" s="20"/>
      <c r="BP927" s="11" t="s">
        <v>6825</v>
      </c>
      <c r="BQ927" s="11" t="b">
        <v>0</v>
      </c>
      <c r="BR927" s="20"/>
      <c r="BS927" s="11"/>
      <c r="BT927" s="11" t="b">
        <v>0</v>
      </c>
      <c r="BU927" s="11" t="s">
        <v>2932</v>
      </c>
      <c r="BV927" s="11"/>
      <c r="BW927" s="11" t="s">
        <v>6827</v>
      </c>
      <c r="BX927" s="11"/>
      <c r="BY927" s="11"/>
    </row>
    <row r="928">
      <c r="A928" s="11">
        <v>1742.0</v>
      </c>
      <c r="B928" s="11" t="s">
        <v>78</v>
      </c>
      <c r="C928" s="23">
        <v>46041.0</v>
      </c>
      <c r="D928" s="11" t="s">
        <v>1046</v>
      </c>
      <c r="E928" s="11"/>
      <c r="F928" s="11" t="s">
        <v>1557</v>
      </c>
      <c r="G928" s="11" t="s">
        <v>1049</v>
      </c>
      <c r="H928" s="11">
        <v>1.0</v>
      </c>
      <c r="I928" s="20">
        <v>11845.59</v>
      </c>
      <c r="J928" s="20">
        <v>11845.59</v>
      </c>
      <c r="BO928" s="20">
        <v>11845.59</v>
      </c>
      <c r="BP928" s="11"/>
      <c r="BQ928" s="11" t="b">
        <v>1</v>
      </c>
      <c r="BR928" s="20">
        <v>11845.59</v>
      </c>
      <c r="BS928" s="11"/>
      <c r="BT928" s="11"/>
      <c r="BU928" s="11" t="s">
        <v>187</v>
      </c>
      <c r="BV928" s="11"/>
      <c r="BW928" s="11"/>
      <c r="BX928" s="11"/>
      <c r="BY928" s="11"/>
    </row>
    <row r="929">
      <c r="A929" s="11">
        <v>1743.0</v>
      </c>
      <c r="B929" s="11" t="s">
        <v>78</v>
      </c>
      <c r="C929" s="23">
        <v>46041.0</v>
      </c>
      <c r="D929" s="11" t="s">
        <v>1046</v>
      </c>
      <c r="E929" s="11"/>
      <c r="F929" s="11" t="s">
        <v>2638</v>
      </c>
      <c r="G929" s="11" t="s">
        <v>1944</v>
      </c>
      <c r="H929" s="11">
        <v>1.0</v>
      </c>
      <c r="I929" s="20">
        <v>695.47</v>
      </c>
      <c r="J929" s="20">
        <v>695.47</v>
      </c>
      <c r="BO929" s="20">
        <v>695.47</v>
      </c>
      <c r="BP929" s="11"/>
      <c r="BQ929" s="11" t="b">
        <v>1</v>
      </c>
      <c r="BR929" s="20">
        <v>695.47</v>
      </c>
      <c r="BS929" s="11"/>
      <c r="BT929" s="11"/>
      <c r="BU929" s="11" t="s">
        <v>187</v>
      </c>
      <c r="BV929" s="11"/>
      <c r="BW929" s="11"/>
      <c r="BX929" s="11"/>
      <c r="BY929" s="11"/>
    </row>
    <row r="930">
      <c r="A930" s="11">
        <v>1753.0</v>
      </c>
      <c r="B930" s="11" t="s">
        <v>78</v>
      </c>
      <c r="C930" s="23">
        <v>46041.0</v>
      </c>
      <c r="D930" s="11" t="s">
        <v>1567</v>
      </c>
      <c r="E930" s="11"/>
      <c r="F930" s="23">
        <v>46082.0</v>
      </c>
      <c r="G930" s="11" t="s">
        <v>1971</v>
      </c>
      <c r="H930" s="11">
        <v>1.0</v>
      </c>
      <c r="I930" s="20">
        <v>52.36</v>
      </c>
      <c r="J930" s="20">
        <v>52.36</v>
      </c>
      <c r="BO930" s="20">
        <v>52.36</v>
      </c>
      <c r="BP930" s="11"/>
      <c r="BQ930" s="11" t="b">
        <v>1</v>
      </c>
      <c r="BR930" s="20">
        <v>52.36</v>
      </c>
      <c r="BS930" s="11"/>
      <c r="BT930" s="11"/>
      <c r="BU930" s="11" t="s">
        <v>187</v>
      </c>
      <c r="BV930" s="11"/>
      <c r="BW930" s="11"/>
      <c r="BX930" s="11"/>
      <c r="BY930" s="11"/>
    </row>
    <row r="931">
      <c r="A931" s="11">
        <v>1739.0</v>
      </c>
      <c r="B931" s="11" t="s">
        <v>78</v>
      </c>
      <c r="C931" s="23">
        <v>46042.0</v>
      </c>
      <c r="D931" s="11" t="s">
        <v>1046</v>
      </c>
      <c r="E931" s="11"/>
      <c r="F931" s="11" t="s">
        <v>2638</v>
      </c>
      <c r="G931" s="11" t="s">
        <v>1936</v>
      </c>
      <c r="H931" s="11">
        <v>1.0</v>
      </c>
      <c r="I931" s="20">
        <v>21.59</v>
      </c>
      <c r="J931" s="20">
        <v>21.59</v>
      </c>
      <c r="BO931" s="20">
        <v>21.59</v>
      </c>
      <c r="BP931" s="11"/>
      <c r="BQ931" s="11" t="b">
        <v>1</v>
      </c>
      <c r="BR931" s="20">
        <v>21.59</v>
      </c>
      <c r="BS931" s="11"/>
      <c r="BT931" s="11"/>
      <c r="BU931" s="11" t="s">
        <v>187</v>
      </c>
      <c r="BV931" s="11"/>
      <c r="BW931" s="11"/>
      <c r="BX931" s="11"/>
      <c r="BY931" s="11"/>
    </row>
    <row r="932">
      <c r="A932" s="11">
        <v>1752.0</v>
      </c>
      <c r="B932" s="11" t="s">
        <v>78</v>
      </c>
      <c r="C932" s="23">
        <v>46042.0</v>
      </c>
      <c r="D932" s="11" t="s">
        <v>415</v>
      </c>
      <c r="E932" s="11"/>
      <c r="F932" s="23">
        <v>46296.0</v>
      </c>
      <c r="G932" s="11" t="s">
        <v>1971</v>
      </c>
      <c r="H932" s="11">
        <v>1.0</v>
      </c>
      <c r="I932" s="20">
        <v>190.34</v>
      </c>
      <c r="J932" s="20">
        <v>190.34</v>
      </c>
      <c r="BO932" s="20">
        <v>190.34</v>
      </c>
      <c r="BP932" s="11"/>
      <c r="BQ932" s="11" t="b">
        <v>1</v>
      </c>
      <c r="BR932" s="20">
        <v>190.34</v>
      </c>
      <c r="BS932" s="11"/>
      <c r="BT932" s="11"/>
      <c r="BU932" s="11" t="s">
        <v>187</v>
      </c>
      <c r="BV932" s="11"/>
      <c r="BW932" s="11"/>
      <c r="BX932" s="11"/>
      <c r="BY932" s="11"/>
    </row>
    <row r="933">
      <c r="A933" s="11" t="s">
        <v>3815</v>
      </c>
      <c r="B933" s="11" t="s">
        <v>78</v>
      </c>
      <c r="C933" s="23">
        <v>46042.0</v>
      </c>
      <c r="D933" s="11" t="s">
        <v>617</v>
      </c>
      <c r="E933" s="11" t="s">
        <v>6833</v>
      </c>
      <c r="F933" s="11" t="s">
        <v>3158</v>
      </c>
      <c r="G933" s="11"/>
      <c r="H933" s="11"/>
      <c r="I933" s="20"/>
      <c r="J933" s="20"/>
      <c r="BO933" s="20"/>
      <c r="BP933" s="11" t="s">
        <v>6834</v>
      </c>
      <c r="BQ933" s="11" t="b">
        <v>0</v>
      </c>
      <c r="BR933" s="20"/>
      <c r="BS933" s="11"/>
      <c r="BT933" s="11" t="b">
        <v>0</v>
      </c>
      <c r="BU933" s="11" t="s">
        <v>235</v>
      </c>
      <c r="BV933" s="11"/>
      <c r="BW933" s="11"/>
      <c r="BX933" s="11"/>
      <c r="BY933" s="11"/>
    </row>
    <row r="934">
      <c r="A934" s="11" t="s">
        <v>3833</v>
      </c>
      <c r="B934" s="11" t="s">
        <v>78</v>
      </c>
      <c r="C934" s="23">
        <v>46042.0</v>
      </c>
      <c r="D934" s="11" t="s">
        <v>237</v>
      </c>
      <c r="E934" s="11" t="s">
        <v>6836</v>
      </c>
      <c r="F934" s="11" t="s">
        <v>6838</v>
      </c>
      <c r="G934" s="11"/>
      <c r="H934" s="11"/>
      <c r="I934" s="20"/>
      <c r="J934" s="20"/>
      <c r="BO934" s="20"/>
      <c r="BP934" s="11" t="s">
        <v>6837</v>
      </c>
      <c r="BQ934" s="11" t="b">
        <v>0</v>
      </c>
      <c r="BR934" s="20"/>
      <c r="BS934" s="11"/>
      <c r="BT934" s="11" t="b">
        <v>0</v>
      </c>
      <c r="BU934" s="11" t="s">
        <v>2932</v>
      </c>
      <c r="BV934" s="11"/>
      <c r="BW934" s="11" t="s">
        <v>6839</v>
      </c>
      <c r="BX934" s="11"/>
      <c r="BY934" s="11"/>
    </row>
    <row r="935">
      <c r="A935" s="11" t="s">
        <v>2582</v>
      </c>
      <c r="B935" s="11" t="s">
        <v>78</v>
      </c>
      <c r="C935" s="23">
        <v>46043.0</v>
      </c>
      <c r="D935" s="11"/>
      <c r="E935" s="11"/>
      <c r="F935" s="11" t="s">
        <v>6841</v>
      </c>
      <c r="G935" s="11" t="s">
        <v>350</v>
      </c>
      <c r="H935" s="11">
        <v>1.0</v>
      </c>
      <c r="I935" s="20">
        <v>1100.0</v>
      </c>
      <c r="J935" s="20">
        <v>1100.0</v>
      </c>
      <c r="BO935" s="20">
        <v>1100.0</v>
      </c>
      <c r="BP935" s="11"/>
      <c r="BQ935" s="11" t="b">
        <v>1</v>
      </c>
      <c r="BR935" s="20">
        <v>1100.0</v>
      </c>
      <c r="BS935" s="11"/>
      <c r="BT935" s="11"/>
      <c r="BU935" s="11" t="s">
        <v>187</v>
      </c>
      <c r="BV935" s="11" t="s">
        <v>225</v>
      </c>
      <c r="BW935" s="11"/>
      <c r="BX935" s="11"/>
      <c r="BY935" s="11"/>
    </row>
    <row r="936">
      <c r="A936" s="11" t="s">
        <v>3794</v>
      </c>
      <c r="B936" s="11" t="s">
        <v>78</v>
      </c>
      <c r="C936" s="23">
        <v>46040.0</v>
      </c>
      <c r="D936" s="11" t="s">
        <v>2549</v>
      </c>
      <c r="E936" s="11" t="s">
        <v>6843</v>
      </c>
      <c r="F936" s="11" t="s">
        <v>6846</v>
      </c>
      <c r="G936" s="11"/>
      <c r="H936" s="11"/>
      <c r="I936" s="20"/>
      <c r="J936" s="20"/>
      <c r="BO936" s="20"/>
      <c r="BP936" s="11" t="s">
        <v>6844</v>
      </c>
      <c r="BQ936" s="11" t="b">
        <v>0</v>
      </c>
      <c r="BR936" s="20"/>
      <c r="BS936" s="19" t="s">
        <v>6944</v>
      </c>
      <c r="BT936" s="11" t="b">
        <v>1</v>
      </c>
      <c r="BU936" s="11" t="s">
        <v>2932</v>
      </c>
      <c r="BV936" s="11"/>
      <c r="BW936" s="11"/>
      <c r="BX936" s="11"/>
      <c r="BY936" s="11"/>
    </row>
    <row r="937">
      <c r="A937" s="11" t="s">
        <v>3894</v>
      </c>
      <c r="B937" s="11" t="s">
        <v>78</v>
      </c>
      <c r="C937" s="23">
        <v>46045.0</v>
      </c>
      <c r="D937" s="11" t="s">
        <v>992</v>
      </c>
      <c r="E937" s="11" t="s">
        <v>6847</v>
      </c>
      <c r="F937" s="11" t="s">
        <v>3027</v>
      </c>
      <c r="G937" s="11"/>
      <c r="H937" s="11"/>
      <c r="I937" s="20"/>
      <c r="J937" s="20"/>
      <c r="BO937" s="20"/>
      <c r="BP937" s="11" t="s">
        <v>6848</v>
      </c>
      <c r="BQ937" s="11" t="b">
        <v>0</v>
      </c>
      <c r="BR937" s="20"/>
      <c r="BS937" s="19" t="s">
        <v>6952</v>
      </c>
      <c r="BT937" s="11" t="b">
        <v>1</v>
      </c>
      <c r="BU937" s="11" t="s">
        <v>2932</v>
      </c>
      <c r="BV937" s="11"/>
      <c r="BW937" s="11"/>
      <c r="BX937" s="11"/>
      <c r="BY937" s="11"/>
    </row>
    <row r="938">
      <c r="A938" s="11" t="s">
        <v>3898</v>
      </c>
      <c r="B938" s="11" t="s">
        <v>78</v>
      </c>
      <c r="C938" s="23">
        <v>46045.0</v>
      </c>
      <c r="D938" s="11" t="s">
        <v>6850</v>
      </c>
      <c r="E938" s="11" t="s">
        <v>6851</v>
      </c>
      <c r="F938" s="11" t="s">
        <v>6853</v>
      </c>
      <c r="G938" s="11"/>
      <c r="H938" s="11"/>
      <c r="I938" s="20"/>
      <c r="J938" s="20"/>
      <c r="BO938" s="20"/>
      <c r="BP938" s="11" t="s">
        <v>6852</v>
      </c>
      <c r="BQ938" s="11" t="b">
        <v>0</v>
      </c>
      <c r="BR938" s="20"/>
      <c r="BS938" s="19" t="s">
        <v>6959</v>
      </c>
      <c r="BT938" s="11" t="b">
        <v>1</v>
      </c>
      <c r="BU938" s="11" t="s">
        <v>2932</v>
      </c>
      <c r="BV938" s="11"/>
      <c r="BW938" s="11"/>
      <c r="BX938" s="11"/>
      <c r="BY938" s="11"/>
    </row>
    <row r="939">
      <c r="A939" s="11" t="s">
        <v>3903</v>
      </c>
      <c r="B939" s="11" t="s">
        <v>78</v>
      </c>
      <c r="C939" s="23">
        <v>46045.0</v>
      </c>
      <c r="D939" s="11" t="s">
        <v>6855</v>
      </c>
      <c r="E939" s="11" t="s">
        <v>6856</v>
      </c>
      <c r="F939" s="11" t="s">
        <v>6858</v>
      </c>
      <c r="G939" s="11"/>
      <c r="H939" s="11"/>
      <c r="I939" s="20"/>
      <c r="J939" s="20"/>
      <c r="BO939" s="20"/>
      <c r="BP939" s="11" t="s">
        <v>6857</v>
      </c>
      <c r="BQ939" s="11" t="b">
        <v>0</v>
      </c>
      <c r="BR939" s="20"/>
      <c r="BS939" s="19" t="s">
        <v>6952</v>
      </c>
      <c r="BT939" s="11" t="b">
        <v>1</v>
      </c>
      <c r="BU939" s="11" t="s">
        <v>2932</v>
      </c>
      <c r="BV939" s="11"/>
      <c r="BW939" s="11"/>
      <c r="BX939" s="11"/>
      <c r="BY939" s="11"/>
    </row>
    <row r="940">
      <c r="A940" s="11" t="s">
        <v>3841</v>
      </c>
      <c r="B940" s="11" t="s">
        <v>78</v>
      </c>
      <c r="C940" s="23">
        <v>46043.0</v>
      </c>
      <c r="D940" s="11" t="s">
        <v>6861</v>
      </c>
      <c r="E940" s="11" t="s">
        <v>6862</v>
      </c>
      <c r="F940" s="11" t="s">
        <v>6864</v>
      </c>
      <c r="G940" s="11"/>
      <c r="H940" s="11"/>
      <c r="I940" s="20"/>
      <c r="J940" s="20"/>
      <c r="BO940" s="20"/>
      <c r="BP940" s="11" t="s">
        <v>6863</v>
      </c>
      <c r="BQ940" s="11" t="b">
        <v>0</v>
      </c>
      <c r="BR940" s="20"/>
      <c r="BS940" s="19" t="s">
        <v>6966</v>
      </c>
      <c r="BT940" s="11" t="b">
        <v>1</v>
      </c>
      <c r="BU940" s="11" t="s">
        <v>2932</v>
      </c>
      <c r="BV940" s="11"/>
      <c r="BW940" s="11"/>
      <c r="BX940" s="11"/>
      <c r="BY940" s="11"/>
    </row>
    <row r="941">
      <c r="A941" s="11" t="s">
        <v>3847</v>
      </c>
      <c r="B941" s="11" t="s">
        <v>78</v>
      </c>
      <c r="C941" s="23">
        <v>46043.0</v>
      </c>
      <c r="D941" s="11" t="s">
        <v>6850</v>
      </c>
      <c r="E941" s="11" t="s">
        <v>6866</v>
      </c>
      <c r="F941" s="11" t="s">
        <v>6868</v>
      </c>
      <c r="G941" s="11"/>
      <c r="H941" s="11"/>
      <c r="I941" s="20"/>
      <c r="J941" s="20"/>
      <c r="BO941" s="20"/>
      <c r="BP941" s="11" t="s">
        <v>6867</v>
      </c>
      <c r="BQ941" s="11" t="b">
        <v>0</v>
      </c>
      <c r="BR941" s="20"/>
      <c r="BS941" s="19" t="s">
        <v>6971</v>
      </c>
      <c r="BT941" s="11" t="b">
        <v>1</v>
      </c>
      <c r="BU941" s="11" t="s">
        <v>2932</v>
      </c>
      <c r="BV941" s="11"/>
      <c r="BW941" s="11"/>
      <c r="BX941" s="11"/>
      <c r="BY941" s="11"/>
    </row>
    <row r="942">
      <c r="A942" s="11" t="s">
        <v>3857</v>
      </c>
      <c r="B942" s="11" t="s">
        <v>78</v>
      </c>
      <c r="C942" s="23">
        <v>46043.0</v>
      </c>
      <c r="D942" s="11" t="s">
        <v>6850</v>
      </c>
      <c r="E942" s="11" t="s">
        <v>6869</v>
      </c>
      <c r="F942" s="11" t="s">
        <v>6872</v>
      </c>
      <c r="G942" s="11"/>
      <c r="H942" s="11"/>
      <c r="I942" s="20"/>
      <c r="J942" s="20"/>
      <c r="BO942" s="20"/>
      <c r="BP942" s="11" t="s">
        <v>6870</v>
      </c>
      <c r="BQ942" s="11" t="b">
        <v>0</v>
      </c>
      <c r="BR942" s="20"/>
      <c r="BS942" s="19" t="s">
        <v>6972</v>
      </c>
      <c r="BT942" s="11" t="b">
        <v>1</v>
      </c>
      <c r="BU942" s="11" t="s">
        <v>2932</v>
      </c>
      <c r="BV942" s="11"/>
      <c r="BW942" s="11"/>
      <c r="BX942" s="11"/>
      <c r="BY942" s="11"/>
    </row>
    <row r="943">
      <c r="A943" s="11" t="s">
        <v>3864</v>
      </c>
      <c r="B943" s="11" t="s">
        <v>78</v>
      </c>
      <c r="C943" s="23">
        <v>46043.0</v>
      </c>
      <c r="D943" s="19" t="s">
        <v>6973</v>
      </c>
      <c r="E943" s="11" t="s">
        <v>6873</v>
      </c>
      <c r="F943" s="11" t="s">
        <v>6875</v>
      </c>
      <c r="G943" s="11"/>
      <c r="H943" s="11"/>
      <c r="I943" s="20"/>
      <c r="J943" s="20"/>
      <c r="BO943" s="20"/>
      <c r="BP943" s="11" t="s">
        <v>6874</v>
      </c>
      <c r="BQ943" s="11" t="b">
        <v>0</v>
      </c>
      <c r="BR943" s="20"/>
      <c r="BS943" s="19" t="s">
        <v>6975</v>
      </c>
      <c r="BT943" s="11" t="b">
        <v>1</v>
      </c>
      <c r="BU943" s="11" t="s">
        <v>2932</v>
      </c>
      <c r="BV943" s="11"/>
      <c r="BW943" s="11"/>
      <c r="BX943" s="11"/>
      <c r="BY943" s="11"/>
    </row>
    <row r="944">
      <c r="A944" s="11" t="s">
        <v>3777</v>
      </c>
      <c r="B944" s="11" t="s">
        <v>78</v>
      </c>
      <c r="C944" s="23">
        <v>46039.0</v>
      </c>
      <c r="D944" s="11" t="s">
        <v>1251</v>
      </c>
      <c r="E944" s="11" t="s">
        <v>6877</v>
      </c>
      <c r="F944" s="11" t="s">
        <v>6879</v>
      </c>
      <c r="G944" s="11"/>
      <c r="H944" s="11"/>
      <c r="I944" s="20"/>
      <c r="J944" s="20"/>
      <c r="BO944" s="20"/>
      <c r="BP944" s="11" t="s">
        <v>6878</v>
      </c>
      <c r="BQ944" s="11" t="b">
        <v>0</v>
      </c>
      <c r="BR944" s="20"/>
      <c r="BS944" s="19" t="s">
        <v>6978</v>
      </c>
      <c r="BT944" s="11" t="b">
        <v>1</v>
      </c>
      <c r="BU944" s="11" t="s">
        <v>2932</v>
      </c>
      <c r="BV944" s="11"/>
      <c r="BW944" s="11"/>
      <c r="BX944" s="11"/>
      <c r="BY944" s="11"/>
    </row>
    <row r="945">
      <c r="A945" s="11" t="s">
        <v>3869</v>
      </c>
      <c r="B945" s="11" t="s">
        <v>78</v>
      </c>
      <c r="C945" s="23">
        <v>46043.0</v>
      </c>
      <c r="D945" s="11" t="s">
        <v>6881</v>
      </c>
      <c r="E945" s="11" t="s">
        <v>6883</v>
      </c>
      <c r="F945" s="11" t="s">
        <v>6887</v>
      </c>
      <c r="G945" s="11"/>
      <c r="H945" s="11"/>
      <c r="I945" s="20"/>
      <c r="J945" s="20"/>
      <c r="BO945" s="20"/>
      <c r="BP945" s="11" t="s">
        <v>6884</v>
      </c>
      <c r="BQ945" s="11" t="b">
        <v>0</v>
      </c>
      <c r="BR945" s="20"/>
      <c r="BS945" s="19" t="s">
        <v>6986</v>
      </c>
      <c r="BT945" s="11" t="b">
        <v>1</v>
      </c>
      <c r="BU945" s="11" t="s">
        <v>2932</v>
      </c>
      <c r="BV945" s="11"/>
      <c r="BW945" s="11"/>
      <c r="BX945" s="11"/>
      <c r="BY945" s="11"/>
    </row>
    <row r="946">
      <c r="A946" s="11" t="s">
        <v>3798</v>
      </c>
      <c r="B946" s="11" t="s">
        <v>78</v>
      </c>
      <c r="C946" s="23">
        <v>46041.0</v>
      </c>
      <c r="D946" s="11" t="s">
        <v>104</v>
      </c>
      <c r="E946" s="11" t="s">
        <v>6889</v>
      </c>
      <c r="F946" s="11" t="s">
        <v>6891</v>
      </c>
      <c r="G946" s="11"/>
      <c r="H946" s="11"/>
      <c r="I946" s="20"/>
      <c r="J946" s="20"/>
      <c r="BO946" s="20"/>
      <c r="BP946" s="11" t="s">
        <v>6890</v>
      </c>
      <c r="BQ946" s="11" t="b">
        <v>0</v>
      </c>
      <c r="BR946" s="20"/>
      <c r="BS946" s="19" t="s">
        <v>6992</v>
      </c>
      <c r="BT946" s="11" t="b">
        <v>1</v>
      </c>
      <c r="BU946" s="11" t="s">
        <v>2932</v>
      </c>
      <c r="BV946" s="11"/>
      <c r="BW946" s="11"/>
      <c r="BX946" s="11"/>
      <c r="BY946" s="11"/>
    </row>
    <row r="947">
      <c r="A947" s="11" t="s">
        <v>3908</v>
      </c>
      <c r="B947" s="11" t="s">
        <v>78</v>
      </c>
      <c r="C947" s="23">
        <v>46045.0</v>
      </c>
      <c r="D947" s="11" t="s">
        <v>85</v>
      </c>
      <c r="E947" s="11" t="s">
        <v>6892</v>
      </c>
      <c r="F947" s="11" t="s">
        <v>6894</v>
      </c>
      <c r="G947" s="11"/>
      <c r="H947" s="11"/>
      <c r="I947" s="20"/>
      <c r="J947" s="20"/>
      <c r="BO947" s="20"/>
      <c r="BP947" s="11" t="s">
        <v>6893</v>
      </c>
      <c r="BQ947" s="11" t="b">
        <v>0</v>
      </c>
      <c r="BR947" s="20"/>
      <c r="BS947" s="19" t="s">
        <v>6996</v>
      </c>
      <c r="BT947" s="11" t="b">
        <v>1</v>
      </c>
      <c r="BU947" s="11" t="s">
        <v>2932</v>
      </c>
      <c r="BV947" s="11"/>
      <c r="BW947" s="11"/>
      <c r="BX947" s="11"/>
      <c r="BY947" s="11"/>
    </row>
    <row r="948">
      <c r="A948" s="11">
        <v>1754.0</v>
      </c>
      <c r="B948" s="11" t="s">
        <v>78</v>
      </c>
      <c r="C948" s="23">
        <v>46048.0</v>
      </c>
      <c r="D948" s="11"/>
      <c r="E948" s="11"/>
      <c r="F948" s="11" t="s">
        <v>681</v>
      </c>
      <c r="G948" s="11" t="s">
        <v>376</v>
      </c>
      <c r="H948" s="11">
        <v>1.0</v>
      </c>
      <c r="I948" s="20">
        <v>3498.0</v>
      </c>
      <c r="J948" s="20">
        <v>3498.0</v>
      </c>
      <c r="BO948" s="20">
        <v>3498.0</v>
      </c>
      <c r="BP948" s="11"/>
      <c r="BQ948" s="11" t="b">
        <v>1</v>
      </c>
      <c r="BR948" s="20">
        <v>3498.0</v>
      </c>
      <c r="BS948" s="11"/>
      <c r="BT948" s="11"/>
      <c r="BU948" s="11" t="s">
        <v>187</v>
      </c>
      <c r="BV948" s="11" t="s">
        <v>685</v>
      </c>
      <c r="BW948" s="11"/>
      <c r="BX948" s="11"/>
      <c r="BY948" s="11"/>
    </row>
    <row r="949">
      <c r="A949" s="11">
        <v>1757.0</v>
      </c>
      <c r="B949" s="11" t="s">
        <v>78</v>
      </c>
      <c r="C949" s="23">
        <v>46048.0</v>
      </c>
      <c r="D949" s="11" t="s">
        <v>415</v>
      </c>
      <c r="E949" s="11"/>
      <c r="F949" s="11" t="s">
        <v>1015</v>
      </c>
      <c r="G949" s="11" t="s">
        <v>1017</v>
      </c>
      <c r="H949" s="11">
        <v>1.0</v>
      </c>
      <c r="I949" s="20">
        <v>22.0</v>
      </c>
      <c r="J949" s="20">
        <v>22.0</v>
      </c>
      <c r="BO949" s="20">
        <v>22.0</v>
      </c>
      <c r="BP949" s="11"/>
      <c r="BQ949" s="11" t="b">
        <v>1</v>
      </c>
      <c r="BR949" s="20">
        <v>22.0</v>
      </c>
      <c r="BS949" s="11"/>
      <c r="BT949" s="11"/>
      <c r="BU949" s="11" t="s">
        <v>187</v>
      </c>
      <c r="BV949" s="11"/>
      <c r="BW949" s="11"/>
      <c r="BX949" s="11"/>
      <c r="BY949" s="11"/>
    </row>
    <row r="950">
      <c r="A950" s="11">
        <v>1758.0</v>
      </c>
      <c r="B950" s="11" t="s">
        <v>78</v>
      </c>
      <c r="C950" s="23">
        <v>46048.0</v>
      </c>
      <c r="D950" s="11" t="s">
        <v>415</v>
      </c>
      <c r="E950" s="11"/>
      <c r="F950" s="11" t="s">
        <v>1022</v>
      </c>
      <c r="G950" s="11" t="s">
        <v>1023</v>
      </c>
      <c r="H950" s="11">
        <v>1.0</v>
      </c>
      <c r="I950" s="20">
        <v>10.0</v>
      </c>
      <c r="J950" s="20">
        <v>10.0</v>
      </c>
      <c r="BO950" s="20">
        <v>10.0</v>
      </c>
      <c r="BP950" s="11"/>
      <c r="BQ950" s="11" t="b">
        <v>1</v>
      </c>
      <c r="BR950" s="20">
        <v>10.0</v>
      </c>
      <c r="BS950" s="11"/>
      <c r="BT950" s="11"/>
      <c r="BU950" s="11" t="s">
        <v>187</v>
      </c>
      <c r="BV950" s="11"/>
      <c r="BW950" s="11"/>
      <c r="BX950" s="11"/>
      <c r="BY950" s="11"/>
    </row>
    <row r="951">
      <c r="A951" s="11">
        <v>1759.0</v>
      </c>
      <c r="B951" s="11" t="s">
        <v>78</v>
      </c>
      <c r="C951" s="23">
        <v>46048.0</v>
      </c>
      <c r="D951" s="11" t="s">
        <v>629</v>
      </c>
      <c r="E951" s="11"/>
      <c r="F951" s="11" t="s">
        <v>633</v>
      </c>
      <c r="G951" s="11" t="s">
        <v>1870</v>
      </c>
      <c r="H951" s="11">
        <v>1.0</v>
      </c>
      <c r="I951" s="20">
        <v>4243.75</v>
      </c>
      <c r="J951" s="20">
        <v>4243.75</v>
      </c>
      <c r="BO951" s="20">
        <v>4243.75</v>
      </c>
      <c r="BP951" s="11"/>
      <c r="BQ951" s="11" t="b">
        <v>1</v>
      </c>
      <c r="BR951" s="20">
        <v>4243.75</v>
      </c>
      <c r="BS951" s="11"/>
      <c r="BT951" s="11"/>
      <c r="BU951" s="11" t="s">
        <v>187</v>
      </c>
      <c r="BV951" s="11"/>
      <c r="BW951" s="11"/>
      <c r="BX951" s="11"/>
      <c r="BY951" s="11"/>
    </row>
    <row r="952">
      <c r="A952" s="11" t="s">
        <v>2598</v>
      </c>
      <c r="B952" s="11" t="s">
        <v>78</v>
      </c>
      <c r="C952" s="23">
        <v>46048.0</v>
      </c>
      <c r="D952" s="11"/>
      <c r="E952" s="11"/>
      <c r="F952" s="11" t="s">
        <v>783</v>
      </c>
      <c r="G952" s="11" t="s">
        <v>350</v>
      </c>
      <c r="H952" s="11">
        <v>1.0</v>
      </c>
      <c r="I952" s="20">
        <v>500.0</v>
      </c>
      <c r="J952" s="20">
        <v>500.0</v>
      </c>
      <c r="BO952" s="20">
        <v>500.0</v>
      </c>
      <c r="BP952" s="11"/>
      <c r="BQ952" s="11" t="b">
        <v>1</v>
      </c>
      <c r="BR952" s="20">
        <v>500.0</v>
      </c>
      <c r="BS952" s="11"/>
      <c r="BT952" s="11"/>
      <c r="BU952" s="11" t="s">
        <v>187</v>
      </c>
      <c r="BV952" s="11" t="s">
        <v>126</v>
      </c>
      <c r="BW952" s="11"/>
      <c r="BX952" s="11"/>
      <c r="BY952" s="11"/>
    </row>
    <row r="953">
      <c r="A953" s="11" t="s">
        <v>2602</v>
      </c>
      <c r="B953" s="11" t="s">
        <v>78</v>
      </c>
      <c r="C953" s="23">
        <v>46048.0</v>
      </c>
      <c r="D953" s="11"/>
      <c r="E953" s="11"/>
      <c r="F953" s="11" t="s">
        <v>783</v>
      </c>
      <c r="G953" s="11" t="s">
        <v>350</v>
      </c>
      <c r="H953" s="11">
        <v>1.0</v>
      </c>
      <c r="I953" s="20">
        <v>500.0</v>
      </c>
      <c r="J953" s="20">
        <v>500.0</v>
      </c>
      <c r="BO953" s="20">
        <v>500.0</v>
      </c>
      <c r="BP953" s="11"/>
      <c r="BQ953" s="11" t="b">
        <v>1</v>
      </c>
      <c r="BR953" s="20">
        <v>500.0</v>
      </c>
      <c r="BS953" s="11"/>
      <c r="BT953" s="11"/>
      <c r="BU953" s="11" t="s">
        <v>187</v>
      </c>
      <c r="BV953" s="11" t="s">
        <v>113</v>
      </c>
      <c r="BW953" s="11"/>
      <c r="BX953" s="11"/>
      <c r="BY953" s="11"/>
    </row>
    <row r="954">
      <c r="A954" s="11" t="s">
        <v>3918</v>
      </c>
      <c r="B954" s="11" t="s">
        <v>78</v>
      </c>
      <c r="C954" s="23">
        <v>46048.0</v>
      </c>
      <c r="D954" s="11" t="s">
        <v>513</v>
      </c>
      <c r="E954" s="11" t="s">
        <v>6904</v>
      </c>
      <c r="F954" s="11" t="s">
        <v>6906</v>
      </c>
      <c r="G954" s="11"/>
      <c r="H954" s="11"/>
      <c r="I954" s="20"/>
      <c r="J954" s="20"/>
      <c r="BO954" s="20"/>
      <c r="BP954" s="11" t="s">
        <v>6905</v>
      </c>
      <c r="BQ954" s="11" t="b">
        <v>0</v>
      </c>
      <c r="BR954" s="20"/>
      <c r="BS954" s="19" t="s">
        <v>7024</v>
      </c>
      <c r="BT954" s="11" t="b">
        <v>1</v>
      </c>
      <c r="BU954" s="11" t="s">
        <v>2932</v>
      </c>
      <c r="BV954" s="11"/>
      <c r="BW954" s="11"/>
      <c r="BX954" s="11"/>
      <c r="BY954" s="11"/>
    </row>
    <row r="955">
      <c r="A955" s="11" t="s">
        <v>3922</v>
      </c>
      <c r="B955" s="11" t="s">
        <v>78</v>
      </c>
      <c r="C955" s="23">
        <v>46048.0</v>
      </c>
      <c r="D955" s="11" t="s">
        <v>104</v>
      </c>
      <c r="E955" s="11" t="s">
        <v>6907</v>
      </c>
      <c r="F955" s="11" t="s">
        <v>6909</v>
      </c>
      <c r="G955" s="11"/>
      <c r="H955" s="11"/>
      <c r="I955" s="20"/>
      <c r="J955" s="20"/>
      <c r="BO955" s="20"/>
      <c r="BP955" s="11" t="s">
        <v>6908</v>
      </c>
      <c r="BQ955" s="11" t="b">
        <v>0</v>
      </c>
      <c r="BR955" s="20"/>
      <c r="BS955" s="19" t="s">
        <v>7025</v>
      </c>
      <c r="BT955" s="11" t="b">
        <v>1</v>
      </c>
      <c r="BU955" s="11" t="s">
        <v>2932</v>
      </c>
      <c r="BV955" s="11"/>
      <c r="BW955" s="11"/>
      <c r="BX955" s="11"/>
      <c r="BY955" s="11"/>
    </row>
    <row r="956">
      <c r="A956" s="11" t="s">
        <v>3915</v>
      </c>
      <c r="B956" s="11" t="s">
        <v>78</v>
      </c>
      <c r="C956" s="23">
        <v>46047.0</v>
      </c>
      <c r="D956" s="11" t="s">
        <v>2549</v>
      </c>
      <c r="E956" s="11" t="s">
        <v>6910</v>
      </c>
      <c r="F956" s="11" t="s">
        <v>6912</v>
      </c>
      <c r="G956" s="11"/>
      <c r="H956" s="11"/>
      <c r="I956" s="20"/>
      <c r="J956" s="20"/>
      <c r="BO956" s="20"/>
      <c r="BP956" s="11" t="s">
        <v>6911</v>
      </c>
      <c r="BQ956" s="11" t="b">
        <v>0</v>
      </c>
      <c r="BR956" s="20"/>
      <c r="BS956" s="19" t="s">
        <v>7027</v>
      </c>
      <c r="BT956" s="11" t="b">
        <v>1</v>
      </c>
      <c r="BU956" s="11" t="s">
        <v>2932</v>
      </c>
      <c r="BV956" s="11"/>
      <c r="BW956" s="11"/>
      <c r="BX956" s="11"/>
      <c r="BY956" s="11"/>
    </row>
    <row r="957">
      <c r="A957" s="11">
        <v>1755.0</v>
      </c>
      <c r="B957" s="11" t="s">
        <v>78</v>
      </c>
      <c r="C957" s="23">
        <v>46049.0</v>
      </c>
      <c r="D957" s="11"/>
      <c r="E957" s="11"/>
      <c r="F957" s="11" t="s">
        <v>687</v>
      </c>
      <c r="G957" s="11" t="s">
        <v>376</v>
      </c>
      <c r="H957" s="11">
        <v>1.0</v>
      </c>
      <c r="I957" s="20">
        <v>292.0</v>
      </c>
      <c r="J957" s="20">
        <v>292.0</v>
      </c>
      <c r="BO957" s="20">
        <v>292.0</v>
      </c>
      <c r="BP957" s="11"/>
      <c r="BQ957" s="11" t="b">
        <v>1</v>
      </c>
      <c r="BR957" s="20">
        <v>292.0</v>
      </c>
      <c r="BS957" s="11"/>
      <c r="BT957" s="11"/>
      <c r="BU957" s="11" t="s">
        <v>187</v>
      </c>
      <c r="BV957" s="11" t="s">
        <v>3675</v>
      </c>
      <c r="BW957" s="11"/>
      <c r="BX957" s="11"/>
      <c r="BY957" s="11"/>
    </row>
    <row r="958">
      <c r="A958" s="11">
        <v>1756.0</v>
      </c>
      <c r="B958" s="11" t="s">
        <v>78</v>
      </c>
      <c r="C958" s="23">
        <v>46049.0</v>
      </c>
      <c r="D958" s="11"/>
      <c r="E958" s="11"/>
      <c r="F958" s="11" t="s">
        <v>687</v>
      </c>
      <c r="G958" s="11" t="s">
        <v>376</v>
      </c>
      <c r="H958" s="11">
        <v>1.0</v>
      </c>
      <c r="I958" s="20">
        <v>292.0</v>
      </c>
      <c r="J958" s="20">
        <v>292.0</v>
      </c>
      <c r="BO958" s="20">
        <v>292.0</v>
      </c>
      <c r="BP958" s="11"/>
      <c r="BQ958" s="11" t="b">
        <v>1</v>
      </c>
      <c r="BR958" s="20">
        <v>292.0</v>
      </c>
      <c r="BS958" s="11"/>
      <c r="BT958" s="11"/>
      <c r="BU958" s="11" t="s">
        <v>187</v>
      </c>
      <c r="BV958" s="11" t="s">
        <v>704</v>
      </c>
      <c r="BW958" s="11"/>
      <c r="BX958" s="11"/>
      <c r="BY958" s="11"/>
    </row>
    <row r="959">
      <c r="A959" s="11" t="s">
        <v>3935</v>
      </c>
      <c r="B959" s="11" t="s">
        <v>78</v>
      </c>
      <c r="C959" s="23">
        <v>46049.0</v>
      </c>
      <c r="D959" s="11" t="s">
        <v>237</v>
      </c>
      <c r="E959" s="11" t="s">
        <v>6915</v>
      </c>
      <c r="F959" s="11" t="s">
        <v>6917</v>
      </c>
      <c r="G959" s="11"/>
      <c r="H959" s="11"/>
      <c r="I959" s="20"/>
      <c r="J959" s="20"/>
      <c r="BO959" s="20"/>
      <c r="BP959" s="11" t="s">
        <v>6916</v>
      </c>
      <c r="BQ959" s="11" t="b">
        <v>0</v>
      </c>
      <c r="BR959" s="20"/>
      <c r="BS959" s="11"/>
      <c r="BT959" s="11" t="b">
        <v>0</v>
      </c>
      <c r="BU959" s="11" t="s">
        <v>2932</v>
      </c>
      <c r="BV959" s="11"/>
      <c r="BW959" s="11" t="s">
        <v>6918</v>
      </c>
      <c r="BX959" s="11" t="s">
        <v>6919</v>
      </c>
      <c r="BY959" s="11"/>
    </row>
    <row r="960">
      <c r="A960" s="11" t="s">
        <v>3986</v>
      </c>
      <c r="B960" s="11" t="s">
        <v>78</v>
      </c>
      <c r="C960" s="23">
        <v>46051.0</v>
      </c>
      <c r="D960" s="11" t="s">
        <v>992</v>
      </c>
      <c r="E960" s="11" t="s">
        <v>6920</v>
      </c>
      <c r="F960" s="11" t="s">
        <v>6923</v>
      </c>
      <c r="G960" s="11"/>
      <c r="H960" s="11"/>
      <c r="I960" s="20"/>
      <c r="J960" s="20"/>
      <c r="BO960" s="20"/>
      <c r="BP960" s="11" t="s">
        <v>6921</v>
      </c>
      <c r="BQ960" s="11" t="b">
        <v>0</v>
      </c>
      <c r="BR960" s="20"/>
      <c r="BS960" s="19" t="s">
        <v>7049</v>
      </c>
      <c r="BT960" s="11" t="b">
        <v>1</v>
      </c>
      <c r="BU960" s="11" t="s">
        <v>2932</v>
      </c>
      <c r="BV960" s="11"/>
      <c r="BW960" s="11"/>
      <c r="BX960" s="11"/>
      <c r="BY960" s="11"/>
    </row>
    <row r="961">
      <c r="A961" s="11" t="s">
        <v>3991</v>
      </c>
      <c r="B961" s="11" t="s">
        <v>78</v>
      </c>
      <c r="C961" s="23">
        <v>46051.0</v>
      </c>
      <c r="D961" s="11" t="s">
        <v>237</v>
      </c>
      <c r="E961" s="11" t="s">
        <v>6924</v>
      </c>
      <c r="F961" s="11" t="s">
        <v>6926</v>
      </c>
      <c r="G961" s="11"/>
      <c r="H961" s="11"/>
      <c r="I961" s="20"/>
      <c r="J961" s="20"/>
      <c r="BO961" s="20"/>
      <c r="BP961" s="11" t="s">
        <v>6925</v>
      </c>
      <c r="BQ961" s="11" t="b">
        <v>0</v>
      </c>
      <c r="BR961" s="20"/>
      <c r="BS961" s="11"/>
      <c r="BT961" s="11" t="b">
        <v>0</v>
      </c>
      <c r="BU961" s="11" t="s">
        <v>2932</v>
      </c>
      <c r="BV961" s="11"/>
      <c r="BW961" s="11" t="s">
        <v>6927</v>
      </c>
      <c r="BX961" s="11" t="s">
        <v>6928</v>
      </c>
      <c r="BY961" s="11"/>
    </row>
    <row r="962">
      <c r="A962" s="11">
        <v>1760.0</v>
      </c>
      <c r="B962" s="11" t="s">
        <v>78</v>
      </c>
      <c r="C962" s="23">
        <v>46054.0</v>
      </c>
      <c r="D962" s="11"/>
      <c r="E962" s="11"/>
      <c r="F962" s="11" t="s">
        <v>2638</v>
      </c>
      <c r="G962" s="11" t="s">
        <v>376</v>
      </c>
      <c r="H962" s="11">
        <v>1.0</v>
      </c>
      <c r="I962" s="20">
        <v>3083.46</v>
      </c>
      <c r="J962" s="20">
        <v>3083.46</v>
      </c>
      <c r="BO962" s="20">
        <v>3083.46</v>
      </c>
      <c r="BP962" s="11"/>
      <c r="BQ962" s="11" t="b">
        <v>1</v>
      </c>
      <c r="BR962" s="20">
        <v>3083.46</v>
      </c>
      <c r="BS962" s="11"/>
      <c r="BT962" s="11"/>
      <c r="BU962" s="11" t="s">
        <v>187</v>
      </c>
      <c r="BV962" s="11" t="s">
        <v>225</v>
      </c>
      <c r="BW962" s="11"/>
      <c r="BX962" s="11"/>
      <c r="BY962" s="11"/>
    </row>
    <row r="963">
      <c r="A963" s="11">
        <v>1761.0</v>
      </c>
      <c r="B963" s="11" t="s">
        <v>78</v>
      </c>
      <c r="C963" s="23">
        <v>46054.0</v>
      </c>
      <c r="D963" s="11"/>
      <c r="E963" s="11"/>
      <c r="F963" s="11" t="s">
        <v>2638</v>
      </c>
      <c r="G963" s="11" t="s">
        <v>376</v>
      </c>
      <c r="H963" s="11">
        <v>1.0</v>
      </c>
      <c r="I963" s="20">
        <v>1927.64</v>
      </c>
      <c r="J963" s="20">
        <v>1927.64</v>
      </c>
      <c r="BO963" s="20">
        <v>1927.64</v>
      </c>
      <c r="BP963" s="11"/>
      <c r="BQ963" s="11" t="b">
        <v>1</v>
      </c>
      <c r="BR963" s="20">
        <v>1927.64</v>
      </c>
      <c r="BS963" s="11"/>
      <c r="BT963" s="11"/>
      <c r="BU963" s="11" t="s">
        <v>187</v>
      </c>
      <c r="BV963" s="11" t="s">
        <v>113</v>
      </c>
      <c r="BW963" s="11"/>
      <c r="BX963" s="11"/>
      <c r="BY963" s="11"/>
    </row>
    <row r="964">
      <c r="A964" s="11">
        <v>1762.0</v>
      </c>
      <c r="B964" s="11" t="s">
        <v>78</v>
      </c>
      <c r="C964" s="23">
        <v>46054.0</v>
      </c>
      <c r="D964" s="11"/>
      <c r="E964" s="11"/>
      <c r="F964" s="11" t="s">
        <v>2638</v>
      </c>
      <c r="G964" s="11" t="s">
        <v>376</v>
      </c>
      <c r="H964" s="11">
        <v>1.0</v>
      </c>
      <c r="I964" s="20">
        <v>1454.04</v>
      </c>
      <c r="J964" s="20">
        <v>1454.04</v>
      </c>
      <c r="BO964" s="20">
        <v>1454.04</v>
      </c>
      <c r="BP964" s="11"/>
      <c r="BQ964" s="11" t="b">
        <v>1</v>
      </c>
      <c r="BR964" s="20">
        <v>1454.04</v>
      </c>
      <c r="BS964" s="11"/>
      <c r="BT964" s="11"/>
      <c r="BU964" s="11" t="s">
        <v>187</v>
      </c>
      <c r="BV964" s="11" t="s">
        <v>126</v>
      </c>
      <c r="BW964" s="11"/>
      <c r="BX964" s="11"/>
      <c r="BY964" s="11"/>
    </row>
    <row r="965">
      <c r="A965" s="11">
        <v>1763.0</v>
      </c>
      <c r="B965" s="11" t="s">
        <v>78</v>
      </c>
      <c r="C965" s="23">
        <v>46054.0</v>
      </c>
      <c r="D965" s="11"/>
      <c r="E965" s="11"/>
      <c r="F965" s="11" t="s">
        <v>2638</v>
      </c>
      <c r="G965" s="11" t="s">
        <v>376</v>
      </c>
      <c r="H965" s="11">
        <v>1.0</v>
      </c>
      <c r="I965" s="20">
        <v>1965.33</v>
      </c>
      <c r="J965" s="20">
        <v>1965.33</v>
      </c>
      <c r="BO965" s="20">
        <v>1965.33</v>
      </c>
      <c r="BP965" s="11"/>
      <c r="BQ965" s="11" t="b">
        <v>1</v>
      </c>
      <c r="BR965" s="20">
        <v>1965.33</v>
      </c>
      <c r="BS965" s="11"/>
      <c r="BT965" s="11"/>
      <c r="BU965" s="11" t="s">
        <v>187</v>
      </c>
      <c r="BV965" s="11" t="s">
        <v>3739</v>
      </c>
      <c r="BW965" s="11"/>
      <c r="BX965" s="11"/>
      <c r="BY965" s="11"/>
    </row>
    <row r="966">
      <c r="A966" s="11" t="s">
        <v>2625</v>
      </c>
      <c r="B966" s="11" t="s">
        <v>78</v>
      </c>
      <c r="C966" s="23">
        <v>46054.0</v>
      </c>
      <c r="D966" s="11"/>
      <c r="E966" s="11"/>
      <c r="F966" s="11" t="s">
        <v>2638</v>
      </c>
      <c r="G966" s="11" t="s">
        <v>376</v>
      </c>
      <c r="H966" s="11">
        <v>1.0</v>
      </c>
      <c r="I966" s="20">
        <v>1660.39</v>
      </c>
      <c r="J966" s="20">
        <v>1660.39</v>
      </c>
      <c r="BO966" s="20">
        <v>1660.39</v>
      </c>
      <c r="BP966" s="11"/>
      <c r="BQ966" s="11" t="b">
        <v>1</v>
      </c>
      <c r="BR966" s="20">
        <v>1660.39</v>
      </c>
      <c r="BS966" s="11"/>
      <c r="BT966" s="11"/>
      <c r="BU966" s="11" t="s">
        <v>187</v>
      </c>
      <c r="BV966" s="11" t="s">
        <v>145</v>
      </c>
      <c r="BW966" s="11"/>
      <c r="BX966" s="11"/>
      <c r="BY966" s="11"/>
    </row>
    <row r="967">
      <c r="A967" s="11" t="s">
        <v>4018</v>
      </c>
      <c r="B967" s="11" t="s">
        <v>78</v>
      </c>
      <c r="C967" s="23">
        <v>46055.0</v>
      </c>
      <c r="D967" s="11" t="s">
        <v>104</v>
      </c>
      <c r="E967" s="11" t="s">
        <v>6932</v>
      </c>
      <c r="F967" s="11" t="s">
        <v>6934</v>
      </c>
      <c r="G967" s="11"/>
      <c r="H967" s="11"/>
      <c r="I967" s="20"/>
      <c r="J967" s="20"/>
      <c r="BO967" s="20"/>
      <c r="BP967" s="11" t="s">
        <v>6933</v>
      </c>
      <c r="BQ967" s="11" t="b">
        <v>0</v>
      </c>
      <c r="BR967" s="20"/>
      <c r="BS967" s="19" t="s">
        <v>7080</v>
      </c>
      <c r="BT967" s="11" t="b">
        <v>1</v>
      </c>
      <c r="BU967" s="11" t="s">
        <v>2932</v>
      </c>
      <c r="BV967" s="11"/>
      <c r="BW967" s="11"/>
      <c r="BX967" s="11"/>
      <c r="BY967" s="11"/>
    </row>
    <row r="968">
      <c r="A968" s="11" t="s">
        <v>3997</v>
      </c>
      <c r="B968" s="11" t="s">
        <v>78</v>
      </c>
      <c r="C968" s="23">
        <v>46053.0</v>
      </c>
      <c r="D968" s="11" t="s">
        <v>85</v>
      </c>
      <c r="E968" s="11" t="s">
        <v>6935</v>
      </c>
      <c r="F968" s="11" t="s">
        <v>6937</v>
      </c>
      <c r="G968" s="11"/>
      <c r="H968" s="11"/>
      <c r="I968" s="20"/>
      <c r="J968" s="20"/>
      <c r="BO968" s="20"/>
      <c r="BP968" s="11" t="s">
        <v>6936</v>
      </c>
      <c r="BQ968" s="11" t="b">
        <v>0</v>
      </c>
      <c r="BR968" s="20"/>
      <c r="BS968" s="19" t="s">
        <v>7088</v>
      </c>
      <c r="BT968" s="11" t="b">
        <v>1</v>
      </c>
      <c r="BU968" s="11" t="s">
        <v>2932</v>
      </c>
      <c r="BV968" s="11"/>
      <c r="BW968" s="11"/>
      <c r="BX968" s="11"/>
      <c r="BY968" s="11"/>
    </row>
    <row r="969">
      <c r="A969" s="11" t="s">
        <v>4007</v>
      </c>
      <c r="B969" s="11" t="s">
        <v>78</v>
      </c>
      <c r="C969" s="23">
        <v>46053.0</v>
      </c>
      <c r="D969" s="11" t="s">
        <v>104</v>
      </c>
      <c r="E969" s="11" t="s">
        <v>6938</v>
      </c>
      <c r="F969" s="11" t="s">
        <v>6940</v>
      </c>
      <c r="G969" s="11"/>
      <c r="H969" s="11"/>
      <c r="I969" s="20"/>
      <c r="J969" s="20"/>
      <c r="BO969" s="20"/>
      <c r="BP969" s="11" t="s">
        <v>6939</v>
      </c>
      <c r="BQ969" s="11" t="b">
        <v>0</v>
      </c>
      <c r="BR969" s="20"/>
      <c r="BS969" s="19" t="s">
        <v>7093</v>
      </c>
      <c r="BT969" s="11" t="b">
        <v>1</v>
      </c>
      <c r="BU969" s="11" t="s">
        <v>2932</v>
      </c>
      <c r="BV969" s="11"/>
      <c r="BW969" s="11"/>
      <c r="BX969" s="11"/>
      <c r="BY969" s="11"/>
    </row>
    <row r="970">
      <c r="A970" s="11" t="s">
        <v>3945</v>
      </c>
      <c r="B970" s="11" t="s">
        <v>78</v>
      </c>
      <c r="C970" s="23">
        <v>46050.0</v>
      </c>
      <c r="D970" s="11" t="s">
        <v>85</v>
      </c>
      <c r="E970" s="11" t="s">
        <v>6941</v>
      </c>
      <c r="F970" s="11" t="s">
        <v>6943</v>
      </c>
      <c r="G970" s="11"/>
      <c r="H970" s="11"/>
      <c r="I970" s="20"/>
      <c r="J970" s="20"/>
      <c r="BO970" s="20"/>
      <c r="BP970" s="11" t="s">
        <v>6942</v>
      </c>
      <c r="BQ970" s="11" t="b">
        <v>0</v>
      </c>
      <c r="BR970" s="20"/>
      <c r="BS970" s="19" t="s">
        <v>7095</v>
      </c>
      <c r="BT970" s="11" t="b">
        <v>1</v>
      </c>
      <c r="BU970" s="11" t="s">
        <v>2932</v>
      </c>
      <c r="BV970" s="11"/>
      <c r="BW970" s="11"/>
      <c r="BX970" s="11"/>
      <c r="BY970" s="11"/>
    </row>
    <row r="971">
      <c r="A971" s="11" t="s">
        <v>3953</v>
      </c>
      <c r="B971" s="11" t="s">
        <v>78</v>
      </c>
      <c r="C971" s="23">
        <v>46050.0</v>
      </c>
      <c r="D971" s="11" t="s">
        <v>6945</v>
      </c>
      <c r="E971" s="11" t="s">
        <v>6946</v>
      </c>
      <c r="F971" s="11" t="s">
        <v>6948</v>
      </c>
      <c r="G971" s="11"/>
      <c r="H971" s="11"/>
      <c r="I971" s="20"/>
      <c r="J971" s="20"/>
      <c r="BO971" s="20"/>
      <c r="BP971" s="11" t="s">
        <v>6947</v>
      </c>
      <c r="BQ971" s="11" t="b">
        <v>0</v>
      </c>
      <c r="BR971" s="20"/>
      <c r="BS971" s="19" t="s">
        <v>7098</v>
      </c>
      <c r="BT971" s="11" t="b">
        <v>1</v>
      </c>
      <c r="BU971" s="11" t="s">
        <v>2932</v>
      </c>
      <c r="BV971" s="11"/>
      <c r="BW971" s="11"/>
      <c r="BX971" s="11"/>
      <c r="BY971" s="11"/>
    </row>
    <row r="972">
      <c r="A972" s="11" t="s">
        <v>3981</v>
      </c>
      <c r="B972" s="11" t="s">
        <v>78</v>
      </c>
      <c r="C972" s="23">
        <v>46050.0</v>
      </c>
      <c r="D972" s="11" t="s">
        <v>6954</v>
      </c>
      <c r="E972" s="11" t="s">
        <v>6955</v>
      </c>
      <c r="F972" s="11" t="s">
        <v>6957</v>
      </c>
      <c r="G972" s="11"/>
      <c r="H972" s="11"/>
      <c r="I972" s="20"/>
      <c r="J972" s="20"/>
      <c r="BO972" s="20"/>
      <c r="BP972" s="11" t="s">
        <v>6956</v>
      </c>
      <c r="BQ972" s="11" t="b">
        <v>0</v>
      </c>
      <c r="BR972" s="20"/>
      <c r="BS972" s="19" t="s">
        <v>7104</v>
      </c>
      <c r="BT972" s="11" t="b">
        <v>1</v>
      </c>
      <c r="BU972" s="11" t="s">
        <v>2932</v>
      </c>
      <c r="BV972" s="11"/>
      <c r="BW972" s="11"/>
      <c r="BX972" s="11"/>
      <c r="BY972" s="11"/>
    </row>
    <row r="973">
      <c r="A973" s="11" t="s">
        <v>4028</v>
      </c>
      <c r="B973" s="11" t="s">
        <v>78</v>
      </c>
      <c r="C973" s="23">
        <v>46055.0</v>
      </c>
      <c r="D973" s="11" t="s">
        <v>2549</v>
      </c>
      <c r="E973" s="11" t="s">
        <v>6958</v>
      </c>
      <c r="F973" s="11" t="s">
        <v>6961</v>
      </c>
      <c r="G973" s="11"/>
      <c r="H973" s="11"/>
      <c r="I973" s="20"/>
      <c r="J973" s="20"/>
      <c r="BO973" s="20"/>
      <c r="BP973" s="11" t="s">
        <v>6960</v>
      </c>
      <c r="BQ973" s="11" t="b">
        <v>0</v>
      </c>
      <c r="BR973" s="20"/>
      <c r="BS973" s="19" t="s">
        <v>7109</v>
      </c>
      <c r="BT973" s="11" t="b">
        <v>1</v>
      </c>
      <c r="BU973" s="11" t="s">
        <v>2932</v>
      </c>
      <c r="BV973" s="11"/>
      <c r="BW973" s="11"/>
      <c r="BX973" s="11"/>
      <c r="BY973" s="11"/>
    </row>
    <row r="974">
      <c r="A974" s="11" t="s">
        <v>4032</v>
      </c>
      <c r="B974" s="11" t="s">
        <v>78</v>
      </c>
      <c r="C974" s="23">
        <v>46055.0</v>
      </c>
      <c r="D974" s="11" t="s">
        <v>992</v>
      </c>
      <c r="E974" s="11" t="s">
        <v>6962</v>
      </c>
      <c r="F974" s="11" t="s">
        <v>2909</v>
      </c>
      <c r="G974" s="11"/>
      <c r="H974" s="11"/>
      <c r="I974" s="20"/>
      <c r="J974" s="20"/>
      <c r="BO974" s="20"/>
      <c r="BP974" s="11" t="s">
        <v>6963</v>
      </c>
      <c r="BQ974" s="11" t="b">
        <v>0</v>
      </c>
      <c r="BR974" s="20"/>
      <c r="BS974" s="19" t="s">
        <v>7115</v>
      </c>
      <c r="BT974" s="11" t="b">
        <v>1</v>
      </c>
      <c r="BU974" s="11" t="s">
        <v>2932</v>
      </c>
      <c r="BV974" s="11"/>
      <c r="BW974" s="11"/>
      <c r="BX974" s="11"/>
      <c r="BY974" s="11"/>
    </row>
    <row r="975">
      <c r="A975" s="11" t="s">
        <v>2627</v>
      </c>
      <c r="B975" s="11" t="s">
        <v>78</v>
      </c>
      <c r="C975" s="23">
        <v>46056.0</v>
      </c>
      <c r="D975" s="11" t="s">
        <v>415</v>
      </c>
      <c r="E975" s="11"/>
      <c r="F975" s="11" t="s">
        <v>6964</v>
      </c>
      <c r="G975" s="11" t="s">
        <v>2186</v>
      </c>
      <c r="H975" s="11">
        <v>1.0</v>
      </c>
      <c r="I975" s="20">
        <v>20.0</v>
      </c>
      <c r="J975" s="20">
        <v>20.0</v>
      </c>
      <c r="BO975" s="20">
        <v>20.0</v>
      </c>
      <c r="BP975" s="11"/>
      <c r="BQ975" s="11" t="b">
        <v>1</v>
      </c>
      <c r="BR975" s="20">
        <v>20.0</v>
      </c>
      <c r="BS975" s="11"/>
      <c r="BT975" s="11"/>
      <c r="BU975" s="11" t="s">
        <v>187</v>
      </c>
      <c r="BV975" s="11"/>
      <c r="BW975" s="11"/>
      <c r="BX975" s="11"/>
      <c r="BY975" s="11"/>
    </row>
    <row r="976">
      <c r="A976" s="11" t="s">
        <v>2629</v>
      </c>
      <c r="B976" s="11" t="s">
        <v>78</v>
      </c>
      <c r="C976" s="23">
        <v>46055.0</v>
      </c>
      <c r="D976" s="11" t="s">
        <v>237</v>
      </c>
      <c r="E976" s="11"/>
      <c r="F976" s="11" t="s">
        <v>6968</v>
      </c>
      <c r="G976" s="11" t="s">
        <v>2040</v>
      </c>
      <c r="H976" s="11">
        <v>1.0</v>
      </c>
      <c r="I976" s="20">
        <v>538.09</v>
      </c>
      <c r="J976" s="20">
        <v>538.09</v>
      </c>
      <c r="BO976" s="20">
        <v>538.09</v>
      </c>
      <c r="BP976" s="11"/>
      <c r="BQ976" s="11" t="b">
        <v>1</v>
      </c>
      <c r="BR976" s="20">
        <v>538.09</v>
      </c>
      <c r="BS976" s="11"/>
      <c r="BT976" s="11"/>
      <c r="BU976" s="11" t="s">
        <v>187</v>
      </c>
      <c r="BV976" s="11"/>
      <c r="BW976" s="11"/>
      <c r="BX976" s="11"/>
      <c r="BY976" s="11"/>
    </row>
    <row r="977">
      <c r="A977" s="11">
        <v>1773.0</v>
      </c>
      <c r="B977" s="11" t="s">
        <v>78</v>
      </c>
      <c r="C977" s="23">
        <v>46056.0</v>
      </c>
      <c r="D977" s="11" t="s">
        <v>176</v>
      </c>
      <c r="E977" s="11"/>
      <c r="F977" s="11" t="s">
        <v>1440</v>
      </c>
      <c r="G977" s="11" t="s">
        <v>179</v>
      </c>
      <c r="H977" s="11">
        <v>1.0</v>
      </c>
      <c r="I977" s="20">
        <v>533.95</v>
      </c>
      <c r="J977" s="20">
        <v>533.95</v>
      </c>
      <c r="BO977" s="20">
        <v>533.95</v>
      </c>
      <c r="BP977" s="11"/>
      <c r="BQ977" s="11" t="b">
        <v>1</v>
      </c>
      <c r="BR977" s="20">
        <v>533.95</v>
      </c>
      <c r="BS977" s="11"/>
      <c r="BT977" s="11"/>
      <c r="BU977" s="11" t="s">
        <v>187</v>
      </c>
      <c r="BV977" s="11"/>
      <c r="BW977" s="11"/>
      <c r="BX977" s="11"/>
      <c r="BY977" s="11"/>
    </row>
    <row r="978">
      <c r="A978" s="11">
        <v>1774.0</v>
      </c>
      <c r="B978" s="11" t="s">
        <v>78</v>
      </c>
      <c r="C978" s="23">
        <v>46055.0</v>
      </c>
      <c r="D978" s="11">
        <v>3.6037127E7</v>
      </c>
      <c r="E978" s="11"/>
      <c r="F978" s="11" t="s">
        <v>2162</v>
      </c>
      <c r="G978" s="11" t="s">
        <v>1726</v>
      </c>
      <c r="H978" s="11">
        <v>1.0</v>
      </c>
      <c r="I978" s="20">
        <v>120.0</v>
      </c>
      <c r="J978" s="20">
        <v>120.0</v>
      </c>
      <c r="BO978" s="20">
        <v>120.0</v>
      </c>
      <c r="BP978" s="11"/>
      <c r="BQ978" s="11" t="b">
        <v>1</v>
      </c>
      <c r="BR978" s="20">
        <v>120.0</v>
      </c>
      <c r="BS978" s="11"/>
      <c r="BT978" s="11"/>
      <c r="BU978" s="11" t="s">
        <v>187</v>
      </c>
      <c r="BV978" s="11"/>
      <c r="BW978" s="11"/>
      <c r="BX978" s="11"/>
      <c r="BY978" s="11"/>
    </row>
    <row r="979">
      <c r="A979" s="11">
        <v>1775.0</v>
      </c>
      <c r="B979" s="11" t="s">
        <v>78</v>
      </c>
      <c r="C979" s="23">
        <v>46055.0</v>
      </c>
      <c r="D979" s="11" t="s">
        <v>2509</v>
      </c>
      <c r="E979" s="11"/>
      <c r="F979" s="11" t="s">
        <v>2638</v>
      </c>
      <c r="G979" s="11" t="s">
        <v>1898</v>
      </c>
      <c r="H979" s="11">
        <v>1.0</v>
      </c>
      <c r="I979" s="20">
        <v>104.4</v>
      </c>
      <c r="J979" s="20">
        <v>104.4</v>
      </c>
      <c r="BO979" s="20">
        <v>104.4</v>
      </c>
      <c r="BP979" s="11"/>
      <c r="BQ979" s="11" t="b">
        <v>1</v>
      </c>
      <c r="BR979" s="20">
        <v>104.4</v>
      </c>
      <c r="BS979" s="11"/>
      <c r="BT979" s="11"/>
      <c r="BU979" s="11" t="s">
        <v>187</v>
      </c>
      <c r="BV979" s="11"/>
      <c r="BW979" s="11"/>
      <c r="BX979" s="11"/>
      <c r="BY979" s="11"/>
    </row>
    <row r="980">
      <c r="A980" s="11">
        <v>1777.0</v>
      </c>
      <c r="B980" s="11" t="s">
        <v>78</v>
      </c>
      <c r="C980" s="23">
        <v>46056.0</v>
      </c>
      <c r="D980" s="11" t="s">
        <v>2535</v>
      </c>
      <c r="E980" s="11"/>
      <c r="F980" s="11" t="s">
        <v>2638</v>
      </c>
      <c r="G980" s="11" t="s">
        <v>1906</v>
      </c>
      <c r="H980" s="11">
        <v>1.0</v>
      </c>
      <c r="I980" s="20">
        <v>59.85</v>
      </c>
      <c r="J980" s="20">
        <v>59.85</v>
      </c>
      <c r="BO980" s="20">
        <v>59.85</v>
      </c>
      <c r="BP980" s="11"/>
      <c r="BQ980" s="11" t="b">
        <v>1</v>
      </c>
      <c r="BR980" s="20">
        <v>59.85</v>
      </c>
      <c r="BS980" s="11"/>
      <c r="BT980" s="11"/>
      <c r="BU980" s="11" t="s">
        <v>187</v>
      </c>
      <c r="BV980" s="11"/>
      <c r="BW980" s="11"/>
      <c r="BX980" s="11"/>
      <c r="BY980" s="11"/>
    </row>
    <row r="981">
      <c r="A981" s="11">
        <v>1778.0</v>
      </c>
      <c r="B981" s="11" t="s">
        <v>78</v>
      </c>
      <c r="C981" s="23">
        <v>46056.0</v>
      </c>
      <c r="D981" s="11" t="s">
        <v>5965</v>
      </c>
      <c r="E981" s="11"/>
      <c r="F981" s="11" t="s">
        <v>6976</v>
      </c>
      <c r="G981" s="11" t="s">
        <v>2099</v>
      </c>
      <c r="H981" s="11">
        <v>1.0</v>
      </c>
      <c r="I981" s="20">
        <v>1886.71</v>
      </c>
      <c r="J981" s="20">
        <v>1886.71</v>
      </c>
      <c r="BO981" s="20">
        <v>1886.71</v>
      </c>
      <c r="BP981" s="11"/>
      <c r="BQ981" s="11" t="b">
        <v>1</v>
      </c>
      <c r="BR981" s="20">
        <v>1886.71</v>
      </c>
      <c r="BS981" s="11"/>
      <c r="BT981" s="11"/>
      <c r="BU981" s="11" t="s">
        <v>187</v>
      </c>
      <c r="BV981" s="11"/>
      <c r="BW981" s="11"/>
      <c r="BX981" s="11"/>
      <c r="BY981" s="11"/>
    </row>
    <row r="982">
      <c r="A982" s="11" t="s">
        <v>2643</v>
      </c>
      <c r="B982" s="11" t="s">
        <v>78</v>
      </c>
      <c r="C982" s="23">
        <v>46056.0</v>
      </c>
      <c r="D982" s="11" t="s">
        <v>237</v>
      </c>
      <c r="E982" s="11"/>
      <c r="F982" s="11" t="s">
        <v>6977</v>
      </c>
      <c r="G982" s="11" t="s">
        <v>2644</v>
      </c>
      <c r="H982" s="11">
        <v>1.0</v>
      </c>
      <c r="I982" s="20">
        <v>16.6</v>
      </c>
      <c r="J982" s="20">
        <v>16.6</v>
      </c>
      <c r="BO982" s="20">
        <v>16.6</v>
      </c>
      <c r="BP982" s="11"/>
      <c r="BQ982" s="11" t="b">
        <v>1</v>
      </c>
      <c r="BR982" s="20">
        <v>16.6</v>
      </c>
      <c r="BS982" s="11"/>
      <c r="BT982" s="11"/>
      <c r="BU982" s="11" t="s">
        <v>187</v>
      </c>
      <c r="BV982" s="11"/>
      <c r="BW982" s="11"/>
      <c r="BX982" s="11"/>
      <c r="BY982" s="11"/>
    </row>
    <row r="983">
      <c r="A983" s="11" t="s">
        <v>4038</v>
      </c>
      <c r="B983" s="11" t="s">
        <v>78</v>
      </c>
      <c r="C983" s="23">
        <v>46055.0</v>
      </c>
      <c r="D983" s="11" t="s">
        <v>237</v>
      </c>
      <c r="E983" s="11" t="s">
        <v>6980</v>
      </c>
      <c r="F983" s="11" t="s">
        <v>6982</v>
      </c>
      <c r="G983" s="11"/>
      <c r="H983" s="11"/>
      <c r="I983" s="20"/>
      <c r="J983" s="20"/>
      <c r="BO983" s="20"/>
      <c r="BP983" s="11" t="s">
        <v>6981</v>
      </c>
      <c r="BQ983" s="11" t="b">
        <v>0</v>
      </c>
      <c r="BR983" s="20"/>
      <c r="BS983" s="11"/>
      <c r="BT983" s="11" t="b">
        <v>0</v>
      </c>
      <c r="BU983" s="11" t="s">
        <v>2932</v>
      </c>
      <c r="BV983" s="11"/>
      <c r="BW983" s="11" t="s">
        <v>6983</v>
      </c>
      <c r="BX983" s="11" t="s">
        <v>6984</v>
      </c>
      <c r="BY983" s="11"/>
    </row>
    <row r="984">
      <c r="A984" s="11" t="s">
        <v>4061</v>
      </c>
      <c r="B984" s="11" t="s">
        <v>78</v>
      </c>
      <c r="C984" s="23">
        <v>46059.0</v>
      </c>
      <c r="D984" s="11" t="s">
        <v>85</v>
      </c>
      <c r="E984" s="11" t="s">
        <v>6987</v>
      </c>
      <c r="F984" s="11" t="s">
        <v>3193</v>
      </c>
      <c r="G984" s="11"/>
      <c r="H984" s="11"/>
      <c r="I984" s="20"/>
      <c r="J984" s="20"/>
      <c r="BO984" s="20"/>
      <c r="BP984" s="11" t="s">
        <v>6989</v>
      </c>
      <c r="BQ984" s="11" t="b">
        <v>0</v>
      </c>
      <c r="BR984" s="20"/>
      <c r="BS984" s="19" t="s">
        <v>7134</v>
      </c>
      <c r="BT984" s="11" t="b">
        <v>1</v>
      </c>
      <c r="BU984" s="11" t="s">
        <v>2932</v>
      </c>
      <c r="BV984" s="11"/>
      <c r="BW984" s="11"/>
      <c r="BX984" s="11"/>
      <c r="BY984" s="11"/>
    </row>
    <row r="985">
      <c r="A985" s="11" t="s">
        <v>4072</v>
      </c>
      <c r="B985" s="11" t="s">
        <v>78</v>
      </c>
      <c r="C985" s="23">
        <v>46059.0</v>
      </c>
      <c r="D985" s="11" t="s">
        <v>104</v>
      </c>
      <c r="E985" s="11" t="s">
        <v>6990</v>
      </c>
      <c r="F985" s="11" t="s">
        <v>380</v>
      </c>
      <c r="G985" s="11"/>
      <c r="H985" s="11"/>
      <c r="I985" s="20"/>
      <c r="J985" s="20"/>
      <c r="BO985" s="20"/>
      <c r="BP985" s="11" t="s">
        <v>6991</v>
      </c>
      <c r="BQ985" s="11" t="b">
        <v>0</v>
      </c>
      <c r="BR985" s="20"/>
      <c r="BS985" s="19" t="s">
        <v>7139</v>
      </c>
      <c r="BT985" s="11" t="b">
        <v>1</v>
      </c>
      <c r="BU985" s="11" t="s">
        <v>2932</v>
      </c>
      <c r="BV985" s="11"/>
      <c r="BW985" s="11"/>
      <c r="BX985" s="11"/>
      <c r="BY985" s="11"/>
    </row>
    <row r="986">
      <c r="A986" s="11" t="s">
        <v>5477</v>
      </c>
      <c r="B986" s="11" t="s">
        <v>78</v>
      </c>
      <c r="C986" s="23">
        <v>46059.0</v>
      </c>
      <c r="D986" s="19" t="s">
        <v>7143</v>
      </c>
      <c r="E986" s="11" t="s">
        <v>6993</v>
      </c>
      <c r="F986" s="11" t="s">
        <v>6995</v>
      </c>
      <c r="G986" s="11"/>
      <c r="H986" s="11"/>
      <c r="I986" s="20"/>
      <c r="J986" s="20"/>
      <c r="BO986" s="20"/>
      <c r="BP986" s="11" t="s">
        <v>6994</v>
      </c>
      <c r="BQ986" s="11" t="b">
        <v>0</v>
      </c>
      <c r="BR986" s="20"/>
      <c r="BS986" s="19" t="s">
        <v>7145</v>
      </c>
      <c r="BT986" s="11" t="b">
        <v>1</v>
      </c>
      <c r="BU986" s="11" t="s">
        <v>2932</v>
      </c>
      <c r="BV986" s="11"/>
      <c r="BW986" s="11"/>
      <c r="BX986" s="11"/>
      <c r="BY986" s="11"/>
    </row>
    <row r="987">
      <c r="A987" s="11" t="s">
        <v>4084</v>
      </c>
      <c r="B987" s="11" t="s">
        <v>78</v>
      </c>
      <c r="C987" s="23">
        <v>46059.0</v>
      </c>
      <c r="D987" s="11" t="s">
        <v>992</v>
      </c>
      <c r="E987" s="11" t="s">
        <v>6998</v>
      </c>
      <c r="F987" s="11" t="s">
        <v>2322</v>
      </c>
      <c r="G987" s="11"/>
      <c r="H987" s="11"/>
      <c r="I987" s="20"/>
      <c r="J987" s="20"/>
      <c r="BO987" s="20"/>
      <c r="BP987" s="11" t="s">
        <v>6999</v>
      </c>
      <c r="BQ987" s="11" t="b">
        <v>0</v>
      </c>
      <c r="BR987" s="20"/>
      <c r="BS987" s="19" t="s">
        <v>7151</v>
      </c>
      <c r="BT987" s="11" t="b">
        <v>1</v>
      </c>
      <c r="BU987" s="11" t="s">
        <v>2932</v>
      </c>
      <c r="BV987" s="11"/>
      <c r="BW987" s="11"/>
      <c r="BX987" s="11"/>
      <c r="BY987" s="11"/>
    </row>
    <row r="988">
      <c r="A988" s="11" t="s">
        <v>5580</v>
      </c>
      <c r="B988" s="11" t="s">
        <v>78</v>
      </c>
      <c r="C988" s="23">
        <v>46059.0</v>
      </c>
      <c r="D988" s="11" t="s">
        <v>7000</v>
      </c>
      <c r="E988" s="11" t="s">
        <v>7001</v>
      </c>
      <c r="F988" s="11" t="s">
        <v>7003</v>
      </c>
      <c r="G988" s="11"/>
      <c r="H988" s="11"/>
      <c r="I988" s="20"/>
      <c r="J988" s="20"/>
      <c r="BO988" s="20"/>
      <c r="BP988" s="11" t="s">
        <v>7002</v>
      </c>
      <c r="BQ988" s="11" t="b">
        <v>0</v>
      </c>
      <c r="BR988" s="20"/>
      <c r="BS988" s="19" t="s">
        <v>7157</v>
      </c>
      <c r="BT988" s="11" t="b">
        <v>1</v>
      </c>
      <c r="BU988" s="11" t="s">
        <v>2932</v>
      </c>
      <c r="BV988" s="11"/>
      <c r="BW988" s="11"/>
      <c r="BX988" s="11"/>
      <c r="BY988" s="11"/>
    </row>
    <row r="989">
      <c r="A989" s="11" t="s">
        <v>4041</v>
      </c>
      <c r="B989" s="11" t="s">
        <v>78</v>
      </c>
      <c r="C989" s="23">
        <v>46058.0</v>
      </c>
      <c r="D989" s="11" t="s">
        <v>168</v>
      </c>
      <c r="E989" s="11" t="s">
        <v>7006</v>
      </c>
      <c r="F989" s="11" t="s">
        <v>7008</v>
      </c>
      <c r="G989" s="11"/>
      <c r="H989" s="11"/>
      <c r="I989" s="20"/>
      <c r="J989" s="20"/>
      <c r="BO989" s="20"/>
      <c r="BP989" s="11" t="s">
        <v>7007</v>
      </c>
      <c r="BQ989" s="11" t="b">
        <v>0</v>
      </c>
      <c r="BR989" s="20"/>
      <c r="BS989" s="19" t="s">
        <v>7165</v>
      </c>
      <c r="BT989" s="11" t="b">
        <v>1</v>
      </c>
      <c r="BU989" s="11" t="s">
        <v>2932</v>
      </c>
      <c r="BV989" s="11"/>
      <c r="BW989" s="11"/>
      <c r="BX989" s="11"/>
      <c r="BY989" s="11"/>
    </row>
    <row r="990">
      <c r="A990" s="11">
        <v>1788.0</v>
      </c>
      <c r="B990" s="11" t="s">
        <v>78</v>
      </c>
      <c r="C990" s="23">
        <v>46061.0</v>
      </c>
      <c r="D990" s="11" t="s">
        <v>1046</v>
      </c>
      <c r="E990" s="11"/>
      <c r="F990" s="11" t="s">
        <v>7009</v>
      </c>
      <c r="G990" s="11" t="s">
        <v>1936</v>
      </c>
      <c r="H990" s="11">
        <v>1.0</v>
      </c>
      <c r="I990" s="20">
        <v>0.01</v>
      </c>
      <c r="J990" s="20">
        <v>0.01</v>
      </c>
      <c r="BO990" s="20">
        <v>0.01</v>
      </c>
      <c r="BP990" s="11"/>
      <c r="BQ990" s="11" t="b">
        <v>1</v>
      </c>
      <c r="BR990" s="20">
        <v>0.01</v>
      </c>
      <c r="BS990" s="11"/>
      <c r="BT990" s="11"/>
      <c r="BU990" s="11" t="s">
        <v>187</v>
      </c>
      <c r="BV990" s="11"/>
      <c r="BW990" s="11"/>
      <c r="BX990" s="11"/>
      <c r="BY990" s="11"/>
    </row>
    <row r="991">
      <c r="A991" s="11">
        <v>1785.0</v>
      </c>
      <c r="B991" s="11" t="s">
        <v>78</v>
      </c>
      <c r="C991" s="23">
        <v>46062.0</v>
      </c>
      <c r="D991" s="11" t="s">
        <v>192</v>
      </c>
      <c r="E991" s="11"/>
      <c r="F991" s="11" t="s">
        <v>195</v>
      </c>
      <c r="G991" s="11" t="s">
        <v>196</v>
      </c>
      <c r="H991" s="11">
        <v>1.0</v>
      </c>
      <c r="I991" s="20">
        <v>2500.0</v>
      </c>
      <c r="J991" s="20">
        <v>2500.0</v>
      </c>
      <c r="BO991" s="20">
        <v>2500.0</v>
      </c>
      <c r="BP991" s="11"/>
      <c r="BQ991" s="11" t="b">
        <v>1</v>
      </c>
      <c r="BR991" s="20">
        <v>2500.0</v>
      </c>
      <c r="BS991" s="11"/>
      <c r="BT991" s="11"/>
      <c r="BU991" s="11" t="s">
        <v>187</v>
      </c>
      <c r="BV991" s="11"/>
      <c r="BW991" s="11"/>
      <c r="BX991" s="11"/>
      <c r="BY991" s="11"/>
    </row>
    <row r="992">
      <c r="A992" s="11">
        <v>1786.0</v>
      </c>
      <c r="B992" s="11" t="s">
        <v>78</v>
      </c>
      <c r="C992" s="23">
        <v>46062.0</v>
      </c>
      <c r="D992" s="11" t="s">
        <v>1217</v>
      </c>
      <c r="E992" s="11"/>
      <c r="F992" s="11" t="s">
        <v>1218</v>
      </c>
      <c r="G992" s="11" t="s">
        <v>502</v>
      </c>
      <c r="H992" s="11">
        <v>1.0</v>
      </c>
      <c r="I992" s="20">
        <v>131.9</v>
      </c>
      <c r="J992" s="20">
        <v>131.9</v>
      </c>
      <c r="BO992" s="20">
        <v>131.9</v>
      </c>
      <c r="BP992" s="11"/>
      <c r="BQ992" s="11" t="b">
        <v>1</v>
      </c>
      <c r="BR992" s="20">
        <v>131.9</v>
      </c>
      <c r="BS992" s="11"/>
      <c r="BT992" s="11"/>
      <c r="BU992" s="11" t="s">
        <v>187</v>
      </c>
      <c r="BV992" s="11"/>
      <c r="BW992" s="11"/>
      <c r="BX992" s="11"/>
      <c r="BY992" s="11"/>
    </row>
    <row r="993">
      <c r="A993" s="11">
        <v>1787.0</v>
      </c>
      <c r="B993" s="11" t="s">
        <v>78</v>
      </c>
      <c r="C993" s="23">
        <v>46062.0</v>
      </c>
      <c r="D993" s="11" t="s">
        <v>415</v>
      </c>
      <c r="E993" s="11"/>
      <c r="F993" s="11" t="s">
        <v>7012</v>
      </c>
      <c r="G993" s="11" t="s">
        <v>761</v>
      </c>
      <c r="H993" s="11">
        <v>1.0</v>
      </c>
      <c r="I993" s="20">
        <v>121.9</v>
      </c>
      <c r="J993" s="20">
        <v>121.9</v>
      </c>
      <c r="BO993" s="20">
        <v>121.9</v>
      </c>
      <c r="BP993" s="11"/>
      <c r="BQ993" s="11" t="b">
        <v>1</v>
      </c>
      <c r="BR993" s="20">
        <v>121.9</v>
      </c>
      <c r="BS993" s="11"/>
      <c r="BT993" s="11"/>
      <c r="BU993" s="11" t="s">
        <v>187</v>
      </c>
      <c r="BV993" s="11"/>
      <c r="BW993" s="11"/>
      <c r="BX993" s="11"/>
      <c r="BY993" s="11"/>
    </row>
    <row r="994">
      <c r="A994" s="11" t="s">
        <v>4089</v>
      </c>
      <c r="B994" s="11" t="s">
        <v>78</v>
      </c>
      <c r="C994" s="23">
        <v>46062.0</v>
      </c>
      <c r="D994" s="11" t="s">
        <v>2549</v>
      </c>
      <c r="E994" s="11" t="s">
        <v>7013</v>
      </c>
      <c r="F994" s="11" t="s">
        <v>7015</v>
      </c>
      <c r="G994" s="11"/>
      <c r="H994" s="11"/>
      <c r="I994" s="20"/>
      <c r="J994" s="20"/>
      <c r="BO994" s="20"/>
      <c r="BP994" s="11" t="s">
        <v>7014</v>
      </c>
      <c r="BQ994" s="11" t="b">
        <v>0</v>
      </c>
      <c r="BR994" s="20"/>
      <c r="BS994" s="19" t="s">
        <v>7177</v>
      </c>
      <c r="BT994" s="11" t="b">
        <v>1</v>
      </c>
      <c r="BU994" s="11" t="s">
        <v>2932</v>
      </c>
      <c r="BV994" s="11"/>
      <c r="BW994" s="11"/>
      <c r="BX994" s="11"/>
      <c r="BY994" s="11"/>
    </row>
    <row r="995">
      <c r="A995" s="11" t="s">
        <v>4093</v>
      </c>
      <c r="B995" s="11" t="s">
        <v>78</v>
      </c>
      <c r="C995" s="23">
        <v>46062.0</v>
      </c>
      <c r="D995" s="19" t="s">
        <v>6565</v>
      </c>
      <c r="E995" s="11" t="s">
        <v>7016</v>
      </c>
      <c r="F995" s="11" t="s">
        <v>7018</v>
      </c>
      <c r="G995" s="11"/>
      <c r="H995" s="11"/>
      <c r="I995" s="20"/>
      <c r="J995" s="20"/>
      <c r="BO995" s="20"/>
      <c r="BP995" s="11" t="s">
        <v>7017</v>
      </c>
      <c r="BQ995" s="11" t="b">
        <v>0</v>
      </c>
      <c r="BR995" s="20"/>
      <c r="BS995" s="19" t="s">
        <v>7178</v>
      </c>
      <c r="BT995" s="11" t="b">
        <v>1</v>
      </c>
      <c r="BU995" s="11" t="s">
        <v>2932</v>
      </c>
      <c r="BV995" s="11"/>
      <c r="BW995" s="11"/>
      <c r="BX995" s="11"/>
      <c r="BY995" s="11"/>
    </row>
    <row r="996">
      <c r="A996" s="11" t="s">
        <v>4097</v>
      </c>
      <c r="B996" s="11" t="s">
        <v>78</v>
      </c>
      <c r="C996" s="23">
        <v>46062.0</v>
      </c>
      <c r="D996" s="11" t="s">
        <v>992</v>
      </c>
      <c r="E996" s="11" t="s">
        <v>7021</v>
      </c>
      <c r="F996" s="11" t="s">
        <v>2909</v>
      </c>
      <c r="G996" s="11"/>
      <c r="H996" s="11"/>
      <c r="I996" s="20"/>
      <c r="J996" s="20"/>
      <c r="BO996" s="20"/>
      <c r="BP996" s="11" t="s">
        <v>7023</v>
      </c>
      <c r="BQ996" s="11" t="b">
        <v>0</v>
      </c>
      <c r="BR996" s="20"/>
      <c r="BS996" s="19" t="s">
        <v>7183</v>
      </c>
      <c r="BT996" s="11" t="b">
        <v>1</v>
      </c>
      <c r="BU996" s="11" t="s">
        <v>2932</v>
      </c>
      <c r="BV996" s="11"/>
      <c r="BW996" s="11"/>
      <c r="BX996" s="11"/>
      <c r="BY996" s="11"/>
    </row>
    <row r="997">
      <c r="A997" s="11">
        <v>1.49954597E8</v>
      </c>
      <c r="B997" s="11" t="s">
        <v>78</v>
      </c>
      <c r="C997" s="23">
        <v>46063.0</v>
      </c>
      <c r="D997" s="11" t="s">
        <v>6470</v>
      </c>
      <c r="E997" s="11"/>
      <c r="F997" s="11" t="s">
        <v>6472</v>
      </c>
      <c r="G997" s="11" t="s">
        <v>2360</v>
      </c>
      <c r="H997" s="11">
        <v>1.0</v>
      </c>
      <c r="I997" s="20">
        <v>1153.66</v>
      </c>
      <c r="J997" s="20">
        <v>1153.66</v>
      </c>
      <c r="BO997" s="20">
        <v>1153.66</v>
      </c>
      <c r="BP997" s="11"/>
      <c r="BQ997" s="11" t="b">
        <v>1</v>
      </c>
      <c r="BR997" s="20">
        <v>1153.66</v>
      </c>
      <c r="BS997" s="11"/>
      <c r="BT997" s="11"/>
      <c r="BU997" s="11" t="s">
        <v>187</v>
      </c>
      <c r="BV997" s="11"/>
      <c r="BW997" s="11"/>
      <c r="BX997" s="11"/>
      <c r="BY997" s="11"/>
    </row>
    <row r="998">
      <c r="A998" s="11" t="s">
        <v>2660</v>
      </c>
      <c r="B998" s="11" t="s">
        <v>78</v>
      </c>
      <c r="C998" s="23">
        <v>46063.0</v>
      </c>
      <c r="D998" s="11" t="s">
        <v>237</v>
      </c>
      <c r="E998" s="11"/>
      <c r="F998" s="11" t="s">
        <v>6472</v>
      </c>
      <c r="G998" s="11" t="s">
        <v>2360</v>
      </c>
      <c r="H998" s="11">
        <v>1.0</v>
      </c>
      <c r="I998" s="20">
        <v>4446.87</v>
      </c>
      <c r="J998" s="20">
        <v>4446.87</v>
      </c>
      <c r="BO998" s="20">
        <v>4446.87</v>
      </c>
      <c r="BP998" s="11"/>
      <c r="BQ998" s="11" t="b">
        <v>1</v>
      </c>
      <c r="BR998" s="20">
        <v>4446.87</v>
      </c>
      <c r="BS998" s="11"/>
      <c r="BT998" s="11"/>
      <c r="BU998" s="11" t="s">
        <v>187</v>
      </c>
      <c r="BV998" s="11"/>
      <c r="BW998" s="11"/>
      <c r="BX998" s="11"/>
      <c r="BY998" s="11"/>
    </row>
    <row r="999">
      <c r="A999" s="11">
        <v>1776.0</v>
      </c>
      <c r="B999" s="11" t="s">
        <v>78</v>
      </c>
      <c r="C999" s="23">
        <v>46063.0</v>
      </c>
      <c r="D999" s="11" t="s">
        <v>1676</v>
      </c>
      <c r="E999" s="11"/>
      <c r="F999" s="11" t="s">
        <v>2802</v>
      </c>
      <c r="G999" s="11" t="s">
        <v>1902</v>
      </c>
      <c r="H999" s="11">
        <v>1.0</v>
      </c>
      <c r="I999" s="20">
        <v>1744.55</v>
      </c>
      <c r="J999" s="20">
        <v>1744.55</v>
      </c>
      <c r="BO999" s="20">
        <v>1744.55</v>
      </c>
      <c r="BP999" s="11"/>
      <c r="BQ999" s="11" t="b">
        <v>1</v>
      </c>
      <c r="BR999" s="20">
        <v>1744.55</v>
      </c>
      <c r="BS999" s="11"/>
      <c r="BT999" s="11"/>
      <c r="BU999" s="11" t="s">
        <v>187</v>
      </c>
      <c r="BV999" s="11"/>
      <c r="BW999" s="11"/>
      <c r="BX999" s="11"/>
      <c r="BY999" s="11"/>
    </row>
    <row r="1000">
      <c r="A1000" s="11">
        <v>1.85031018E8</v>
      </c>
      <c r="B1000" s="11" t="s">
        <v>78</v>
      </c>
      <c r="C1000" s="23">
        <v>46063.0</v>
      </c>
      <c r="D1000" s="11" t="s">
        <v>2355</v>
      </c>
      <c r="E1000" s="11"/>
      <c r="F1000" s="11" t="s">
        <v>7029</v>
      </c>
      <c r="G1000" s="11" t="s">
        <v>2318</v>
      </c>
      <c r="H1000" s="11">
        <v>1.0</v>
      </c>
      <c r="I1000" s="20">
        <v>29.45</v>
      </c>
      <c r="J1000" s="20">
        <v>29.45</v>
      </c>
      <c r="BO1000" s="20">
        <v>29.45</v>
      </c>
      <c r="BP1000" s="11"/>
      <c r="BQ1000" s="11" t="b">
        <v>1</v>
      </c>
      <c r="BR1000" s="20">
        <v>29.45</v>
      </c>
      <c r="BS1000" s="11"/>
      <c r="BT1000" s="11"/>
      <c r="BU1000" s="11" t="s">
        <v>187</v>
      </c>
      <c r="BV1000" s="11"/>
      <c r="BW1000" s="11"/>
      <c r="BX1000" s="11"/>
      <c r="BY1000" s="11"/>
    </row>
    <row r="1001">
      <c r="A1001" s="11" t="s">
        <v>2669</v>
      </c>
      <c r="B1001" s="11" t="s">
        <v>78</v>
      </c>
      <c r="C1001" s="23">
        <v>46064.0</v>
      </c>
      <c r="D1001" s="11" t="s">
        <v>7030</v>
      </c>
      <c r="E1001" s="11"/>
      <c r="F1001" s="11" t="s">
        <v>7031</v>
      </c>
      <c r="G1001" s="11" t="s">
        <v>648</v>
      </c>
      <c r="H1001" s="11">
        <v>1.0</v>
      </c>
      <c r="I1001" s="20">
        <v>1000.0</v>
      </c>
      <c r="J1001" s="20">
        <v>1000.0</v>
      </c>
      <c r="BO1001" s="20">
        <v>1000.0</v>
      </c>
      <c r="BP1001" s="11"/>
      <c r="BQ1001" s="11" t="b">
        <v>1</v>
      </c>
      <c r="BR1001" s="20">
        <v>1000.0</v>
      </c>
      <c r="BS1001" s="11"/>
      <c r="BT1001" s="11"/>
      <c r="BU1001" s="11" t="s">
        <v>187</v>
      </c>
      <c r="BV1001" s="11"/>
      <c r="BW1001" s="11"/>
      <c r="BX1001" s="11"/>
      <c r="BY1001" s="11"/>
    </row>
    <row r="1002">
      <c r="A1002" s="11" t="s">
        <v>4100</v>
      </c>
      <c r="B1002" s="11" t="s">
        <v>78</v>
      </c>
      <c r="C1002" s="23">
        <v>46063.0</v>
      </c>
      <c r="D1002" s="11" t="s">
        <v>237</v>
      </c>
      <c r="E1002" s="11" t="s">
        <v>7032</v>
      </c>
      <c r="F1002" s="11" t="s">
        <v>7034</v>
      </c>
      <c r="G1002" s="11"/>
      <c r="H1002" s="11"/>
      <c r="I1002" s="20"/>
      <c r="J1002" s="20"/>
      <c r="BO1002" s="20"/>
      <c r="BP1002" s="11" t="s">
        <v>7033</v>
      </c>
      <c r="BQ1002" s="11" t="b">
        <v>0</v>
      </c>
      <c r="BR1002" s="20"/>
      <c r="BS1002" s="11"/>
      <c r="BT1002" s="11" t="b">
        <v>0</v>
      </c>
      <c r="BU1002" s="11" t="s">
        <v>2932</v>
      </c>
      <c r="BV1002" s="11"/>
      <c r="BW1002" s="11" t="s">
        <v>7035</v>
      </c>
      <c r="BX1002" s="11"/>
      <c r="BY1002" s="11"/>
    </row>
    <row r="1003">
      <c r="A1003" s="11" t="s">
        <v>4109</v>
      </c>
      <c r="B1003" s="11" t="s">
        <v>78</v>
      </c>
      <c r="C1003" s="23">
        <v>46063.0</v>
      </c>
      <c r="D1003" s="11" t="s">
        <v>513</v>
      </c>
      <c r="E1003" s="11" t="s">
        <v>7037</v>
      </c>
      <c r="F1003" s="11" t="s">
        <v>7039</v>
      </c>
      <c r="G1003" s="11"/>
      <c r="H1003" s="11"/>
      <c r="I1003" s="20"/>
      <c r="J1003" s="20"/>
      <c r="BO1003" s="20"/>
      <c r="BP1003" s="11" t="s">
        <v>7038</v>
      </c>
      <c r="BQ1003" s="11" t="b">
        <v>0</v>
      </c>
      <c r="BR1003" s="20"/>
      <c r="BS1003" s="19" t="s">
        <v>7214</v>
      </c>
      <c r="BT1003" s="11" t="b">
        <v>1</v>
      </c>
      <c r="BU1003" s="11" t="s">
        <v>2932</v>
      </c>
      <c r="BV1003" s="11"/>
      <c r="BW1003" s="11"/>
      <c r="BX1003" s="11"/>
      <c r="BY1003" s="11"/>
    </row>
    <row r="1004">
      <c r="A1004" s="11" t="s">
        <v>4125</v>
      </c>
      <c r="B1004" s="11" t="s">
        <v>78</v>
      </c>
      <c r="C1004" s="23">
        <v>46065.0</v>
      </c>
      <c r="D1004" s="11" t="s">
        <v>4575</v>
      </c>
      <c r="E1004" s="11" t="s">
        <v>7040</v>
      </c>
      <c r="F1004" s="11" t="s">
        <v>7042</v>
      </c>
      <c r="G1004" s="11"/>
      <c r="H1004" s="11"/>
      <c r="I1004" s="20"/>
      <c r="J1004" s="20"/>
      <c r="BO1004" s="20"/>
      <c r="BP1004" s="11" t="s">
        <v>7041</v>
      </c>
      <c r="BQ1004" s="11" t="b">
        <v>0</v>
      </c>
      <c r="BR1004" s="20"/>
      <c r="BS1004" s="19" t="s">
        <v>7218</v>
      </c>
      <c r="BT1004" s="11" t="b">
        <v>1</v>
      </c>
      <c r="BU1004" s="11" t="s">
        <v>5814</v>
      </c>
      <c r="BV1004" s="11"/>
      <c r="BW1004" s="11"/>
      <c r="BX1004" s="11"/>
      <c r="BY1004" s="11"/>
    </row>
    <row r="1005">
      <c r="A1005" s="11" t="s">
        <v>4116</v>
      </c>
      <c r="B1005" s="11" t="s">
        <v>78</v>
      </c>
      <c r="C1005" s="23">
        <v>46064.0</v>
      </c>
      <c r="D1005" s="11" t="s">
        <v>237</v>
      </c>
      <c r="E1005" s="11" t="s">
        <v>7045</v>
      </c>
      <c r="F1005" s="11" t="s">
        <v>7047</v>
      </c>
      <c r="G1005" s="11"/>
      <c r="H1005" s="11"/>
      <c r="I1005" s="20"/>
      <c r="J1005" s="20"/>
      <c r="BO1005" s="20"/>
      <c r="BP1005" s="11" t="s">
        <v>7046</v>
      </c>
      <c r="BQ1005" s="11" t="b">
        <v>0</v>
      </c>
      <c r="BR1005" s="20"/>
      <c r="BS1005" s="11"/>
      <c r="BT1005" s="11" t="b">
        <v>0</v>
      </c>
      <c r="BU1005" s="11" t="s">
        <v>2932</v>
      </c>
      <c r="BV1005" s="11"/>
      <c r="BW1005" s="11" t="s">
        <v>7048</v>
      </c>
      <c r="BX1005" s="11" t="s">
        <v>7050</v>
      </c>
      <c r="BY1005" s="11"/>
    </row>
    <row r="1006">
      <c r="A1006" s="11" t="s">
        <v>2671</v>
      </c>
      <c r="B1006" s="11" t="s">
        <v>78</v>
      </c>
      <c r="C1006" s="23">
        <v>46070.0</v>
      </c>
      <c r="D1006" s="11" t="s">
        <v>404</v>
      </c>
      <c r="E1006" s="11"/>
      <c r="F1006" s="11" t="s">
        <v>7051</v>
      </c>
      <c r="G1006" s="11">
        <v>7.9792017E7</v>
      </c>
      <c r="H1006" s="11">
        <v>1.0</v>
      </c>
      <c r="I1006" s="20">
        <v>205.16</v>
      </c>
      <c r="J1006" s="20">
        <v>205.16</v>
      </c>
      <c r="BO1006" s="20">
        <v>205.16</v>
      </c>
      <c r="BP1006" s="11"/>
      <c r="BQ1006" s="11" t="b">
        <v>1</v>
      </c>
      <c r="BR1006" s="20">
        <v>205.16</v>
      </c>
      <c r="BS1006" s="11"/>
      <c r="BT1006" s="11"/>
      <c r="BU1006" s="11" t="s">
        <v>187</v>
      </c>
      <c r="BV1006" s="11"/>
      <c r="BW1006" s="11"/>
      <c r="BX1006" s="11"/>
      <c r="BY1006" s="11"/>
    </row>
    <row r="1007">
      <c r="A1007" s="11" t="s">
        <v>4169</v>
      </c>
      <c r="B1007" s="11" t="s">
        <v>78</v>
      </c>
      <c r="C1007" s="23">
        <v>46069.0</v>
      </c>
      <c r="D1007" s="11" t="s">
        <v>274</v>
      </c>
      <c r="E1007" s="11" t="s">
        <v>7052</v>
      </c>
      <c r="F1007" s="11" t="s">
        <v>7054</v>
      </c>
      <c r="G1007" s="11"/>
      <c r="H1007" s="11"/>
      <c r="I1007" s="20"/>
      <c r="J1007" s="20"/>
      <c r="BO1007" s="20"/>
      <c r="BP1007" s="11" t="s">
        <v>7053</v>
      </c>
      <c r="BQ1007" s="11" t="b">
        <v>0</v>
      </c>
      <c r="BR1007" s="20"/>
      <c r="BS1007" s="19" t="s">
        <v>7232</v>
      </c>
      <c r="BT1007" s="11" t="b">
        <v>1</v>
      </c>
      <c r="BU1007" s="11" t="s">
        <v>2932</v>
      </c>
      <c r="BV1007" s="11"/>
      <c r="BW1007" s="11"/>
      <c r="BX1007" s="11"/>
      <c r="BY1007" s="11"/>
    </row>
    <row r="1008">
      <c r="A1008" s="11" t="s">
        <v>4172</v>
      </c>
      <c r="B1008" s="11" t="s">
        <v>78</v>
      </c>
      <c r="C1008" s="23">
        <v>46069.0</v>
      </c>
      <c r="D1008" s="11" t="s">
        <v>992</v>
      </c>
      <c r="E1008" s="11" t="s">
        <v>7056</v>
      </c>
      <c r="F1008" s="11" t="s">
        <v>5323</v>
      </c>
      <c r="G1008" s="11"/>
      <c r="H1008" s="11"/>
      <c r="I1008" s="20"/>
      <c r="J1008" s="20"/>
      <c r="BO1008" s="20"/>
      <c r="BP1008" s="11" t="s">
        <v>7057</v>
      </c>
      <c r="BQ1008" s="11" t="b">
        <v>0</v>
      </c>
      <c r="BR1008" s="20"/>
      <c r="BS1008" s="19" t="s">
        <v>7239</v>
      </c>
      <c r="BT1008" s="11" t="b">
        <v>1</v>
      </c>
      <c r="BU1008" s="11" t="s">
        <v>2932</v>
      </c>
      <c r="BV1008" s="11"/>
      <c r="BW1008" s="11"/>
      <c r="BX1008" s="11"/>
      <c r="BY1008" s="11"/>
    </row>
    <row r="1009">
      <c r="A1009" s="11" t="s">
        <v>4129</v>
      </c>
      <c r="B1009" s="11" t="s">
        <v>78</v>
      </c>
      <c r="C1009" s="23">
        <v>46065.0</v>
      </c>
      <c r="D1009" s="11" t="s">
        <v>1094</v>
      </c>
      <c r="E1009" s="11" t="s">
        <v>7060</v>
      </c>
      <c r="F1009" s="11" t="s">
        <v>7063</v>
      </c>
      <c r="G1009" s="11"/>
      <c r="H1009" s="11"/>
      <c r="I1009" s="20"/>
      <c r="J1009" s="20"/>
      <c r="BO1009" s="20"/>
      <c r="BP1009" s="11" t="s">
        <v>7062</v>
      </c>
      <c r="BQ1009" s="11" t="b">
        <v>0</v>
      </c>
      <c r="BR1009" s="20"/>
      <c r="BS1009" s="19" t="s">
        <v>7243</v>
      </c>
      <c r="BT1009" s="11" t="b">
        <v>1</v>
      </c>
      <c r="BU1009" s="11" t="s">
        <v>2932</v>
      </c>
      <c r="BV1009" s="11"/>
      <c r="BW1009" s="11"/>
      <c r="BX1009" s="11"/>
      <c r="BY1009" s="11"/>
    </row>
    <row r="1010">
      <c r="A1010" s="11" t="s">
        <v>4134</v>
      </c>
      <c r="B1010" s="11" t="s">
        <v>78</v>
      </c>
      <c r="C1010" s="23">
        <v>46065.0</v>
      </c>
      <c r="D1010" s="11" t="s">
        <v>7065</v>
      </c>
      <c r="E1010" s="11" t="s">
        <v>7066</v>
      </c>
      <c r="F1010" s="11" t="s">
        <v>7063</v>
      </c>
      <c r="G1010" s="11"/>
      <c r="H1010" s="11"/>
      <c r="I1010" s="20"/>
      <c r="J1010" s="20"/>
      <c r="BO1010" s="20"/>
      <c r="BP1010" s="11" t="s">
        <v>7067</v>
      </c>
      <c r="BQ1010" s="11" t="b">
        <v>0</v>
      </c>
      <c r="BR1010" s="20"/>
      <c r="BS1010" s="19" t="s">
        <v>7247</v>
      </c>
      <c r="BT1010" s="11" t="b">
        <v>1</v>
      </c>
      <c r="BU1010" s="11" t="s">
        <v>2932</v>
      </c>
      <c r="BV1010" s="11"/>
      <c r="BW1010" s="11"/>
      <c r="BX1010" s="11"/>
      <c r="BY1010" s="11"/>
    </row>
    <row r="1011">
      <c r="A1011" s="11" t="s">
        <v>4142</v>
      </c>
      <c r="B1011" s="11" t="s">
        <v>78</v>
      </c>
      <c r="C1011" s="23">
        <v>46066.0</v>
      </c>
      <c r="D1011" s="11" t="s">
        <v>104</v>
      </c>
      <c r="E1011" s="11" t="s">
        <v>7068</v>
      </c>
      <c r="F1011" s="11" t="s">
        <v>7070</v>
      </c>
      <c r="G1011" s="11"/>
      <c r="H1011" s="11"/>
      <c r="I1011" s="20"/>
      <c r="J1011" s="20"/>
      <c r="BO1011" s="20"/>
      <c r="BP1011" s="11" t="s">
        <v>7069</v>
      </c>
      <c r="BQ1011" s="11" t="b">
        <v>0</v>
      </c>
      <c r="BR1011" s="20"/>
      <c r="BS1011" s="19" t="s">
        <v>7249</v>
      </c>
      <c r="BT1011" s="11" t="b">
        <v>1</v>
      </c>
      <c r="BU1011" s="11" t="s">
        <v>2932</v>
      </c>
      <c r="BV1011" s="11"/>
      <c r="BW1011" s="11"/>
      <c r="BX1011" s="11"/>
      <c r="BY1011" s="11"/>
    </row>
    <row r="1012">
      <c r="A1012" s="11" t="s">
        <v>4151</v>
      </c>
      <c r="B1012" s="11" t="s">
        <v>78</v>
      </c>
      <c r="C1012" s="23">
        <v>46066.0</v>
      </c>
      <c r="D1012" s="11" t="s">
        <v>85</v>
      </c>
      <c r="E1012" s="11" t="s">
        <v>7073</v>
      </c>
      <c r="F1012" s="11" t="s">
        <v>7075</v>
      </c>
      <c r="G1012" s="11"/>
      <c r="H1012" s="11"/>
      <c r="I1012" s="20"/>
      <c r="J1012" s="20"/>
      <c r="BO1012" s="20"/>
      <c r="BP1012" s="11" t="s">
        <v>7074</v>
      </c>
      <c r="BQ1012" s="11" t="b">
        <v>0</v>
      </c>
      <c r="BR1012" s="20"/>
      <c r="BS1012" s="19" t="s">
        <v>7254</v>
      </c>
      <c r="BT1012" s="11" t="b">
        <v>1</v>
      </c>
      <c r="BU1012" s="11" t="s">
        <v>2932</v>
      </c>
      <c r="BV1012" s="11"/>
      <c r="BW1012" s="11"/>
      <c r="BX1012" s="11"/>
      <c r="BY1012" s="11"/>
    </row>
    <row r="1013">
      <c r="A1013" s="11" t="s">
        <v>3886</v>
      </c>
      <c r="B1013" s="11" t="s">
        <v>78</v>
      </c>
      <c r="C1013" s="23">
        <v>46043.0</v>
      </c>
      <c r="D1013" s="11" t="s">
        <v>237</v>
      </c>
      <c r="E1013" s="11" t="s">
        <v>7076</v>
      </c>
      <c r="F1013" s="11" t="s">
        <v>7078</v>
      </c>
      <c r="G1013" s="11"/>
      <c r="H1013" s="11"/>
      <c r="I1013" s="20"/>
      <c r="J1013" s="20"/>
      <c r="BO1013" s="20"/>
      <c r="BP1013" s="11" t="s">
        <v>7077</v>
      </c>
      <c r="BQ1013" s="11" t="b">
        <v>0</v>
      </c>
      <c r="BR1013" s="20"/>
      <c r="BS1013" s="11"/>
      <c r="BT1013" s="11" t="b">
        <v>0</v>
      </c>
      <c r="BU1013" s="11" t="s">
        <v>2932</v>
      </c>
      <c r="BV1013" s="11"/>
      <c r="BW1013" s="11" t="s">
        <v>7079</v>
      </c>
      <c r="BX1013" s="11"/>
      <c r="BY1013" s="11"/>
    </row>
    <row r="1014">
      <c r="A1014" s="11" t="s">
        <v>4137</v>
      </c>
      <c r="B1014" s="11" t="s">
        <v>78</v>
      </c>
      <c r="C1014" s="23">
        <v>46065.0</v>
      </c>
      <c r="D1014" s="11" t="s">
        <v>817</v>
      </c>
      <c r="E1014" s="11" t="s">
        <v>7081</v>
      </c>
      <c r="F1014" s="11" t="s">
        <v>924</v>
      </c>
      <c r="G1014" s="11"/>
      <c r="H1014" s="11"/>
      <c r="I1014" s="20"/>
      <c r="J1014" s="20"/>
      <c r="BO1014" s="20"/>
      <c r="BP1014" s="11" t="s">
        <v>7082</v>
      </c>
      <c r="BQ1014" s="11" t="b">
        <v>0</v>
      </c>
      <c r="BR1014" s="20"/>
      <c r="BS1014" s="11"/>
      <c r="BT1014" s="11" t="b">
        <v>0</v>
      </c>
      <c r="BU1014" s="11" t="s">
        <v>2932</v>
      </c>
      <c r="BV1014" s="11"/>
      <c r="BW1014" s="11"/>
      <c r="BX1014" s="11"/>
      <c r="BY1014" s="11"/>
    </row>
    <row r="1015">
      <c r="A1015" s="11" t="s">
        <v>4165</v>
      </c>
      <c r="B1015" s="11" t="s">
        <v>78</v>
      </c>
      <c r="C1015" s="23">
        <v>46068.0</v>
      </c>
      <c r="D1015" s="11" t="s">
        <v>2549</v>
      </c>
      <c r="E1015" s="11" t="s">
        <v>7085</v>
      </c>
      <c r="F1015" s="11" t="s">
        <v>7087</v>
      </c>
      <c r="G1015" s="11"/>
      <c r="H1015" s="11"/>
      <c r="I1015" s="20"/>
      <c r="J1015" s="20"/>
      <c r="BO1015" s="20"/>
      <c r="BP1015" s="11" t="s">
        <v>7086</v>
      </c>
      <c r="BQ1015" s="11" t="b">
        <v>0</v>
      </c>
      <c r="BR1015" s="20"/>
      <c r="BS1015" s="19" t="s">
        <v>7265</v>
      </c>
      <c r="BT1015" s="11" t="b">
        <v>1</v>
      </c>
      <c r="BU1015" s="11" t="s">
        <v>2932</v>
      </c>
      <c r="BV1015" s="11"/>
      <c r="BW1015" s="11"/>
      <c r="BX1015" s="11"/>
      <c r="BY1015" s="11"/>
    </row>
    <row r="1016">
      <c r="A1016" s="11" t="s">
        <v>4160</v>
      </c>
      <c r="B1016" s="11" t="s">
        <v>78</v>
      </c>
      <c r="C1016" s="23">
        <v>46066.0</v>
      </c>
      <c r="D1016" s="11" t="s">
        <v>992</v>
      </c>
      <c r="E1016" s="11" t="s">
        <v>7091</v>
      </c>
      <c r="F1016" s="11" t="s">
        <v>5323</v>
      </c>
      <c r="G1016" s="11"/>
      <c r="H1016" s="11"/>
      <c r="I1016" s="20"/>
      <c r="J1016" s="20"/>
      <c r="BO1016" s="20"/>
      <c r="BP1016" s="11" t="s">
        <v>7092</v>
      </c>
      <c r="BQ1016" s="11" t="b">
        <v>0</v>
      </c>
      <c r="BR1016" s="20"/>
      <c r="BS1016" s="19" t="s">
        <v>7271</v>
      </c>
      <c r="BT1016" s="11" t="b">
        <v>1</v>
      </c>
      <c r="BU1016" s="11" t="s">
        <v>2932</v>
      </c>
      <c r="BV1016" s="11"/>
      <c r="BW1016" s="11"/>
      <c r="BX1016" s="11"/>
      <c r="BY1016" s="11"/>
    </row>
    <row r="1017">
      <c r="A1017" s="11">
        <v>1789.0</v>
      </c>
      <c r="B1017" s="11" t="s">
        <v>78</v>
      </c>
      <c r="C1017" s="23">
        <v>46071.0</v>
      </c>
      <c r="D1017" s="11" t="s">
        <v>1046</v>
      </c>
      <c r="E1017" s="11"/>
      <c r="F1017" s="11" t="s">
        <v>1557</v>
      </c>
      <c r="G1017" s="11" t="s">
        <v>1049</v>
      </c>
      <c r="H1017" s="11">
        <v>1.0</v>
      </c>
      <c r="I1017" s="20">
        <v>9594.98</v>
      </c>
      <c r="J1017" s="20">
        <v>9594.98</v>
      </c>
      <c r="BO1017" s="20">
        <v>9594.98</v>
      </c>
      <c r="BP1017" s="11"/>
      <c r="BQ1017" s="11" t="b">
        <v>1</v>
      </c>
      <c r="BR1017" s="20">
        <v>9594.98</v>
      </c>
      <c r="BS1017" s="11"/>
      <c r="BT1017" s="11"/>
      <c r="BU1017" s="11" t="s">
        <v>187</v>
      </c>
      <c r="BV1017" s="11"/>
      <c r="BW1017" s="11"/>
      <c r="BX1017" s="11"/>
      <c r="BY1017" s="11"/>
    </row>
    <row r="1018">
      <c r="A1018" s="11">
        <v>1790.0</v>
      </c>
      <c r="B1018" s="11" t="s">
        <v>78</v>
      </c>
      <c r="C1018" s="23">
        <v>46071.0</v>
      </c>
      <c r="D1018" s="11" t="s">
        <v>1046</v>
      </c>
      <c r="E1018" s="11"/>
      <c r="F1018" s="11" t="s">
        <v>2638</v>
      </c>
      <c r="G1018" s="11" t="s">
        <v>1944</v>
      </c>
      <c r="H1018" s="11">
        <v>1.0</v>
      </c>
      <c r="I1018" s="20">
        <v>839.22</v>
      </c>
      <c r="J1018" s="20">
        <v>839.22</v>
      </c>
      <c r="BO1018" s="20">
        <v>839.22</v>
      </c>
      <c r="BP1018" s="11"/>
      <c r="BQ1018" s="11" t="b">
        <v>1</v>
      </c>
      <c r="BR1018" s="20">
        <v>839.22</v>
      </c>
      <c r="BS1018" s="11"/>
      <c r="BT1018" s="11"/>
      <c r="BU1018" s="11" t="s">
        <v>187</v>
      </c>
      <c r="BV1018" s="11"/>
      <c r="BW1018" s="11"/>
      <c r="BX1018" s="11"/>
      <c r="BY1018" s="11"/>
    </row>
    <row r="1019">
      <c r="A1019" s="11" t="s">
        <v>2677</v>
      </c>
      <c r="B1019" s="11" t="s">
        <v>78</v>
      </c>
      <c r="C1019" s="23">
        <v>46071.0</v>
      </c>
      <c r="D1019" s="11" t="s">
        <v>1567</v>
      </c>
      <c r="E1019" s="11"/>
      <c r="F1019" s="11" t="s">
        <v>6479</v>
      </c>
      <c r="G1019" s="11" t="s">
        <v>2106</v>
      </c>
      <c r="H1019" s="11">
        <v>1.0</v>
      </c>
      <c r="I1019" s="20">
        <v>997.86</v>
      </c>
      <c r="J1019" s="20">
        <v>997.86</v>
      </c>
      <c r="BO1019" s="20">
        <v>997.86</v>
      </c>
      <c r="BP1019" s="11"/>
      <c r="BQ1019" s="11" t="b">
        <v>1</v>
      </c>
      <c r="BR1019" s="20">
        <v>997.86</v>
      </c>
      <c r="BS1019" s="11"/>
      <c r="BT1019" s="11"/>
      <c r="BU1019" s="11" t="s">
        <v>187</v>
      </c>
      <c r="BV1019" s="11"/>
      <c r="BW1019" s="11"/>
      <c r="BX1019" s="11"/>
      <c r="BY1019" s="11"/>
    </row>
    <row r="1020">
      <c r="A1020" s="11" t="s">
        <v>2679</v>
      </c>
      <c r="B1020" s="11" t="s">
        <v>78</v>
      </c>
      <c r="C1020" s="23">
        <v>46071.0</v>
      </c>
      <c r="D1020" s="11" t="s">
        <v>237</v>
      </c>
      <c r="E1020" s="11"/>
      <c r="F1020" s="11" t="s">
        <v>7097</v>
      </c>
      <c r="G1020" s="11" t="s">
        <v>2040</v>
      </c>
      <c r="H1020" s="11">
        <v>1.0</v>
      </c>
      <c r="I1020" s="20">
        <v>1858.96</v>
      </c>
      <c r="J1020" s="20">
        <v>1858.96</v>
      </c>
      <c r="BO1020" s="20">
        <v>1858.96</v>
      </c>
      <c r="BP1020" s="11"/>
      <c r="BQ1020" s="11" t="b">
        <v>1</v>
      </c>
      <c r="BR1020" s="20">
        <v>1858.96</v>
      </c>
      <c r="BS1020" s="11"/>
      <c r="BT1020" s="11"/>
      <c r="BU1020" s="11" t="s">
        <v>187</v>
      </c>
      <c r="BV1020" s="11"/>
      <c r="BW1020" s="11"/>
      <c r="BX1020" s="11"/>
      <c r="BY1020" s="11"/>
    </row>
    <row r="1021">
      <c r="A1021" s="11" t="s">
        <v>2684</v>
      </c>
      <c r="B1021" s="11" t="s">
        <v>78</v>
      </c>
      <c r="C1021" s="23">
        <v>46071.0</v>
      </c>
      <c r="D1021" s="11" t="s">
        <v>404</v>
      </c>
      <c r="E1021" s="11"/>
      <c r="F1021" s="11" t="s">
        <v>7099</v>
      </c>
      <c r="G1021" s="11">
        <v>7.9792017E7</v>
      </c>
      <c r="H1021" s="11">
        <v>1.0</v>
      </c>
      <c r="I1021" s="20">
        <v>134.64</v>
      </c>
      <c r="J1021" s="20">
        <v>134.64</v>
      </c>
      <c r="BO1021" s="20">
        <v>134.64</v>
      </c>
      <c r="BP1021" s="11"/>
      <c r="BQ1021" s="11" t="b">
        <v>1</v>
      </c>
      <c r="BR1021" s="20">
        <v>134.64</v>
      </c>
      <c r="BS1021" s="11"/>
      <c r="BT1021" s="11"/>
      <c r="BU1021" s="11" t="s">
        <v>187</v>
      </c>
      <c r="BV1021" s="11"/>
      <c r="BW1021" s="11"/>
      <c r="BX1021" s="11"/>
      <c r="BY1021" s="11"/>
    </row>
    <row r="1022">
      <c r="A1022" s="11" t="s">
        <v>4196</v>
      </c>
      <c r="B1022" s="11" t="s">
        <v>78</v>
      </c>
      <c r="C1022" s="23">
        <v>46073.0</v>
      </c>
      <c r="D1022" s="11" t="s">
        <v>104</v>
      </c>
      <c r="E1022" s="11" t="s">
        <v>7100</v>
      </c>
      <c r="F1022" s="11" t="s">
        <v>7102</v>
      </c>
      <c r="G1022" s="11"/>
      <c r="H1022" s="11"/>
      <c r="I1022" s="20"/>
      <c r="J1022" s="20"/>
      <c r="BO1022" s="20"/>
      <c r="BP1022" s="11" t="s">
        <v>7101</v>
      </c>
      <c r="BQ1022" s="11" t="b">
        <v>0</v>
      </c>
      <c r="BR1022" s="20"/>
      <c r="BS1022" s="19" t="s">
        <v>7294</v>
      </c>
      <c r="BT1022" s="11" t="b">
        <v>1</v>
      </c>
      <c r="BU1022" s="11" t="s">
        <v>2932</v>
      </c>
      <c r="BV1022" s="11"/>
      <c r="BW1022" s="11"/>
      <c r="BX1022" s="11"/>
      <c r="BY1022" s="11"/>
    </row>
    <row r="1023">
      <c r="A1023" s="11" t="s">
        <v>4203</v>
      </c>
      <c r="B1023" s="11" t="s">
        <v>78</v>
      </c>
      <c r="C1023" s="23">
        <v>46073.0</v>
      </c>
      <c r="D1023" s="11" t="s">
        <v>85</v>
      </c>
      <c r="E1023" s="11" t="s">
        <v>7106</v>
      </c>
      <c r="F1023" s="11" t="s">
        <v>7108</v>
      </c>
      <c r="G1023" s="11"/>
      <c r="H1023" s="11"/>
      <c r="I1023" s="20"/>
      <c r="J1023" s="20"/>
      <c r="BO1023" s="20"/>
      <c r="BP1023" s="11" t="s">
        <v>7107</v>
      </c>
      <c r="BQ1023" s="11" t="b">
        <v>0</v>
      </c>
      <c r="BR1023" s="20"/>
      <c r="BS1023" s="19" t="s">
        <v>7299</v>
      </c>
      <c r="BT1023" s="11" t="b">
        <v>1</v>
      </c>
      <c r="BU1023" s="11" t="s">
        <v>2932</v>
      </c>
      <c r="BV1023" s="11"/>
      <c r="BW1023" s="11"/>
      <c r="BX1023" s="11"/>
      <c r="BY1023" s="11"/>
    </row>
    <row r="1024">
      <c r="A1024" s="11" t="s">
        <v>4211</v>
      </c>
      <c r="B1024" s="11" t="s">
        <v>78</v>
      </c>
      <c r="C1024" s="23">
        <v>46073.0</v>
      </c>
      <c r="D1024" s="11" t="s">
        <v>992</v>
      </c>
      <c r="E1024" s="11" t="s">
        <v>7110</v>
      </c>
      <c r="F1024" s="11" t="s">
        <v>7112</v>
      </c>
      <c r="G1024" s="11"/>
      <c r="H1024" s="11"/>
      <c r="I1024" s="20"/>
      <c r="J1024" s="20"/>
      <c r="BO1024" s="20"/>
      <c r="BP1024" s="11" t="s">
        <v>7111</v>
      </c>
      <c r="BQ1024" s="11" t="b">
        <v>0</v>
      </c>
      <c r="BR1024" s="20"/>
      <c r="BS1024" s="19" t="s">
        <v>7304</v>
      </c>
      <c r="BT1024" s="11" t="b">
        <v>1</v>
      </c>
      <c r="BU1024" s="11" t="s">
        <v>5814</v>
      </c>
      <c r="BV1024" s="11"/>
      <c r="BW1024" s="11"/>
      <c r="BX1024" s="11"/>
      <c r="BY1024" s="11"/>
    </row>
    <row r="1025">
      <c r="A1025" s="11" t="s">
        <v>4181</v>
      </c>
      <c r="B1025" s="11" t="s">
        <v>78</v>
      </c>
      <c r="C1025" s="23">
        <v>46072.0</v>
      </c>
      <c r="D1025" s="11" t="s">
        <v>2806</v>
      </c>
      <c r="E1025" s="11" t="s">
        <v>7113</v>
      </c>
      <c r="F1025" s="11" t="s">
        <v>7116</v>
      </c>
      <c r="G1025" s="11"/>
      <c r="H1025" s="11"/>
      <c r="I1025" s="20"/>
      <c r="J1025" s="20"/>
      <c r="BO1025" s="20"/>
      <c r="BP1025" s="11" t="s">
        <v>7114</v>
      </c>
      <c r="BQ1025" s="11" t="b">
        <v>0</v>
      </c>
      <c r="BR1025" s="20"/>
      <c r="BS1025" s="19" t="s">
        <v>7306</v>
      </c>
      <c r="BT1025" s="11" t="b">
        <v>1</v>
      </c>
      <c r="BU1025" s="11" t="s">
        <v>2932</v>
      </c>
      <c r="BV1025" s="11"/>
      <c r="BW1025" s="11" t="s">
        <v>7117</v>
      </c>
      <c r="BX1025" s="11"/>
      <c r="BY1025" s="11"/>
    </row>
    <row r="1026">
      <c r="A1026" s="11">
        <v>1804.0</v>
      </c>
      <c r="B1026" s="11" t="s">
        <v>78</v>
      </c>
      <c r="C1026" s="23">
        <v>46076.0</v>
      </c>
      <c r="D1026" s="11" t="s">
        <v>415</v>
      </c>
      <c r="E1026" s="11"/>
      <c r="F1026" s="11">
        <v>46296.0</v>
      </c>
      <c r="G1026" s="11" t="s">
        <v>1971</v>
      </c>
      <c r="H1026" s="11">
        <v>1.0</v>
      </c>
      <c r="I1026" s="20">
        <v>190.34</v>
      </c>
      <c r="J1026" s="20">
        <v>190.34</v>
      </c>
      <c r="BO1026" s="20">
        <v>190.34</v>
      </c>
      <c r="BP1026" s="11"/>
      <c r="BQ1026" s="11" t="b">
        <v>1</v>
      </c>
      <c r="BR1026" s="20">
        <v>190.34</v>
      </c>
      <c r="BS1026" s="11"/>
      <c r="BT1026" s="11"/>
      <c r="BU1026" s="11" t="s">
        <v>187</v>
      </c>
      <c r="BV1026" s="11"/>
      <c r="BW1026" s="11"/>
      <c r="BX1026" s="11"/>
      <c r="BY1026" s="11"/>
    </row>
    <row r="1027">
      <c r="A1027" s="11">
        <v>1731.0</v>
      </c>
      <c r="B1027" s="11" t="s">
        <v>78</v>
      </c>
      <c r="C1027" s="23">
        <v>46077.0</v>
      </c>
      <c r="D1027" s="11" t="s">
        <v>547</v>
      </c>
      <c r="E1027" s="11"/>
      <c r="F1027" s="11" t="s">
        <v>973</v>
      </c>
      <c r="G1027" s="11" t="s">
        <v>975</v>
      </c>
      <c r="H1027" s="11">
        <v>1.0</v>
      </c>
      <c r="I1027" s="20">
        <v>1098.0</v>
      </c>
      <c r="J1027" s="20">
        <v>1098.0</v>
      </c>
      <c r="BO1027" s="20">
        <v>1098.0</v>
      </c>
      <c r="BP1027" s="11"/>
      <c r="BQ1027" s="11" t="b">
        <v>1</v>
      </c>
      <c r="BR1027" s="20">
        <v>1098.0</v>
      </c>
      <c r="BS1027" s="11"/>
      <c r="BT1027" s="11"/>
      <c r="BU1027" s="11" t="s">
        <v>187</v>
      </c>
      <c r="BV1027" s="11"/>
      <c r="BW1027" s="11"/>
      <c r="BX1027" s="11"/>
      <c r="BY1027" s="11"/>
    </row>
    <row r="1028">
      <c r="A1028" s="11">
        <v>1732.0</v>
      </c>
      <c r="B1028" s="11" t="s">
        <v>78</v>
      </c>
      <c r="C1028" s="23">
        <v>46077.0</v>
      </c>
      <c r="D1028" s="11" t="s">
        <v>547</v>
      </c>
      <c r="E1028" s="11"/>
      <c r="F1028" s="11" t="s">
        <v>964</v>
      </c>
      <c r="G1028" s="11" t="s">
        <v>648</v>
      </c>
      <c r="H1028" s="11">
        <v>1.0</v>
      </c>
      <c r="I1028" s="20">
        <v>625.0</v>
      </c>
      <c r="J1028" s="20">
        <v>625.0</v>
      </c>
      <c r="BO1028" s="20">
        <v>625.0</v>
      </c>
      <c r="BP1028" s="11"/>
      <c r="BQ1028" s="11" t="b">
        <v>1</v>
      </c>
      <c r="BR1028" s="20">
        <v>625.0</v>
      </c>
      <c r="BS1028" s="11"/>
      <c r="BT1028" s="11"/>
      <c r="BU1028" s="11" t="s">
        <v>187</v>
      </c>
      <c r="BV1028" s="11"/>
      <c r="BW1028" s="11"/>
      <c r="BX1028" s="11"/>
      <c r="BY1028" s="11"/>
    </row>
    <row r="1029">
      <c r="A1029" s="11">
        <v>1733.0</v>
      </c>
      <c r="B1029" s="11" t="s">
        <v>78</v>
      </c>
      <c r="C1029" s="23">
        <v>46077.0</v>
      </c>
      <c r="D1029" s="11" t="s">
        <v>547</v>
      </c>
      <c r="E1029" s="11"/>
      <c r="F1029" s="11" t="s">
        <v>955</v>
      </c>
      <c r="G1029" s="11" t="s">
        <v>957</v>
      </c>
      <c r="H1029" s="11">
        <v>1.0</v>
      </c>
      <c r="I1029" s="20">
        <v>375.0</v>
      </c>
      <c r="J1029" s="20">
        <v>375.0</v>
      </c>
      <c r="BO1029" s="20">
        <v>375.0</v>
      </c>
      <c r="BP1029" s="11"/>
      <c r="BQ1029" s="11" t="b">
        <v>1</v>
      </c>
      <c r="BR1029" s="20">
        <v>375.0</v>
      </c>
      <c r="BS1029" s="11"/>
      <c r="BT1029" s="11"/>
      <c r="BU1029" s="11" t="s">
        <v>187</v>
      </c>
      <c r="BV1029" s="11"/>
      <c r="BW1029" s="11"/>
      <c r="BX1029" s="11"/>
      <c r="BY1029" s="11"/>
    </row>
    <row r="1030">
      <c r="A1030" s="11" t="s">
        <v>2700</v>
      </c>
      <c r="B1030" s="11" t="s">
        <v>78</v>
      </c>
      <c r="C1030" s="23">
        <v>46077.0</v>
      </c>
      <c r="D1030" s="11" t="s">
        <v>237</v>
      </c>
      <c r="E1030" s="11"/>
      <c r="F1030" s="11" t="s">
        <v>7122</v>
      </c>
      <c r="G1030" s="11" t="s">
        <v>2040</v>
      </c>
      <c r="H1030" s="11">
        <v>1.0</v>
      </c>
      <c r="I1030" s="20">
        <v>1568.0</v>
      </c>
      <c r="J1030" s="20">
        <v>1568.0</v>
      </c>
      <c r="BO1030" s="20">
        <v>1568.0</v>
      </c>
      <c r="BP1030" s="11"/>
      <c r="BQ1030" s="11" t="b">
        <v>1</v>
      </c>
      <c r="BR1030" s="20">
        <v>1568.0</v>
      </c>
      <c r="BS1030" s="11"/>
      <c r="BT1030" s="11"/>
      <c r="BU1030" s="11" t="s">
        <v>187</v>
      </c>
      <c r="BV1030" s="11"/>
      <c r="BW1030" s="11"/>
      <c r="BX1030" s="11"/>
      <c r="BY1030" s="11"/>
    </row>
    <row r="1031">
      <c r="A1031" s="11" t="s">
        <v>2703</v>
      </c>
      <c r="B1031" s="11" t="s">
        <v>78</v>
      </c>
      <c r="C1031" s="23">
        <v>46077.0</v>
      </c>
      <c r="D1031" s="11" t="s">
        <v>237</v>
      </c>
      <c r="E1031" s="11"/>
      <c r="F1031" s="11" t="s">
        <v>7123</v>
      </c>
      <c r="G1031" s="11" t="s">
        <v>1958</v>
      </c>
      <c r="H1031" s="11">
        <v>1.0</v>
      </c>
      <c r="I1031" s="20">
        <v>2162.53</v>
      </c>
      <c r="J1031" s="20">
        <v>2162.53</v>
      </c>
      <c r="BO1031" s="20">
        <v>2162.53</v>
      </c>
      <c r="BP1031" s="11"/>
      <c r="BQ1031" s="11" t="b">
        <v>1</v>
      </c>
      <c r="BR1031" s="20">
        <v>2162.53</v>
      </c>
      <c r="BS1031" s="11"/>
      <c r="BT1031" s="11"/>
      <c r="BU1031" s="11" t="s">
        <v>187</v>
      </c>
      <c r="BV1031" s="11"/>
      <c r="BW1031" s="11"/>
      <c r="BX1031" s="11"/>
      <c r="BY1031" s="11"/>
    </row>
    <row r="1032">
      <c r="A1032" s="11" t="s">
        <v>2708</v>
      </c>
      <c r="B1032" s="11" t="s">
        <v>78</v>
      </c>
      <c r="C1032" s="23">
        <v>46077.0</v>
      </c>
      <c r="D1032" s="11" t="s">
        <v>237</v>
      </c>
      <c r="E1032" s="11"/>
      <c r="F1032" s="11" t="s">
        <v>7125</v>
      </c>
      <c r="G1032" s="11" t="s">
        <v>1958</v>
      </c>
      <c r="H1032" s="11">
        <v>1.0</v>
      </c>
      <c r="I1032" s="20">
        <v>783.63</v>
      </c>
      <c r="J1032" s="20">
        <v>783.63</v>
      </c>
      <c r="BO1032" s="20">
        <v>783.63</v>
      </c>
      <c r="BP1032" s="11"/>
      <c r="BQ1032" s="11" t="b">
        <v>1</v>
      </c>
      <c r="BR1032" s="20">
        <v>783.63</v>
      </c>
      <c r="BS1032" s="11"/>
      <c r="BT1032" s="11"/>
      <c r="BU1032" s="11" t="s">
        <v>187</v>
      </c>
      <c r="BV1032" s="11"/>
      <c r="BW1032" s="11"/>
      <c r="BX1032" s="11"/>
      <c r="BY1032" s="11"/>
    </row>
    <row r="1033">
      <c r="A1033" s="11" t="s">
        <v>2712</v>
      </c>
      <c r="B1033" s="11" t="s">
        <v>78</v>
      </c>
      <c r="C1033" s="23">
        <v>46077.0</v>
      </c>
      <c r="D1033" s="11" t="s">
        <v>404</v>
      </c>
      <c r="E1033" s="11"/>
      <c r="F1033" s="11" t="s">
        <v>7126</v>
      </c>
      <c r="G1033" s="11">
        <v>7.9792017E7</v>
      </c>
      <c r="H1033" s="11">
        <v>1.0</v>
      </c>
      <c r="I1033" s="20">
        <v>177.71</v>
      </c>
      <c r="J1033" s="20">
        <v>177.71</v>
      </c>
      <c r="BO1033" s="20">
        <v>177.71</v>
      </c>
      <c r="BP1033" s="11"/>
      <c r="BQ1033" s="11" t="b">
        <v>1</v>
      </c>
      <c r="BR1033" s="20">
        <v>177.71</v>
      </c>
      <c r="BS1033" s="11"/>
      <c r="BT1033" s="11"/>
      <c r="BU1033" s="11" t="s">
        <v>187</v>
      </c>
      <c r="BV1033" s="11"/>
      <c r="BW1033" s="11"/>
      <c r="BX1033" s="11"/>
      <c r="BY1033" s="11"/>
    </row>
    <row r="1034">
      <c r="A1034" s="11">
        <v>1807.0</v>
      </c>
      <c r="B1034" s="11" t="s">
        <v>78</v>
      </c>
      <c r="C1034" s="23">
        <v>46077.0</v>
      </c>
      <c r="D1034" s="11"/>
      <c r="E1034" s="11"/>
      <c r="F1034" s="11" t="s">
        <v>681</v>
      </c>
      <c r="G1034" s="11" t="s">
        <v>376</v>
      </c>
      <c r="H1034" s="11">
        <v>1.0</v>
      </c>
      <c r="I1034" s="20">
        <v>3498.0</v>
      </c>
      <c r="J1034" s="20">
        <v>3498.0</v>
      </c>
      <c r="BO1034" s="20">
        <v>3498.0</v>
      </c>
      <c r="BP1034" s="11"/>
      <c r="BQ1034" s="11" t="b">
        <v>1</v>
      </c>
      <c r="BR1034" s="20">
        <v>3498.0</v>
      </c>
      <c r="BS1034" s="11"/>
      <c r="BT1034" s="11"/>
      <c r="BU1034" s="11" t="s">
        <v>187</v>
      </c>
      <c r="BV1034" s="11" t="s">
        <v>685</v>
      </c>
      <c r="BW1034" s="11"/>
      <c r="BX1034" s="11"/>
      <c r="BY1034" s="11"/>
    </row>
    <row r="1035">
      <c r="A1035" s="11">
        <v>1808.0</v>
      </c>
      <c r="B1035" s="11" t="s">
        <v>78</v>
      </c>
      <c r="C1035" s="23">
        <v>46077.0</v>
      </c>
      <c r="D1035" s="11"/>
      <c r="E1035" s="11"/>
      <c r="F1035" s="11" t="s">
        <v>687</v>
      </c>
      <c r="G1035" s="11" t="s">
        <v>376</v>
      </c>
      <c r="H1035" s="11">
        <v>1.0</v>
      </c>
      <c r="I1035" s="20">
        <v>292.0</v>
      </c>
      <c r="J1035" s="20">
        <v>292.0</v>
      </c>
      <c r="BO1035" s="20">
        <v>292.0</v>
      </c>
      <c r="BP1035" s="11"/>
      <c r="BQ1035" s="11" t="b">
        <v>1</v>
      </c>
      <c r="BR1035" s="20">
        <v>292.0</v>
      </c>
      <c r="BS1035" s="11"/>
      <c r="BT1035" s="11"/>
      <c r="BU1035" s="11" t="s">
        <v>187</v>
      </c>
      <c r="BV1035" s="11" t="s">
        <v>3675</v>
      </c>
      <c r="BW1035" s="11"/>
      <c r="BX1035" s="11"/>
      <c r="BY1035" s="11"/>
    </row>
    <row r="1036">
      <c r="A1036" s="11">
        <v>1809.0</v>
      </c>
      <c r="B1036" s="11" t="s">
        <v>78</v>
      </c>
      <c r="C1036" s="23">
        <v>46077.0</v>
      </c>
      <c r="D1036" s="11"/>
      <c r="E1036" s="11"/>
      <c r="F1036" s="11" t="s">
        <v>687</v>
      </c>
      <c r="G1036" s="11" t="s">
        <v>376</v>
      </c>
      <c r="H1036" s="11">
        <v>1.0</v>
      </c>
      <c r="I1036" s="20">
        <v>292.0</v>
      </c>
      <c r="J1036" s="20">
        <v>292.0</v>
      </c>
      <c r="BO1036" s="20">
        <v>292.0</v>
      </c>
      <c r="BP1036" s="11"/>
      <c r="BQ1036" s="11" t="b">
        <v>1</v>
      </c>
      <c r="BR1036" s="20">
        <v>292.0</v>
      </c>
      <c r="BS1036" s="11"/>
      <c r="BT1036" s="11"/>
      <c r="BU1036" s="11" t="s">
        <v>187</v>
      </c>
      <c r="BV1036" s="11" t="s">
        <v>704</v>
      </c>
      <c r="BW1036" s="11"/>
      <c r="BX1036" s="11"/>
      <c r="BY1036" s="11"/>
    </row>
    <row r="1037">
      <c r="A1037" s="11">
        <v>1810.0</v>
      </c>
      <c r="B1037" s="11" t="s">
        <v>78</v>
      </c>
      <c r="C1037" s="23">
        <v>46077.0</v>
      </c>
      <c r="D1037" s="11" t="s">
        <v>415</v>
      </c>
      <c r="E1037" s="11"/>
      <c r="F1037" s="11" t="s">
        <v>1015</v>
      </c>
      <c r="G1037" s="11" t="s">
        <v>1017</v>
      </c>
      <c r="H1037" s="11">
        <v>1.0</v>
      </c>
      <c r="I1037" s="20">
        <v>22.0</v>
      </c>
      <c r="J1037" s="20">
        <v>22.0</v>
      </c>
      <c r="BO1037" s="20">
        <v>22.0</v>
      </c>
      <c r="BP1037" s="11"/>
      <c r="BQ1037" s="11" t="b">
        <v>1</v>
      </c>
      <c r="BR1037" s="20">
        <v>22.0</v>
      </c>
      <c r="BS1037" s="11"/>
      <c r="BT1037" s="11"/>
      <c r="BU1037" s="11" t="s">
        <v>187</v>
      </c>
      <c r="BV1037" s="11"/>
      <c r="BW1037" s="11"/>
      <c r="BX1037" s="11"/>
      <c r="BY1037" s="11"/>
    </row>
    <row r="1038">
      <c r="A1038" s="11">
        <v>1811.0</v>
      </c>
      <c r="B1038" s="11" t="s">
        <v>78</v>
      </c>
      <c r="C1038" s="23">
        <v>46077.0</v>
      </c>
      <c r="D1038" s="11" t="s">
        <v>415</v>
      </c>
      <c r="E1038" s="11"/>
      <c r="F1038" s="11" t="s">
        <v>1022</v>
      </c>
      <c r="G1038" s="11" t="s">
        <v>1023</v>
      </c>
      <c r="H1038" s="11">
        <v>1.0</v>
      </c>
      <c r="I1038" s="20">
        <v>10.0</v>
      </c>
      <c r="J1038" s="20">
        <v>10.0</v>
      </c>
      <c r="BO1038" s="20">
        <v>10.0</v>
      </c>
      <c r="BP1038" s="11"/>
      <c r="BQ1038" s="11" t="b">
        <v>1</v>
      </c>
      <c r="BR1038" s="20">
        <v>10.0</v>
      </c>
      <c r="BS1038" s="11"/>
      <c r="BT1038" s="11"/>
      <c r="BU1038" s="11" t="s">
        <v>187</v>
      </c>
      <c r="BV1038" s="11"/>
      <c r="BW1038" s="11"/>
      <c r="BX1038" s="11"/>
      <c r="BY1038" s="11"/>
    </row>
    <row r="1039">
      <c r="A1039" s="11">
        <v>1812.0</v>
      </c>
      <c r="B1039" s="11" t="s">
        <v>78</v>
      </c>
      <c r="C1039" s="23">
        <v>46077.0</v>
      </c>
      <c r="D1039" s="11" t="s">
        <v>629</v>
      </c>
      <c r="E1039" s="11"/>
      <c r="F1039" s="11" t="s">
        <v>633</v>
      </c>
      <c r="G1039" s="11" t="s">
        <v>1870</v>
      </c>
      <c r="H1039" s="11">
        <v>1.0</v>
      </c>
      <c r="I1039" s="20">
        <v>3415.57</v>
      </c>
      <c r="J1039" s="20">
        <v>3415.57</v>
      </c>
      <c r="BO1039" s="20">
        <v>3415.57</v>
      </c>
      <c r="BP1039" s="11"/>
      <c r="BQ1039" s="11" t="b">
        <v>1</v>
      </c>
      <c r="BR1039" s="20">
        <v>3415.57</v>
      </c>
      <c r="BS1039" s="11"/>
      <c r="BT1039" s="11"/>
      <c r="BU1039" s="11" t="s">
        <v>187</v>
      </c>
      <c r="BV1039" s="11"/>
      <c r="BW1039" s="11"/>
      <c r="BX1039" s="11"/>
      <c r="BY1039" s="11"/>
    </row>
    <row r="1040">
      <c r="A1040" s="11" t="s">
        <v>2734</v>
      </c>
      <c r="B1040" s="11" t="s">
        <v>78</v>
      </c>
      <c r="C1040" s="23">
        <v>46077.0</v>
      </c>
      <c r="D1040" s="11" t="s">
        <v>237</v>
      </c>
      <c r="E1040" s="11"/>
      <c r="F1040" s="11" t="s">
        <v>7128</v>
      </c>
      <c r="G1040" s="11" t="s">
        <v>1958</v>
      </c>
      <c r="H1040" s="11">
        <v>1.0</v>
      </c>
      <c r="I1040" s="20">
        <v>389.56</v>
      </c>
      <c r="J1040" s="20">
        <v>389.56</v>
      </c>
      <c r="BO1040" s="20">
        <v>389.56</v>
      </c>
      <c r="BP1040" s="11"/>
      <c r="BQ1040" s="11" t="b">
        <v>1</v>
      </c>
      <c r="BR1040" s="20">
        <v>389.56</v>
      </c>
      <c r="BS1040" s="11"/>
      <c r="BT1040" s="11"/>
      <c r="BU1040" s="11" t="s">
        <v>187</v>
      </c>
      <c r="BV1040" s="11"/>
      <c r="BW1040" s="11"/>
      <c r="BX1040" s="11"/>
      <c r="BY1040" s="11"/>
    </row>
    <row r="1041">
      <c r="A1041" s="11" t="s">
        <v>2737</v>
      </c>
      <c r="B1041" s="11" t="s">
        <v>78</v>
      </c>
      <c r="C1041" s="23">
        <v>46077.0</v>
      </c>
      <c r="D1041" s="11" t="s">
        <v>237</v>
      </c>
      <c r="E1041" s="11"/>
      <c r="F1041" s="11" t="s">
        <v>7129</v>
      </c>
      <c r="G1041" s="11" t="s">
        <v>2040</v>
      </c>
      <c r="H1041" s="11">
        <v>1.0</v>
      </c>
      <c r="I1041" s="20">
        <v>116.0</v>
      </c>
      <c r="J1041" s="20">
        <v>116.0</v>
      </c>
      <c r="BO1041" s="20">
        <v>116.0</v>
      </c>
      <c r="BP1041" s="11"/>
      <c r="BQ1041" s="11" t="b">
        <v>1</v>
      </c>
      <c r="BR1041" s="20">
        <v>116.0</v>
      </c>
      <c r="BS1041" s="11"/>
      <c r="BT1041" s="11"/>
      <c r="BU1041" s="11" t="s">
        <v>187</v>
      </c>
      <c r="BV1041" s="11"/>
      <c r="BW1041" s="11"/>
      <c r="BX1041" s="11"/>
      <c r="BY1041" s="11"/>
    </row>
    <row r="1042">
      <c r="A1042" s="11" t="s">
        <v>2741</v>
      </c>
      <c r="B1042" s="11" t="s">
        <v>78</v>
      </c>
      <c r="C1042" s="23">
        <v>46077.0</v>
      </c>
      <c r="D1042" s="11" t="s">
        <v>237</v>
      </c>
      <c r="E1042" s="11"/>
      <c r="F1042" s="11" t="s">
        <v>7131</v>
      </c>
      <c r="G1042" s="11" t="s">
        <v>2040</v>
      </c>
      <c r="H1042" s="11">
        <v>1.0</v>
      </c>
      <c r="I1042" s="20">
        <v>3339.0</v>
      </c>
      <c r="J1042" s="20">
        <v>3339.0</v>
      </c>
      <c r="BO1042" s="20">
        <v>3339.0</v>
      </c>
      <c r="BP1042" s="11"/>
      <c r="BQ1042" s="11" t="b">
        <v>1</v>
      </c>
      <c r="BR1042" s="20">
        <v>3339.0</v>
      </c>
      <c r="BS1042" s="11"/>
      <c r="BT1042" s="11"/>
      <c r="BU1042" s="11" t="s">
        <v>187</v>
      </c>
      <c r="BV1042" s="11"/>
      <c r="BW1042" s="11"/>
      <c r="BX1042" s="11"/>
      <c r="BY1042" s="11"/>
    </row>
    <row r="1043">
      <c r="A1043" s="11" t="s">
        <v>2743</v>
      </c>
      <c r="B1043" s="11" t="s">
        <v>78</v>
      </c>
      <c r="C1043" s="23">
        <v>46077.0</v>
      </c>
      <c r="D1043" s="11" t="s">
        <v>237</v>
      </c>
      <c r="E1043" s="11"/>
      <c r="F1043" s="11" t="s">
        <v>7132</v>
      </c>
      <c r="G1043" s="11" t="s">
        <v>1958</v>
      </c>
      <c r="H1043" s="11">
        <v>1.0</v>
      </c>
      <c r="I1043" s="20">
        <v>1950.64</v>
      </c>
      <c r="J1043" s="20">
        <v>1950.64</v>
      </c>
      <c r="BO1043" s="20">
        <v>1950.64</v>
      </c>
      <c r="BP1043" s="11"/>
      <c r="BQ1043" s="11" t="b">
        <v>1</v>
      </c>
      <c r="BR1043" s="20">
        <v>1950.64</v>
      </c>
      <c r="BS1043" s="11"/>
      <c r="BT1043" s="11"/>
      <c r="BU1043" s="11" t="s">
        <v>187</v>
      </c>
      <c r="BV1043" s="11"/>
      <c r="BW1043" s="11"/>
      <c r="BX1043" s="11"/>
      <c r="BY1043" s="11"/>
    </row>
    <row r="1044">
      <c r="A1044" s="11" t="s">
        <v>2748</v>
      </c>
      <c r="B1044" s="11" t="s">
        <v>78</v>
      </c>
      <c r="C1044" s="23">
        <v>46077.0</v>
      </c>
      <c r="D1044" s="11" t="s">
        <v>237</v>
      </c>
      <c r="E1044" s="11"/>
      <c r="F1044" s="11" t="s">
        <v>7133</v>
      </c>
      <c r="G1044" s="11" t="s">
        <v>2040</v>
      </c>
      <c r="H1044" s="11">
        <v>1.0</v>
      </c>
      <c r="I1044" s="20">
        <v>70.77</v>
      </c>
      <c r="J1044" s="20">
        <v>70.77</v>
      </c>
      <c r="BO1044" s="20">
        <v>70.77</v>
      </c>
      <c r="BP1044" s="11"/>
      <c r="BQ1044" s="11" t="b">
        <v>1</v>
      </c>
      <c r="BR1044" s="20">
        <v>70.77</v>
      </c>
      <c r="BS1044" s="11"/>
      <c r="BT1044" s="11"/>
      <c r="BU1044" s="11" t="s">
        <v>187</v>
      </c>
      <c r="BV1044" s="11"/>
      <c r="BW1044" s="11"/>
      <c r="BX1044" s="11"/>
      <c r="BY1044" s="11"/>
    </row>
    <row r="1045">
      <c r="A1045" s="11" t="s">
        <v>4218</v>
      </c>
      <c r="B1045" s="11" t="s">
        <v>78</v>
      </c>
      <c r="C1045" s="23">
        <v>46077.0</v>
      </c>
      <c r="D1045" s="11" t="s">
        <v>237</v>
      </c>
      <c r="E1045" s="11" t="s">
        <v>7135</v>
      </c>
      <c r="F1045" s="11" t="s">
        <v>7137</v>
      </c>
      <c r="G1045" s="11"/>
      <c r="H1045" s="11"/>
      <c r="I1045" s="20"/>
      <c r="J1045" s="20"/>
      <c r="BO1045" s="20"/>
      <c r="BP1045" s="11" t="s">
        <v>7136</v>
      </c>
      <c r="BQ1045" s="11" t="b">
        <v>0</v>
      </c>
      <c r="BR1045" s="20"/>
      <c r="BS1045" s="11"/>
      <c r="BT1045" s="11" t="b">
        <v>0</v>
      </c>
      <c r="BU1045" s="11" t="s">
        <v>2932</v>
      </c>
      <c r="BV1045" s="11"/>
      <c r="BW1045" s="11" t="s">
        <v>7138</v>
      </c>
      <c r="BX1045" s="11"/>
      <c r="BY1045" s="11"/>
    </row>
    <row r="1046">
      <c r="A1046" s="11" t="s">
        <v>4228</v>
      </c>
      <c r="B1046" s="11" t="s">
        <v>78</v>
      </c>
      <c r="C1046" s="23">
        <v>46077.0</v>
      </c>
      <c r="D1046" s="11" t="s">
        <v>237</v>
      </c>
      <c r="E1046" s="11" t="s">
        <v>7140</v>
      </c>
      <c r="F1046" s="11" t="s">
        <v>7142</v>
      </c>
      <c r="G1046" s="11"/>
      <c r="H1046" s="11"/>
      <c r="I1046" s="20"/>
      <c r="J1046" s="20"/>
      <c r="BO1046" s="20"/>
      <c r="BP1046" s="11" t="s">
        <v>7141</v>
      </c>
      <c r="BQ1046" s="11" t="b">
        <v>0</v>
      </c>
      <c r="BR1046" s="20"/>
      <c r="BS1046" s="11"/>
      <c r="BT1046" s="11" t="b">
        <v>0</v>
      </c>
      <c r="BU1046" s="11" t="s">
        <v>2932</v>
      </c>
      <c r="BV1046" s="11"/>
      <c r="BW1046" s="11"/>
      <c r="BX1046" s="11"/>
      <c r="BY1046" s="11"/>
    </row>
    <row r="1047">
      <c r="A1047" s="19" t="s">
        <v>4240</v>
      </c>
      <c r="B1047" s="11" t="s">
        <v>78</v>
      </c>
      <c r="C1047" s="23">
        <v>46078.0</v>
      </c>
      <c r="D1047" s="11" t="s">
        <v>104</v>
      </c>
      <c r="E1047" s="11" t="s">
        <v>7144</v>
      </c>
      <c r="F1047" s="11" t="s">
        <v>7147</v>
      </c>
      <c r="G1047" s="11"/>
      <c r="H1047" s="11"/>
      <c r="I1047" s="20"/>
      <c r="J1047" s="20"/>
      <c r="BO1047" s="20"/>
      <c r="BP1047" s="11" t="s">
        <v>7146</v>
      </c>
      <c r="BQ1047" s="11" t="b">
        <v>0</v>
      </c>
      <c r="BR1047" s="20"/>
      <c r="BS1047" s="19" t="s">
        <v>7391</v>
      </c>
      <c r="BT1047" s="11" t="b">
        <v>1</v>
      </c>
      <c r="BU1047" s="11" t="s">
        <v>2932</v>
      </c>
      <c r="BV1047" s="11"/>
      <c r="BW1047" s="11"/>
      <c r="BX1047" s="11"/>
      <c r="BY1047" s="11"/>
    </row>
    <row r="1048">
      <c r="A1048" s="11" t="s">
        <v>4215</v>
      </c>
      <c r="B1048" s="11" t="s">
        <v>78</v>
      </c>
      <c r="C1048" s="23">
        <v>46075.0</v>
      </c>
      <c r="D1048" s="11" t="s">
        <v>2549</v>
      </c>
      <c r="E1048" s="11" t="s">
        <v>7148</v>
      </c>
      <c r="F1048" s="11" t="s">
        <v>7150</v>
      </c>
      <c r="G1048" s="11"/>
      <c r="H1048" s="11"/>
      <c r="I1048" s="20"/>
      <c r="J1048" s="20"/>
      <c r="BO1048" s="20"/>
      <c r="BP1048" s="11" t="s">
        <v>7149</v>
      </c>
      <c r="BQ1048" s="11" t="b">
        <v>0</v>
      </c>
      <c r="BR1048" s="20"/>
      <c r="BS1048" s="19" t="s">
        <v>7400</v>
      </c>
      <c r="BT1048" s="11" t="b">
        <v>1</v>
      </c>
      <c r="BU1048" s="11" t="s">
        <v>2932</v>
      </c>
      <c r="BV1048" s="11"/>
      <c r="BW1048" s="11"/>
      <c r="BX1048" s="11"/>
      <c r="BY1048" s="11"/>
    </row>
    <row r="1049">
      <c r="A1049" s="11" t="s">
        <v>4254</v>
      </c>
      <c r="B1049" s="11" t="s">
        <v>78</v>
      </c>
      <c r="C1049" s="23">
        <v>46078.0</v>
      </c>
      <c r="D1049" s="11" t="s">
        <v>992</v>
      </c>
      <c r="E1049" s="11" t="s">
        <v>7154</v>
      </c>
      <c r="F1049" s="11" t="s">
        <v>6701</v>
      </c>
      <c r="G1049" s="11"/>
      <c r="H1049" s="11"/>
      <c r="I1049" s="20"/>
      <c r="J1049" s="20"/>
      <c r="BO1049" s="20"/>
      <c r="BP1049" s="11" t="s">
        <v>7155</v>
      </c>
      <c r="BQ1049" s="11" t="b">
        <v>0</v>
      </c>
      <c r="BR1049" s="20"/>
      <c r="BS1049" s="19" t="s">
        <v>7401</v>
      </c>
      <c r="BT1049" s="11" t="b">
        <v>1</v>
      </c>
      <c r="BU1049" s="11" t="s">
        <v>2932</v>
      </c>
      <c r="BV1049" s="11"/>
      <c r="BW1049" s="11"/>
      <c r="BX1049" s="11"/>
      <c r="BY1049" s="11"/>
    </row>
    <row r="1050">
      <c r="A1050" s="11" t="s">
        <v>2752</v>
      </c>
      <c r="B1050" s="11" t="s">
        <v>78</v>
      </c>
      <c r="C1050" s="23">
        <v>46079.0</v>
      </c>
      <c r="D1050" s="11"/>
      <c r="E1050" s="11"/>
      <c r="F1050" s="11" t="s">
        <v>783</v>
      </c>
      <c r="G1050" s="11" t="s">
        <v>350</v>
      </c>
      <c r="H1050" s="11">
        <v>1.0</v>
      </c>
      <c r="I1050" s="20">
        <v>500.0</v>
      </c>
      <c r="J1050" s="20">
        <v>500.0</v>
      </c>
      <c r="BO1050" s="20">
        <v>500.0</v>
      </c>
      <c r="BP1050" s="11"/>
      <c r="BQ1050" s="11" t="b">
        <v>1</v>
      </c>
      <c r="BR1050" s="20">
        <v>500.0</v>
      </c>
      <c r="BS1050" s="11"/>
      <c r="BT1050" s="11"/>
      <c r="BU1050" s="11" t="s">
        <v>187</v>
      </c>
      <c r="BV1050" s="11" t="s">
        <v>126</v>
      </c>
      <c r="BW1050" s="11"/>
      <c r="BX1050" s="11"/>
      <c r="BY1050" s="11"/>
    </row>
    <row r="1051">
      <c r="A1051" s="11" t="s">
        <v>4259</v>
      </c>
      <c r="B1051" s="11" t="s">
        <v>78</v>
      </c>
      <c r="C1051" s="23">
        <v>46080.0</v>
      </c>
      <c r="D1051" s="11" t="s">
        <v>1627</v>
      </c>
      <c r="E1051" s="11" t="s">
        <v>7158</v>
      </c>
      <c r="F1051" s="11" t="s">
        <v>7160</v>
      </c>
      <c r="G1051" s="11"/>
      <c r="H1051" s="11"/>
      <c r="I1051" s="20"/>
      <c r="J1051" s="20"/>
      <c r="BO1051" s="20"/>
      <c r="BP1051" s="11" t="s">
        <v>7159</v>
      </c>
      <c r="BQ1051" s="11" t="b">
        <v>0</v>
      </c>
      <c r="BR1051" s="20"/>
      <c r="BS1051" s="19" t="s">
        <v>7406</v>
      </c>
      <c r="BT1051" s="11" t="b">
        <v>1</v>
      </c>
      <c r="BU1051" s="11" t="s">
        <v>2932</v>
      </c>
      <c r="BV1051" s="11"/>
      <c r="BW1051" s="11"/>
      <c r="BX1051" s="11"/>
      <c r="BY1051" s="11"/>
    </row>
    <row r="1052">
      <c r="A1052" s="11" t="s">
        <v>4263</v>
      </c>
      <c r="B1052" s="11" t="s">
        <v>78</v>
      </c>
      <c r="C1052" s="23">
        <v>46080.0</v>
      </c>
      <c r="D1052" s="11" t="s">
        <v>85</v>
      </c>
      <c r="E1052" s="11" t="s">
        <v>7163</v>
      </c>
      <c r="F1052" s="11" t="s">
        <v>7166</v>
      </c>
      <c r="G1052" s="11"/>
      <c r="H1052" s="11"/>
      <c r="I1052" s="20"/>
      <c r="J1052" s="20"/>
      <c r="BO1052" s="20"/>
      <c r="BP1052" s="11" t="s">
        <v>7164</v>
      </c>
      <c r="BQ1052" s="11" t="b">
        <v>0</v>
      </c>
      <c r="BR1052" s="20"/>
      <c r="BS1052" s="19" t="s">
        <v>7408</v>
      </c>
      <c r="BT1052" s="11" t="b">
        <v>1</v>
      </c>
      <c r="BU1052" s="11" t="s">
        <v>2932</v>
      </c>
      <c r="BV1052" s="11"/>
      <c r="BW1052" s="11"/>
      <c r="BX1052" s="11"/>
      <c r="BY1052" s="11"/>
    </row>
    <row r="1053">
      <c r="A1053" s="11" t="s">
        <v>4276</v>
      </c>
      <c r="B1053" s="11" t="s">
        <v>78</v>
      </c>
      <c r="C1053" s="23">
        <v>46080.0</v>
      </c>
      <c r="D1053" s="11" t="s">
        <v>992</v>
      </c>
      <c r="E1053" s="11" t="s">
        <v>7167</v>
      </c>
      <c r="F1053" s="11" t="s">
        <v>7169</v>
      </c>
      <c r="G1053" s="11"/>
      <c r="H1053" s="11"/>
      <c r="I1053" s="20"/>
      <c r="J1053" s="20"/>
      <c r="BO1053" s="20"/>
      <c r="BP1053" s="11" t="s">
        <v>7168</v>
      </c>
      <c r="BQ1053" s="11" t="b">
        <v>0</v>
      </c>
      <c r="BR1053" s="20"/>
      <c r="BS1053" s="19" t="s">
        <v>7411</v>
      </c>
      <c r="BT1053" s="11" t="b">
        <v>1</v>
      </c>
      <c r="BU1053" s="11" t="s">
        <v>2932</v>
      </c>
      <c r="BV1053" s="11"/>
      <c r="BW1053" s="11"/>
      <c r="BX1053" s="11"/>
      <c r="BY1053" s="11"/>
    </row>
    <row r="1054">
      <c r="A1054" s="19" t="s">
        <v>4279</v>
      </c>
      <c r="B1054" s="11" t="s">
        <v>78</v>
      </c>
      <c r="C1054" s="23">
        <v>46080.0</v>
      </c>
      <c r="D1054" s="11" t="s">
        <v>513</v>
      </c>
      <c r="E1054" s="11" t="s">
        <v>7170</v>
      </c>
      <c r="F1054" s="11" t="s">
        <v>7172</v>
      </c>
      <c r="G1054" s="11"/>
      <c r="H1054" s="11"/>
      <c r="I1054" s="20"/>
      <c r="J1054" s="20"/>
      <c r="BO1054" s="20"/>
      <c r="BP1054" s="11" t="s">
        <v>7171</v>
      </c>
      <c r="BQ1054" s="11" t="b">
        <v>0</v>
      </c>
      <c r="BR1054" s="20"/>
      <c r="BS1054" s="19" t="s">
        <v>7415</v>
      </c>
      <c r="BT1054" s="11" t="b">
        <v>1</v>
      </c>
      <c r="BU1054" s="11" t="s">
        <v>2932</v>
      </c>
      <c r="BV1054" s="11"/>
      <c r="BW1054" s="11"/>
      <c r="BX1054" s="11"/>
      <c r="BY1054" s="11"/>
    </row>
    <row r="1055">
      <c r="A1055" s="11">
        <v>1813.0</v>
      </c>
      <c r="B1055" s="11" t="s">
        <v>78</v>
      </c>
      <c r="C1055" s="23">
        <v>46083.0</v>
      </c>
      <c r="D1055" s="11"/>
      <c r="E1055" s="11"/>
      <c r="F1055" s="11" t="s">
        <v>2638</v>
      </c>
      <c r="G1055" s="11" t="s">
        <v>376</v>
      </c>
      <c r="H1055" s="11">
        <v>1.0</v>
      </c>
      <c r="I1055" s="20">
        <v>2898.46</v>
      </c>
      <c r="J1055" s="20">
        <v>2898.46</v>
      </c>
      <c r="BO1055" s="20">
        <v>2898.46</v>
      </c>
      <c r="BP1055" s="11"/>
      <c r="BQ1055" s="11" t="b">
        <v>1</v>
      </c>
      <c r="BR1055" s="20">
        <v>2898.46</v>
      </c>
      <c r="BS1055" s="11"/>
      <c r="BT1055" s="11"/>
      <c r="BU1055" s="11" t="s">
        <v>187</v>
      </c>
      <c r="BV1055" s="11" t="s">
        <v>225</v>
      </c>
      <c r="BW1055" s="11"/>
      <c r="BX1055" s="11"/>
      <c r="BY1055" s="11"/>
    </row>
    <row r="1056">
      <c r="A1056" s="11">
        <v>1814.0</v>
      </c>
      <c r="B1056" s="11" t="s">
        <v>78</v>
      </c>
      <c r="C1056" s="23">
        <v>46083.0</v>
      </c>
      <c r="D1056" s="11"/>
      <c r="E1056" s="11"/>
      <c r="F1056" s="11" t="s">
        <v>2638</v>
      </c>
      <c r="G1056" s="11" t="s">
        <v>376</v>
      </c>
      <c r="H1056" s="11">
        <v>1.0</v>
      </c>
      <c r="I1056" s="20">
        <v>1927.64</v>
      </c>
      <c r="J1056" s="20">
        <v>1927.64</v>
      </c>
      <c r="BO1056" s="20">
        <v>1927.64</v>
      </c>
      <c r="BP1056" s="11"/>
      <c r="BQ1056" s="11" t="b">
        <v>1</v>
      </c>
      <c r="BR1056" s="20">
        <v>1927.64</v>
      </c>
      <c r="BS1056" s="11"/>
      <c r="BT1056" s="11"/>
      <c r="BU1056" s="11" t="s">
        <v>187</v>
      </c>
      <c r="BV1056" s="11" t="s">
        <v>113</v>
      </c>
      <c r="BW1056" s="11"/>
      <c r="BX1056" s="11"/>
      <c r="BY1056" s="11"/>
    </row>
    <row r="1057">
      <c r="A1057" s="11">
        <v>1815.0</v>
      </c>
      <c r="B1057" s="11" t="s">
        <v>78</v>
      </c>
      <c r="C1057" s="23">
        <v>46083.0</v>
      </c>
      <c r="D1057" s="11"/>
      <c r="E1057" s="11"/>
      <c r="F1057" s="11" t="s">
        <v>2638</v>
      </c>
      <c r="G1057" s="11" t="s">
        <v>376</v>
      </c>
      <c r="H1057" s="11">
        <v>1.0</v>
      </c>
      <c r="I1057" s="20">
        <v>1404.87</v>
      </c>
      <c r="J1057" s="20">
        <v>1404.87</v>
      </c>
      <c r="BO1057" s="20">
        <v>1404.87</v>
      </c>
      <c r="BP1057" s="11"/>
      <c r="BQ1057" s="11" t="b">
        <v>1</v>
      </c>
      <c r="BR1057" s="20">
        <v>1404.87</v>
      </c>
      <c r="BS1057" s="11"/>
      <c r="BT1057" s="11"/>
      <c r="BU1057" s="11" t="s">
        <v>187</v>
      </c>
      <c r="BV1057" s="11" t="s">
        <v>126</v>
      </c>
      <c r="BW1057" s="11"/>
      <c r="BX1057" s="11"/>
      <c r="BY1057" s="11"/>
    </row>
    <row r="1058">
      <c r="A1058" s="11">
        <v>1816.0</v>
      </c>
      <c r="B1058" s="11" t="s">
        <v>78</v>
      </c>
      <c r="C1058" s="23">
        <v>46083.0</v>
      </c>
      <c r="D1058" s="11"/>
      <c r="E1058" s="11"/>
      <c r="F1058" s="11" t="s">
        <v>2638</v>
      </c>
      <c r="G1058" s="11" t="s">
        <v>376</v>
      </c>
      <c r="H1058" s="11">
        <v>1.0</v>
      </c>
      <c r="I1058" s="20">
        <v>1976.4</v>
      </c>
      <c r="J1058" s="20">
        <v>1976.4</v>
      </c>
      <c r="BO1058" s="20">
        <v>1976.4</v>
      </c>
      <c r="BP1058" s="11"/>
      <c r="BQ1058" s="11" t="b">
        <v>1</v>
      </c>
      <c r="BR1058" s="20">
        <v>1976.4</v>
      </c>
      <c r="BS1058" s="11"/>
      <c r="BT1058" s="11"/>
      <c r="BU1058" s="11" t="s">
        <v>187</v>
      </c>
      <c r="BV1058" s="11" t="s">
        <v>3739</v>
      </c>
      <c r="BW1058" s="11"/>
      <c r="BX1058" s="11"/>
      <c r="BY1058" s="11"/>
    </row>
    <row r="1059">
      <c r="A1059" s="11">
        <v>1817.0</v>
      </c>
      <c r="B1059" s="11" t="s">
        <v>78</v>
      </c>
      <c r="C1059" s="23">
        <v>46083.0</v>
      </c>
      <c r="D1059" s="11"/>
      <c r="E1059" s="11"/>
      <c r="F1059" s="11" t="s">
        <v>2638</v>
      </c>
      <c r="G1059" s="11" t="s">
        <v>376</v>
      </c>
      <c r="H1059" s="11">
        <v>1.0</v>
      </c>
      <c r="I1059" s="20">
        <v>2120.33</v>
      </c>
      <c r="J1059" s="20">
        <v>2120.33</v>
      </c>
      <c r="BO1059" s="20">
        <v>2120.33</v>
      </c>
      <c r="BP1059" s="11"/>
      <c r="BQ1059" s="11" t="b">
        <v>1</v>
      </c>
      <c r="BR1059" s="20">
        <v>2120.33</v>
      </c>
      <c r="BS1059" s="11"/>
      <c r="BT1059" s="11"/>
      <c r="BU1059" s="11" t="s">
        <v>187</v>
      </c>
      <c r="BV1059" s="11" t="s">
        <v>145</v>
      </c>
      <c r="BW1059" s="11"/>
      <c r="BX1059" s="11"/>
      <c r="BY1059" s="11"/>
    </row>
    <row r="1060">
      <c r="A1060" s="11" t="s">
        <v>2775</v>
      </c>
      <c r="B1060" s="11" t="s">
        <v>78</v>
      </c>
      <c r="C1060" s="23">
        <v>46083.0</v>
      </c>
      <c r="D1060" s="11" t="s">
        <v>7175</v>
      </c>
      <c r="E1060" s="11"/>
      <c r="F1060" s="11" t="s">
        <v>7176</v>
      </c>
      <c r="G1060" s="11" t="s">
        <v>2776</v>
      </c>
      <c r="H1060" s="11">
        <v>1.0</v>
      </c>
      <c r="I1060" s="20">
        <v>150.3</v>
      </c>
      <c r="J1060" s="20">
        <v>150.3</v>
      </c>
      <c r="BO1060" s="20">
        <v>150.3</v>
      </c>
      <c r="BP1060" s="11"/>
      <c r="BQ1060" s="11" t="b">
        <v>1</v>
      </c>
      <c r="BR1060" s="20">
        <v>150.3</v>
      </c>
      <c r="BS1060" s="11"/>
      <c r="BT1060" s="11"/>
      <c r="BU1060" s="11" t="s">
        <v>187</v>
      </c>
      <c r="BV1060" s="11"/>
      <c r="BW1060" s="11"/>
      <c r="BX1060" s="11"/>
      <c r="BY1060" s="11"/>
    </row>
    <row r="1061">
      <c r="A1061" s="11">
        <v>1829.0</v>
      </c>
      <c r="B1061" s="11" t="s">
        <v>78</v>
      </c>
      <c r="C1061" s="23">
        <v>46083.0</v>
      </c>
      <c r="D1061" s="11" t="s">
        <v>176</v>
      </c>
      <c r="E1061" s="11"/>
      <c r="F1061" s="11" t="s">
        <v>1440</v>
      </c>
      <c r="G1061" s="11" t="s">
        <v>179</v>
      </c>
      <c r="H1061" s="11">
        <v>1.0</v>
      </c>
      <c r="I1061" s="20">
        <v>533.95</v>
      </c>
      <c r="J1061" s="20">
        <v>533.95</v>
      </c>
      <c r="BO1061" s="20">
        <v>533.95</v>
      </c>
      <c r="BP1061" s="11"/>
      <c r="BQ1061" s="11" t="b">
        <v>1</v>
      </c>
      <c r="BR1061" s="20">
        <v>533.95</v>
      </c>
      <c r="BS1061" s="11"/>
      <c r="BT1061" s="11"/>
      <c r="BU1061" s="11" t="s">
        <v>187</v>
      </c>
      <c r="BV1061" s="11"/>
      <c r="BW1061" s="11"/>
      <c r="BX1061" s="11"/>
      <c r="BY1061" s="11"/>
    </row>
    <row r="1062">
      <c r="A1062" s="11">
        <v>1830.0</v>
      </c>
      <c r="B1062" s="11" t="s">
        <v>78</v>
      </c>
      <c r="C1062" s="23">
        <v>46083.0</v>
      </c>
      <c r="D1062" s="11">
        <v>3.6037127E7</v>
      </c>
      <c r="E1062" s="11"/>
      <c r="F1062" s="11" t="s">
        <v>2162</v>
      </c>
      <c r="G1062" s="11" t="s">
        <v>1726</v>
      </c>
      <c r="H1062" s="11">
        <v>1.0</v>
      </c>
      <c r="I1062" s="20">
        <v>120.0</v>
      </c>
      <c r="J1062" s="20">
        <v>120.0</v>
      </c>
      <c r="BO1062" s="20">
        <v>120.0</v>
      </c>
      <c r="BP1062" s="11"/>
      <c r="BQ1062" s="11" t="b">
        <v>1</v>
      </c>
      <c r="BR1062" s="20">
        <v>120.0</v>
      </c>
      <c r="BS1062" s="11"/>
      <c r="BT1062" s="11"/>
      <c r="BU1062" s="11" t="s">
        <v>187</v>
      </c>
      <c r="BV1062" s="11"/>
      <c r="BW1062" s="11"/>
      <c r="BX1062" s="11"/>
      <c r="BY1062" s="11"/>
    </row>
    <row r="1063">
      <c r="A1063" s="11">
        <v>1831.0</v>
      </c>
      <c r="B1063" s="11" t="s">
        <v>78</v>
      </c>
      <c r="C1063" s="23">
        <v>46083.0</v>
      </c>
      <c r="D1063" s="11" t="s">
        <v>2509</v>
      </c>
      <c r="E1063" s="11"/>
      <c r="F1063" s="11" t="s">
        <v>2638</v>
      </c>
      <c r="G1063" s="11" t="s">
        <v>1898</v>
      </c>
      <c r="H1063" s="11">
        <v>1.0</v>
      </c>
      <c r="I1063" s="20">
        <v>130.5</v>
      </c>
      <c r="J1063" s="20">
        <v>130.5</v>
      </c>
      <c r="BO1063" s="20">
        <v>130.5</v>
      </c>
      <c r="BP1063" s="11"/>
      <c r="BQ1063" s="11" t="b">
        <v>1</v>
      </c>
      <c r="BR1063" s="20">
        <v>130.5</v>
      </c>
      <c r="BS1063" s="11"/>
      <c r="BT1063" s="11"/>
      <c r="BU1063" s="11" t="s">
        <v>187</v>
      </c>
      <c r="BV1063" s="11"/>
      <c r="BW1063" s="11"/>
      <c r="BX1063" s="11"/>
      <c r="BY1063" s="11"/>
    </row>
    <row r="1064">
      <c r="A1064" s="11">
        <v>1834.0</v>
      </c>
      <c r="B1064" s="11" t="s">
        <v>78</v>
      </c>
      <c r="C1064" s="23">
        <v>46083.0</v>
      </c>
      <c r="D1064" s="11" t="s">
        <v>5965</v>
      </c>
      <c r="E1064" s="11"/>
      <c r="F1064" s="11" t="s">
        <v>7181</v>
      </c>
      <c r="G1064" s="11" t="s">
        <v>2099</v>
      </c>
      <c r="H1064" s="11">
        <v>1.0</v>
      </c>
      <c r="I1064" s="20">
        <v>1886.71</v>
      </c>
      <c r="J1064" s="20">
        <v>1886.71</v>
      </c>
      <c r="BO1064" s="20">
        <v>1886.71</v>
      </c>
      <c r="BP1064" s="11"/>
      <c r="BQ1064" s="11" t="b">
        <v>1</v>
      </c>
      <c r="BR1064" s="20">
        <v>1886.71</v>
      </c>
      <c r="BS1064" s="11"/>
      <c r="BT1064" s="11"/>
      <c r="BU1064" s="11" t="s">
        <v>187</v>
      </c>
      <c r="BV1064" s="11"/>
      <c r="BW1064" s="11"/>
      <c r="BX1064" s="11"/>
      <c r="BY1064" s="11"/>
    </row>
    <row r="1065">
      <c r="A1065" s="11" t="s">
        <v>2790</v>
      </c>
      <c r="B1065" s="11" t="s">
        <v>78</v>
      </c>
      <c r="C1065" s="23">
        <v>46083.0</v>
      </c>
      <c r="D1065" s="11"/>
      <c r="E1065" s="11"/>
      <c r="F1065" s="11" t="s">
        <v>7184</v>
      </c>
      <c r="G1065" s="11" t="s">
        <v>376</v>
      </c>
      <c r="H1065" s="11">
        <v>1.0</v>
      </c>
      <c r="I1065" s="20">
        <v>100.0</v>
      </c>
      <c r="J1065" s="20">
        <v>100.0</v>
      </c>
      <c r="BO1065" s="20">
        <v>100.0</v>
      </c>
      <c r="BP1065" s="11"/>
      <c r="BQ1065" s="11" t="b">
        <v>1</v>
      </c>
      <c r="BR1065" s="20">
        <v>100.0</v>
      </c>
      <c r="BS1065" s="11"/>
      <c r="BT1065" s="11"/>
      <c r="BU1065" s="11" t="s">
        <v>187</v>
      </c>
      <c r="BV1065" s="11" t="s">
        <v>225</v>
      </c>
      <c r="BW1065" s="11"/>
      <c r="BX1065" s="11"/>
      <c r="BY1065" s="11"/>
    </row>
    <row r="1066">
      <c r="A1066" s="11" t="s">
        <v>2793</v>
      </c>
      <c r="B1066" s="11" t="s">
        <v>78</v>
      </c>
      <c r="C1066" s="23">
        <v>46083.0</v>
      </c>
      <c r="D1066" s="11"/>
      <c r="E1066" s="11"/>
      <c r="F1066" s="11" t="s">
        <v>7185</v>
      </c>
      <c r="G1066" s="11" t="s">
        <v>376</v>
      </c>
      <c r="H1066" s="11">
        <v>1.0</v>
      </c>
      <c r="I1066" s="20">
        <v>100.0</v>
      </c>
      <c r="J1066" s="20">
        <v>100.0</v>
      </c>
      <c r="BO1066" s="20">
        <v>100.0</v>
      </c>
      <c r="BP1066" s="11"/>
      <c r="BQ1066" s="11" t="b">
        <v>1</v>
      </c>
      <c r="BR1066" s="20">
        <v>100.0</v>
      </c>
      <c r="BS1066" s="11"/>
      <c r="BT1066" s="11"/>
      <c r="BU1066" s="11" t="s">
        <v>187</v>
      </c>
      <c r="BV1066" s="11" t="s">
        <v>126</v>
      </c>
      <c r="BW1066" s="11"/>
      <c r="BX1066" s="11"/>
      <c r="BY1066" s="11"/>
    </row>
    <row r="1067">
      <c r="A1067" s="11" t="s">
        <v>2797</v>
      </c>
      <c r="B1067" s="11" t="s">
        <v>78</v>
      </c>
      <c r="C1067" s="23">
        <v>46083.0</v>
      </c>
      <c r="D1067" s="11"/>
      <c r="E1067" s="11"/>
      <c r="F1067" s="11" t="s">
        <v>7185</v>
      </c>
      <c r="G1067" s="11" t="s">
        <v>376</v>
      </c>
      <c r="H1067" s="11">
        <v>1.0</v>
      </c>
      <c r="I1067" s="20">
        <v>100.0</v>
      </c>
      <c r="J1067" s="20">
        <v>100.0</v>
      </c>
      <c r="BO1067" s="20">
        <v>100.0</v>
      </c>
      <c r="BP1067" s="11"/>
      <c r="BQ1067" s="11" t="b">
        <v>1</v>
      </c>
      <c r="BR1067" s="20">
        <v>100.0</v>
      </c>
      <c r="BS1067" s="11"/>
      <c r="BT1067" s="11"/>
      <c r="BU1067" s="11" t="s">
        <v>187</v>
      </c>
      <c r="BV1067" s="11" t="s">
        <v>3739</v>
      </c>
      <c r="BW1067" s="11"/>
      <c r="BX1067" s="11"/>
      <c r="BY1067" s="11"/>
    </row>
    <row r="1068">
      <c r="A1068" s="11" t="s">
        <v>2800</v>
      </c>
      <c r="B1068" s="11" t="s">
        <v>78</v>
      </c>
      <c r="C1068" s="23">
        <v>46083.0</v>
      </c>
      <c r="D1068" s="11"/>
      <c r="E1068" s="11"/>
      <c r="F1068" s="11" t="s">
        <v>7185</v>
      </c>
      <c r="G1068" s="11" t="s">
        <v>376</v>
      </c>
      <c r="H1068" s="11">
        <v>1.0</v>
      </c>
      <c r="I1068" s="20">
        <v>100.0</v>
      </c>
      <c r="J1068" s="20">
        <v>100.0</v>
      </c>
      <c r="BO1068" s="20">
        <v>100.0</v>
      </c>
      <c r="BP1068" s="11"/>
      <c r="BQ1068" s="11" t="b">
        <v>1</v>
      </c>
      <c r="BR1068" s="20">
        <v>100.0</v>
      </c>
      <c r="BS1068" s="11"/>
      <c r="BT1068" s="11"/>
      <c r="BU1068" s="11" t="s">
        <v>187</v>
      </c>
      <c r="BV1068" s="11" t="s">
        <v>145</v>
      </c>
      <c r="BW1068" s="11"/>
      <c r="BX1068" s="11"/>
      <c r="BY1068" s="11"/>
    </row>
    <row r="1069">
      <c r="A1069" s="11" t="s">
        <v>2805</v>
      </c>
      <c r="B1069" s="11" t="s">
        <v>78</v>
      </c>
      <c r="C1069" s="23">
        <v>46083.0</v>
      </c>
      <c r="D1069" s="11"/>
      <c r="E1069" s="11"/>
      <c r="F1069" s="11" t="s">
        <v>7186</v>
      </c>
      <c r="G1069" s="11" t="s">
        <v>350</v>
      </c>
      <c r="H1069" s="11">
        <v>1.0</v>
      </c>
      <c r="I1069" s="20">
        <v>500.0</v>
      </c>
      <c r="J1069" s="20">
        <v>500.0</v>
      </c>
      <c r="BO1069" s="20">
        <v>500.0</v>
      </c>
      <c r="BP1069" s="11"/>
      <c r="BQ1069" s="11" t="b">
        <v>1</v>
      </c>
      <c r="BR1069" s="20">
        <v>500.0</v>
      </c>
      <c r="BS1069" s="11"/>
      <c r="BT1069" s="11"/>
      <c r="BU1069" s="11" t="s">
        <v>187</v>
      </c>
      <c r="BV1069" s="11" t="s">
        <v>113</v>
      </c>
      <c r="BW1069" s="11"/>
      <c r="BX1069" s="11"/>
      <c r="BY1069" s="11"/>
    </row>
    <row r="1070">
      <c r="A1070" s="11" t="s">
        <v>4284</v>
      </c>
      <c r="B1070" s="11" t="s">
        <v>78</v>
      </c>
      <c r="C1070" s="23">
        <v>46080.0</v>
      </c>
      <c r="D1070" s="11" t="s">
        <v>237</v>
      </c>
      <c r="E1070" s="11" t="s">
        <v>7189</v>
      </c>
      <c r="F1070" s="11" t="s">
        <v>7191</v>
      </c>
      <c r="G1070" s="11"/>
      <c r="H1070" s="11"/>
      <c r="I1070" s="20"/>
      <c r="J1070" s="20"/>
      <c r="BO1070" s="20"/>
      <c r="BP1070" s="11" t="s">
        <v>7190</v>
      </c>
      <c r="BQ1070" s="11" t="b">
        <v>0</v>
      </c>
      <c r="BR1070" s="20"/>
      <c r="BS1070" s="11"/>
      <c r="BT1070" s="11" t="b">
        <v>0</v>
      </c>
      <c r="BU1070" s="11" t="s">
        <v>2932</v>
      </c>
      <c r="BV1070" s="11"/>
      <c r="BW1070" s="11" t="s">
        <v>7192</v>
      </c>
      <c r="BX1070" s="11" t="s">
        <v>7193</v>
      </c>
      <c r="BY1070" s="11"/>
    </row>
    <row r="1071">
      <c r="A1071" s="11" t="s">
        <v>4297</v>
      </c>
      <c r="B1071" s="11" t="s">
        <v>78</v>
      </c>
      <c r="C1071" s="23">
        <v>46080.0</v>
      </c>
      <c r="D1071" s="11" t="s">
        <v>237</v>
      </c>
      <c r="E1071" s="11" t="s">
        <v>7470</v>
      </c>
      <c r="F1071" s="11" t="s">
        <v>7471</v>
      </c>
      <c r="G1071" s="11"/>
      <c r="H1071" s="11"/>
      <c r="I1071" s="20"/>
      <c r="J1071" s="20"/>
      <c r="BO1071" s="20"/>
      <c r="BP1071" s="11" t="s">
        <v>7195</v>
      </c>
      <c r="BQ1071" s="11" t="b">
        <v>0</v>
      </c>
      <c r="BR1071" s="20"/>
      <c r="BS1071" s="11"/>
      <c r="BT1071" s="11" t="b">
        <v>0</v>
      </c>
      <c r="BU1071" s="11" t="s">
        <v>5814</v>
      </c>
      <c r="BV1071" s="11"/>
      <c r="BW1071" s="11"/>
      <c r="BX1071" s="11" t="s">
        <v>7197</v>
      </c>
      <c r="BY1071" s="11"/>
    </row>
    <row r="1072">
      <c r="A1072" s="11" t="s">
        <v>4320</v>
      </c>
      <c r="B1072" s="11" t="s">
        <v>78</v>
      </c>
      <c r="C1072" s="23">
        <v>46085.0</v>
      </c>
      <c r="D1072" s="11" t="s">
        <v>992</v>
      </c>
      <c r="E1072" s="11" t="s">
        <v>7198</v>
      </c>
      <c r="F1072" s="11" t="s">
        <v>7200</v>
      </c>
      <c r="G1072" s="11"/>
      <c r="H1072" s="11"/>
      <c r="I1072" s="20"/>
      <c r="J1072" s="20"/>
      <c r="BO1072" s="20"/>
      <c r="BP1072" s="11" t="s">
        <v>7199</v>
      </c>
      <c r="BQ1072" s="11" t="b">
        <v>0</v>
      </c>
      <c r="BR1072" s="20"/>
      <c r="BS1072" s="19" t="s">
        <v>7478</v>
      </c>
      <c r="BT1072" s="11" t="b">
        <v>1</v>
      </c>
      <c r="BU1072" s="11" t="s">
        <v>2932</v>
      </c>
      <c r="BV1072" s="11"/>
      <c r="BW1072" s="11"/>
      <c r="BX1072" s="11"/>
      <c r="BY1072" s="11"/>
    </row>
    <row r="1073">
      <c r="A1073" s="11" t="s">
        <v>4308</v>
      </c>
      <c r="B1073" s="11" t="s">
        <v>78</v>
      </c>
      <c r="C1073" s="23">
        <v>46082.0</v>
      </c>
      <c r="D1073" s="11" t="s">
        <v>2549</v>
      </c>
      <c r="E1073" s="11" t="s">
        <v>7201</v>
      </c>
      <c r="F1073" s="11" t="s">
        <v>7204</v>
      </c>
      <c r="G1073" s="11"/>
      <c r="H1073" s="11"/>
      <c r="I1073" s="20"/>
      <c r="J1073" s="20"/>
      <c r="BO1073" s="20"/>
      <c r="BP1073" s="11" t="s">
        <v>7203</v>
      </c>
      <c r="BQ1073" s="11" t="b">
        <v>0</v>
      </c>
      <c r="BR1073" s="20"/>
      <c r="BS1073" s="19" t="s">
        <v>7484</v>
      </c>
      <c r="BT1073" s="11" t="b">
        <v>1</v>
      </c>
      <c r="BU1073" s="11" t="s">
        <v>2932</v>
      </c>
      <c r="BV1073" s="11"/>
      <c r="BW1073" s="11"/>
      <c r="BX1073" s="11"/>
      <c r="BY1073" s="11"/>
    </row>
    <row r="1074">
      <c r="A1074" s="11" t="s">
        <v>4325</v>
      </c>
      <c r="B1074" s="11" t="s">
        <v>78</v>
      </c>
      <c r="C1074" s="23">
        <v>46085.0</v>
      </c>
      <c r="D1074" s="11" t="s">
        <v>7206</v>
      </c>
      <c r="E1074" s="11" t="s">
        <v>7207</v>
      </c>
      <c r="F1074" s="11" t="s">
        <v>7210</v>
      </c>
      <c r="G1074" s="11"/>
      <c r="H1074" s="11"/>
      <c r="I1074" s="20"/>
      <c r="J1074" s="20"/>
      <c r="BO1074" s="20"/>
      <c r="BP1074" s="11" t="s">
        <v>7209</v>
      </c>
      <c r="BQ1074" s="11" t="b">
        <v>0</v>
      </c>
      <c r="BR1074" s="20"/>
      <c r="BS1074" s="19" t="s">
        <v>7488</v>
      </c>
      <c r="BT1074" s="11" t="b">
        <v>1</v>
      </c>
      <c r="BU1074" s="11" t="s">
        <v>2932</v>
      </c>
      <c r="BV1074" s="11"/>
      <c r="BW1074" s="11"/>
      <c r="BX1074" s="11"/>
      <c r="BY1074" s="11"/>
    </row>
    <row r="1075">
      <c r="A1075" s="11" t="s">
        <v>4331</v>
      </c>
      <c r="B1075" s="11" t="s">
        <v>78</v>
      </c>
      <c r="C1075" s="23">
        <v>46085.0</v>
      </c>
      <c r="D1075" s="11" t="s">
        <v>116</v>
      </c>
      <c r="E1075" s="11" t="s">
        <v>7211</v>
      </c>
      <c r="F1075" s="11" t="s">
        <v>7213</v>
      </c>
      <c r="G1075" s="11"/>
      <c r="H1075" s="11"/>
      <c r="I1075" s="20"/>
      <c r="J1075" s="20"/>
      <c r="BO1075" s="20"/>
      <c r="BP1075" s="11" t="s">
        <v>7212</v>
      </c>
      <c r="BQ1075" s="11" t="b">
        <v>0</v>
      </c>
      <c r="BR1075" s="20"/>
      <c r="BS1075" s="19" t="s">
        <v>7493</v>
      </c>
      <c r="BT1075" s="11" t="b">
        <v>1</v>
      </c>
      <c r="BU1075" s="11" t="s">
        <v>2932</v>
      </c>
      <c r="BV1075" s="11"/>
      <c r="BW1075" s="11"/>
      <c r="BX1075" s="11"/>
      <c r="BY1075" s="11"/>
    </row>
    <row r="1076">
      <c r="A1076" s="11" t="s">
        <v>4341</v>
      </c>
      <c r="B1076" s="11" t="s">
        <v>78</v>
      </c>
      <c r="C1076" s="23">
        <v>46085.0</v>
      </c>
      <c r="D1076" s="11" t="s">
        <v>7065</v>
      </c>
      <c r="E1076" s="11" t="s">
        <v>7215</v>
      </c>
      <c r="F1076" s="11" t="s">
        <v>7217</v>
      </c>
      <c r="G1076" s="11"/>
      <c r="H1076" s="11"/>
      <c r="I1076" s="20"/>
      <c r="J1076" s="20"/>
      <c r="BO1076" s="20"/>
      <c r="BP1076" s="11" t="s">
        <v>7216</v>
      </c>
      <c r="BQ1076" s="11" t="b">
        <v>0</v>
      </c>
      <c r="BR1076" s="20"/>
      <c r="BS1076" s="19" t="s">
        <v>7498</v>
      </c>
      <c r="BT1076" s="11" t="b">
        <v>1</v>
      </c>
      <c r="BU1076" s="11" t="s">
        <v>2932</v>
      </c>
      <c r="BV1076" s="11"/>
      <c r="BW1076" s="11"/>
      <c r="BX1076" s="11"/>
      <c r="BY1076" s="11"/>
    </row>
    <row r="1077">
      <c r="A1077" s="11" t="s">
        <v>2810</v>
      </c>
      <c r="B1077" s="11" t="s">
        <v>78</v>
      </c>
      <c r="C1077" s="23">
        <v>46085.0</v>
      </c>
      <c r="D1077" s="11" t="s">
        <v>4510</v>
      </c>
      <c r="E1077" s="11"/>
      <c r="F1077" s="11" t="s">
        <v>7220</v>
      </c>
      <c r="G1077" s="11" t="s">
        <v>419</v>
      </c>
      <c r="H1077" s="11">
        <v>1.0</v>
      </c>
      <c r="I1077" s="20">
        <v>1241.33</v>
      </c>
      <c r="J1077" s="20">
        <v>1241.33</v>
      </c>
      <c r="BO1077" s="20">
        <v>1241.33</v>
      </c>
      <c r="BP1077" s="11"/>
      <c r="BQ1077" s="11" t="b">
        <v>1</v>
      </c>
      <c r="BR1077" s="20">
        <v>1241.33</v>
      </c>
      <c r="BS1077" s="11"/>
      <c r="BT1077" s="11"/>
      <c r="BU1077" s="11" t="s">
        <v>187</v>
      </c>
      <c r="BV1077" s="11"/>
      <c r="BW1077" s="11"/>
      <c r="BX1077" s="11"/>
      <c r="BY1077" s="11"/>
    </row>
    <row r="1078">
      <c r="A1078" s="11" t="s">
        <v>5440</v>
      </c>
      <c r="B1078" s="11" t="s">
        <v>78</v>
      </c>
      <c r="C1078" s="23">
        <v>46086.0</v>
      </c>
      <c r="D1078" s="11" t="s">
        <v>7221</v>
      </c>
      <c r="E1078" s="11" t="s">
        <v>7222</v>
      </c>
      <c r="F1078" s="11" t="s">
        <v>7224</v>
      </c>
      <c r="G1078" s="11"/>
      <c r="H1078" s="11"/>
      <c r="I1078" s="20"/>
      <c r="J1078" s="20"/>
      <c r="BO1078" s="20"/>
      <c r="BP1078" s="11" t="s">
        <v>7223</v>
      </c>
      <c r="BQ1078" s="11" t="b">
        <v>0</v>
      </c>
      <c r="BR1078" s="20"/>
      <c r="BS1078" s="19" t="s">
        <v>7503</v>
      </c>
      <c r="BT1078" s="11" t="b">
        <v>1</v>
      </c>
      <c r="BU1078" s="11" t="s">
        <v>2932</v>
      </c>
      <c r="BV1078" s="11"/>
      <c r="BW1078" s="11"/>
      <c r="BX1078" s="11"/>
      <c r="BY1078" s="11"/>
    </row>
    <row r="1079">
      <c r="A1079" s="11" t="s">
        <v>4312</v>
      </c>
      <c r="B1079" s="11" t="s">
        <v>78</v>
      </c>
      <c r="C1079" s="23">
        <v>46083.0</v>
      </c>
      <c r="D1079" s="11" t="s">
        <v>104</v>
      </c>
      <c r="E1079" s="11" t="s">
        <v>7225</v>
      </c>
      <c r="F1079" s="11" t="s">
        <v>7227</v>
      </c>
      <c r="G1079" s="11"/>
      <c r="H1079" s="11"/>
      <c r="I1079" s="20"/>
      <c r="J1079" s="20"/>
      <c r="BO1079" s="20"/>
      <c r="BP1079" s="11" t="s">
        <v>7226</v>
      </c>
      <c r="BQ1079" s="11" t="b">
        <v>0</v>
      </c>
      <c r="BR1079" s="20"/>
      <c r="BS1079" s="19" t="s">
        <v>7505</v>
      </c>
      <c r="BT1079" s="11" t="b">
        <v>1</v>
      </c>
      <c r="BU1079" s="11" t="s">
        <v>2932</v>
      </c>
      <c r="BV1079" s="11"/>
      <c r="BW1079" s="11"/>
      <c r="BX1079" s="11"/>
      <c r="BY1079" s="11"/>
    </row>
    <row r="1080">
      <c r="A1080" s="11" t="s">
        <v>4346</v>
      </c>
      <c r="B1080" s="11" t="s">
        <v>78</v>
      </c>
      <c r="C1080" s="23">
        <v>46087.0</v>
      </c>
      <c r="D1080" s="11" t="s">
        <v>104</v>
      </c>
      <c r="E1080" s="11" t="s">
        <v>7229</v>
      </c>
      <c r="F1080" s="11" t="s">
        <v>7231</v>
      </c>
      <c r="G1080" s="11"/>
      <c r="H1080" s="11"/>
      <c r="I1080" s="20"/>
      <c r="J1080" s="20"/>
      <c r="BO1080" s="20"/>
      <c r="BP1080" s="11" t="s">
        <v>7230</v>
      </c>
      <c r="BQ1080" s="11" t="b">
        <v>0</v>
      </c>
      <c r="BR1080" s="20"/>
      <c r="BS1080" s="19" t="s">
        <v>7507</v>
      </c>
      <c r="BT1080" s="11" t="b">
        <v>1</v>
      </c>
      <c r="BU1080" s="11" t="s">
        <v>2932</v>
      </c>
      <c r="BV1080" s="11"/>
      <c r="BW1080" s="11"/>
      <c r="BX1080" s="11"/>
      <c r="BY1080" s="11"/>
    </row>
    <row r="1081">
      <c r="A1081" s="11" t="s">
        <v>4358</v>
      </c>
      <c r="B1081" s="11" t="s">
        <v>78</v>
      </c>
      <c r="C1081" s="23">
        <v>46087.0</v>
      </c>
      <c r="D1081" s="11" t="s">
        <v>992</v>
      </c>
      <c r="E1081" s="11" t="s">
        <v>7233</v>
      </c>
      <c r="F1081" s="11" t="s">
        <v>7235</v>
      </c>
      <c r="G1081" s="11"/>
      <c r="H1081" s="11"/>
      <c r="I1081" s="20"/>
      <c r="J1081" s="20"/>
      <c r="BO1081" s="20"/>
      <c r="BP1081" s="11" t="s">
        <v>7234</v>
      </c>
      <c r="BQ1081" s="11" t="b">
        <v>0</v>
      </c>
      <c r="BR1081" s="20"/>
      <c r="BS1081" s="19" t="s">
        <v>7508</v>
      </c>
      <c r="BT1081" s="11" t="b">
        <v>1</v>
      </c>
      <c r="BU1081" s="11" t="s">
        <v>2932</v>
      </c>
      <c r="BV1081" s="11"/>
      <c r="BW1081" s="11"/>
      <c r="BX1081" s="11"/>
      <c r="BY1081" s="11"/>
    </row>
    <row r="1082">
      <c r="A1082" s="11" t="s">
        <v>4373</v>
      </c>
      <c r="B1082" s="11" t="s">
        <v>78</v>
      </c>
      <c r="C1082" s="23">
        <v>46090.0</v>
      </c>
      <c r="D1082" s="11" t="s">
        <v>2549</v>
      </c>
      <c r="E1082" s="11" t="s">
        <v>7236</v>
      </c>
      <c r="F1082" s="11" t="s">
        <v>7238</v>
      </c>
      <c r="G1082" s="11"/>
      <c r="H1082" s="11"/>
      <c r="I1082" s="20"/>
      <c r="J1082" s="20"/>
      <c r="BO1082" s="20"/>
      <c r="BP1082" s="11" t="s">
        <v>7237</v>
      </c>
      <c r="BQ1082" s="11" t="b">
        <v>0</v>
      </c>
      <c r="BR1082" s="20"/>
      <c r="BS1082" s="19" t="s">
        <v>7513</v>
      </c>
      <c r="BT1082" s="11" t="b">
        <v>1</v>
      </c>
      <c r="BU1082" s="11" t="s">
        <v>2932</v>
      </c>
      <c r="BV1082" s="11"/>
      <c r="BW1082" s="11"/>
      <c r="BX1082" s="11"/>
      <c r="BY1082" s="11"/>
    </row>
    <row r="1083">
      <c r="A1083" s="11">
        <v>1832.0</v>
      </c>
      <c r="B1083" s="11" t="s">
        <v>78</v>
      </c>
      <c r="C1083" s="23">
        <v>46090.0</v>
      </c>
      <c r="D1083" s="11" t="s">
        <v>1676</v>
      </c>
      <c r="E1083" s="11"/>
      <c r="F1083" s="11" t="s">
        <v>2802</v>
      </c>
      <c r="G1083" s="11" t="s">
        <v>1902</v>
      </c>
      <c r="H1083" s="11">
        <v>1.0</v>
      </c>
      <c r="I1083" s="20">
        <v>1410.94</v>
      </c>
      <c r="J1083" s="20">
        <v>1410.94</v>
      </c>
      <c r="BO1083" s="20">
        <v>1410.94</v>
      </c>
      <c r="BP1083" s="11"/>
      <c r="BQ1083" s="11" t="b">
        <v>1</v>
      </c>
      <c r="BR1083" s="20">
        <v>1410.94</v>
      </c>
      <c r="BS1083" s="11"/>
      <c r="BT1083" s="11"/>
      <c r="BU1083" s="11" t="s">
        <v>187</v>
      </c>
      <c r="BV1083" s="11"/>
      <c r="BW1083" s="11"/>
      <c r="BX1083" s="11"/>
      <c r="BY1083" s="11"/>
    </row>
    <row r="1084">
      <c r="A1084" s="11">
        <v>1833.0</v>
      </c>
      <c r="B1084" s="11" t="s">
        <v>78</v>
      </c>
      <c r="C1084" s="23">
        <v>46090.0</v>
      </c>
      <c r="D1084" s="11" t="s">
        <v>2535</v>
      </c>
      <c r="E1084" s="11"/>
      <c r="F1084" s="11" t="s">
        <v>2638</v>
      </c>
      <c r="G1084" s="11" t="s">
        <v>1906</v>
      </c>
      <c r="H1084" s="11">
        <v>1.0</v>
      </c>
      <c r="I1084" s="20">
        <v>60.01</v>
      </c>
      <c r="J1084" s="20">
        <v>60.01</v>
      </c>
      <c r="BO1084" s="20">
        <v>60.01</v>
      </c>
      <c r="BP1084" s="11"/>
      <c r="BQ1084" s="11" t="b">
        <v>1</v>
      </c>
      <c r="BR1084" s="20">
        <v>60.01</v>
      </c>
      <c r="BS1084" s="11"/>
      <c r="BT1084" s="11"/>
      <c r="BU1084" s="11" t="s">
        <v>187</v>
      </c>
      <c r="BV1084" s="11"/>
      <c r="BW1084" s="11"/>
      <c r="BX1084" s="11"/>
      <c r="BY1084" s="11"/>
    </row>
    <row r="1085">
      <c r="A1085" s="11">
        <v>1851.0</v>
      </c>
      <c r="B1085" s="11" t="s">
        <v>78</v>
      </c>
      <c r="C1085" s="23">
        <v>46090.0</v>
      </c>
      <c r="D1085" s="11" t="s">
        <v>1046</v>
      </c>
      <c r="E1085" s="11"/>
      <c r="F1085" s="11" t="s">
        <v>7244</v>
      </c>
      <c r="G1085" s="11" t="s">
        <v>1936</v>
      </c>
      <c r="H1085" s="11">
        <v>1.0</v>
      </c>
      <c r="I1085" s="20">
        <v>0.0</v>
      </c>
      <c r="J1085" s="20">
        <v>0.0</v>
      </c>
      <c r="BO1085" s="20">
        <v>0.0</v>
      </c>
      <c r="BP1085" s="11"/>
      <c r="BQ1085" s="11" t="b">
        <v>1</v>
      </c>
      <c r="BR1085" s="20">
        <v>0.0</v>
      </c>
      <c r="BS1085" s="11"/>
      <c r="BT1085" s="11"/>
      <c r="BU1085" s="11" t="s">
        <v>213</v>
      </c>
      <c r="BV1085" s="11"/>
      <c r="BW1085" s="11"/>
      <c r="BX1085" s="11"/>
      <c r="BY1085" s="11"/>
    </row>
    <row r="1086">
      <c r="A1086" s="11" t="s">
        <v>2821</v>
      </c>
      <c r="B1086" s="11" t="s">
        <v>78</v>
      </c>
      <c r="C1086" s="23">
        <v>46090.0</v>
      </c>
      <c r="D1086" s="11" t="s">
        <v>7245</v>
      </c>
      <c r="E1086" s="11"/>
      <c r="F1086" s="11" t="s">
        <v>7246</v>
      </c>
      <c r="G1086" s="11" t="s">
        <v>1705</v>
      </c>
      <c r="H1086" s="11">
        <v>1.0</v>
      </c>
      <c r="I1086" s="20">
        <v>119.7</v>
      </c>
      <c r="J1086" s="20">
        <v>119.7</v>
      </c>
      <c r="BO1086" s="20">
        <v>119.7</v>
      </c>
      <c r="BP1086" s="11"/>
      <c r="BQ1086" s="11" t="b">
        <v>1</v>
      </c>
      <c r="BR1086" s="20">
        <v>119.7</v>
      </c>
      <c r="BS1086" s="11"/>
      <c r="BT1086" s="11"/>
      <c r="BU1086" s="11" t="s">
        <v>235</v>
      </c>
      <c r="BV1086" s="11"/>
      <c r="BW1086" s="11"/>
      <c r="BX1086" s="11"/>
      <c r="BY1086" s="11"/>
    </row>
    <row r="1087">
      <c r="A1087" s="11" t="s">
        <v>2826</v>
      </c>
      <c r="B1087" s="11" t="s">
        <v>78</v>
      </c>
      <c r="C1087" s="23">
        <v>46088.0</v>
      </c>
      <c r="D1087" s="11" t="s">
        <v>228</v>
      </c>
      <c r="E1087" s="11"/>
      <c r="F1087" s="11" t="s">
        <v>3158</v>
      </c>
      <c r="G1087" s="11" t="s">
        <v>419</v>
      </c>
      <c r="H1087" s="11">
        <v>1.0</v>
      </c>
      <c r="I1087" s="20">
        <v>335.9</v>
      </c>
      <c r="J1087" s="20">
        <v>335.9</v>
      </c>
      <c r="BO1087" s="20">
        <v>335.9</v>
      </c>
      <c r="BP1087" s="11"/>
      <c r="BQ1087" s="11" t="b">
        <v>1</v>
      </c>
      <c r="BR1087" s="20">
        <v>335.9</v>
      </c>
      <c r="BS1087" s="11"/>
      <c r="BT1087" s="11"/>
      <c r="BU1087" s="11" t="s">
        <v>235</v>
      </c>
      <c r="BV1087" s="11"/>
      <c r="BW1087" s="11"/>
      <c r="BX1087" s="11"/>
      <c r="BY1087" s="11"/>
    </row>
    <row r="1088">
      <c r="A1088" s="11" t="s">
        <v>2830</v>
      </c>
      <c r="B1088" s="11" t="s">
        <v>78</v>
      </c>
      <c r="C1088" s="23">
        <v>46090.0</v>
      </c>
      <c r="D1088" s="11" t="s">
        <v>7248</v>
      </c>
      <c r="E1088" s="11"/>
      <c r="F1088" s="11" t="s">
        <v>1693</v>
      </c>
      <c r="G1088" s="11" t="s">
        <v>1570</v>
      </c>
      <c r="H1088" s="11">
        <v>1.0</v>
      </c>
      <c r="I1088" s="20">
        <v>178.0</v>
      </c>
      <c r="J1088" s="20">
        <v>178.0</v>
      </c>
      <c r="BO1088" s="20">
        <v>178.0</v>
      </c>
      <c r="BP1088" s="11"/>
      <c r="BQ1088" s="11" t="b">
        <v>1</v>
      </c>
      <c r="BR1088" s="20">
        <v>178.0</v>
      </c>
      <c r="BS1088" s="11"/>
      <c r="BT1088" s="11"/>
      <c r="BU1088" s="11" t="s">
        <v>235</v>
      </c>
      <c r="BV1088" s="11"/>
      <c r="BW1088" s="11"/>
      <c r="BX1088" s="11"/>
      <c r="BY1088" s="11"/>
    </row>
    <row r="1089">
      <c r="A1089" s="11" t="s">
        <v>4361</v>
      </c>
      <c r="B1089" s="11" t="s">
        <v>78</v>
      </c>
      <c r="C1089" s="23">
        <v>46088.0</v>
      </c>
      <c r="D1089" s="11" t="s">
        <v>1251</v>
      </c>
      <c r="E1089" s="11" t="s">
        <v>7250</v>
      </c>
      <c r="F1089" s="11" t="s">
        <v>3193</v>
      </c>
      <c r="G1089" s="11"/>
      <c r="H1089" s="11"/>
      <c r="I1089" s="20"/>
      <c r="J1089" s="20"/>
      <c r="BO1089" s="20"/>
      <c r="BP1089" s="11" t="s">
        <v>7251</v>
      </c>
      <c r="BQ1089" s="11" t="b">
        <v>0</v>
      </c>
      <c r="BR1089" s="20"/>
      <c r="BS1089" s="19" t="s">
        <v>7534</v>
      </c>
      <c r="BT1089" s="11" t="b">
        <v>1</v>
      </c>
      <c r="BU1089" s="11" t="s">
        <v>2932</v>
      </c>
      <c r="BV1089" s="11"/>
      <c r="BW1089" s="11"/>
      <c r="BX1089" s="11"/>
      <c r="BY1089" s="11"/>
    </row>
    <row r="1090">
      <c r="A1090" s="11" t="s">
        <v>2833</v>
      </c>
      <c r="B1090" s="11" t="s">
        <v>78</v>
      </c>
      <c r="C1090" s="23">
        <v>46091.0</v>
      </c>
      <c r="D1090" s="11" t="s">
        <v>1567</v>
      </c>
      <c r="E1090" s="11"/>
      <c r="F1090" s="11" t="s">
        <v>6479</v>
      </c>
      <c r="G1090" s="11" t="s">
        <v>2106</v>
      </c>
      <c r="H1090" s="11">
        <v>1.0</v>
      </c>
      <c r="I1090" s="20">
        <v>609.16</v>
      </c>
      <c r="J1090" s="20">
        <v>609.16</v>
      </c>
      <c r="BO1090" s="20">
        <v>609.16</v>
      </c>
      <c r="BP1090" s="11"/>
      <c r="BQ1090" s="11" t="b">
        <v>1</v>
      </c>
      <c r="BR1090" s="20">
        <v>609.16</v>
      </c>
      <c r="BS1090" s="11"/>
      <c r="BT1090" s="11"/>
      <c r="BU1090" s="11" t="s">
        <v>213</v>
      </c>
      <c r="BV1090" s="11"/>
      <c r="BW1090" s="11"/>
      <c r="BX1090" s="11"/>
      <c r="BY1090" s="11"/>
    </row>
    <row r="1091">
      <c r="A1091" s="11">
        <v>1847.0</v>
      </c>
      <c r="B1091" s="11" t="s">
        <v>78</v>
      </c>
      <c r="C1091" s="23">
        <v>46091.0</v>
      </c>
      <c r="D1091" s="11" t="s">
        <v>192</v>
      </c>
      <c r="E1091" s="11"/>
      <c r="F1091" s="11" t="s">
        <v>195</v>
      </c>
      <c r="G1091" s="11" t="s">
        <v>196</v>
      </c>
      <c r="H1091" s="11">
        <v>1.0</v>
      </c>
      <c r="I1091" s="20">
        <v>2500.0</v>
      </c>
      <c r="J1091" s="20">
        <v>2500.0</v>
      </c>
      <c r="BO1091" s="20">
        <v>2500.0</v>
      </c>
      <c r="BP1091" s="11"/>
      <c r="BQ1091" s="11" t="b">
        <v>1</v>
      </c>
      <c r="BR1091" s="20">
        <v>2500.0</v>
      </c>
      <c r="BS1091" s="11"/>
      <c r="BT1091" s="11"/>
      <c r="BU1091" s="11" t="s">
        <v>213</v>
      </c>
      <c r="BV1091" s="11"/>
      <c r="BW1091" s="11"/>
      <c r="BX1091" s="11"/>
      <c r="BY1091" s="11"/>
    </row>
    <row r="1092">
      <c r="A1092" s="11">
        <v>1848.0</v>
      </c>
      <c r="B1092" s="11" t="s">
        <v>78</v>
      </c>
      <c r="C1092" s="23">
        <v>46091.0</v>
      </c>
      <c r="D1092" s="11" t="s">
        <v>1217</v>
      </c>
      <c r="E1092" s="11"/>
      <c r="F1092" s="11" t="s">
        <v>1218</v>
      </c>
      <c r="G1092" s="11" t="s">
        <v>502</v>
      </c>
      <c r="H1092" s="11">
        <v>1.0</v>
      </c>
      <c r="I1092" s="20">
        <v>131.9</v>
      </c>
      <c r="J1092" s="20">
        <v>131.9</v>
      </c>
      <c r="BO1092" s="20">
        <v>131.9</v>
      </c>
      <c r="BP1092" s="11"/>
      <c r="BQ1092" s="11" t="b">
        <v>1</v>
      </c>
      <c r="BR1092" s="20">
        <v>131.9</v>
      </c>
      <c r="BS1092" s="11"/>
      <c r="BT1092" s="11"/>
      <c r="BU1092" s="11" t="s">
        <v>213</v>
      </c>
      <c r="BV1092" s="11"/>
      <c r="BW1092" s="11"/>
      <c r="BX1092" s="11"/>
      <c r="BY1092" s="11"/>
    </row>
    <row r="1093">
      <c r="A1093" s="11">
        <v>1849.0</v>
      </c>
      <c r="B1093" s="11" t="s">
        <v>78</v>
      </c>
      <c r="C1093" s="23">
        <v>46091.0</v>
      </c>
      <c r="D1093" s="11" t="s">
        <v>415</v>
      </c>
      <c r="E1093" s="11"/>
      <c r="F1093" s="11" t="s">
        <v>7255</v>
      </c>
      <c r="G1093" s="11" t="s">
        <v>761</v>
      </c>
      <c r="H1093" s="11">
        <v>1.0</v>
      </c>
      <c r="I1093" s="20">
        <v>121.9</v>
      </c>
      <c r="J1093" s="20">
        <v>121.9</v>
      </c>
      <c r="BO1093" s="20">
        <v>121.9</v>
      </c>
      <c r="BP1093" s="11"/>
      <c r="BQ1093" s="11" t="b">
        <v>1</v>
      </c>
      <c r="BR1093" s="20">
        <v>121.9</v>
      </c>
      <c r="BS1093" s="11"/>
      <c r="BT1093" s="11"/>
      <c r="BU1093" s="11" t="s">
        <v>213</v>
      </c>
      <c r="BV1093" s="11"/>
      <c r="BW1093" s="11"/>
      <c r="BX1093" s="11"/>
      <c r="BY1093" s="11"/>
    </row>
    <row r="1094">
      <c r="A1094" s="11" t="s">
        <v>2847</v>
      </c>
      <c r="B1094" s="11" t="s">
        <v>78</v>
      </c>
      <c r="C1094" s="23">
        <v>46091.0</v>
      </c>
      <c r="D1094" s="11" t="s">
        <v>237</v>
      </c>
      <c r="E1094" s="11"/>
      <c r="F1094" s="11" t="s">
        <v>7257</v>
      </c>
      <c r="G1094" s="11" t="s">
        <v>1958</v>
      </c>
      <c r="H1094" s="11">
        <v>1.0</v>
      </c>
      <c r="I1094" s="20">
        <v>1386.67</v>
      </c>
      <c r="J1094" s="20">
        <v>1386.67</v>
      </c>
      <c r="BO1094" s="20">
        <v>1386.67</v>
      </c>
      <c r="BP1094" s="11"/>
      <c r="BQ1094" s="11" t="b">
        <v>1</v>
      </c>
      <c r="BR1094" s="20">
        <v>1386.67</v>
      </c>
      <c r="BS1094" s="11"/>
      <c r="BT1094" s="11"/>
      <c r="BU1094" s="11" t="s">
        <v>213</v>
      </c>
      <c r="BV1094" s="11"/>
      <c r="BW1094" s="11"/>
      <c r="BX1094" s="11"/>
      <c r="BY1094" s="11"/>
    </row>
    <row r="1095">
      <c r="A1095" s="11" t="s">
        <v>2852</v>
      </c>
      <c r="B1095" s="11" t="s">
        <v>78</v>
      </c>
      <c r="C1095" s="23">
        <v>46091.0</v>
      </c>
      <c r="D1095" s="11" t="s">
        <v>7258</v>
      </c>
      <c r="E1095" s="11"/>
      <c r="F1095" s="11" t="s">
        <v>7259</v>
      </c>
      <c r="G1095" s="11" t="s">
        <v>2854</v>
      </c>
      <c r="H1095" s="11">
        <v>1.0</v>
      </c>
      <c r="I1095" s="20">
        <v>390.0</v>
      </c>
      <c r="J1095" s="20">
        <v>390.0</v>
      </c>
      <c r="BO1095" s="20">
        <v>390.0</v>
      </c>
      <c r="BP1095" s="11"/>
      <c r="BQ1095" s="11" t="b">
        <v>1</v>
      </c>
      <c r="BR1095" s="20">
        <v>390.0</v>
      </c>
      <c r="BS1095" s="11"/>
      <c r="BT1095" s="11"/>
      <c r="BU1095" s="11" t="s">
        <v>235</v>
      </c>
      <c r="BV1095" s="11"/>
      <c r="BW1095" s="11"/>
      <c r="BX1095" s="11"/>
      <c r="BY1095" s="11"/>
    </row>
    <row r="1096">
      <c r="A1096" s="11" t="s">
        <v>4386</v>
      </c>
      <c r="B1096" s="11" t="s">
        <v>78</v>
      </c>
      <c r="C1096" s="23">
        <v>46092.0</v>
      </c>
      <c r="D1096" s="11" t="s">
        <v>7260</v>
      </c>
      <c r="E1096" s="11" t="s">
        <v>7261</v>
      </c>
      <c r="F1096" s="11" t="s">
        <v>7263</v>
      </c>
      <c r="G1096" s="11"/>
      <c r="H1096" s="11"/>
      <c r="I1096" s="20"/>
      <c r="J1096" s="20"/>
      <c r="BO1096" s="20"/>
      <c r="BP1096" s="11" t="s">
        <v>7262</v>
      </c>
      <c r="BQ1096" s="11" t="b">
        <v>0</v>
      </c>
      <c r="BR1096" s="20"/>
      <c r="BS1096" s="11"/>
      <c r="BT1096" s="11" t="b">
        <v>0</v>
      </c>
      <c r="BU1096" s="11" t="s">
        <v>2932</v>
      </c>
      <c r="BV1096" s="11"/>
      <c r="BW1096" s="11" t="s">
        <v>7264</v>
      </c>
      <c r="BX1096" s="11"/>
      <c r="BY1096" s="11"/>
    </row>
    <row r="1097">
      <c r="A1097" s="11" t="s">
        <v>4396</v>
      </c>
      <c r="B1097" s="11" t="s">
        <v>78</v>
      </c>
      <c r="C1097" s="23">
        <v>46092.0</v>
      </c>
      <c r="D1097" s="11" t="s">
        <v>237</v>
      </c>
      <c r="E1097" s="11" t="s">
        <v>7266</v>
      </c>
      <c r="F1097" s="11" t="s">
        <v>7268</v>
      </c>
      <c r="G1097" s="11"/>
      <c r="H1097" s="11"/>
      <c r="I1097" s="20"/>
      <c r="J1097" s="20"/>
      <c r="BO1097" s="20"/>
      <c r="BP1097" s="11" t="s">
        <v>7267</v>
      </c>
      <c r="BQ1097" s="11" t="b">
        <v>0</v>
      </c>
      <c r="BR1097" s="20"/>
      <c r="BS1097" s="11"/>
      <c r="BT1097" s="11" t="b">
        <v>0</v>
      </c>
      <c r="BU1097" s="11" t="s">
        <v>2932</v>
      </c>
      <c r="BV1097" s="11"/>
      <c r="BW1097" s="11" t="s">
        <v>7269</v>
      </c>
      <c r="BX1097" s="11"/>
      <c r="BY1097" s="11"/>
    </row>
    <row r="1098">
      <c r="A1098" s="11" t="s">
        <v>4435</v>
      </c>
      <c r="B1098" s="11" t="s">
        <v>78</v>
      </c>
      <c r="C1098" s="23">
        <v>46095.0</v>
      </c>
      <c r="D1098" s="11" t="s">
        <v>85</v>
      </c>
      <c r="E1098" s="11" t="s">
        <v>7272</v>
      </c>
      <c r="F1098" s="11" t="s">
        <v>7274</v>
      </c>
      <c r="G1098" s="11"/>
      <c r="H1098" s="11"/>
      <c r="I1098" s="20"/>
      <c r="J1098" s="20"/>
      <c r="BO1098" s="20"/>
      <c r="BP1098" s="11" t="s">
        <v>7273</v>
      </c>
      <c r="BQ1098" s="11" t="b">
        <v>0</v>
      </c>
      <c r="BR1098" s="20"/>
      <c r="BS1098" s="19" t="s">
        <v>7559</v>
      </c>
      <c r="BT1098" s="11" t="b">
        <v>1</v>
      </c>
      <c r="BU1098" s="11" t="s">
        <v>5814</v>
      </c>
      <c r="BV1098" s="11"/>
      <c r="BW1098" s="11"/>
      <c r="BX1098" s="11"/>
      <c r="BY1098" s="11"/>
    </row>
    <row r="1099">
      <c r="A1099" s="11" t="s">
        <v>4410</v>
      </c>
      <c r="B1099" s="11" t="s">
        <v>78</v>
      </c>
      <c r="C1099" s="23">
        <v>46094.0</v>
      </c>
      <c r="D1099" s="11" t="s">
        <v>104</v>
      </c>
      <c r="E1099" s="11" t="s">
        <v>7275</v>
      </c>
      <c r="F1099" s="11" t="s">
        <v>7277</v>
      </c>
      <c r="G1099" s="11"/>
      <c r="H1099" s="11"/>
      <c r="I1099" s="20"/>
      <c r="J1099" s="20"/>
      <c r="BO1099" s="20"/>
      <c r="BP1099" s="11" t="s">
        <v>7276</v>
      </c>
      <c r="BQ1099" s="11" t="b">
        <v>0</v>
      </c>
      <c r="BR1099" s="20"/>
      <c r="BS1099" s="19" t="s">
        <v>7567</v>
      </c>
      <c r="BT1099" s="11" t="b">
        <v>1</v>
      </c>
      <c r="BU1099" s="11" t="s">
        <v>2932</v>
      </c>
      <c r="BV1099" s="11"/>
      <c r="BW1099" s="11"/>
      <c r="BX1099" s="11"/>
      <c r="BY1099" s="11"/>
    </row>
    <row r="1100">
      <c r="A1100" s="11" t="s">
        <v>4452</v>
      </c>
      <c r="B1100" s="11" t="s">
        <v>78</v>
      </c>
      <c r="C1100" s="23">
        <v>46097.0</v>
      </c>
      <c r="D1100" s="11" t="s">
        <v>104</v>
      </c>
      <c r="E1100" s="11" t="s">
        <v>7278</v>
      </c>
      <c r="F1100" s="11" t="s">
        <v>7280</v>
      </c>
      <c r="G1100" s="11"/>
      <c r="H1100" s="11"/>
      <c r="I1100" s="20"/>
      <c r="J1100" s="20"/>
      <c r="BO1100" s="20"/>
      <c r="BP1100" s="11" t="s">
        <v>7279</v>
      </c>
      <c r="BQ1100" s="11" t="b">
        <v>0</v>
      </c>
      <c r="BR1100" s="20"/>
      <c r="BS1100" s="19" t="s">
        <v>7570</v>
      </c>
      <c r="BT1100" s="11" t="b">
        <v>1</v>
      </c>
      <c r="BU1100" s="11" t="s">
        <v>2932</v>
      </c>
      <c r="BV1100" s="11"/>
      <c r="BW1100" s="11"/>
      <c r="BX1100" s="11"/>
      <c r="BY1100" s="11"/>
    </row>
    <row r="1101">
      <c r="A1101" s="11" t="s">
        <v>4424</v>
      </c>
      <c r="B1101" s="11" t="s">
        <v>78</v>
      </c>
      <c r="C1101" s="23">
        <v>46094.0</v>
      </c>
      <c r="D1101" s="11" t="s">
        <v>992</v>
      </c>
      <c r="E1101" s="11" t="s">
        <v>7281</v>
      </c>
      <c r="F1101" s="11" t="s">
        <v>4642</v>
      </c>
      <c r="G1101" s="11"/>
      <c r="H1101" s="11"/>
      <c r="I1101" s="20"/>
      <c r="J1101" s="20"/>
      <c r="BO1101" s="20"/>
      <c r="BP1101" s="11" t="s">
        <v>7282</v>
      </c>
      <c r="BQ1101" s="11" t="b">
        <v>0</v>
      </c>
      <c r="BR1101" s="20"/>
      <c r="BS1101" s="19" t="s">
        <v>7571</v>
      </c>
      <c r="BT1101" s="11" t="b">
        <v>1</v>
      </c>
      <c r="BU1101" s="11" t="s">
        <v>2932</v>
      </c>
      <c r="BV1101" s="11"/>
      <c r="BW1101" s="11"/>
      <c r="BX1101" s="11"/>
      <c r="BY1101" s="11"/>
    </row>
    <row r="1102">
      <c r="A1102" s="11" t="s">
        <v>4471</v>
      </c>
      <c r="B1102" s="11" t="s">
        <v>78</v>
      </c>
      <c r="C1102" s="23">
        <v>46097.0</v>
      </c>
      <c r="D1102" s="11" t="s">
        <v>2549</v>
      </c>
      <c r="E1102" s="11" t="s">
        <v>7285</v>
      </c>
      <c r="F1102" s="11" t="s">
        <v>7287</v>
      </c>
      <c r="G1102" s="11"/>
      <c r="H1102" s="11"/>
      <c r="I1102" s="20"/>
      <c r="J1102" s="20"/>
      <c r="BO1102" s="20"/>
      <c r="BP1102" s="11" t="s">
        <v>7286</v>
      </c>
      <c r="BQ1102" s="11" t="b">
        <v>0</v>
      </c>
      <c r="BR1102" s="20"/>
      <c r="BS1102" s="19" t="s">
        <v>7576</v>
      </c>
      <c r="BT1102" s="11" t="b">
        <v>1</v>
      </c>
      <c r="BU1102" s="11" t="s">
        <v>2932</v>
      </c>
      <c r="BV1102" s="11"/>
      <c r="BW1102" s="11"/>
      <c r="BX1102" s="11"/>
      <c r="BY1102" s="11"/>
    </row>
    <row r="1103">
      <c r="A1103" s="11" t="s">
        <v>4475</v>
      </c>
      <c r="B1103" s="11" t="s">
        <v>78</v>
      </c>
      <c r="C1103" s="23">
        <v>46097.0</v>
      </c>
      <c r="D1103" s="11" t="s">
        <v>992</v>
      </c>
      <c r="E1103" s="11" t="s">
        <v>7289</v>
      </c>
      <c r="F1103" s="11" t="s">
        <v>2909</v>
      </c>
      <c r="G1103" s="11"/>
      <c r="H1103" s="11"/>
      <c r="I1103" s="20"/>
      <c r="J1103" s="20"/>
      <c r="BO1103" s="20"/>
      <c r="BP1103" s="11" t="s">
        <v>7290</v>
      </c>
      <c r="BQ1103" s="11" t="b">
        <v>0</v>
      </c>
      <c r="BR1103" s="20"/>
      <c r="BS1103" s="19" t="s">
        <v>7581</v>
      </c>
      <c r="BT1103" s="11" t="b">
        <v>1</v>
      </c>
      <c r="BU1103" s="11" t="s">
        <v>2932</v>
      </c>
      <c r="BV1103" s="11"/>
      <c r="BW1103" s="11"/>
      <c r="BX1103" s="11"/>
      <c r="BY1103" s="11"/>
    </row>
    <row r="1104">
      <c r="A1104" s="11" t="s">
        <v>4430</v>
      </c>
      <c r="B1104" s="11" t="s">
        <v>78</v>
      </c>
      <c r="C1104" s="23">
        <v>46094.0</v>
      </c>
      <c r="D1104" s="11" t="s">
        <v>817</v>
      </c>
      <c r="E1104" s="11" t="s">
        <v>7291</v>
      </c>
      <c r="F1104" s="11" t="s">
        <v>7293</v>
      </c>
      <c r="G1104" s="11"/>
      <c r="H1104" s="11"/>
      <c r="I1104" s="20"/>
      <c r="J1104" s="20"/>
      <c r="BO1104" s="20"/>
      <c r="BP1104" s="11" t="s">
        <v>7292</v>
      </c>
      <c r="BQ1104" s="11" t="b">
        <v>0</v>
      </c>
      <c r="BR1104" s="20"/>
      <c r="BS1104" s="11"/>
      <c r="BT1104" s="11" t="b">
        <v>0</v>
      </c>
      <c r="BU1104" s="11" t="s">
        <v>2932</v>
      </c>
      <c r="BV1104" s="11"/>
      <c r="BW1104" s="11"/>
      <c r="BX1104" s="11"/>
      <c r="BY1104" s="11"/>
    </row>
    <row r="1105">
      <c r="A1105" s="11" t="s">
        <v>4378</v>
      </c>
      <c r="B1105" s="11" t="s">
        <v>78</v>
      </c>
      <c r="C1105" s="23">
        <v>46090.0</v>
      </c>
      <c r="D1105" s="11" t="s">
        <v>237</v>
      </c>
      <c r="E1105" s="11" t="s">
        <v>7296</v>
      </c>
      <c r="F1105" s="11" t="s">
        <v>7298</v>
      </c>
      <c r="G1105" s="11"/>
      <c r="H1105" s="11"/>
      <c r="I1105" s="20"/>
      <c r="J1105" s="20"/>
      <c r="BO1105" s="20"/>
      <c r="BP1105" s="11" t="s">
        <v>7297</v>
      </c>
      <c r="BQ1105" s="11" t="b">
        <v>0</v>
      </c>
      <c r="BR1105" s="20"/>
      <c r="BS1105" s="11"/>
      <c r="BT1105" s="11" t="b">
        <v>0</v>
      </c>
      <c r="BU1105" s="11" t="s">
        <v>2932</v>
      </c>
      <c r="BV1105" s="11"/>
      <c r="BW1105" s="11"/>
      <c r="BX1105" s="11"/>
      <c r="BY1105" s="11"/>
    </row>
    <row r="1106">
      <c r="A1106" s="11" t="s">
        <v>2858</v>
      </c>
      <c r="B1106" s="11" t="s">
        <v>78</v>
      </c>
      <c r="C1106" s="23">
        <v>46097.0</v>
      </c>
      <c r="D1106" s="11" t="s">
        <v>237</v>
      </c>
      <c r="E1106" s="11"/>
      <c r="F1106" s="11" t="s">
        <v>7302</v>
      </c>
      <c r="G1106" s="11" t="s">
        <v>2040</v>
      </c>
      <c r="H1106" s="11">
        <v>1.0</v>
      </c>
      <c r="I1106" s="20">
        <v>2348.98</v>
      </c>
      <c r="J1106" s="20">
        <v>2348.98</v>
      </c>
      <c r="BO1106" s="20">
        <v>2348.98</v>
      </c>
      <c r="BP1106" s="11"/>
      <c r="BQ1106" s="11" t="b">
        <v>1</v>
      </c>
      <c r="BR1106" s="20">
        <v>2348.98</v>
      </c>
      <c r="BS1106" s="11"/>
      <c r="BT1106" s="11"/>
      <c r="BU1106" s="11" t="s">
        <v>213</v>
      </c>
      <c r="BV1106" s="11"/>
      <c r="BW1106" s="11"/>
      <c r="BX1106" s="11"/>
      <c r="BY1106" s="11"/>
    </row>
    <row r="1107">
      <c r="A1107" s="11" t="s">
        <v>2862</v>
      </c>
      <c r="B1107" s="11" t="s">
        <v>78</v>
      </c>
      <c r="C1107" s="23">
        <v>46097.0</v>
      </c>
      <c r="D1107" s="11" t="s">
        <v>237</v>
      </c>
      <c r="E1107" s="11"/>
      <c r="F1107" s="11" t="s">
        <v>7303</v>
      </c>
      <c r="G1107" s="11" t="s">
        <v>1958</v>
      </c>
      <c r="H1107" s="11">
        <v>1.0</v>
      </c>
      <c r="I1107" s="20">
        <v>146.65</v>
      </c>
      <c r="J1107" s="20">
        <v>146.65</v>
      </c>
      <c r="BO1107" s="20">
        <v>146.65</v>
      </c>
      <c r="BP1107" s="11"/>
      <c r="BQ1107" s="11" t="b">
        <v>1</v>
      </c>
      <c r="BR1107" s="20">
        <v>146.65</v>
      </c>
      <c r="BS1107" s="11"/>
      <c r="BT1107" s="11"/>
      <c r="BU1107" s="11" t="s">
        <v>213</v>
      </c>
      <c r="BV1107" s="11"/>
      <c r="BW1107" s="11"/>
      <c r="BX1107" s="11"/>
      <c r="BY1107" s="11"/>
    </row>
    <row r="1108">
      <c r="A1108" s="11">
        <v>1855.0</v>
      </c>
      <c r="B1108" s="11" t="s">
        <v>78</v>
      </c>
      <c r="C1108" s="23">
        <v>46097.0</v>
      </c>
      <c r="D1108" s="11" t="s">
        <v>1046</v>
      </c>
      <c r="E1108" s="11"/>
      <c r="F1108" s="11" t="s">
        <v>1557</v>
      </c>
      <c r="G1108" s="11" t="s">
        <v>1049</v>
      </c>
      <c r="H1108" s="11">
        <v>1.0</v>
      </c>
      <c r="I1108" s="20">
        <v>7333.34</v>
      </c>
      <c r="J1108" s="20">
        <v>7333.34</v>
      </c>
      <c r="BO1108" s="20">
        <v>7333.34</v>
      </c>
      <c r="BP1108" s="11"/>
      <c r="BQ1108" s="11" t="b">
        <v>1</v>
      </c>
      <c r="BR1108" s="20">
        <v>7333.34</v>
      </c>
      <c r="BS1108" s="11"/>
      <c r="BT1108" s="11"/>
      <c r="BU1108" s="11" t="s">
        <v>213</v>
      </c>
      <c r="BV1108" s="11"/>
      <c r="BW1108" s="11"/>
      <c r="BX1108" s="11"/>
      <c r="BY1108" s="11"/>
    </row>
    <row r="1109">
      <c r="A1109" s="11">
        <v>1856.0</v>
      </c>
      <c r="B1109" s="11" t="s">
        <v>78</v>
      </c>
      <c r="C1109" s="23">
        <v>46097.0</v>
      </c>
      <c r="D1109" s="11" t="s">
        <v>1046</v>
      </c>
      <c r="E1109" s="11"/>
      <c r="F1109" s="11" t="s">
        <v>2638</v>
      </c>
      <c r="G1109" s="11" t="s">
        <v>1944</v>
      </c>
      <c r="H1109" s="11">
        <v>1.0</v>
      </c>
      <c r="I1109" s="20">
        <v>871.79</v>
      </c>
      <c r="J1109" s="20">
        <v>871.79</v>
      </c>
      <c r="BO1109" s="20">
        <v>871.79</v>
      </c>
      <c r="BP1109" s="11"/>
      <c r="BQ1109" s="11" t="b">
        <v>1</v>
      </c>
      <c r="BR1109" s="20">
        <v>871.79</v>
      </c>
      <c r="BS1109" s="11"/>
      <c r="BT1109" s="11"/>
      <c r="BU1109" s="11" t="s">
        <v>213</v>
      </c>
      <c r="BV1109" s="11"/>
      <c r="BW1109" s="11"/>
      <c r="BX1109" s="11"/>
      <c r="BY1109" s="11"/>
    </row>
    <row r="1110">
      <c r="A1110" s="11" t="s">
        <v>2873</v>
      </c>
      <c r="B1110" s="11" t="s">
        <v>78</v>
      </c>
      <c r="C1110" s="23">
        <v>46097.0</v>
      </c>
      <c r="D1110" s="11" t="s">
        <v>237</v>
      </c>
      <c r="E1110" s="11"/>
      <c r="F1110" s="11" t="s">
        <v>7307</v>
      </c>
      <c r="G1110" s="11" t="s">
        <v>1958</v>
      </c>
      <c r="H1110" s="11">
        <v>1.0</v>
      </c>
      <c r="I1110" s="20">
        <v>507.24</v>
      </c>
      <c r="J1110" s="20">
        <v>507.24</v>
      </c>
      <c r="BO1110" s="20">
        <v>507.24</v>
      </c>
      <c r="BP1110" s="11"/>
      <c r="BQ1110" s="11" t="b">
        <v>1</v>
      </c>
      <c r="BR1110" s="20">
        <v>507.24</v>
      </c>
      <c r="BS1110" s="11"/>
      <c r="BT1110" s="11"/>
      <c r="BU1110" s="11" t="s">
        <v>213</v>
      </c>
      <c r="BV1110" s="11"/>
      <c r="BW1110" s="11"/>
      <c r="BX1110" s="11"/>
      <c r="BY1110" s="11"/>
    </row>
    <row r="1111">
      <c r="A1111" s="11" t="s">
        <v>2878</v>
      </c>
      <c r="B1111" s="11" t="s">
        <v>78</v>
      </c>
      <c r="C1111" s="23">
        <v>46097.0</v>
      </c>
      <c r="D1111" s="11" t="s">
        <v>237</v>
      </c>
      <c r="E1111" s="11"/>
      <c r="F1111" s="11" t="s">
        <v>7308</v>
      </c>
      <c r="G1111" s="11" t="s">
        <v>1958</v>
      </c>
      <c r="H1111" s="11">
        <v>1.0</v>
      </c>
      <c r="I1111" s="20">
        <v>3.6</v>
      </c>
      <c r="J1111" s="20">
        <v>3.6</v>
      </c>
      <c r="BO1111" s="20">
        <v>3.6</v>
      </c>
      <c r="BP1111" s="11"/>
      <c r="BQ1111" s="11" t="b">
        <v>1</v>
      </c>
      <c r="BR1111" s="20">
        <v>3.6</v>
      </c>
      <c r="BS1111" s="11"/>
      <c r="BT1111" s="11"/>
      <c r="BU1111" s="11" t="s">
        <v>213</v>
      </c>
      <c r="BV1111" s="11"/>
      <c r="BW1111" s="11"/>
      <c r="BX1111" s="11"/>
      <c r="BY1111" s="11"/>
    </row>
    <row r="1112">
      <c r="A1112" s="11" t="s">
        <v>4480</v>
      </c>
      <c r="B1112" s="11" t="s">
        <v>78</v>
      </c>
      <c r="C1112" s="23">
        <v>46098.0</v>
      </c>
      <c r="D1112" s="11" t="s">
        <v>6438</v>
      </c>
      <c r="E1112" s="11" t="s">
        <v>7311</v>
      </c>
      <c r="F1112" s="11" t="s">
        <v>7313</v>
      </c>
      <c r="G1112" s="11"/>
      <c r="H1112" s="11"/>
      <c r="I1112" s="20"/>
      <c r="J1112" s="20"/>
      <c r="BO1112" s="20"/>
      <c r="BP1112" s="11" t="s">
        <v>7312</v>
      </c>
      <c r="BQ1112" s="11" t="b">
        <v>0</v>
      </c>
      <c r="BR1112" s="20"/>
      <c r="BS1112" s="19" t="s">
        <v>7616</v>
      </c>
      <c r="BT1112" s="11" t="b">
        <v>1</v>
      </c>
      <c r="BU1112" s="11" t="s">
        <v>2932</v>
      </c>
      <c r="BV1112" s="11"/>
      <c r="BW1112" s="11"/>
      <c r="BX1112" s="11"/>
      <c r="BY1112" s="11"/>
    </row>
    <row r="1113">
      <c r="A1113" s="11" t="s">
        <v>4490</v>
      </c>
      <c r="B1113" s="11" t="s">
        <v>78</v>
      </c>
      <c r="C1113" s="23">
        <v>46098.0</v>
      </c>
      <c r="D1113" s="11" t="s">
        <v>7206</v>
      </c>
      <c r="E1113" s="11" t="s">
        <v>7314</v>
      </c>
      <c r="F1113" s="11" t="s">
        <v>7316</v>
      </c>
      <c r="G1113" s="11"/>
      <c r="H1113" s="11"/>
      <c r="I1113" s="20"/>
      <c r="J1113" s="20"/>
      <c r="BO1113" s="20"/>
      <c r="BP1113" s="11" t="s">
        <v>7315</v>
      </c>
      <c r="BQ1113" s="11" t="b">
        <v>0</v>
      </c>
      <c r="BR1113" s="20"/>
      <c r="BS1113" s="19" t="s">
        <v>7619</v>
      </c>
      <c r="BT1113" s="11" t="b">
        <v>1</v>
      </c>
      <c r="BU1113" s="11" t="s">
        <v>2932</v>
      </c>
      <c r="BV1113" s="11"/>
      <c r="BW1113" s="11"/>
      <c r="BX1113" s="11"/>
      <c r="BY1113" s="11"/>
    </row>
    <row r="1114">
      <c r="A1114" s="11" t="s">
        <v>4508</v>
      </c>
      <c r="B1114" s="11" t="s">
        <v>78</v>
      </c>
      <c r="C1114" s="23">
        <v>46098.0</v>
      </c>
      <c r="D1114" s="11" t="s">
        <v>2299</v>
      </c>
      <c r="E1114" s="11" t="s">
        <v>7317</v>
      </c>
      <c r="F1114" s="11" t="s">
        <v>7319</v>
      </c>
      <c r="G1114" s="11"/>
      <c r="H1114" s="11"/>
      <c r="I1114" s="20"/>
      <c r="J1114" s="20"/>
      <c r="BO1114" s="20"/>
      <c r="BP1114" s="11" t="s">
        <v>7318</v>
      </c>
      <c r="BQ1114" s="11" t="b">
        <v>0</v>
      </c>
      <c r="BR1114" s="20"/>
      <c r="BS1114" s="19" t="s">
        <v>7621</v>
      </c>
      <c r="BT1114" s="11" t="b">
        <v>1</v>
      </c>
      <c r="BU1114" s="11" t="s">
        <v>2932</v>
      </c>
      <c r="BV1114" s="11"/>
      <c r="BW1114" s="11"/>
      <c r="BX1114" s="11"/>
      <c r="BY1114" s="11"/>
    </row>
    <row r="1115">
      <c r="A1115" s="11" t="s">
        <v>4573</v>
      </c>
      <c r="B1115" s="11" t="s">
        <v>78</v>
      </c>
      <c r="C1115" s="23">
        <v>46101.0</v>
      </c>
      <c r="D1115" s="11" t="s">
        <v>104</v>
      </c>
      <c r="E1115" s="11" t="s">
        <v>7320</v>
      </c>
      <c r="F1115" s="11" t="s">
        <v>7322</v>
      </c>
      <c r="G1115" s="11"/>
      <c r="H1115" s="11"/>
      <c r="I1115" s="20"/>
      <c r="J1115" s="20"/>
      <c r="BO1115" s="20"/>
      <c r="BP1115" s="11" t="s">
        <v>7321</v>
      </c>
      <c r="BQ1115" s="11" t="b">
        <v>0</v>
      </c>
      <c r="BR1115" s="20"/>
      <c r="BS1115" s="19" t="s">
        <v>7626</v>
      </c>
      <c r="BT1115" s="11" t="b">
        <v>1</v>
      </c>
      <c r="BU1115" s="11" t="s">
        <v>2932</v>
      </c>
      <c r="BV1115" s="11"/>
      <c r="BW1115" s="11"/>
      <c r="BX1115" s="11"/>
      <c r="BY1115" s="11"/>
    </row>
    <row r="1116">
      <c r="A1116" s="11" t="s">
        <v>4516</v>
      </c>
      <c r="B1116" s="11" t="s">
        <v>78</v>
      </c>
      <c r="C1116" s="23">
        <v>46098.0</v>
      </c>
      <c r="D1116" s="11" t="s">
        <v>85</v>
      </c>
      <c r="E1116" s="11" t="s">
        <v>7325</v>
      </c>
      <c r="F1116" s="11" t="s">
        <v>7327</v>
      </c>
      <c r="G1116" s="11"/>
      <c r="H1116" s="11"/>
      <c r="I1116" s="20"/>
      <c r="J1116" s="20"/>
      <c r="BO1116" s="20"/>
      <c r="BP1116" s="11" t="s">
        <v>7326</v>
      </c>
      <c r="BQ1116" s="11" t="b">
        <v>0</v>
      </c>
      <c r="BR1116" s="20"/>
      <c r="BS1116" s="19" t="s">
        <v>7628</v>
      </c>
      <c r="BT1116" s="11" t="b">
        <v>1</v>
      </c>
      <c r="BU1116" s="11" t="s">
        <v>2932</v>
      </c>
      <c r="BV1116" s="11"/>
      <c r="BW1116" s="11"/>
      <c r="BX1116" s="11"/>
      <c r="BY1116" s="11"/>
    </row>
    <row r="1117">
      <c r="A1117" s="11" t="s">
        <v>4528</v>
      </c>
      <c r="B1117" s="11" t="s">
        <v>78</v>
      </c>
      <c r="C1117" s="23">
        <v>46100.0</v>
      </c>
      <c r="D1117" s="11" t="s">
        <v>513</v>
      </c>
      <c r="E1117" s="11" t="s">
        <v>7329</v>
      </c>
      <c r="F1117" s="11" t="s">
        <v>4269</v>
      </c>
      <c r="G1117" s="11"/>
      <c r="H1117" s="11"/>
      <c r="I1117" s="20"/>
      <c r="J1117" s="20"/>
      <c r="BO1117" s="20"/>
      <c r="BP1117" s="11" t="s">
        <v>7330</v>
      </c>
      <c r="BQ1117" s="11" t="b">
        <v>0</v>
      </c>
      <c r="BR1117" s="20"/>
      <c r="BS1117" s="19" t="s">
        <v>7632</v>
      </c>
      <c r="BT1117" s="11" t="b">
        <v>1</v>
      </c>
      <c r="BU1117" s="11" t="s">
        <v>2932</v>
      </c>
      <c r="BV1117" s="11"/>
      <c r="BW1117" s="11"/>
      <c r="BX1117" s="11"/>
      <c r="BY1117" s="11"/>
    </row>
    <row r="1118">
      <c r="A1118" s="11" t="s">
        <v>4525</v>
      </c>
      <c r="B1118" s="11" t="s">
        <v>78</v>
      </c>
      <c r="C1118" s="23">
        <v>46098.0</v>
      </c>
      <c r="D1118" s="11" t="s">
        <v>3805</v>
      </c>
      <c r="E1118" s="11" t="s">
        <v>7332</v>
      </c>
      <c r="F1118" s="11" t="s">
        <v>7334</v>
      </c>
      <c r="G1118" s="11"/>
      <c r="H1118" s="11"/>
      <c r="I1118" s="20"/>
      <c r="J1118" s="20"/>
      <c r="BO1118" s="20"/>
      <c r="BP1118" s="11" t="s">
        <v>7333</v>
      </c>
      <c r="BQ1118" s="11" t="b">
        <v>0</v>
      </c>
      <c r="BR1118" s="20"/>
      <c r="BS1118" s="19" t="s">
        <v>7638</v>
      </c>
      <c r="BT1118" s="11" t="b">
        <v>1</v>
      </c>
      <c r="BU1118" s="11" t="s">
        <v>2932</v>
      </c>
      <c r="BV1118" s="11"/>
      <c r="BW1118" s="11"/>
      <c r="BX1118" s="11"/>
      <c r="BY1118" s="11"/>
    </row>
    <row r="1119">
      <c r="A1119" s="11" t="s">
        <v>4581</v>
      </c>
      <c r="B1119" s="11" t="s">
        <v>78</v>
      </c>
      <c r="C1119" s="23">
        <v>46101.0</v>
      </c>
      <c r="D1119" s="11" t="s">
        <v>992</v>
      </c>
      <c r="E1119" s="11" t="s">
        <v>7336</v>
      </c>
      <c r="F1119" s="11" t="s">
        <v>7338</v>
      </c>
      <c r="G1119" s="11"/>
      <c r="H1119" s="11"/>
      <c r="I1119" s="20"/>
      <c r="J1119" s="20"/>
      <c r="BO1119" s="20"/>
      <c r="BP1119" s="11" t="s">
        <v>7337</v>
      </c>
      <c r="BQ1119" s="11" t="b">
        <v>0</v>
      </c>
      <c r="BR1119" s="20"/>
      <c r="BS1119" s="19" t="s">
        <v>7642</v>
      </c>
      <c r="BT1119" s="11" t="b">
        <v>1</v>
      </c>
      <c r="BU1119" s="11" t="s">
        <v>2932</v>
      </c>
      <c r="BV1119" s="11"/>
      <c r="BW1119" s="11"/>
      <c r="BX1119" s="11"/>
      <c r="BY1119" s="11"/>
    </row>
    <row r="1120">
      <c r="A1120" s="11" t="s">
        <v>2882</v>
      </c>
      <c r="B1120" s="11" t="s">
        <v>78</v>
      </c>
      <c r="C1120" s="23">
        <v>46103.0</v>
      </c>
      <c r="D1120" s="11" t="s">
        <v>3972</v>
      </c>
      <c r="E1120" s="11"/>
      <c r="F1120" s="11" t="s">
        <v>7339</v>
      </c>
      <c r="G1120" s="11" t="s">
        <v>2884</v>
      </c>
      <c r="H1120" s="11">
        <v>1.0</v>
      </c>
      <c r="I1120" s="20">
        <v>92.0</v>
      </c>
      <c r="J1120" s="20">
        <v>92.0</v>
      </c>
      <c r="BO1120" s="20">
        <v>92.0</v>
      </c>
      <c r="BP1120" s="11"/>
      <c r="BQ1120" s="11" t="b">
        <v>1</v>
      </c>
      <c r="BR1120" s="20">
        <v>92.0</v>
      </c>
      <c r="BS1120" s="11"/>
      <c r="BT1120" s="11"/>
      <c r="BU1120" s="11" t="s">
        <v>235</v>
      </c>
      <c r="BV1120" s="11"/>
      <c r="BW1120" s="11"/>
      <c r="BX1120" s="11"/>
      <c r="BY1120" s="11"/>
    </row>
    <row r="1121">
      <c r="A1121" s="11" t="s">
        <v>4619</v>
      </c>
      <c r="B1121" s="11" t="s">
        <v>78</v>
      </c>
      <c r="C1121" s="23">
        <v>46104.0</v>
      </c>
      <c r="D1121" s="11" t="s">
        <v>1627</v>
      </c>
      <c r="E1121" s="11" t="s">
        <v>7340</v>
      </c>
      <c r="F1121" s="11" t="s">
        <v>7343</v>
      </c>
      <c r="G1121" s="11"/>
      <c r="H1121" s="11"/>
      <c r="I1121" s="20"/>
      <c r="J1121" s="20"/>
      <c r="BO1121" s="20"/>
      <c r="BP1121" s="11" t="s">
        <v>7341</v>
      </c>
      <c r="BQ1121" s="11" t="b">
        <v>0</v>
      </c>
      <c r="BR1121" s="20"/>
      <c r="BS1121" s="19" t="s">
        <v>7653</v>
      </c>
      <c r="BT1121" s="11" t="b">
        <v>1</v>
      </c>
      <c r="BU1121" s="11" t="s">
        <v>2932</v>
      </c>
      <c r="BV1121" s="11"/>
      <c r="BW1121" s="11"/>
      <c r="BX1121" s="11"/>
      <c r="BY1121" s="11"/>
    </row>
    <row r="1122">
      <c r="A1122" s="19" t="s">
        <v>4586</v>
      </c>
      <c r="B1122" s="11" t="s">
        <v>78</v>
      </c>
      <c r="C1122" s="23">
        <v>46102.0</v>
      </c>
      <c r="D1122" s="11" t="s">
        <v>85</v>
      </c>
      <c r="E1122" s="11" t="s">
        <v>7344</v>
      </c>
      <c r="F1122" s="11" t="s">
        <v>7346</v>
      </c>
      <c r="G1122" s="11"/>
      <c r="H1122" s="11"/>
      <c r="I1122" s="20"/>
      <c r="J1122" s="20"/>
      <c r="BO1122" s="20"/>
      <c r="BP1122" s="11" t="s">
        <v>7345</v>
      </c>
      <c r="BQ1122" s="11" t="b">
        <v>0</v>
      </c>
      <c r="BR1122" s="20"/>
      <c r="BS1122" s="19" t="s">
        <v>7657</v>
      </c>
      <c r="BT1122" s="11" t="b">
        <v>1</v>
      </c>
      <c r="BU1122" s="11" t="s">
        <v>2932</v>
      </c>
      <c r="BV1122" s="11"/>
      <c r="BW1122" s="11"/>
      <c r="BX1122" s="11"/>
      <c r="BY1122" s="11"/>
    </row>
    <row r="1123">
      <c r="A1123" s="19" t="s">
        <v>4614</v>
      </c>
      <c r="B1123" s="11" t="s">
        <v>78</v>
      </c>
      <c r="C1123" s="23">
        <v>46103.0</v>
      </c>
      <c r="D1123" s="11" t="s">
        <v>2549</v>
      </c>
      <c r="E1123" s="11" t="s">
        <v>7349</v>
      </c>
      <c r="F1123" s="11" t="s">
        <v>7351</v>
      </c>
      <c r="G1123" s="11"/>
      <c r="H1123" s="11"/>
      <c r="I1123" s="20"/>
      <c r="J1123" s="20"/>
      <c r="BO1123" s="20"/>
      <c r="BP1123" s="11" t="s">
        <v>7350</v>
      </c>
      <c r="BQ1123" s="11" t="b">
        <v>0</v>
      </c>
      <c r="BR1123" s="20"/>
      <c r="BS1123" s="19" t="s">
        <v>7665</v>
      </c>
      <c r="BT1123" s="11" t="b">
        <v>1</v>
      </c>
      <c r="BU1123" s="11" t="s">
        <v>2932</v>
      </c>
      <c r="BV1123" s="11"/>
      <c r="BW1123" s="11"/>
      <c r="BX1123" s="11"/>
      <c r="BY1123" s="11"/>
    </row>
    <row r="1124">
      <c r="A1124" s="11" t="s">
        <v>4536</v>
      </c>
      <c r="B1124" s="11" t="s">
        <v>78</v>
      </c>
      <c r="C1124" s="23">
        <v>46100.0</v>
      </c>
      <c r="D1124" s="11" t="s">
        <v>2806</v>
      </c>
      <c r="E1124" s="11" t="s">
        <v>7352</v>
      </c>
      <c r="F1124" s="11" t="s">
        <v>7354</v>
      </c>
      <c r="G1124" s="11"/>
      <c r="H1124" s="11"/>
      <c r="I1124" s="20"/>
      <c r="J1124" s="20"/>
      <c r="BO1124" s="20"/>
      <c r="BP1124" s="11" t="s">
        <v>7353</v>
      </c>
      <c r="BQ1124" s="11" t="b">
        <v>0</v>
      </c>
      <c r="BR1124" s="20"/>
      <c r="BS1124" s="19" t="s">
        <v>7672</v>
      </c>
      <c r="BT1124" s="11" t="b">
        <v>1</v>
      </c>
      <c r="BU1124" s="11" t="s">
        <v>2932</v>
      </c>
      <c r="BV1124" s="11"/>
      <c r="BW1124" s="11" t="s">
        <v>7355</v>
      </c>
      <c r="BX1124" s="11"/>
      <c r="BY1124" s="11"/>
    </row>
    <row r="1125">
      <c r="A1125" s="11">
        <v>1782.0</v>
      </c>
      <c r="B1125" s="11" t="s">
        <v>78</v>
      </c>
      <c r="C1125" s="23">
        <v>46104.0</v>
      </c>
      <c r="D1125" s="11" t="s">
        <v>547</v>
      </c>
      <c r="E1125" s="11"/>
      <c r="F1125" s="11" t="s">
        <v>973</v>
      </c>
      <c r="G1125" s="11" t="s">
        <v>975</v>
      </c>
      <c r="H1125" s="11">
        <v>1.0</v>
      </c>
      <c r="I1125" s="20">
        <v>1098.0</v>
      </c>
      <c r="J1125" s="20">
        <v>1098.0</v>
      </c>
      <c r="BO1125" s="20">
        <v>1098.0</v>
      </c>
      <c r="BP1125" s="11"/>
      <c r="BQ1125" s="11" t="b">
        <v>1</v>
      </c>
      <c r="BR1125" s="20">
        <v>1098.0</v>
      </c>
      <c r="BS1125" s="11"/>
      <c r="BT1125" s="11"/>
      <c r="BU1125" s="11" t="s">
        <v>187</v>
      </c>
      <c r="BV1125" s="11"/>
      <c r="BW1125" s="11"/>
      <c r="BX1125" s="11"/>
      <c r="BY1125" s="11"/>
    </row>
    <row r="1126">
      <c r="A1126" s="11">
        <v>1783.0</v>
      </c>
      <c r="B1126" s="11" t="s">
        <v>78</v>
      </c>
      <c r="C1126" s="23">
        <v>46104.0</v>
      </c>
      <c r="D1126" s="11" t="s">
        <v>547</v>
      </c>
      <c r="E1126" s="11"/>
      <c r="F1126" s="11" t="s">
        <v>964</v>
      </c>
      <c r="G1126" s="11" t="s">
        <v>648</v>
      </c>
      <c r="H1126" s="11">
        <v>1.0</v>
      </c>
      <c r="I1126" s="20">
        <v>700.0</v>
      </c>
      <c r="J1126" s="20">
        <v>700.0</v>
      </c>
      <c r="BO1126" s="20">
        <v>700.0</v>
      </c>
      <c r="BP1126" s="11"/>
      <c r="BQ1126" s="11" t="b">
        <v>1</v>
      </c>
      <c r="BR1126" s="20">
        <v>700.0</v>
      </c>
      <c r="BS1126" s="11"/>
      <c r="BT1126" s="11"/>
      <c r="BU1126" s="11" t="s">
        <v>187</v>
      </c>
      <c r="BV1126" s="11"/>
      <c r="BW1126" s="11"/>
      <c r="BX1126" s="11"/>
      <c r="BY1126" s="11"/>
    </row>
    <row r="1127">
      <c r="A1127" s="11">
        <v>1784.0</v>
      </c>
      <c r="B1127" s="11" t="s">
        <v>78</v>
      </c>
      <c r="C1127" s="23">
        <v>46104.0</v>
      </c>
      <c r="D1127" s="11" t="s">
        <v>547</v>
      </c>
      <c r="E1127" s="11"/>
      <c r="F1127" s="11" t="s">
        <v>955</v>
      </c>
      <c r="G1127" s="11" t="s">
        <v>957</v>
      </c>
      <c r="H1127" s="11">
        <v>1.0</v>
      </c>
      <c r="I1127" s="20">
        <v>396.0</v>
      </c>
      <c r="J1127" s="20">
        <v>396.0</v>
      </c>
      <c r="BO1127" s="20">
        <v>396.0</v>
      </c>
      <c r="BP1127" s="11"/>
      <c r="BQ1127" s="11" t="b">
        <v>1</v>
      </c>
      <c r="BR1127" s="20">
        <v>396.0</v>
      </c>
      <c r="BS1127" s="11"/>
      <c r="BT1127" s="11"/>
      <c r="BU1127" s="11" t="s">
        <v>187</v>
      </c>
      <c r="BV1127" s="11"/>
      <c r="BW1127" s="11"/>
      <c r="BX1127" s="11"/>
      <c r="BY1127" s="11"/>
    </row>
    <row r="1128">
      <c r="A1128" s="11" t="s">
        <v>2898</v>
      </c>
      <c r="B1128" s="11" t="s">
        <v>78</v>
      </c>
      <c r="C1128" s="23">
        <v>46104.0</v>
      </c>
      <c r="D1128" s="11" t="s">
        <v>237</v>
      </c>
      <c r="E1128" s="11"/>
      <c r="F1128" s="11" t="s">
        <v>7358</v>
      </c>
      <c r="G1128" s="11" t="s">
        <v>2040</v>
      </c>
      <c r="H1128" s="11">
        <v>1.0</v>
      </c>
      <c r="I1128" s="20">
        <v>1462.0</v>
      </c>
      <c r="J1128" s="20">
        <v>1462.0</v>
      </c>
      <c r="BO1128" s="20">
        <v>1462.0</v>
      </c>
      <c r="BP1128" s="11"/>
      <c r="BQ1128" s="11" t="b">
        <v>1</v>
      </c>
      <c r="BR1128" s="20">
        <v>1462.0</v>
      </c>
      <c r="BS1128" s="11"/>
      <c r="BT1128" s="11"/>
      <c r="BU1128" s="11" t="s">
        <v>213</v>
      </c>
      <c r="BV1128" s="11"/>
      <c r="BW1128" s="11"/>
      <c r="BX1128" s="11"/>
      <c r="BY1128" s="11"/>
    </row>
    <row r="1129">
      <c r="A1129" s="11" t="s">
        <v>2902</v>
      </c>
      <c r="B1129" s="11" t="s">
        <v>78</v>
      </c>
      <c r="C1129" s="23">
        <v>46104.0</v>
      </c>
      <c r="D1129" s="11" t="s">
        <v>237</v>
      </c>
      <c r="E1129" s="11"/>
      <c r="F1129" s="11" t="s">
        <v>7359</v>
      </c>
      <c r="G1129" s="11" t="s">
        <v>1958</v>
      </c>
      <c r="H1129" s="11">
        <v>1.0</v>
      </c>
      <c r="I1129" s="20">
        <v>61.83</v>
      </c>
      <c r="J1129" s="20">
        <v>61.83</v>
      </c>
      <c r="BO1129" s="20">
        <v>61.83</v>
      </c>
      <c r="BP1129" s="11"/>
      <c r="BQ1129" s="11" t="b">
        <v>1</v>
      </c>
      <c r="BR1129" s="20">
        <v>61.83</v>
      </c>
      <c r="BS1129" s="11"/>
      <c r="BT1129" s="11"/>
      <c r="BU1129" s="11" t="s">
        <v>213</v>
      </c>
      <c r="BV1129" s="11"/>
      <c r="BW1129" s="11"/>
      <c r="BX1129" s="11"/>
      <c r="BY1129" s="11"/>
    </row>
    <row r="1130">
      <c r="A1130" s="11">
        <v>1868.0</v>
      </c>
      <c r="B1130" s="11" t="s">
        <v>78</v>
      </c>
      <c r="C1130" s="23">
        <v>46104.0</v>
      </c>
      <c r="D1130" s="11" t="s">
        <v>415</v>
      </c>
      <c r="E1130" s="11"/>
      <c r="F1130" s="261">
        <v>46301.0</v>
      </c>
      <c r="G1130" s="11" t="s">
        <v>1971</v>
      </c>
      <c r="H1130" s="11">
        <v>1.0</v>
      </c>
      <c r="I1130" s="20">
        <v>190.34</v>
      </c>
      <c r="J1130" s="20">
        <v>190.34</v>
      </c>
      <c r="BO1130" s="20">
        <v>190.34</v>
      </c>
      <c r="BP1130" s="11"/>
      <c r="BQ1130" s="11" t="b">
        <v>1</v>
      </c>
      <c r="BR1130" s="20">
        <v>190.34</v>
      </c>
      <c r="BS1130" s="11"/>
      <c r="BT1130" s="11"/>
      <c r="BU1130" s="11" t="s">
        <v>213</v>
      </c>
      <c r="BV1130" s="11"/>
      <c r="BW1130" s="11"/>
      <c r="BX1130" s="11"/>
      <c r="BY1130" s="11"/>
    </row>
    <row r="1131">
      <c r="A1131" s="11" t="s">
        <v>4623</v>
      </c>
      <c r="B1131" s="11" t="s">
        <v>78</v>
      </c>
      <c r="C1131" s="23">
        <v>46105.0</v>
      </c>
      <c r="D1131" s="11" t="s">
        <v>5487</v>
      </c>
      <c r="E1131" s="11" t="s">
        <v>7360</v>
      </c>
      <c r="F1131" s="11" t="s">
        <v>7362</v>
      </c>
      <c r="G1131" s="11"/>
      <c r="H1131" s="11"/>
      <c r="I1131" s="20"/>
      <c r="J1131" s="20"/>
      <c r="BO1131" s="20"/>
      <c r="BP1131" s="11" t="s">
        <v>7361</v>
      </c>
      <c r="BQ1131" s="11" t="b">
        <v>0</v>
      </c>
      <c r="BR1131" s="20"/>
      <c r="BS1131" s="11"/>
      <c r="BT1131" s="11" t="b">
        <v>0</v>
      </c>
      <c r="BU1131" s="11" t="s">
        <v>2932</v>
      </c>
      <c r="BV1131" s="11"/>
      <c r="BW1131" s="11" t="s">
        <v>7363</v>
      </c>
      <c r="BX1131" s="11"/>
      <c r="BY1131" s="11"/>
    </row>
    <row r="1132">
      <c r="A1132" s="11" t="s">
        <v>4631</v>
      </c>
      <c r="B1132" s="11" t="s">
        <v>78</v>
      </c>
      <c r="C1132" s="23">
        <v>46105.0</v>
      </c>
      <c r="D1132" s="11" t="s">
        <v>5487</v>
      </c>
      <c r="E1132" s="11" t="s">
        <v>7364</v>
      </c>
      <c r="F1132" s="11" t="s">
        <v>7366</v>
      </c>
      <c r="G1132" s="11"/>
      <c r="H1132" s="11"/>
      <c r="I1132" s="20"/>
      <c r="J1132" s="20"/>
      <c r="BO1132" s="20"/>
      <c r="BP1132" s="11" t="s">
        <v>7365</v>
      </c>
      <c r="BQ1132" s="11" t="b">
        <v>0</v>
      </c>
      <c r="BR1132" s="20"/>
      <c r="BS1132" s="11"/>
      <c r="BT1132" s="11" t="b">
        <v>0</v>
      </c>
      <c r="BU1132" s="11" t="s">
        <v>2932</v>
      </c>
      <c r="BV1132" s="11"/>
      <c r="BW1132" s="11" t="s">
        <v>7369</v>
      </c>
      <c r="BX1132" s="11"/>
      <c r="BY1132" s="11"/>
    </row>
    <row r="1133">
      <c r="A1133" s="11" t="s">
        <v>4637</v>
      </c>
      <c r="B1133" s="11" t="s">
        <v>78</v>
      </c>
      <c r="C1133" s="23">
        <v>46105.0</v>
      </c>
      <c r="D1133" s="11" t="s">
        <v>5487</v>
      </c>
      <c r="E1133" s="11" t="s">
        <v>7370</v>
      </c>
      <c r="F1133" s="11" t="s">
        <v>7372</v>
      </c>
      <c r="G1133" s="11"/>
      <c r="H1133" s="11"/>
      <c r="I1133" s="20"/>
      <c r="J1133" s="20"/>
      <c r="BO1133" s="20"/>
      <c r="BP1133" s="11" t="s">
        <v>7371</v>
      </c>
      <c r="BQ1133" s="11" t="b">
        <v>0</v>
      </c>
      <c r="BR1133" s="20"/>
      <c r="BS1133" s="11"/>
      <c r="BT1133" s="11" t="b">
        <v>0</v>
      </c>
      <c r="BU1133" s="11" t="s">
        <v>2932</v>
      </c>
      <c r="BV1133" s="11"/>
      <c r="BW1133" s="11"/>
      <c r="BX1133" s="11"/>
      <c r="BY1133" s="11"/>
    </row>
    <row r="1134">
      <c r="A1134" s="11" t="s">
        <v>4652</v>
      </c>
      <c r="B1134" s="11" t="s">
        <v>78</v>
      </c>
      <c r="C1134" s="23">
        <v>46106.0</v>
      </c>
      <c r="D1134" s="11" t="s">
        <v>992</v>
      </c>
      <c r="E1134" s="11" t="s">
        <v>7373</v>
      </c>
      <c r="F1134" s="11" t="s">
        <v>7200</v>
      </c>
      <c r="G1134" s="11"/>
      <c r="H1134" s="11"/>
      <c r="I1134" s="20"/>
      <c r="J1134" s="20"/>
      <c r="BO1134" s="20"/>
      <c r="BP1134" s="11" t="s">
        <v>7374</v>
      </c>
      <c r="BQ1134" s="11" t="b">
        <v>0</v>
      </c>
      <c r="BR1134" s="20"/>
      <c r="BS1134" s="19" t="s">
        <v>7701</v>
      </c>
      <c r="BT1134" s="11" t="b">
        <v>1</v>
      </c>
      <c r="BU1134" s="11" t="s">
        <v>2932</v>
      </c>
      <c r="BV1134" s="11"/>
      <c r="BW1134" s="11"/>
      <c r="BX1134" s="11"/>
      <c r="BY1134" s="11"/>
    </row>
    <row r="1135">
      <c r="A1135" s="11" t="s">
        <v>4671</v>
      </c>
      <c r="B1135" s="11" t="s">
        <v>78</v>
      </c>
      <c r="C1135" s="23">
        <v>46108.0</v>
      </c>
      <c r="D1135" s="11" t="s">
        <v>992</v>
      </c>
      <c r="E1135" s="11" t="s">
        <v>7375</v>
      </c>
      <c r="F1135" s="11" t="s">
        <v>7377</v>
      </c>
      <c r="G1135" s="11"/>
      <c r="H1135" s="11"/>
      <c r="I1135" s="20"/>
      <c r="J1135" s="20"/>
      <c r="BO1135" s="20"/>
      <c r="BP1135" s="11" t="s">
        <v>7376</v>
      </c>
      <c r="BQ1135" s="11" t="b">
        <v>0</v>
      </c>
      <c r="BR1135" s="20"/>
      <c r="BS1135" s="19" t="s">
        <v>7706</v>
      </c>
      <c r="BT1135" s="11" t="b">
        <v>1</v>
      </c>
      <c r="BU1135" s="11" t="s">
        <v>2932</v>
      </c>
      <c r="BV1135" s="11"/>
      <c r="BW1135" s="11"/>
      <c r="BX1135" s="11"/>
      <c r="BY1135" s="11"/>
    </row>
    <row r="1136">
      <c r="A1136" s="11" t="s">
        <v>4657</v>
      </c>
      <c r="B1136" s="11" t="s">
        <v>78</v>
      </c>
      <c r="C1136" s="23">
        <v>46106.0</v>
      </c>
      <c r="D1136" s="11" t="s">
        <v>445</v>
      </c>
      <c r="E1136" s="11" t="s">
        <v>7380</v>
      </c>
      <c r="F1136" s="11" t="s">
        <v>7382</v>
      </c>
      <c r="G1136" s="11"/>
      <c r="H1136" s="11"/>
      <c r="I1136" s="20"/>
      <c r="J1136" s="20"/>
      <c r="BO1136" s="20"/>
      <c r="BP1136" s="11" t="s">
        <v>7381</v>
      </c>
      <c r="BQ1136" s="11" t="b">
        <v>0</v>
      </c>
      <c r="BR1136" s="20"/>
      <c r="BS1136" s="19" t="s">
        <v>7713</v>
      </c>
      <c r="BT1136" s="11" t="b">
        <v>1</v>
      </c>
      <c r="BU1136" s="11" t="s">
        <v>2932</v>
      </c>
      <c r="BV1136" s="11"/>
      <c r="BW1136" s="11"/>
      <c r="BX1136" s="11"/>
      <c r="BY1136" s="11"/>
    </row>
    <row r="1137">
      <c r="A1137" s="11" t="s">
        <v>4640</v>
      </c>
      <c r="B1137" s="11" t="s">
        <v>78</v>
      </c>
      <c r="C1137" s="23">
        <v>46105.0</v>
      </c>
      <c r="D1137" s="11" t="s">
        <v>104</v>
      </c>
      <c r="E1137" s="11" t="s">
        <v>7384</v>
      </c>
      <c r="F1137" s="11" t="s">
        <v>7386</v>
      </c>
      <c r="G1137" s="11"/>
      <c r="H1137" s="11"/>
      <c r="I1137" s="20"/>
      <c r="J1137" s="20"/>
      <c r="BO1137" s="20"/>
      <c r="BP1137" s="11" t="s">
        <v>7385</v>
      </c>
      <c r="BQ1137" s="11" t="b">
        <v>0</v>
      </c>
      <c r="BR1137" s="20"/>
      <c r="BS1137" s="19" t="s">
        <v>7719</v>
      </c>
      <c r="BT1137" s="11" t="b">
        <v>1</v>
      </c>
      <c r="BU1137" s="11" t="s">
        <v>2932</v>
      </c>
      <c r="BV1137" s="11"/>
      <c r="BW1137" s="11"/>
      <c r="BX1137" s="11"/>
      <c r="BY1137" s="11"/>
    </row>
    <row r="1138">
      <c r="A1138" s="11" t="s">
        <v>4676</v>
      </c>
      <c r="B1138" s="11" t="s">
        <v>78</v>
      </c>
      <c r="C1138" s="23">
        <v>46108.0</v>
      </c>
      <c r="D1138" s="11" t="s">
        <v>85</v>
      </c>
      <c r="E1138" s="11" t="s">
        <v>7387</v>
      </c>
      <c r="F1138" s="11" t="s">
        <v>7389</v>
      </c>
      <c r="G1138" s="11"/>
      <c r="H1138" s="11"/>
      <c r="I1138" s="20"/>
      <c r="J1138" s="20"/>
      <c r="BO1138" s="20"/>
      <c r="BP1138" s="11" t="s">
        <v>7388</v>
      </c>
      <c r="BQ1138" s="11" t="b">
        <v>0</v>
      </c>
      <c r="BR1138" s="20"/>
      <c r="BS1138" s="19" t="s">
        <v>7725</v>
      </c>
      <c r="BT1138" s="11" t="b">
        <v>1</v>
      </c>
      <c r="BU1138" s="11" t="s">
        <v>2932</v>
      </c>
      <c r="BV1138" s="11"/>
      <c r="BW1138" s="11"/>
      <c r="BX1138" s="11"/>
      <c r="BY1138" s="11"/>
    </row>
    <row r="1139">
      <c r="A1139" s="11" t="s">
        <v>4690</v>
      </c>
      <c r="B1139" s="11" t="s">
        <v>78</v>
      </c>
      <c r="C1139" s="23">
        <v>46108.0</v>
      </c>
      <c r="D1139" s="11" t="s">
        <v>104</v>
      </c>
      <c r="E1139" s="11" t="s">
        <v>7393</v>
      </c>
      <c r="F1139" s="11" t="s">
        <v>7395</v>
      </c>
      <c r="G1139" s="11"/>
      <c r="H1139" s="11"/>
      <c r="I1139" s="20"/>
      <c r="J1139" s="20"/>
      <c r="BO1139" s="20"/>
      <c r="BP1139" s="11" t="s">
        <v>7394</v>
      </c>
      <c r="BQ1139" s="11" t="b">
        <v>0</v>
      </c>
      <c r="BR1139" s="20"/>
      <c r="BS1139" s="19" t="s">
        <v>7731</v>
      </c>
      <c r="BT1139" s="11" t="b">
        <v>1</v>
      </c>
      <c r="BU1139" s="11" t="s">
        <v>2932</v>
      </c>
      <c r="BV1139" s="11"/>
      <c r="BW1139" s="11"/>
      <c r="BX1139" s="11"/>
      <c r="BY1139" s="11"/>
    </row>
    <row r="1140">
      <c r="A1140" s="11" t="s">
        <v>4666</v>
      </c>
      <c r="B1140" s="11" t="s">
        <v>78</v>
      </c>
      <c r="C1140" s="23">
        <v>46107.0</v>
      </c>
      <c r="D1140" s="11" t="s">
        <v>513</v>
      </c>
      <c r="E1140" s="11" t="s">
        <v>7398</v>
      </c>
      <c r="F1140" s="11" t="s">
        <v>4269</v>
      </c>
      <c r="G1140" s="11"/>
      <c r="H1140" s="11"/>
      <c r="I1140" s="20"/>
      <c r="J1140" s="20"/>
      <c r="BO1140" s="20"/>
      <c r="BP1140" s="11" t="s">
        <v>7399</v>
      </c>
      <c r="BQ1140" s="11" t="b">
        <v>0</v>
      </c>
      <c r="BR1140" s="20"/>
      <c r="BS1140" s="19" t="s">
        <v>7736</v>
      </c>
      <c r="BT1140" s="11" t="b">
        <v>1</v>
      </c>
      <c r="BU1140" s="11" t="s">
        <v>2932</v>
      </c>
      <c r="BV1140" s="11"/>
      <c r="BW1140" s="11"/>
      <c r="BX1140" s="11"/>
      <c r="BY1140" s="11"/>
    </row>
    <row r="1141">
      <c r="A1141" s="11">
        <v>1844.0</v>
      </c>
      <c r="B1141" s="11" t="s">
        <v>78</v>
      </c>
      <c r="C1141" s="23">
        <v>46111.0</v>
      </c>
      <c r="D1141" s="11" t="s">
        <v>547</v>
      </c>
      <c r="E1141" s="11"/>
      <c r="F1141" s="11" t="s">
        <v>973</v>
      </c>
      <c r="G1141" s="11" t="s">
        <v>975</v>
      </c>
      <c r="H1141" s="11">
        <v>1.0</v>
      </c>
      <c r="I1141" s="20">
        <v>1098.0</v>
      </c>
      <c r="J1141" s="20">
        <v>1098.0</v>
      </c>
      <c r="BO1141" s="20">
        <v>1098.0</v>
      </c>
      <c r="BP1141" s="11"/>
      <c r="BQ1141" s="11" t="b">
        <v>1</v>
      </c>
      <c r="BR1141" s="20">
        <v>1098.0</v>
      </c>
      <c r="BS1141" s="11"/>
      <c r="BT1141" s="11"/>
      <c r="BU1141" s="11" t="s">
        <v>187</v>
      </c>
      <c r="BV1141" s="11"/>
      <c r="BW1141" s="11"/>
      <c r="BX1141" s="11"/>
      <c r="BY1141" s="11"/>
    </row>
    <row r="1142">
      <c r="A1142" s="11">
        <v>1845.0</v>
      </c>
      <c r="B1142" s="11" t="s">
        <v>78</v>
      </c>
      <c r="C1142" s="23">
        <v>46111.0</v>
      </c>
      <c r="D1142" s="11" t="s">
        <v>547</v>
      </c>
      <c r="E1142" s="11"/>
      <c r="F1142" s="11" t="s">
        <v>964</v>
      </c>
      <c r="G1142" s="11" t="s">
        <v>648</v>
      </c>
      <c r="H1142" s="11">
        <v>1.0</v>
      </c>
      <c r="I1142" s="20">
        <v>700.0</v>
      </c>
      <c r="J1142" s="20">
        <v>700.0</v>
      </c>
      <c r="BO1142" s="20">
        <v>700.0</v>
      </c>
      <c r="BP1142" s="11"/>
      <c r="BQ1142" s="11" t="b">
        <v>1</v>
      </c>
      <c r="BR1142" s="20">
        <v>700.0</v>
      </c>
      <c r="BS1142" s="11"/>
      <c r="BT1142" s="11"/>
      <c r="BU1142" s="11" t="s">
        <v>187</v>
      </c>
      <c r="BV1142" s="11"/>
      <c r="BW1142" s="11"/>
      <c r="BX1142" s="11"/>
      <c r="BY1142" s="11"/>
    </row>
    <row r="1143">
      <c r="A1143" s="11">
        <v>1846.0</v>
      </c>
      <c r="B1143" s="11" t="s">
        <v>78</v>
      </c>
      <c r="C1143" s="23">
        <v>46111.0</v>
      </c>
      <c r="D1143" s="11" t="s">
        <v>547</v>
      </c>
      <c r="E1143" s="11"/>
      <c r="F1143" s="11" t="s">
        <v>955</v>
      </c>
      <c r="G1143" s="11" t="s">
        <v>957</v>
      </c>
      <c r="H1143" s="11">
        <v>1.0</v>
      </c>
      <c r="I1143" s="20">
        <v>396.0</v>
      </c>
      <c r="J1143" s="20">
        <v>396.0</v>
      </c>
      <c r="BO1143" s="20">
        <v>396.0</v>
      </c>
      <c r="BP1143" s="11"/>
      <c r="BQ1143" s="11" t="b">
        <v>1</v>
      </c>
      <c r="BR1143" s="20">
        <v>396.0</v>
      </c>
      <c r="BS1143" s="11"/>
      <c r="BT1143" s="11"/>
      <c r="BU1143" s="11" t="s">
        <v>187</v>
      </c>
      <c r="BV1143" s="11"/>
      <c r="BW1143" s="11"/>
      <c r="BX1143" s="11"/>
      <c r="BY1143" s="11"/>
    </row>
    <row r="1144">
      <c r="A1144" s="11">
        <v>1869.0</v>
      </c>
      <c r="B1144" s="11" t="s">
        <v>78</v>
      </c>
      <c r="C1144" s="23">
        <v>46111.0</v>
      </c>
      <c r="D1144" s="11"/>
      <c r="E1144" s="11"/>
      <c r="F1144" s="11" t="s">
        <v>681</v>
      </c>
      <c r="G1144" s="11" t="s">
        <v>376</v>
      </c>
      <c r="H1144" s="11">
        <v>1.0</v>
      </c>
      <c r="I1144" s="20">
        <v>3498.0</v>
      </c>
      <c r="J1144" s="20">
        <v>3498.0</v>
      </c>
      <c r="BO1144" s="20">
        <v>3498.0</v>
      </c>
      <c r="BP1144" s="11"/>
      <c r="BQ1144" s="11" t="b">
        <v>1</v>
      </c>
      <c r="BR1144" s="20">
        <v>3498.0</v>
      </c>
      <c r="BS1144" s="11"/>
      <c r="BT1144" s="11"/>
      <c r="BU1144" s="11" t="s">
        <v>187</v>
      </c>
      <c r="BV1144" s="11" t="s">
        <v>685</v>
      </c>
      <c r="BW1144" s="11"/>
      <c r="BX1144" s="11"/>
      <c r="BY1144" s="11"/>
    </row>
    <row r="1145">
      <c r="A1145" s="11">
        <v>1870.0</v>
      </c>
      <c r="B1145" s="11" t="s">
        <v>78</v>
      </c>
      <c r="C1145" s="23">
        <v>46111.0</v>
      </c>
      <c r="D1145" s="11"/>
      <c r="E1145" s="11"/>
      <c r="F1145" s="11" t="s">
        <v>7405</v>
      </c>
      <c r="G1145" s="11" t="s">
        <v>376</v>
      </c>
      <c r="H1145" s="11">
        <v>1.0</v>
      </c>
      <c r="I1145" s="20">
        <v>352.0</v>
      </c>
      <c r="J1145" s="20">
        <v>352.0</v>
      </c>
      <c r="BO1145" s="20">
        <v>352.0</v>
      </c>
      <c r="BP1145" s="11"/>
      <c r="BQ1145" s="11" t="b">
        <v>1</v>
      </c>
      <c r="BR1145" s="20">
        <v>352.0</v>
      </c>
      <c r="BS1145" s="11"/>
      <c r="BT1145" s="11"/>
      <c r="BU1145" s="11" t="s">
        <v>187</v>
      </c>
      <c r="BV1145" s="11" t="s">
        <v>3675</v>
      </c>
      <c r="BW1145" s="11"/>
      <c r="BX1145" s="11"/>
      <c r="BY1145" s="11"/>
    </row>
    <row r="1146">
      <c r="A1146" s="11">
        <v>1871.0</v>
      </c>
      <c r="B1146" s="11" t="s">
        <v>78</v>
      </c>
      <c r="C1146" s="23">
        <v>46111.0</v>
      </c>
      <c r="D1146" s="11"/>
      <c r="E1146" s="11"/>
      <c r="F1146" s="11" t="s">
        <v>7405</v>
      </c>
      <c r="G1146" s="11" t="s">
        <v>376</v>
      </c>
      <c r="H1146" s="11">
        <v>1.0</v>
      </c>
      <c r="I1146" s="20">
        <v>352.0</v>
      </c>
      <c r="J1146" s="20">
        <v>352.0</v>
      </c>
      <c r="BO1146" s="20">
        <v>352.0</v>
      </c>
      <c r="BP1146" s="11"/>
      <c r="BQ1146" s="11" t="b">
        <v>1</v>
      </c>
      <c r="BR1146" s="20">
        <v>352.0</v>
      </c>
      <c r="BS1146" s="11"/>
      <c r="BT1146" s="11"/>
      <c r="BU1146" s="11" t="s">
        <v>187</v>
      </c>
      <c r="BV1146" s="11" t="s">
        <v>704</v>
      </c>
      <c r="BW1146" s="11"/>
      <c r="BX1146" s="11"/>
      <c r="BY1146" s="11"/>
    </row>
    <row r="1147">
      <c r="A1147" s="11">
        <v>1872.0</v>
      </c>
      <c r="B1147" s="11" t="s">
        <v>78</v>
      </c>
      <c r="C1147" s="23">
        <v>46111.0</v>
      </c>
      <c r="D1147" s="11" t="s">
        <v>415</v>
      </c>
      <c r="E1147" s="11"/>
      <c r="F1147" s="11" t="s">
        <v>1015</v>
      </c>
      <c r="G1147" s="11" t="s">
        <v>1017</v>
      </c>
      <c r="H1147" s="11">
        <v>1.0</v>
      </c>
      <c r="I1147" s="20">
        <v>22.0</v>
      </c>
      <c r="J1147" s="20">
        <v>22.0</v>
      </c>
      <c r="BO1147" s="20">
        <v>22.0</v>
      </c>
      <c r="BP1147" s="11"/>
      <c r="BQ1147" s="11" t="b">
        <v>1</v>
      </c>
      <c r="BR1147" s="20">
        <v>22.0</v>
      </c>
      <c r="BS1147" s="11"/>
      <c r="BT1147" s="11"/>
      <c r="BU1147" s="11" t="s">
        <v>187</v>
      </c>
      <c r="BV1147" s="11"/>
      <c r="BW1147" s="11"/>
      <c r="BX1147" s="11"/>
      <c r="BY1147" s="11"/>
    </row>
    <row r="1148">
      <c r="A1148" s="11">
        <v>1873.0</v>
      </c>
      <c r="B1148" s="11" t="s">
        <v>78</v>
      </c>
      <c r="C1148" s="23">
        <v>46111.0</v>
      </c>
      <c r="D1148" s="11" t="s">
        <v>415</v>
      </c>
      <c r="E1148" s="11"/>
      <c r="F1148" s="11" t="s">
        <v>1022</v>
      </c>
      <c r="G1148" s="11" t="s">
        <v>1023</v>
      </c>
      <c r="H1148" s="11">
        <v>1.0</v>
      </c>
      <c r="I1148" s="20">
        <v>10.0</v>
      </c>
      <c r="J1148" s="20">
        <v>10.0</v>
      </c>
      <c r="BO1148" s="20">
        <v>10.0</v>
      </c>
      <c r="BP1148" s="11"/>
      <c r="BQ1148" s="11" t="b">
        <v>1</v>
      </c>
      <c r="BR1148" s="20">
        <v>10.0</v>
      </c>
      <c r="BS1148" s="11"/>
      <c r="BT1148" s="11"/>
      <c r="BU1148" s="11" t="s">
        <v>187</v>
      </c>
      <c r="BV1148" s="11"/>
      <c r="BW1148" s="11"/>
      <c r="BX1148" s="11"/>
      <c r="BY1148" s="11"/>
    </row>
    <row r="1149">
      <c r="A1149" s="11">
        <v>1874.0</v>
      </c>
      <c r="B1149" s="11" t="s">
        <v>78</v>
      </c>
      <c r="C1149" s="23">
        <v>46111.0</v>
      </c>
      <c r="D1149" s="11" t="s">
        <v>629</v>
      </c>
      <c r="E1149" s="11"/>
      <c r="F1149" s="11" t="s">
        <v>633</v>
      </c>
      <c r="G1149" s="11" t="s">
        <v>1870</v>
      </c>
      <c r="H1149" s="11">
        <v>1.0</v>
      </c>
      <c r="I1149" s="20">
        <v>3330.37</v>
      </c>
      <c r="J1149" s="20">
        <v>3330.37</v>
      </c>
      <c r="BO1149" s="20">
        <v>3330.37</v>
      </c>
      <c r="BP1149" s="11"/>
      <c r="BQ1149" s="11" t="b">
        <v>1</v>
      </c>
      <c r="BR1149" s="20">
        <v>3330.37</v>
      </c>
      <c r="BS1149" s="11"/>
      <c r="BT1149" s="11"/>
      <c r="BU1149" s="11" t="s">
        <v>187</v>
      </c>
      <c r="BV1149" s="11"/>
      <c r="BW1149" s="11"/>
      <c r="BX1149" s="11"/>
      <c r="BY1149" s="11"/>
    </row>
    <row r="1150">
      <c r="A1150" s="11" t="s">
        <v>2939</v>
      </c>
      <c r="B1150" s="11" t="s">
        <v>78</v>
      </c>
      <c r="C1150" s="23">
        <v>46111.0</v>
      </c>
      <c r="D1150" s="11" t="s">
        <v>451</v>
      </c>
      <c r="E1150" s="11"/>
      <c r="F1150" s="11" t="s">
        <v>7410</v>
      </c>
      <c r="G1150" s="11">
        <v>7.9792017E7</v>
      </c>
      <c r="H1150" s="11">
        <v>1.0</v>
      </c>
      <c r="I1150" s="20">
        <v>1792.85</v>
      </c>
      <c r="J1150" s="20">
        <v>1792.85</v>
      </c>
      <c r="BO1150" s="20">
        <v>1792.85</v>
      </c>
      <c r="BP1150" s="11"/>
      <c r="BQ1150" s="11" t="b">
        <v>1</v>
      </c>
      <c r="BR1150" s="20">
        <v>1792.85</v>
      </c>
      <c r="BS1150" s="11"/>
      <c r="BT1150" s="11"/>
      <c r="BU1150" s="11" t="s">
        <v>187</v>
      </c>
      <c r="BV1150" s="11"/>
      <c r="BW1150" s="11"/>
      <c r="BX1150" s="11"/>
      <c r="BY1150" s="11"/>
    </row>
    <row r="1151">
      <c r="A1151" s="11" t="s">
        <v>2943</v>
      </c>
      <c r="B1151" s="11" t="s">
        <v>78</v>
      </c>
      <c r="C1151" s="23">
        <v>46111.0</v>
      </c>
      <c r="D1151" s="11" t="s">
        <v>404</v>
      </c>
      <c r="E1151" s="11"/>
      <c r="F1151" s="11" t="s">
        <v>7412</v>
      </c>
      <c r="G1151" s="11">
        <v>7.9792017E7</v>
      </c>
      <c r="H1151" s="11">
        <v>1.0</v>
      </c>
      <c r="I1151" s="20">
        <v>247.87</v>
      </c>
      <c r="J1151" s="20">
        <v>247.87</v>
      </c>
      <c r="BO1151" s="20">
        <v>247.87</v>
      </c>
      <c r="BP1151" s="11"/>
      <c r="BQ1151" s="11" t="b">
        <v>1</v>
      </c>
      <c r="BR1151" s="20">
        <v>247.87</v>
      </c>
      <c r="BS1151" s="11"/>
      <c r="BT1151" s="11"/>
      <c r="BU1151" s="11" t="s">
        <v>187</v>
      </c>
      <c r="BV1151" s="11"/>
      <c r="BW1151" s="11"/>
      <c r="BX1151" s="11"/>
      <c r="BY1151" s="11"/>
    </row>
    <row r="1152">
      <c r="A1152" s="11" t="s">
        <v>2949</v>
      </c>
      <c r="B1152" s="11" t="s">
        <v>78</v>
      </c>
      <c r="C1152" s="23">
        <v>46111.0</v>
      </c>
      <c r="D1152" s="11"/>
      <c r="E1152" s="11"/>
      <c r="F1152" s="11" t="s">
        <v>7414</v>
      </c>
      <c r="G1152" s="11" t="s">
        <v>376</v>
      </c>
      <c r="H1152" s="11">
        <v>1.0</v>
      </c>
      <c r="I1152" s="20">
        <v>690.0</v>
      </c>
      <c r="J1152" s="20">
        <v>690.0</v>
      </c>
      <c r="BO1152" s="20">
        <v>690.0</v>
      </c>
      <c r="BP1152" s="11"/>
      <c r="BQ1152" s="11" t="b">
        <v>1</v>
      </c>
      <c r="BR1152" s="20">
        <v>690.0</v>
      </c>
      <c r="BS1152" s="11"/>
      <c r="BT1152" s="11"/>
      <c r="BU1152" s="11" t="s">
        <v>187</v>
      </c>
      <c r="BV1152" s="11" t="s">
        <v>685</v>
      </c>
      <c r="BW1152" s="11"/>
      <c r="BX1152" s="11"/>
      <c r="BY1152" s="11"/>
    </row>
    <row r="1153">
      <c r="A1153" s="11" t="s">
        <v>4731</v>
      </c>
      <c r="B1153" s="11" t="s">
        <v>78</v>
      </c>
      <c r="C1153" s="23">
        <v>46112.0</v>
      </c>
      <c r="D1153" s="11" t="s">
        <v>1612</v>
      </c>
      <c r="E1153" s="11" t="s">
        <v>7417</v>
      </c>
      <c r="F1153" s="11" t="s">
        <v>7419</v>
      </c>
      <c r="G1153" s="11"/>
      <c r="H1153" s="11"/>
      <c r="I1153" s="20"/>
      <c r="J1153" s="20"/>
      <c r="BO1153" s="20"/>
      <c r="BP1153" s="11" t="s">
        <v>7418</v>
      </c>
      <c r="BQ1153" s="11" t="b">
        <v>0</v>
      </c>
      <c r="BR1153" s="20"/>
      <c r="BS1153" s="19" t="s">
        <v>7786</v>
      </c>
      <c r="BT1153" s="11" t="b">
        <v>1</v>
      </c>
      <c r="BU1153" s="11" t="s">
        <v>2932</v>
      </c>
      <c r="BV1153" s="11"/>
      <c r="BW1153" s="11"/>
      <c r="BX1153" s="11"/>
      <c r="BY1153" s="11"/>
    </row>
    <row r="1154">
      <c r="A1154" s="19" t="s">
        <v>4721</v>
      </c>
      <c r="B1154" s="11" t="s">
        <v>78</v>
      </c>
      <c r="C1154" s="23">
        <v>46110.0</v>
      </c>
      <c r="D1154" s="11" t="s">
        <v>2549</v>
      </c>
      <c r="E1154" s="11" t="s">
        <v>7420</v>
      </c>
      <c r="F1154" s="11" t="s">
        <v>7422</v>
      </c>
      <c r="G1154" s="11"/>
      <c r="H1154" s="11"/>
      <c r="I1154" s="20"/>
      <c r="J1154" s="20"/>
      <c r="BO1154" s="20"/>
      <c r="BP1154" s="11" t="s">
        <v>7421</v>
      </c>
      <c r="BQ1154" s="11" t="b">
        <v>0</v>
      </c>
      <c r="BR1154" s="20"/>
      <c r="BS1154" s="19" t="s">
        <v>7787</v>
      </c>
      <c r="BT1154" s="11" t="b">
        <v>1</v>
      </c>
      <c r="BU1154" s="11" t="s">
        <v>2932</v>
      </c>
      <c r="BV1154" s="11"/>
      <c r="BW1154" s="11"/>
      <c r="BX1154" s="11"/>
      <c r="BY1154" s="11"/>
    </row>
    <row r="1155">
      <c r="A1155" s="11" t="s">
        <v>4725</v>
      </c>
      <c r="B1155" s="11" t="s">
        <v>78</v>
      </c>
      <c r="C1155" s="23">
        <v>46111.0</v>
      </c>
      <c r="D1155" s="11" t="s">
        <v>992</v>
      </c>
      <c r="E1155" s="11" t="s">
        <v>7424</v>
      </c>
      <c r="F1155" s="11" t="s">
        <v>7426</v>
      </c>
      <c r="G1155" s="11"/>
      <c r="H1155" s="11"/>
      <c r="I1155" s="20"/>
      <c r="J1155" s="20"/>
      <c r="BO1155" s="20"/>
      <c r="BP1155" s="11" t="s">
        <v>7425</v>
      </c>
      <c r="BQ1155" s="11" t="b">
        <v>0</v>
      </c>
      <c r="BR1155" s="20"/>
      <c r="BS1155" s="19" t="s">
        <v>7788</v>
      </c>
      <c r="BT1155" s="11" t="b">
        <v>1</v>
      </c>
      <c r="BU1155" s="11" t="s">
        <v>2932</v>
      </c>
      <c r="BV1155" s="11"/>
      <c r="BW1155" s="11"/>
      <c r="BX1155" s="11"/>
      <c r="BY1155" s="11"/>
    </row>
    <row r="1156">
      <c r="A1156" s="11" t="s">
        <v>4737</v>
      </c>
      <c r="B1156" s="11" t="s">
        <v>78</v>
      </c>
      <c r="C1156" s="23">
        <v>46112.0</v>
      </c>
      <c r="D1156" s="11" t="s">
        <v>5002</v>
      </c>
      <c r="E1156" s="11" t="s">
        <v>7427</v>
      </c>
      <c r="F1156" s="11" t="s">
        <v>7429</v>
      </c>
      <c r="G1156" s="11"/>
      <c r="H1156" s="11"/>
      <c r="I1156" s="20"/>
      <c r="J1156" s="20"/>
      <c r="BO1156" s="20"/>
      <c r="BP1156" s="11" t="s">
        <v>7428</v>
      </c>
      <c r="BQ1156" s="11" t="b">
        <v>0</v>
      </c>
      <c r="BR1156" s="20"/>
      <c r="BS1156" s="19" t="s">
        <v>7794</v>
      </c>
      <c r="BT1156" s="11" t="b">
        <v>1</v>
      </c>
      <c r="BU1156" s="11" t="s">
        <v>2932</v>
      </c>
      <c r="BV1156" s="11"/>
      <c r="BW1156" s="11"/>
      <c r="BX1156" s="11"/>
      <c r="BY1156" s="11"/>
    </row>
    <row r="1157">
      <c r="A1157" s="11" t="s">
        <v>4704</v>
      </c>
      <c r="B1157" s="11" t="s">
        <v>78</v>
      </c>
      <c r="C1157" s="23">
        <v>46108.0</v>
      </c>
      <c r="D1157" s="11" t="s">
        <v>4734</v>
      </c>
      <c r="E1157" s="11" t="s">
        <v>7430</v>
      </c>
      <c r="F1157" s="11" t="s">
        <v>7432</v>
      </c>
      <c r="G1157" s="11"/>
      <c r="H1157" s="11"/>
      <c r="I1157" s="20"/>
      <c r="J1157" s="20"/>
      <c r="BO1157" s="20"/>
      <c r="BP1157" s="11" t="s">
        <v>7431</v>
      </c>
      <c r="BQ1157" s="11" t="b">
        <v>0</v>
      </c>
      <c r="BR1157" s="20"/>
      <c r="BS1157" s="11"/>
      <c r="BT1157" s="11" t="b">
        <v>0</v>
      </c>
      <c r="BU1157" s="11" t="s">
        <v>2932</v>
      </c>
      <c r="BV1157" s="11"/>
      <c r="BW1157" s="11" t="s">
        <v>7433</v>
      </c>
      <c r="BX1157" s="11" t="s">
        <v>7435</v>
      </c>
      <c r="BY1157" s="11"/>
    </row>
    <row r="1158">
      <c r="A1158" s="11" t="s">
        <v>4712</v>
      </c>
      <c r="B1158" s="11" t="s">
        <v>78</v>
      </c>
      <c r="C1158" s="23">
        <v>46108.0</v>
      </c>
      <c r="D1158" s="11" t="s">
        <v>4734</v>
      </c>
      <c r="E1158" s="11" t="s">
        <v>7437</v>
      </c>
      <c r="F1158" s="11" t="s">
        <v>7439</v>
      </c>
      <c r="G1158" s="11"/>
      <c r="H1158" s="11"/>
      <c r="I1158" s="20"/>
      <c r="J1158" s="20"/>
      <c r="BO1158" s="20"/>
      <c r="BP1158" s="11" t="s">
        <v>7438</v>
      </c>
      <c r="BQ1158" s="11" t="b">
        <v>0</v>
      </c>
      <c r="BR1158" s="20"/>
      <c r="BS1158" s="11"/>
      <c r="BT1158" s="11" t="b">
        <v>0</v>
      </c>
      <c r="BU1158" s="11" t="s">
        <v>2932</v>
      </c>
      <c r="BV1158" s="11"/>
      <c r="BW1158" s="11" t="s">
        <v>7440</v>
      </c>
      <c r="BX1158" s="11"/>
      <c r="BY1158" s="11"/>
    </row>
    <row r="1159">
      <c r="A1159" s="11">
        <v>1875.0</v>
      </c>
      <c r="B1159" s="11" t="s">
        <v>78</v>
      </c>
      <c r="C1159" s="23">
        <v>46114.0</v>
      </c>
      <c r="D1159" s="11"/>
      <c r="E1159" s="11"/>
      <c r="F1159" s="11" t="s">
        <v>2638</v>
      </c>
      <c r="G1159" s="11" t="s">
        <v>376</v>
      </c>
      <c r="H1159" s="11">
        <v>1.0</v>
      </c>
      <c r="I1159" s="20">
        <v>3340.32</v>
      </c>
      <c r="J1159" s="20">
        <v>3340.32</v>
      </c>
      <c r="BO1159" s="20">
        <v>3340.32</v>
      </c>
      <c r="BP1159" s="11"/>
      <c r="BQ1159" s="11" t="b">
        <v>1</v>
      </c>
      <c r="BR1159" s="20">
        <v>3340.32</v>
      </c>
      <c r="BS1159" s="11"/>
      <c r="BT1159" s="11"/>
      <c r="BU1159" s="11" t="s">
        <v>187</v>
      </c>
      <c r="BV1159" s="11" t="s">
        <v>225</v>
      </c>
      <c r="BW1159" s="11"/>
      <c r="BX1159" s="11"/>
      <c r="BY1159" s="11"/>
    </row>
    <row r="1160">
      <c r="A1160" s="11">
        <v>1876.0</v>
      </c>
      <c r="B1160" s="11" t="s">
        <v>78</v>
      </c>
      <c r="C1160" s="23">
        <v>46114.0</v>
      </c>
      <c r="D1160" s="11"/>
      <c r="E1160" s="11"/>
      <c r="F1160" s="11" t="s">
        <v>2638</v>
      </c>
      <c r="G1160" s="11" t="s">
        <v>376</v>
      </c>
      <c r="H1160" s="11">
        <v>1.0</v>
      </c>
      <c r="I1160" s="20">
        <v>1781.96</v>
      </c>
      <c r="J1160" s="20">
        <v>1781.96</v>
      </c>
      <c r="BO1160" s="20">
        <v>1781.96</v>
      </c>
      <c r="BP1160" s="11"/>
      <c r="BQ1160" s="11" t="b">
        <v>1</v>
      </c>
      <c r="BR1160" s="20">
        <v>1781.96</v>
      </c>
      <c r="BS1160" s="11"/>
      <c r="BT1160" s="11"/>
      <c r="BU1160" s="11" t="s">
        <v>187</v>
      </c>
      <c r="BV1160" s="11" t="s">
        <v>113</v>
      </c>
      <c r="BW1160" s="11"/>
      <c r="BX1160" s="11"/>
      <c r="BY1160" s="11"/>
    </row>
    <row r="1161">
      <c r="A1161" s="11">
        <v>1877.0</v>
      </c>
      <c r="B1161" s="11" t="s">
        <v>78</v>
      </c>
      <c r="C1161" s="23">
        <v>46114.0</v>
      </c>
      <c r="D1161" s="11"/>
      <c r="E1161" s="11"/>
      <c r="F1161" s="11" t="s">
        <v>2638</v>
      </c>
      <c r="G1161" s="11" t="s">
        <v>376</v>
      </c>
      <c r="H1161" s="11">
        <v>1.0</v>
      </c>
      <c r="I1161" s="20">
        <v>1741.53</v>
      </c>
      <c r="J1161" s="20">
        <v>1741.53</v>
      </c>
      <c r="BO1161" s="20">
        <v>1741.53</v>
      </c>
      <c r="BP1161" s="11"/>
      <c r="BQ1161" s="11" t="b">
        <v>1</v>
      </c>
      <c r="BR1161" s="20">
        <v>1741.53</v>
      </c>
      <c r="BS1161" s="11"/>
      <c r="BT1161" s="11"/>
      <c r="BU1161" s="11" t="s">
        <v>187</v>
      </c>
      <c r="BV1161" s="11" t="s">
        <v>126</v>
      </c>
      <c r="BW1161" s="11"/>
      <c r="BX1161" s="11"/>
      <c r="BY1161" s="11"/>
    </row>
    <row r="1162">
      <c r="A1162" s="11">
        <v>1878.0</v>
      </c>
      <c r="B1162" s="11" t="s">
        <v>78</v>
      </c>
      <c r="C1162" s="23">
        <v>46114.0</v>
      </c>
      <c r="D1162" s="11"/>
      <c r="E1162" s="11"/>
      <c r="F1162" s="11" t="s">
        <v>2638</v>
      </c>
      <c r="G1162" s="11" t="s">
        <v>376</v>
      </c>
      <c r="H1162" s="11">
        <v>1.0</v>
      </c>
      <c r="I1162" s="20">
        <v>300.95</v>
      </c>
      <c r="J1162" s="20">
        <v>300.95</v>
      </c>
      <c r="BO1162" s="20">
        <v>300.95</v>
      </c>
      <c r="BP1162" s="11"/>
      <c r="BQ1162" s="11" t="b">
        <v>1</v>
      </c>
      <c r="BR1162" s="20">
        <v>300.95</v>
      </c>
      <c r="BS1162" s="11"/>
      <c r="BT1162" s="11"/>
      <c r="BU1162" s="11" t="s">
        <v>187</v>
      </c>
      <c r="BV1162" s="11" t="s">
        <v>3739</v>
      </c>
      <c r="BW1162" s="11"/>
      <c r="BX1162" s="11"/>
      <c r="BY1162" s="11"/>
    </row>
    <row r="1163">
      <c r="A1163" s="11">
        <v>1879.0</v>
      </c>
      <c r="B1163" s="11" t="s">
        <v>78</v>
      </c>
      <c r="C1163" s="23">
        <v>46114.0</v>
      </c>
      <c r="D1163" s="11"/>
      <c r="E1163" s="11"/>
      <c r="F1163" s="11" t="s">
        <v>2638</v>
      </c>
      <c r="G1163" s="11" t="s">
        <v>376</v>
      </c>
      <c r="H1163" s="11">
        <v>1.0</v>
      </c>
      <c r="I1163" s="20">
        <v>2470.64</v>
      </c>
      <c r="J1163" s="20">
        <v>2470.64</v>
      </c>
      <c r="BO1163" s="20">
        <v>2470.64</v>
      </c>
      <c r="BP1163" s="11"/>
      <c r="BQ1163" s="11" t="b">
        <v>1</v>
      </c>
      <c r="BR1163" s="20">
        <v>2470.64</v>
      </c>
      <c r="BS1163" s="11"/>
      <c r="BT1163" s="11"/>
      <c r="BU1163" s="11" t="s">
        <v>187</v>
      </c>
      <c r="BV1163" s="11" t="s">
        <v>145</v>
      </c>
      <c r="BW1163" s="11"/>
      <c r="BX1163" s="11"/>
      <c r="BY1163" s="11"/>
    </row>
    <row r="1164">
      <c r="A1164" s="11" t="s">
        <v>2970</v>
      </c>
      <c r="B1164" s="11" t="s">
        <v>78</v>
      </c>
      <c r="C1164" s="23">
        <v>46118.0</v>
      </c>
      <c r="D1164" s="11" t="s">
        <v>237</v>
      </c>
      <c r="E1164" s="11"/>
      <c r="F1164" s="11" t="s">
        <v>7443</v>
      </c>
      <c r="G1164" s="11" t="s">
        <v>2972</v>
      </c>
      <c r="H1164" s="11">
        <v>1.0</v>
      </c>
      <c r="I1164" s="20">
        <v>131.62</v>
      </c>
      <c r="J1164" s="20">
        <v>131.62</v>
      </c>
      <c r="BO1164" s="20">
        <v>131.62</v>
      </c>
      <c r="BP1164" s="11"/>
      <c r="BQ1164" s="11" t="b">
        <v>1</v>
      </c>
      <c r="BR1164" s="20">
        <v>131.62</v>
      </c>
      <c r="BS1164" s="11"/>
      <c r="BT1164" s="11"/>
      <c r="BU1164" s="11" t="s">
        <v>187</v>
      </c>
      <c r="BV1164" s="11"/>
      <c r="BW1164" s="11"/>
      <c r="BX1164" s="11"/>
      <c r="BY1164" s="11"/>
    </row>
    <row r="1165">
      <c r="A1165" s="11" t="s">
        <v>2978</v>
      </c>
      <c r="B1165" s="11" t="s">
        <v>78</v>
      </c>
      <c r="C1165" s="23">
        <v>46118.0</v>
      </c>
      <c r="D1165" s="11" t="s">
        <v>237</v>
      </c>
      <c r="E1165" s="11"/>
      <c r="F1165" s="11" t="s">
        <v>7445</v>
      </c>
      <c r="G1165" s="11" t="s">
        <v>2040</v>
      </c>
      <c r="H1165" s="11">
        <v>1.0</v>
      </c>
      <c r="I1165" s="20">
        <v>387.35</v>
      </c>
      <c r="J1165" s="20">
        <v>387.35</v>
      </c>
      <c r="BO1165" s="20">
        <v>387.35</v>
      </c>
      <c r="BP1165" s="11"/>
      <c r="BQ1165" s="11" t="b">
        <v>1</v>
      </c>
      <c r="BR1165" s="20">
        <v>387.35</v>
      </c>
      <c r="BS1165" s="11"/>
      <c r="BT1165" s="11"/>
      <c r="BU1165" s="11" t="s">
        <v>187</v>
      </c>
      <c r="BV1165" s="11"/>
      <c r="BW1165" s="11"/>
      <c r="BX1165" s="11"/>
      <c r="BY1165" s="11"/>
    </row>
    <row r="1166">
      <c r="A1166" s="11" t="s">
        <v>2982</v>
      </c>
      <c r="B1166" s="11" t="s">
        <v>78</v>
      </c>
      <c r="C1166" s="23">
        <v>46118.0</v>
      </c>
      <c r="D1166" s="11" t="s">
        <v>404</v>
      </c>
      <c r="E1166" s="11"/>
      <c r="F1166" s="11" t="s">
        <v>7446</v>
      </c>
      <c r="G1166" s="11" t="s">
        <v>1570</v>
      </c>
      <c r="H1166" s="11">
        <v>1.0</v>
      </c>
      <c r="I1166" s="20">
        <v>210.0</v>
      </c>
      <c r="J1166" s="20">
        <v>210.0</v>
      </c>
      <c r="BO1166" s="20">
        <v>210.0</v>
      </c>
      <c r="BP1166" s="11"/>
      <c r="BQ1166" s="11" t="b">
        <v>1</v>
      </c>
      <c r="BR1166" s="20">
        <v>210.0</v>
      </c>
      <c r="BS1166" s="11"/>
      <c r="BT1166" s="11"/>
      <c r="BU1166" s="11" t="s">
        <v>235</v>
      </c>
      <c r="BV1166" s="11"/>
      <c r="BW1166" s="11"/>
      <c r="BX1166" s="11"/>
      <c r="BY1166" s="11"/>
    </row>
    <row r="1167">
      <c r="A1167" s="11" t="s">
        <v>4803</v>
      </c>
      <c r="B1167" s="11" t="s">
        <v>78</v>
      </c>
      <c r="C1167" s="23">
        <v>46114.0</v>
      </c>
      <c r="D1167" s="11" t="s">
        <v>104</v>
      </c>
      <c r="E1167" s="11" t="s">
        <v>7447</v>
      </c>
      <c r="F1167" s="11" t="s">
        <v>7450</v>
      </c>
      <c r="G1167" s="11"/>
      <c r="H1167" s="11"/>
      <c r="I1167" s="20"/>
      <c r="J1167" s="20"/>
      <c r="BO1167" s="20"/>
      <c r="BP1167" s="11" t="s">
        <v>7448</v>
      </c>
      <c r="BQ1167" s="11" t="b">
        <v>0</v>
      </c>
      <c r="BR1167" s="20"/>
      <c r="BS1167" s="19" t="s">
        <v>7834</v>
      </c>
      <c r="BT1167" s="11" t="b">
        <v>1</v>
      </c>
      <c r="BU1167" s="11" t="s">
        <v>2932</v>
      </c>
      <c r="BV1167" s="11"/>
      <c r="BW1167" s="11"/>
      <c r="BX1167" s="11"/>
      <c r="BY1167" s="11"/>
    </row>
    <row r="1168">
      <c r="A1168" s="11" t="s">
        <v>4839</v>
      </c>
      <c r="B1168" s="11" t="s">
        <v>78</v>
      </c>
      <c r="C1168" s="23">
        <v>46116.0</v>
      </c>
      <c r="D1168" s="11" t="s">
        <v>104</v>
      </c>
      <c r="E1168" s="11" t="s">
        <v>7452</v>
      </c>
      <c r="F1168" s="11" t="s">
        <v>7454</v>
      </c>
      <c r="G1168" s="11"/>
      <c r="H1168" s="11"/>
      <c r="I1168" s="20"/>
      <c r="J1168" s="20"/>
      <c r="BO1168" s="20"/>
      <c r="BP1168" s="11" t="s">
        <v>7453</v>
      </c>
      <c r="BQ1168" s="11" t="b">
        <v>0</v>
      </c>
      <c r="BR1168" s="20"/>
      <c r="BS1168" s="19" t="s">
        <v>7835</v>
      </c>
      <c r="BT1168" s="11" t="b">
        <v>1</v>
      </c>
      <c r="BU1168" s="11" t="s">
        <v>2932</v>
      </c>
      <c r="BV1168" s="11"/>
      <c r="BW1168" s="11"/>
      <c r="BX1168" s="11"/>
      <c r="BY1168" s="11"/>
    </row>
    <row r="1169">
      <c r="A1169" s="11" t="s">
        <v>4849</v>
      </c>
      <c r="B1169" s="11" t="s">
        <v>78</v>
      </c>
      <c r="C1169" s="23">
        <v>46116.0</v>
      </c>
      <c r="D1169" s="11" t="s">
        <v>85</v>
      </c>
      <c r="E1169" s="11" t="s">
        <v>7456</v>
      </c>
      <c r="F1169" s="11" t="s">
        <v>7458</v>
      </c>
      <c r="G1169" s="11"/>
      <c r="H1169" s="11"/>
      <c r="I1169" s="20"/>
      <c r="J1169" s="20"/>
      <c r="BO1169" s="20"/>
      <c r="BP1169" s="11" t="s">
        <v>7457</v>
      </c>
      <c r="BQ1169" s="11" t="b">
        <v>0</v>
      </c>
      <c r="BR1169" s="20"/>
      <c r="BS1169" s="19" t="s">
        <v>7836</v>
      </c>
      <c r="BT1169" s="11" t="b">
        <v>1</v>
      </c>
      <c r="BU1169" s="11" t="s">
        <v>2932</v>
      </c>
      <c r="BV1169" s="11"/>
      <c r="BW1169" s="11"/>
      <c r="BX1169" s="11"/>
      <c r="BY1169" s="11"/>
    </row>
    <row r="1170">
      <c r="A1170" s="11" t="s">
        <v>4828</v>
      </c>
      <c r="B1170" s="11" t="s">
        <v>78</v>
      </c>
      <c r="C1170" s="23">
        <v>46115.0</v>
      </c>
      <c r="D1170" s="11" t="s">
        <v>85</v>
      </c>
      <c r="E1170" s="11" t="s">
        <v>7459</v>
      </c>
      <c r="F1170" s="11" t="s">
        <v>7462</v>
      </c>
      <c r="G1170" s="11"/>
      <c r="H1170" s="11"/>
      <c r="I1170" s="20"/>
      <c r="J1170" s="20"/>
      <c r="BO1170" s="20"/>
      <c r="BP1170" s="11" t="s">
        <v>7460</v>
      </c>
      <c r="BQ1170" s="11" t="b">
        <v>0</v>
      </c>
      <c r="BR1170" s="20"/>
      <c r="BS1170" s="19" t="s">
        <v>7837</v>
      </c>
      <c r="BT1170" s="11" t="b">
        <v>1</v>
      </c>
      <c r="BU1170" s="11" t="s">
        <v>2932</v>
      </c>
      <c r="BV1170" s="11"/>
      <c r="BW1170" s="11"/>
      <c r="BX1170" s="11"/>
      <c r="BY1170" s="11"/>
    </row>
    <row r="1171">
      <c r="A1171" s="11" t="s">
        <v>4817</v>
      </c>
      <c r="B1171" s="11" t="s">
        <v>78</v>
      </c>
      <c r="C1171" s="23">
        <v>46114.0</v>
      </c>
      <c r="D1171" s="11" t="s">
        <v>739</v>
      </c>
      <c r="E1171" s="11" t="s">
        <v>7464</v>
      </c>
      <c r="F1171" s="11" t="s">
        <v>7466</v>
      </c>
      <c r="G1171" s="11"/>
      <c r="H1171" s="11"/>
      <c r="I1171" s="20"/>
      <c r="J1171" s="20"/>
      <c r="BO1171" s="20"/>
      <c r="BP1171" s="11" t="s">
        <v>7465</v>
      </c>
      <c r="BQ1171" s="11" t="b">
        <v>0</v>
      </c>
      <c r="BR1171" s="20"/>
      <c r="BS1171" s="19" t="s">
        <v>7839</v>
      </c>
      <c r="BT1171" s="11" t="b">
        <v>1</v>
      </c>
      <c r="BU1171" s="11" t="s">
        <v>2932</v>
      </c>
      <c r="BV1171" s="11"/>
      <c r="BW1171" s="11"/>
      <c r="BX1171" s="11"/>
      <c r="BY1171" s="11"/>
    </row>
    <row r="1172">
      <c r="A1172" s="11" t="s">
        <v>4790</v>
      </c>
      <c r="B1172" s="11" t="s">
        <v>78</v>
      </c>
      <c r="C1172" s="23">
        <v>46113.0</v>
      </c>
      <c r="D1172" s="11" t="s">
        <v>992</v>
      </c>
      <c r="E1172" s="11" t="s">
        <v>7467</v>
      </c>
      <c r="F1172" s="11" t="s">
        <v>2909</v>
      </c>
      <c r="G1172" s="11"/>
      <c r="H1172" s="11"/>
      <c r="I1172" s="20"/>
      <c r="J1172" s="20"/>
      <c r="BO1172" s="20"/>
      <c r="BP1172" s="11" t="s">
        <v>7469</v>
      </c>
      <c r="BQ1172" s="11" t="b">
        <v>0</v>
      </c>
      <c r="BR1172" s="20"/>
      <c r="BS1172" s="19" t="s">
        <v>7846</v>
      </c>
      <c r="BT1172" s="11" t="b">
        <v>1</v>
      </c>
      <c r="BU1172" s="11" t="s">
        <v>2932</v>
      </c>
      <c r="BV1172" s="11"/>
      <c r="BW1172" s="11"/>
      <c r="BX1172" s="11"/>
      <c r="BY1172" s="11"/>
    </row>
    <row r="1173">
      <c r="A1173" s="11" t="s">
        <v>5446</v>
      </c>
      <c r="B1173" s="11" t="s">
        <v>78</v>
      </c>
      <c r="C1173" s="23">
        <v>46115.0</v>
      </c>
      <c r="D1173" s="11" t="s">
        <v>7221</v>
      </c>
      <c r="E1173" s="11" t="s">
        <v>7472</v>
      </c>
      <c r="F1173" s="11" t="s">
        <v>7474</v>
      </c>
      <c r="G1173" s="11"/>
      <c r="H1173" s="11"/>
      <c r="I1173" s="20"/>
      <c r="J1173" s="20"/>
      <c r="BO1173" s="20"/>
      <c r="BP1173" s="11" t="s">
        <v>7473</v>
      </c>
      <c r="BQ1173" s="11" t="b">
        <v>0</v>
      </c>
      <c r="BR1173" s="20"/>
      <c r="BS1173" s="19" t="s">
        <v>7850</v>
      </c>
      <c r="BT1173" s="11" t="b">
        <v>1</v>
      </c>
      <c r="BU1173" s="11" t="s">
        <v>2932</v>
      </c>
      <c r="BV1173" s="11"/>
      <c r="BW1173" s="11"/>
      <c r="BX1173" s="11"/>
      <c r="BY1173" s="11"/>
    </row>
    <row r="1174">
      <c r="A1174" s="11" t="s">
        <v>4865</v>
      </c>
      <c r="B1174" s="11" t="s">
        <v>78</v>
      </c>
      <c r="C1174" s="23">
        <v>46116.0</v>
      </c>
      <c r="D1174" s="11" t="s">
        <v>992</v>
      </c>
      <c r="E1174" s="11" t="s">
        <v>7476</v>
      </c>
      <c r="F1174" s="11" t="s">
        <v>7479</v>
      </c>
      <c r="G1174" s="11"/>
      <c r="H1174" s="11"/>
      <c r="I1174" s="20"/>
      <c r="J1174" s="20"/>
      <c r="BO1174" s="20"/>
      <c r="BP1174" s="11" t="s">
        <v>7477</v>
      </c>
      <c r="BQ1174" s="11" t="b">
        <v>0</v>
      </c>
      <c r="BR1174" s="20"/>
      <c r="BS1174" s="19" t="s">
        <v>7857</v>
      </c>
      <c r="BT1174" s="11" t="b">
        <v>1</v>
      </c>
      <c r="BU1174" s="11" t="s">
        <v>2932</v>
      </c>
      <c r="BV1174" s="11"/>
      <c r="BW1174" s="11"/>
      <c r="BX1174" s="11"/>
      <c r="BY1174" s="11"/>
    </row>
    <row r="1175">
      <c r="A1175" s="11" t="s">
        <v>4870</v>
      </c>
      <c r="B1175" s="11" t="s">
        <v>78</v>
      </c>
      <c r="C1175" s="23">
        <v>46117.0</v>
      </c>
      <c r="D1175" s="11" t="s">
        <v>2549</v>
      </c>
      <c r="E1175" s="11" t="s">
        <v>7480</v>
      </c>
      <c r="F1175" s="11" t="s">
        <v>7483</v>
      </c>
      <c r="G1175" s="11"/>
      <c r="H1175" s="11"/>
      <c r="I1175" s="20"/>
      <c r="J1175" s="20"/>
      <c r="BO1175" s="20"/>
      <c r="BP1175" s="11" t="s">
        <v>7481</v>
      </c>
      <c r="BQ1175" s="11" t="b">
        <v>0</v>
      </c>
      <c r="BR1175" s="20"/>
      <c r="BS1175" s="19" t="s">
        <v>7861</v>
      </c>
      <c r="BT1175" s="11" t="b">
        <v>1</v>
      </c>
      <c r="BU1175" s="11" t="s">
        <v>2932</v>
      </c>
      <c r="BV1175" s="11"/>
      <c r="BW1175" s="11"/>
      <c r="BX1175" s="11"/>
      <c r="BY1175" s="11"/>
    </row>
    <row r="1176">
      <c r="A1176" s="11" t="s">
        <v>4874</v>
      </c>
      <c r="B1176" s="11" t="s">
        <v>78</v>
      </c>
      <c r="C1176" s="23">
        <v>46117.0</v>
      </c>
      <c r="D1176" s="11" t="s">
        <v>2549</v>
      </c>
      <c r="E1176" s="11" t="s">
        <v>7485</v>
      </c>
      <c r="F1176" s="11" t="s">
        <v>7489</v>
      </c>
      <c r="G1176" s="11"/>
      <c r="H1176" s="11"/>
      <c r="I1176" s="20"/>
      <c r="J1176" s="20"/>
      <c r="BO1176" s="20"/>
      <c r="BP1176" s="11" t="s">
        <v>7487</v>
      </c>
      <c r="BQ1176" s="11" t="b">
        <v>0</v>
      </c>
      <c r="BR1176" s="20"/>
      <c r="BS1176" s="19" t="s">
        <v>7868</v>
      </c>
      <c r="BT1176" s="11" t="b">
        <v>1</v>
      </c>
      <c r="BU1176" s="11" t="s">
        <v>2932</v>
      </c>
      <c r="BV1176" s="11"/>
      <c r="BW1176" s="11"/>
      <c r="BX1176" s="11"/>
      <c r="BY1176" s="11"/>
    </row>
    <row r="1177">
      <c r="A1177" s="11" t="s">
        <v>4822</v>
      </c>
      <c r="B1177" s="11" t="s">
        <v>78</v>
      </c>
      <c r="C1177" s="23">
        <v>46114.0</v>
      </c>
      <c r="D1177" s="11" t="s">
        <v>4734</v>
      </c>
      <c r="E1177" s="11" t="s">
        <v>7490</v>
      </c>
      <c r="F1177" s="11" t="s">
        <v>7492</v>
      </c>
      <c r="G1177" s="11"/>
      <c r="H1177" s="11"/>
      <c r="I1177" s="20"/>
      <c r="J1177" s="20"/>
      <c r="BO1177" s="20"/>
      <c r="BP1177" s="11" t="s">
        <v>7491</v>
      </c>
      <c r="BQ1177" s="11" t="b">
        <v>0</v>
      </c>
      <c r="BR1177" s="20"/>
      <c r="BS1177" s="11"/>
      <c r="BT1177" s="11" t="b">
        <v>0</v>
      </c>
      <c r="BU1177" s="11" t="s">
        <v>2932</v>
      </c>
      <c r="BV1177" s="11"/>
      <c r="BW1177" s="11"/>
      <c r="BX1177" s="11"/>
      <c r="BY1177" s="11"/>
    </row>
    <row r="1178">
      <c r="A1178" s="11" t="s">
        <v>4795</v>
      </c>
      <c r="B1178" s="11" t="s">
        <v>78</v>
      </c>
      <c r="C1178" s="23">
        <v>46113.0</v>
      </c>
      <c r="D1178" s="11" t="s">
        <v>4734</v>
      </c>
      <c r="E1178" s="11" t="s">
        <v>7494</v>
      </c>
      <c r="F1178" s="11" t="s">
        <v>7496</v>
      </c>
      <c r="G1178" s="11"/>
      <c r="H1178" s="11"/>
      <c r="I1178" s="20"/>
      <c r="J1178" s="20"/>
      <c r="BO1178" s="20"/>
      <c r="BP1178" s="11" t="s">
        <v>7495</v>
      </c>
      <c r="BQ1178" s="11" t="b">
        <v>0</v>
      </c>
      <c r="BR1178" s="20"/>
      <c r="BS1178" s="11"/>
      <c r="BT1178" s="11" t="b">
        <v>0</v>
      </c>
      <c r="BU1178" s="11" t="s">
        <v>2932</v>
      </c>
      <c r="BV1178" s="11"/>
      <c r="BW1178" s="11" t="s">
        <v>7500</v>
      </c>
      <c r="BX1178" s="11"/>
      <c r="BY1178" s="11"/>
    </row>
    <row r="1179">
      <c r="A1179" s="11" t="s">
        <v>2988</v>
      </c>
      <c r="B1179" s="11" t="s">
        <v>78</v>
      </c>
      <c r="C1179" s="23">
        <v>46119.0</v>
      </c>
      <c r="D1179" s="11" t="s">
        <v>237</v>
      </c>
      <c r="E1179" s="11"/>
      <c r="F1179" s="11" t="s">
        <v>7501</v>
      </c>
      <c r="G1179" s="11" t="s">
        <v>2040</v>
      </c>
      <c r="H1179" s="11">
        <v>1.0</v>
      </c>
      <c r="I1179" s="20">
        <v>2518.0</v>
      </c>
      <c r="J1179" s="20">
        <v>2518.0</v>
      </c>
      <c r="BO1179" s="20">
        <v>2518.0</v>
      </c>
      <c r="BP1179" s="11"/>
      <c r="BQ1179" s="11" t="b">
        <v>1</v>
      </c>
      <c r="BR1179" s="20">
        <v>2518.0</v>
      </c>
      <c r="BS1179" s="11"/>
      <c r="BT1179" s="11"/>
      <c r="BU1179" s="11" t="s">
        <v>187</v>
      </c>
      <c r="BV1179" s="11"/>
      <c r="BW1179" s="11"/>
      <c r="BX1179" s="11"/>
      <c r="BY1179" s="11"/>
    </row>
    <row r="1180">
      <c r="A1180" s="11" t="s">
        <v>2992</v>
      </c>
      <c r="B1180" s="11" t="s">
        <v>78</v>
      </c>
      <c r="C1180" s="23">
        <v>46119.0</v>
      </c>
      <c r="D1180" s="11" t="s">
        <v>237</v>
      </c>
      <c r="E1180" s="11"/>
      <c r="F1180" s="11" t="s">
        <v>7502</v>
      </c>
      <c r="G1180" s="11" t="s">
        <v>1958</v>
      </c>
      <c r="H1180" s="11">
        <v>1.0</v>
      </c>
      <c r="I1180" s="20">
        <v>1168.42</v>
      </c>
      <c r="J1180" s="20">
        <v>1168.42</v>
      </c>
      <c r="BO1180" s="20">
        <v>1168.42</v>
      </c>
      <c r="BP1180" s="11"/>
      <c r="BQ1180" s="11" t="b">
        <v>1</v>
      </c>
      <c r="BR1180" s="20">
        <v>1168.42</v>
      </c>
      <c r="BS1180" s="11"/>
      <c r="BT1180" s="11"/>
      <c r="BU1180" s="11" t="s">
        <v>187</v>
      </c>
      <c r="BV1180" s="11"/>
      <c r="BW1180" s="11"/>
      <c r="BX1180" s="11"/>
      <c r="BY1180" s="11"/>
    </row>
    <row r="1181">
      <c r="A1181" s="11" t="s">
        <v>2997</v>
      </c>
      <c r="B1181" s="11" t="s">
        <v>78</v>
      </c>
      <c r="C1181" s="23">
        <v>46119.0</v>
      </c>
      <c r="D1181" s="11" t="s">
        <v>237</v>
      </c>
      <c r="E1181" s="11"/>
      <c r="F1181" s="11" t="s">
        <v>7504</v>
      </c>
      <c r="G1181" s="11" t="s">
        <v>2040</v>
      </c>
      <c r="H1181" s="11">
        <v>1.0</v>
      </c>
      <c r="I1181" s="20">
        <v>84.0</v>
      </c>
      <c r="J1181" s="20">
        <v>84.0</v>
      </c>
      <c r="BO1181" s="20">
        <v>84.0</v>
      </c>
      <c r="BP1181" s="11"/>
      <c r="BQ1181" s="11" t="b">
        <v>1</v>
      </c>
      <c r="BR1181" s="20">
        <v>84.0</v>
      </c>
      <c r="BS1181" s="11"/>
      <c r="BT1181" s="11"/>
      <c r="BU1181" s="11" t="s">
        <v>187</v>
      </c>
      <c r="BV1181" s="11"/>
      <c r="BW1181" s="11"/>
      <c r="BX1181" s="11"/>
      <c r="BY1181" s="11"/>
    </row>
    <row r="1182">
      <c r="A1182" s="11">
        <v>1892.0</v>
      </c>
      <c r="B1182" s="11" t="s">
        <v>78</v>
      </c>
      <c r="C1182" s="23">
        <v>46119.0</v>
      </c>
      <c r="D1182" s="11" t="s">
        <v>176</v>
      </c>
      <c r="E1182" s="11"/>
      <c r="F1182" s="11" t="s">
        <v>1440</v>
      </c>
      <c r="G1182" s="11" t="s">
        <v>179</v>
      </c>
      <c r="H1182" s="11">
        <v>1.0</v>
      </c>
      <c r="I1182" s="20">
        <v>533.95</v>
      </c>
      <c r="J1182" s="20">
        <v>533.95</v>
      </c>
      <c r="BO1182" s="20">
        <v>533.95</v>
      </c>
      <c r="BP1182" s="11"/>
      <c r="BQ1182" s="11" t="b">
        <v>1</v>
      </c>
      <c r="BR1182" s="20">
        <v>533.95</v>
      </c>
      <c r="BS1182" s="11"/>
      <c r="BT1182" s="11"/>
      <c r="BU1182" s="11" t="s">
        <v>187</v>
      </c>
      <c r="BV1182" s="11"/>
      <c r="BW1182" s="11"/>
      <c r="BX1182" s="11"/>
      <c r="BY1182" s="11"/>
    </row>
    <row r="1183">
      <c r="A1183" s="11">
        <v>1893.0</v>
      </c>
      <c r="B1183" s="11" t="s">
        <v>78</v>
      </c>
      <c r="C1183" s="23">
        <v>46119.0</v>
      </c>
      <c r="D1183" s="11">
        <v>3.6037127E7</v>
      </c>
      <c r="E1183" s="11"/>
      <c r="F1183" s="11" t="s">
        <v>2162</v>
      </c>
      <c r="G1183" s="11" t="s">
        <v>1726</v>
      </c>
      <c r="H1183" s="11">
        <v>1.0</v>
      </c>
      <c r="I1183" s="20">
        <v>120.0</v>
      </c>
      <c r="J1183" s="20">
        <v>120.0</v>
      </c>
      <c r="BO1183" s="20">
        <v>120.0</v>
      </c>
      <c r="BP1183" s="11"/>
      <c r="BQ1183" s="11" t="b">
        <v>1</v>
      </c>
      <c r="BR1183" s="20">
        <v>120.0</v>
      </c>
      <c r="BS1183" s="11"/>
      <c r="BT1183" s="11"/>
      <c r="BU1183" s="11" t="s">
        <v>187</v>
      </c>
      <c r="BV1183" s="11"/>
      <c r="BW1183" s="11"/>
      <c r="BX1183" s="11"/>
      <c r="BY1183" s="11"/>
    </row>
    <row r="1184">
      <c r="A1184" s="11">
        <v>1894.0</v>
      </c>
      <c r="B1184" s="11" t="s">
        <v>78</v>
      </c>
      <c r="C1184" s="23">
        <v>46119.0</v>
      </c>
      <c r="D1184" s="11" t="s">
        <v>2509</v>
      </c>
      <c r="E1184" s="11"/>
      <c r="F1184" s="11" t="s">
        <v>2638</v>
      </c>
      <c r="G1184" s="11" t="s">
        <v>1898</v>
      </c>
      <c r="H1184" s="11">
        <v>1.0</v>
      </c>
      <c r="I1184" s="20">
        <v>130.5</v>
      </c>
      <c r="J1184" s="20">
        <v>130.5</v>
      </c>
      <c r="BO1184" s="20">
        <v>130.5</v>
      </c>
      <c r="BP1184" s="11"/>
      <c r="BQ1184" s="11" t="b">
        <v>1</v>
      </c>
      <c r="BR1184" s="20">
        <v>130.5</v>
      </c>
      <c r="BS1184" s="11"/>
      <c r="BT1184" s="11"/>
      <c r="BU1184" s="11" t="s">
        <v>187</v>
      </c>
      <c r="BV1184" s="11"/>
      <c r="BW1184" s="11"/>
      <c r="BX1184" s="11"/>
      <c r="BY1184" s="11"/>
    </row>
    <row r="1185">
      <c r="A1185" s="11">
        <v>1896.0</v>
      </c>
      <c r="B1185" s="11" t="s">
        <v>78</v>
      </c>
      <c r="C1185" s="23">
        <v>46119.0</v>
      </c>
      <c r="D1185" s="11" t="s">
        <v>2535</v>
      </c>
      <c r="E1185" s="11"/>
      <c r="F1185" s="11" t="s">
        <v>2638</v>
      </c>
      <c r="G1185" s="11" t="s">
        <v>1906</v>
      </c>
      <c r="H1185" s="11">
        <v>1.0</v>
      </c>
      <c r="I1185" s="20">
        <v>73.72</v>
      </c>
      <c r="J1185" s="20">
        <v>73.72</v>
      </c>
      <c r="BO1185" s="20">
        <v>73.72</v>
      </c>
      <c r="BP1185" s="11"/>
      <c r="BQ1185" s="11" t="b">
        <v>1</v>
      </c>
      <c r="BR1185" s="20">
        <v>73.72</v>
      </c>
      <c r="BS1185" s="11"/>
      <c r="BT1185" s="11"/>
      <c r="BU1185" s="11" t="s">
        <v>187</v>
      </c>
      <c r="BV1185" s="11"/>
      <c r="BW1185" s="11"/>
      <c r="BX1185" s="11"/>
      <c r="BY1185" s="11"/>
    </row>
    <row r="1186">
      <c r="A1186" s="11">
        <v>1897.0</v>
      </c>
      <c r="B1186" s="11" t="s">
        <v>78</v>
      </c>
      <c r="C1186" s="23">
        <v>46119.0</v>
      </c>
      <c r="D1186" s="11" t="s">
        <v>5965</v>
      </c>
      <c r="E1186" s="11"/>
      <c r="F1186" s="11" t="s">
        <v>7510</v>
      </c>
      <c r="G1186" s="11" t="s">
        <v>2099</v>
      </c>
      <c r="H1186" s="11">
        <v>1.0</v>
      </c>
      <c r="I1186" s="20">
        <v>1886.71</v>
      </c>
      <c r="J1186" s="20">
        <v>1886.71</v>
      </c>
      <c r="BO1186" s="20">
        <v>1886.71</v>
      </c>
      <c r="BP1186" s="11"/>
      <c r="BQ1186" s="11" t="b">
        <v>1</v>
      </c>
      <c r="BR1186" s="20">
        <v>1886.71</v>
      </c>
      <c r="BS1186" s="11"/>
      <c r="BT1186" s="11"/>
      <c r="BU1186" s="11" t="s">
        <v>187</v>
      </c>
      <c r="BV1186" s="11"/>
      <c r="BW1186" s="11"/>
      <c r="BX1186" s="11"/>
      <c r="BY1186" s="11"/>
    </row>
    <row r="1187">
      <c r="A1187" s="11" t="s">
        <v>3023</v>
      </c>
      <c r="B1187" s="11" t="s">
        <v>78</v>
      </c>
      <c r="C1187" s="23">
        <v>46119.0</v>
      </c>
      <c r="D1187" s="11"/>
      <c r="E1187" s="11"/>
      <c r="F1187" s="11" t="s">
        <v>7514</v>
      </c>
      <c r="G1187" s="11" t="s">
        <v>376</v>
      </c>
      <c r="H1187" s="11">
        <v>1.0</v>
      </c>
      <c r="I1187" s="20">
        <v>2190.78</v>
      </c>
      <c r="J1187" s="20">
        <v>2190.78</v>
      </c>
      <c r="BO1187" s="20">
        <v>2190.78</v>
      </c>
      <c r="BP1187" s="11"/>
      <c r="BQ1187" s="11" t="b">
        <v>1</v>
      </c>
      <c r="BR1187" s="20">
        <v>2190.78</v>
      </c>
      <c r="BS1187" s="11"/>
      <c r="BT1187" s="11"/>
      <c r="BU1187" s="11" t="s">
        <v>187</v>
      </c>
      <c r="BV1187" s="11" t="s">
        <v>113</v>
      </c>
      <c r="BW1187" s="11"/>
      <c r="BX1187" s="11"/>
      <c r="BY1187" s="11"/>
    </row>
    <row r="1188">
      <c r="A1188" s="11">
        <v>1895.0</v>
      </c>
      <c r="B1188" s="11" t="s">
        <v>78</v>
      </c>
      <c r="C1188" s="23">
        <v>46120.0</v>
      </c>
      <c r="D1188" s="11" t="s">
        <v>1676</v>
      </c>
      <c r="E1188" s="11"/>
      <c r="F1188" s="11" t="s">
        <v>2802</v>
      </c>
      <c r="G1188" s="11" t="s">
        <v>1902</v>
      </c>
      <c r="H1188" s="11">
        <v>1.0</v>
      </c>
      <c r="I1188" s="20">
        <v>1439.03</v>
      </c>
      <c r="J1188" s="20">
        <v>1439.03</v>
      </c>
      <c r="BO1188" s="20">
        <v>1439.03</v>
      </c>
      <c r="BP1188" s="11"/>
      <c r="BQ1188" s="11" t="b">
        <v>1</v>
      </c>
      <c r="BR1188" s="20">
        <v>1439.03</v>
      </c>
      <c r="BS1188" s="11"/>
      <c r="BT1188" s="11"/>
      <c r="BU1188" s="11" t="s">
        <v>187</v>
      </c>
      <c r="BV1188" s="11"/>
      <c r="BW1188" s="11"/>
      <c r="BX1188" s="11"/>
      <c r="BY1188" s="11"/>
    </row>
    <row r="1189">
      <c r="A1189" s="11" t="s">
        <v>4884</v>
      </c>
      <c r="B1189" s="11" t="s">
        <v>78</v>
      </c>
      <c r="C1189" s="23">
        <v>46120.0</v>
      </c>
      <c r="D1189" s="11" t="s">
        <v>5487</v>
      </c>
      <c r="E1189" s="11" t="s">
        <v>7515</v>
      </c>
      <c r="F1189" s="11" t="s">
        <v>7517</v>
      </c>
      <c r="G1189" s="11"/>
      <c r="H1189" s="11"/>
      <c r="I1189" s="20"/>
      <c r="J1189" s="20"/>
      <c r="BO1189" s="20"/>
      <c r="BP1189" s="11" t="s">
        <v>7516</v>
      </c>
      <c r="BQ1189" s="11" t="b">
        <v>0</v>
      </c>
      <c r="BR1189" s="20"/>
      <c r="BS1189" s="11"/>
      <c r="BT1189" s="11" t="b">
        <v>0</v>
      </c>
      <c r="BU1189" s="11" t="s">
        <v>2932</v>
      </c>
      <c r="BV1189" s="11"/>
      <c r="BW1189" s="11" t="s">
        <v>7518</v>
      </c>
      <c r="BX1189" s="11"/>
      <c r="BY1189" s="11"/>
    </row>
    <row r="1190">
      <c r="A1190" s="11" t="s">
        <v>4878</v>
      </c>
      <c r="B1190" s="11" t="s">
        <v>78</v>
      </c>
      <c r="C1190" s="23">
        <v>46119.0</v>
      </c>
      <c r="D1190" s="11" t="s">
        <v>739</v>
      </c>
      <c r="E1190" s="11" t="s">
        <v>7520</v>
      </c>
      <c r="F1190" s="11" t="s">
        <v>7522</v>
      </c>
      <c r="G1190" s="11"/>
      <c r="H1190" s="11"/>
      <c r="I1190" s="20"/>
      <c r="J1190" s="20"/>
      <c r="BO1190" s="20"/>
      <c r="BP1190" s="11" t="s">
        <v>7521</v>
      </c>
      <c r="BQ1190" s="11" t="b">
        <v>0</v>
      </c>
      <c r="BR1190" s="20"/>
      <c r="BS1190" s="19" t="s">
        <v>7925</v>
      </c>
      <c r="BT1190" s="11" t="b">
        <v>1</v>
      </c>
      <c r="BU1190" s="11" t="s">
        <v>2932</v>
      </c>
      <c r="BV1190" s="11"/>
      <c r="BW1190" s="11"/>
      <c r="BX1190" s="11"/>
      <c r="BY1190" s="11"/>
    </row>
    <row r="1191">
      <c r="A1191" s="11" t="s">
        <v>4906</v>
      </c>
      <c r="B1191" s="11" t="s">
        <v>78</v>
      </c>
      <c r="C1191" s="23">
        <v>46122.0</v>
      </c>
      <c r="D1191" s="11" t="s">
        <v>513</v>
      </c>
      <c r="E1191" s="11" t="s">
        <v>7525</v>
      </c>
      <c r="F1191" s="11" t="s">
        <v>2126</v>
      </c>
      <c r="G1191" s="11"/>
      <c r="H1191" s="11"/>
      <c r="I1191" s="20"/>
      <c r="J1191" s="20"/>
      <c r="BO1191" s="20"/>
      <c r="BP1191" s="11" t="s">
        <v>7526</v>
      </c>
      <c r="BQ1191" s="11" t="b">
        <v>0</v>
      </c>
      <c r="BR1191" s="20"/>
      <c r="BS1191" s="19" t="s">
        <v>7927</v>
      </c>
      <c r="BT1191" s="11" t="b">
        <v>1</v>
      </c>
      <c r="BU1191" s="11" t="s">
        <v>2932</v>
      </c>
      <c r="BV1191" s="11"/>
      <c r="BW1191" s="11"/>
      <c r="BX1191" s="11"/>
      <c r="BY1191" s="11"/>
    </row>
    <row r="1192">
      <c r="A1192" s="11" t="s">
        <v>4933</v>
      </c>
      <c r="B1192" s="11" t="s">
        <v>78</v>
      </c>
      <c r="C1192" s="23">
        <v>46124.0</v>
      </c>
      <c r="D1192" s="11" t="s">
        <v>6191</v>
      </c>
      <c r="E1192" s="11" t="s">
        <v>7528</v>
      </c>
      <c r="F1192" s="11" t="s">
        <v>7530</v>
      </c>
      <c r="G1192" s="11"/>
      <c r="H1192" s="11"/>
      <c r="I1192" s="20"/>
      <c r="J1192" s="20"/>
      <c r="BO1192" s="20"/>
      <c r="BP1192" s="11" t="s">
        <v>7529</v>
      </c>
      <c r="BQ1192" s="11" t="b">
        <v>0</v>
      </c>
      <c r="BR1192" s="20"/>
      <c r="BS1192" s="19" t="s">
        <v>7928</v>
      </c>
      <c r="BT1192" s="11" t="b">
        <v>1</v>
      </c>
      <c r="BU1192" s="11" t="s">
        <v>2932</v>
      </c>
      <c r="BV1192" s="11"/>
      <c r="BW1192" s="11"/>
      <c r="BX1192" s="11"/>
      <c r="BY1192" s="11"/>
    </row>
    <row r="1193">
      <c r="A1193" s="11" t="s">
        <v>4938</v>
      </c>
      <c r="B1193" s="11" t="s">
        <v>78</v>
      </c>
      <c r="C1193" s="23">
        <v>46124.0</v>
      </c>
      <c r="D1193" s="11" t="s">
        <v>2549</v>
      </c>
      <c r="E1193" s="11" t="s">
        <v>7531</v>
      </c>
      <c r="F1193" s="11" t="s">
        <v>7533</v>
      </c>
      <c r="G1193" s="11"/>
      <c r="H1193" s="11"/>
      <c r="I1193" s="20"/>
      <c r="J1193" s="20"/>
      <c r="BO1193" s="20"/>
      <c r="BP1193" s="11" t="s">
        <v>7532</v>
      </c>
      <c r="BQ1193" s="11" t="b">
        <v>0</v>
      </c>
      <c r="BR1193" s="20"/>
      <c r="BS1193" s="19" t="s">
        <v>7930</v>
      </c>
      <c r="BT1193" s="11" t="b">
        <v>1</v>
      </c>
      <c r="BU1193" s="11" t="s">
        <v>2932</v>
      </c>
      <c r="BV1193" s="11"/>
      <c r="BW1193" s="11"/>
      <c r="BX1193" s="11"/>
      <c r="BY1193" s="11"/>
    </row>
    <row r="1194">
      <c r="A1194" s="11" t="s">
        <v>4942</v>
      </c>
      <c r="B1194" s="11" t="s">
        <v>78</v>
      </c>
      <c r="C1194" s="23">
        <v>46125.0</v>
      </c>
      <c r="D1194" s="11" t="s">
        <v>992</v>
      </c>
      <c r="E1194" s="11" t="s">
        <v>7535</v>
      </c>
      <c r="F1194" s="11" t="s">
        <v>4642</v>
      </c>
      <c r="G1194" s="11"/>
      <c r="H1194" s="11"/>
      <c r="I1194" s="20"/>
      <c r="J1194" s="20"/>
      <c r="BO1194" s="20"/>
      <c r="BP1194" s="11" t="s">
        <v>7536</v>
      </c>
      <c r="BQ1194" s="11" t="b">
        <v>0</v>
      </c>
      <c r="BR1194" s="20"/>
      <c r="BS1194" s="19" t="s">
        <v>7931</v>
      </c>
      <c r="BT1194" s="11" t="b">
        <v>1</v>
      </c>
      <c r="BU1194" s="11" t="s">
        <v>2932</v>
      </c>
      <c r="BV1194" s="11"/>
      <c r="BW1194" s="11"/>
      <c r="BX1194" s="11"/>
      <c r="BY1194" s="11"/>
    </row>
    <row r="1195">
      <c r="A1195" s="11" t="s">
        <v>4914</v>
      </c>
      <c r="B1195" s="11" t="s">
        <v>78</v>
      </c>
      <c r="C1195" s="23">
        <v>46122.0</v>
      </c>
      <c r="D1195" s="11" t="s">
        <v>1251</v>
      </c>
      <c r="E1195" s="11" t="s">
        <v>7538</v>
      </c>
      <c r="F1195" s="11" t="s">
        <v>7540</v>
      </c>
      <c r="G1195" s="11"/>
      <c r="H1195" s="11"/>
      <c r="I1195" s="20"/>
      <c r="J1195" s="20"/>
      <c r="BO1195" s="20"/>
      <c r="BP1195" s="11" t="s">
        <v>7539</v>
      </c>
      <c r="BQ1195" s="11" t="b">
        <v>0</v>
      </c>
      <c r="BR1195" s="20"/>
      <c r="BS1195" s="19" t="s">
        <v>7935</v>
      </c>
      <c r="BT1195" s="11" t="b">
        <v>1</v>
      </c>
      <c r="BU1195" s="11" t="s">
        <v>2932</v>
      </c>
      <c r="BV1195" s="11"/>
      <c r="BW1195" s="11"/>
      <c r="BX1195" s="11"/>
      <c r="BY1195" s="11"/>
    </row>
    <row r="1196">
      <c r="A1196" s="11" t="s">
        <v>4946</v>
      </c>
      <c r="B1196" s="11" t="s">
        <v>78</v>
      </c>
      <c r="C1196" s="23">
        <v>46125.0</v>
      </c>
      <c r="D1196" s="11" t="s">
        <v>104</v>
      </c>
      <c r="E1196" s="11" t="s">
        <v>7541</v>
      </c>
      <c r="F1196" s="11" t="s">
        <v>7543</v>
      </c>
      <c r="G1196" s="11"/>
      <c r="H1196" s="11"/>
      <c r="I1196" s="20"/>
      <c r="J1196" s="20"/>
      <c r="BO1196" s="20"/>
      <c r="BP1196" s="11" t="s">
        <v>7542</v>
      </c>
      <c r="BQ1196" s="11" t="b">
        <v>0</v>
      </c>
      <c r="BR1196" s="20"/>
      <c r="BS1196" s="19" t="s">
        <v>7938</v>
      </c>
      <c r="BT1196" s="11" t="b">
        <v>1</v>
      </c>
      <c r="BU1196" s="11" t="s">
        <v>2932</v>
      </c>
      <c r="BV1196" s="11"/>
      <c r="BW1196" s="11"/>
      <c r="BX1196" s="11"/>
      <c r="BY1196" s="11"/>
    </row>
    <row r="1197">
      <c r="A1197" s="11" t="s">
        <v>4957</v>
      </c>
      <c r="B1197" s="11" t="s">
        <v>78</v>
      </c>
      <c r="C1197" s="23">
        <v>46125.0</v>
      </c>
      <c r="D1197" s="11" t="s">
        <v>817</v>
      </c>
      <c r="E1197" s="11" t="s">
        <v>7545</v>
      </c>
      <c r="F1197" s="11" t="s">
        <v>7547</v>
      </c>
      <c r="G1197" s="11"/>
      <c r="H1197" s="11"/>
      <c r="I1197" s="20"/>
      <c r="J1197" s="20"/>
      <c r="BO1197" s="20"/>
      <c r="BP1197" s="11" t="s">
        <v>7546</v>
      </c>
      <c r="BQ1197" s="11" t="b">
        <v>0</v>
      </c>
      <c r="BR1197" s="20"/>
      <c r="BS1197" s="11"/>
      <c r="BT1197" s="11" t="b">
        <v>0</v>
      </c>
      <c r="BU1197" s="11" t="s">
        <v>2932</v>
      </c>
      <c r="BV1197" s="11"/>
      <c r="BW1197" s="11"/>
      <c r="BX1197" s="11"/>
      <c r="BY1197" s="11"/>
    </row>
    <row r="1198">
      <c r="A1198" s="11" t="s">
        <v>4893</v>
      </c>
      <c r="B1198" s="11" t="s">
        <v>78</v>
      </c>
      <c r="C1198" s="23">
        <v>46121.0</v>
      </c>
      <c r="D1198" s="11" t="s">
        <v>4734</v>
      </c>
      <c r="E1198" s="11" t="s">
        <v>7549</v>
      </c>
      <c r="F1198" s="11" t="s">
        <v>7552</v>
      </c>
      <c r="G1198" s="11"/>
      <c r="H1198" s="11"/>
      <c r="I1198" s="20"/>
      <c r="J1198" s="20"/>
      <c r="BO1198" s="20"/>
      <c r="BP1198" s="11" t="s">
        <v>7551</v>
      </c>
      <c r="BQ1198" s="11" t="b">
        <v>0</v>
      </c>
      <c r="BR1198" s="20"/>
      <c r="BS1198" s="11"/>
      <c r="BT1198" s="11" t="b">
        <v>0</v>
      </c>
      <c r="BU1198" s="11" t="s">
        <v>2932</v>
      </c>
      <c r="BV1198" s="11"/>
      <c r="BW1198" s="11" t="s">
        <v>7553</v>
      </c>
      <c r="BX1198" s="11"/>
      <c r="BY1198" s="11"/>
    </row>
    <row r="1199">
      <c r="A1199" s="11">
        <v>1905.0</v>
      </c>
      <c r="B1199" s="11" t="s">
        <v>78</v>
      </c>
      <c r="C1199" s="23">
        <v>46125.0</v>
      </c>
      <c r="D1199" s="11" t="s">
        <v>192</v>
      </c>
      <c r="E1199" s="11"/>
      <c r="F1199" s="11" t="s">
        <v>195</v>
      </c>
      <c r="G1199" s="11" t="s">
        <v>196</v>
      </c>
      <c r="H1199" s="11">
        <v>1.0</v>
      </c>
      <c r="I1199" s="20">
        <v>2500.0</v>
      </c>
      <c r="J1199" s="20">
        <v>2500.0</v>
      </c>
      <c r="BO1199" s="20">
        <v>2500.0</v>
      </c>
      <c r="BP1199" s="11"/>
      <c r="BQ1199" s="11" t="b">
        <v>1</v>
      </c>
      <c r="BR1199" s="20">
        <v>2500.0</v>
      </c>
      <c r="BS1199" s="11"/>
      <c r="BT1199" s="11"/>
      <c r="BU1199" s="11" t="s">
        <v>187</v>
      </c>
      <c r="BV1199" s="11"/>
      <c r="BW1199" s="11"/>
      <c r="BX1199" s="11"/>
      <c r="BY1199" s="11"/>
    </row>
    <row r="1200">
      <c r="A1200" s="11">
        <v>1906.0</v>
      </c>
      <c r="B1200" s="11" t="s">
        <v>78</v>
      </c>
      <c r="C1200" s="23">
        <v>46125.0</v>
      </c>
      <c r="D1200" s="11" t="s">
        <v>1217</v>
      </c>
      <c r="E1200" s="11"/>
      <c r="F1200" s="11" t="s">
        <v>7554</v>
      </c>
      <c r="G1200" s="11" t="s">
        <v>502</v>
      </c>
      <c r="H1200" s="11">
        <v>1.0</v>
      </c>
      <c r="I1200" s="20">
        <v>131.9</v>
      </c>
      <c r="J1200" s="20">
        <v>131.9</v>
      </c>
      <c r="BO1200" s="20">
        <v>131.9</v>
      </c>
      <c r="BP1200" s="11"/>
      <c r="BQ1200" s="11" t="b">
        <v>1</v>
      </c>
      <c r="BR1200" s="20">
        <v>131.9</v>
      </c>
      <c r="BS1200" s="11"/>
      <c r="BT1200" s="11"/>
      <c r="BU1200" s="11" t="s">
        <v>187</v>
      </c>
      <c r="BV1200" s="11"/>
      <c r="BW1200" s="11"/>
      <c r="BX1200" s="11"/>
      <c r="BY1200" s="11"/>
    </row>
    <row r="1201">
      <c r="A1201" s="11">
        <v>1907.0</v>
      </c>
      <c r="B1201" s="11" t="s">
        <v>78</v>
      </c>
      <c r="C1201" s="23">
        <v>46125.0</v>
      </c>
      <c r="D1201" s="11" t="s">
        <v>415</v>
      </c>
      <c r="E1201" s="11"/>
      <c r="F1201" s="11" t="s">
        <v>7556</v>
      </c>
      <c r="G1201" s="11" t="s">
        <v>761</v>
      </c>
      <c r="H1201" s="11">
        <v>1.0</v>
      </c>
      <c r="I1201" s="20">
        <v>121.9</v>
      </c>
      <c r="J1201" s="20">
        <v>121.9</v>
      </c>
      <c r="BO1201" s="20">
        <v>121.9</v>
      </c>
      <c r="BP1201" s="11"/>
      <c r="BQ1201" s="11" t="b">
        <v>1</v>
      </c>
      <c r="BR1201" s="20">
        <v>121.9</v>
      </c>
      <c r="BS1201" s="11"/>
      <c r="BT1201" s="11"/>
      <c r="BU1201" s="11" t="s">
        <v>187</v>
      </c>
      <c r="BV1201" s="11"/>
      <c r="BW1201" s="11"/>
      <c r="BX1201" s="11"/>
      <c r="BY1201" s="11"/>
    </row>
    <row r="1202">
      <c r="A1202" s="11">
        <v>1909.0</v>
      </c>
      <c r="B1202" s="11" t="s">
        <v>78</v>
      </c>
      <c r="C1202" s="23">
        <v>46125.0</v>
      </c>
      <c r="D1202" s="11" t="s">
        <v>1046</v>
      </c>
      <c r="E1202" s="11"/>
      <c r="F1202" s="11" t="s">
        <v>7558</v>
      </c>
      <c r="G1202" s="11" t="s">
        <v>1936</v>
      </c>
      <c r="H1202" s="11">
        <v>1.0</v>
      </c>
      <c r="I1202" s="20">
        <v>0.0</v>
      </c>
      <c r="J1202" s="20">
        <v>0.0</v>
      </c>
      <c r="BO1202" s="20">
        <v>0.0</v>
      </c>
      <c r="BP1202" s="11"/>
      <c r="BQ1202" s="11" t="b">
        <v>1</v>
      </c>
      <c r="BR1202" s="20">
        <v>0.0</v>
      </c>
      <c r="BS1202" s="11"/>
      <c r="BT1202" s="11"/>
      <c r="BU1202" s="11" t="s">
        <v>187</v>
      </c>
      <c r="BV1202" s="11"/>
      <c r="BW1202" s="11"/>
      <c r="BX1202" s="11"/>
      <c r="BY1202" s="11"/>
    </row>
    <row r="1203">
      <c r="A1203" s="11" t="s">
        <v>3048</v>
      </c>
      <c r="B1203" s="11" t="s">
        <v>78</v>
      </c>
      <c r="C1203" s="23">
        <v>46125.0</v>
      </c>
      <c r="D1203" s="11" t="s">
        <v>1567</v>
      </c>
      <c r="E1203" s="11"/>
      <c r="F1203" s="11" t="s">
        <v>6479</v>
      </c>
      <c r="G1203" s="11" t="s">
        <v>2106</v>
      </c>
      <c r="H1203" s="11">
        <v>1.0</v>
      </c>
      <c r="I1203" s="20">
        <v>508.0</v>
      </c>
      <c r="J1203" s="20">
        <v>508.0</v>
      </c>
      <c r="BO1203" s="20">
        <v>508.0</v>
      </c>
      <c r="BP1203" s="11"/>
      <c r="BQ1203" s="11" t="b">
        <v>1</v>
      </c>
      <c r="BR1203" s="20">
        <v>508.0</v>
      </c>
      <c r="BS1203" s="11"/>
      <c r="BT1203" s="11"/>
      <c r="BU1203" s="11" t="s">
        <v>187</v>
      </c>
      <c r="BV1203" s="11"/>
      <c r="BW1203" s="11"/>
      <c r="BX1203" s="11"/>
      <c r="BY1203" s="11"/>
    </row>
    <row r="1204">
      <c r="A1204" s="11">
        <v>1921.0</v>
      </c>
      <c r="B1204" s="11" t="s">
        <v>78</v>
      </c>
      <c r="C1204" s="23">
        <v>46125.0</v>
      </c>
      <c r="D1204" s="11" t="s">
        <v>1046</v>
      </c>
      <c r="E1204" s="11"/>
      <c r="F1204" s="11" t="s">
        <v>2638</v>
      </c>
      <c r="G1204" s="11" t="s">
        <v>1944</v>
      </c>
      <c r="H1204" s="11">
        <v>1.0</v>
      </c>
      <c r="I1204" s="20">
        <v>1053.36</v>
      </c>
      <c r="J1204" s="20">
        <v>1053.36</v>
      </c>
      <c r="BO1204" s="20">
        <v>1053.36</v>
      </c>
      <c r="BP1204" s="11"/>
      <c r="BQ1204" s="11" t="b">
        <v>1</v>
      </c>
      <c r="BR1204" s="20">
        <v>1053.36</v>
      </c>
      <c r="BS1204" s="11"/>
      <c r="BT1204" s="11"/>
      <c r="BU1204" s="11" t="s">
        <v>187</v>
      </c>
      <c r="BV1204" s="11"/>
      <c r="BW1204" s="11"/>
      <c r="BX1204" s="11"/>
      <c r="BY1204" s="11"/>
    </row>
    <row r="1205">
      <c r="A1205" s="11" t="s">
        <v>4927</v>
      </c>
      <c r="B1205" s="11" t="s">
        <v>78</v>
      </c>
      <c r="C1205" s="23">
        <v>46122.0</v>
      </c>
      <c r="D1205" s="11" t="s">
        <v>7562</v>
      </c>
      <c r="E1205" s="11" t="s">
        <v>7564</v>
      </c>
      <c r="F1205" s="11" t="s">
        <v>7566</v>
      </c>
      <c r="G1205" s="11"/>
      <c r="H1205" s="11"/>
      <c r="I1205" s="20"/>
      <c r="J1205" s="20"/>
      <c r="BO1205" s="20"/>
      <c r="BP1205" s="11" t="s">
        <v>7565</v>
      </c>
      <c r="BQ1205" s="11" t="b">
        <v>0</v>
      </c>
      <c r="BR1205" s="20"/>
      <c r="BS1205" s="11"/>
      <c r="BT1205" s="11" t="b">
        <v>0</v>
      </c>
      <c r="BU1205" s="11" t="s">
        <v>2932</v>
      </c>
      <c r="BV1205" s="11"/>
      <c r="BW1205" s="11"/>
      <c r="BX1205" s="11"/>
      <c r="BY1205" s="11"/>
    </row>
    <row r="1206">
      <c r="A1206" s="11" t="s">
        <v>3057</v>
      </c>
      <c r="B1206" s="11" t="s">
        <v>78</v>
      </c>
      <c r="C1206" s="23">
        <v>46127.0</v>
      </c>
      <c r="D1206" s="11" t="s">
        <v>192</v>
      </c>
      <c r="E1206" s="11"/>
      <c r="F1206" s="11" t="s">
        <v>7568</v>
      </c>
      <c r="G1206" s="11" t="s">
        <v>3059</v>
      </c>
      <c r="H1206" s="11">
        <v>1.0</v>
      </c>
      <c r="I1206" s="20">
        <v>858.44</v>
      </c>
      <c r="J1206" s="20">
        <v>858.44</v>
      </c>
      <c r="BO1206" s="20">
        <v>858.44</v>
      </c>
      <c r="BP1206" s="11"/>
      <c r="BQ1206" s="11" t="b">
        <v>1</v>
      </c>
      <c r="BR1206" s="20">
        <v>858.44</v>
      </c>
      <c r="BS1206" s="11"/>
      <c r="BT1206" s="11"/>
      <c r="BU1206" s="11" t="s">
        <v>187</v>
      </c>
      <c r="BV1206" s="11"/>
      <c r="BW1206" s="11"/>
      <c r="BX1206" s="11"/>
      <c r="BY1206" s="11"/>
    </row>
    <row r="1207">
      <c r="A1207" s="11" t="s">
        <v>3062</v>
      </c>
      <c r="B1207" s="11" t="s">
        <v>78</v>
      </c>
      <c r="C1207" s="23">
        <v>46127.0</v>
      </c>
      <c r="D1207" s="11"/>
      <c r="E1207" s="11"/>
      <c r="F1207" s="11" t="s">
        <v>783</v>
      </c>
      <c r="G1207" s="11" t="s">
        <v>350</v>
      </c>
      <c r="H1207" s="11">
        <v>1.0</v>
      </c>
      <c r="I1207" s="20">
        <v>300.0</v>
      </c>
      <c r="J1207" s="20">
        <v>300.0</v>
      </c>
      <c r="BO1207" s="20">
        <v>300.0</v>
      </c>
      <c r="BP1207" s="11"/>
      <c r="BQ1207" s="11" t="b">
        <v>1</v>
      </c>
      <c r="BR1207" s="20">
        <v>300.0</v>
      </c>
      <c r="BS1207" s="11"/>
      <c r="BT1207" s="11"/>
      <c r="BU1207" s="11" t="s">
        <v>187</v>
      </c>
      <c r="BV1207" s="11" t="s">
        <v>126</v>
      </c>
      <c r="BW1207" s="11"/>
      <c r="BX1207" s="11"/>
      <c r="BY1207" s="11"/>
    </row>
    <row r="1208">
      <c r="A1208" s="11" t="s">
        <v>4899</v>
      </c>
      <c r="B1208" s="11" t="s">
        <v>78</v>
      </c>
      <c r="C1208" s="23">
        <v>46121.0</v>
      </c>
      <c r="D1208" s="11" t="s">
        <v>237</v>
      </c>
      <c r="E1208" s="11" t="s">
        <v>7572</v>
      </c>
      <c r="F1208" s="11" t="s">
        <v>7574</v>
      </c>
      <c r="G1208" s="11"/>
      <c r="H1208" s="11"/>
      <c r="I1208" s="20"/>
      <c r="J1208" s="20"/>
      <c r="BO1208" s="20"/>
      <c r="BP1208" s="11" t="s">
        <v>7573</v>
      </c>
      <c r="BQ1208" s="11" t="b">
        <v>0</v>
      </c>
      <c r="BR1208" s="20"/>
      <c r="BS1208" s="11"/>
      <c r="BT1208" s="11" t="b">
        <v>0</v>
      </c>
      <c r="BU1208" s="11" t="s">
        <v>2932</v>
      </c>
      <c r="BV1208" s="11"/>
      <c r="BW1208" s="11" t="s">
        <v>7577</v>
      </c>
      <c r="BX1208" s="11"/>
      <c r="BY1208" s="11"/>
    </row>
    <row r="1209">
      <c r="A1209" s="11" t="s">
        <v>4966</v>
      </c>
      <c r="B1209" s="11" t="s">
        <v>78</v>
      </c>
      <c r="C1209" s="23">
        <v>46129.0</v>
      </c>
      <c r="D1209" s="11" t="s">
        <v>992</v>
      </c>
      <c r="E1209" s="11" t="s">
        <v>7579</v>
      </c>
      <c r="F1209" s="11" t="s">
        <v>3242</v>
      </c>
      <c r="G1209" s="11"/>
      <c r="H1209" s="11"/>
      <c r="I1209" s="20"/>
      <c r="J1209" s="20"/>
      <c r="BO1209" s="20"/>
      <c r="BP1209" s="11" t="s">
        <v>7580</v>
      </c>
      <c r="BQ1209" s="11" t="b">
        <v>0</v>
      </c>
      <c r="BR1209" s="20"/>
      <c r="BS1209" s="19" t="s">
        <v>7979</v>
      </c>
      <c r="BT1209" s="11" t="b">
        <v>1</v>
      </c>
      <c r="BU1209" s="11" t="s">
        <v>2932</v>
      </c>
      <c r="BV1209" s="11"/>
      <c r="BW1209" s="11"/>
      <c r="BX1209" s="11"/>
      <c r="BY1209" s="11"/>
    </row>
    <row r="1210">
      <c r="A1210" s="11" t="s">
        <v>5431</v>
      </c>
      <c r="B1210" s="11" t="s">
        <v>78</v>
      </c>
      <c r="C1210" s="23">
        <v>46129.0</v>
      </c>
      <c r="D1210" s="11" t="s">
        <v>7583</v>
      </c>
      <c r="E1210" s="11" t="s">
        <v>7584</v>
      </c>
      <c r="F1210" s="11" t="s">
        <v>7587</v>
      </c>
      <c r="G1210" s="11"/>
      <c r="H1210" s="11"/>
      <c r="I1210" s="20"/>
      <c r="J1210" s="20"/>
      <c r="BO1210" s="20"/>
      <c r="BP1210" s="11" t="s">
        <v>7586</v>
      </c>
      <c r="BQ1210" s="11" t="b">
        <v>0</v>
      </c>
      <c r="BR1210" s="20"/>
      <c r="BS1210" s="19" t="s">
        <v>7981</v>
      </c>
      <c r="BT1210" s="11" t="b">
        <v>1</v>
      </c>
      <c r="BU1210" s="11" t="s">
        <v>2932</v>
      </c>
      <c r="BV1210" s="11"/>
      <c r="BW1210" s="11"/>
      <c r="BX1210" s="11"/>
      <c r="BY1210" s="11"/>
    </row>
    <row r="1211">
      <c r="A1211" s="11" t="s">
        <v>4993</v>
      </c>
      <c r="B1211" s="11" t="s">
        <v>78</v>
      </c>
      <c r="C1211" s="23">
        <v>46131.0</v>
      </c>
      <c r="D1211" s="11" t="s">
        <v>2549</v>
      </c>
      <c r="E1211" s="11" t="s">
        <v>7588</v>
      </c>
      <c r="F1211" s="11" t="s">
        <v>7590</v>
      </c>
      <c r="G1211" s="11"/>
      <c r="H1211" s="11"/>
      <c r="I1211" s="20"/>
      <c r="J1211" s="20"/>
      <c r="BO1211" s="20"/>
      <c r="BP1211" s="11" t="s">
        <v>7589</v>
      </c>
      <c r="BQ1211" s="11" t="b">
        <v>0</v>
      </c>
      <c r="BR1211" s="20"/>
      <c r="BS1211" s="19" t="s">
        <v>7983</v>
      </c>
      <c r="BT1211" s="11" t="b">
        <v>1</v>
      </c>
      <c r="BU1211" s="11" t="s">
        <v>2932</v>
      </c>
      <c r="BV1211" s="11"/>
      <c r="BW1211" s="11"/>
      <c r="BX1211" s="11"/>
      <c r="BY1211" s="11"/>
    </row>
    <row r="1212">
      <c r="A1212" s="11" t="s">
        <v>4997</v>
      </c>
      <c r="B1212" s="11" t="s">
        <v>78</v>
      </c>
      <c r="C1212" s="23">
        <v>46132.0</v>
      </c>
      <c r="D1212" s="11" t="s">
        <v>992</v>
      </c>
      <c r="E1212" s="11" t="s">
        <v>7592</v>
      </c>
      <c r="F1212" s="11" t="s">
        <v>7594</v>
      </c>
      <c r="G1212" s="11"/>
      <c r="H1212" s="11"/>
      <c r="I1212" s="20"/>
      <c r="J1212" s="20"/>
      <c r="BO1212" s="20"/>
      <c r="BP1212" s="11" t="s">
        <v>7593</v>
      </c>
      <c r="BQ1212" s="11" t="b">
        <v>0</v>
      </c>
      <c r="BR1212" s="20"/>
      <c r="BS1212" s="19" t="s">
        <v>7984</v>
      </c>
      <c r="BT1212" s="11" t="b">
        <v>1</v>
      </c>
      <c r="BU1212" s="11" t="s">
        <v>2932</v>
      </c>
      <c r="BV1212" s="11"/>
      <c r="BW1212" s="11"/>
      <c r="BX1212" s="11"/>
      <c r="BY1212" s="11"/>
    </row>
    <row r="1213">
      <c r="A1213" s="11" t="s">
        <v>5001</v>
      </c>
      <c r="B1213" s="11" t="s">
        <v>78</v>
      </c>
      <c r="C1213" s="23">
        <v>46132.0</v>
      </c>
      <c r="D1213" s="11" t="s">
        <v>7595</v>
      </c>
      <c r="E1213" s="11" t="s">
        <v>7596</v>
      </c>
      <c r="F1213" s="11" t="s">
        <v>7598</v>
      </c>
      <c r="G1213" s="11"/>
      <c r="H1213" s="11"/>
      <c r="I1213" s="20"/>
      <c r="J1213" s="20"/>
      <c r="BO1213" s="20"/>
      <c r="BP1213" s="11" t="s">
        <v>7597</v>
      </c>
      <c r="BQ1213" s="11" t="b">
        <v>0</v>
      </c>
      <c r="BR1213" s="20"/>
      <c r="BS1213" s="19" t="s">
        <v>7986</v>
      </c>
      <c r="BT1213" s="11" t="b">
        <v>1</v>
      </c>
      <c r="BU1213" s="11" t="s">
        <v>2932</v>
      </c>
      <c r="BV1213" s="11"/>
      <c r="BW1213" s="11"/>
      <c r="BX1213" s="11"/>
      <c r="BY1213" s="11"/>
    </row>
    <row r="1214">
      <c r="A1214" s="11" t="s">
        <v>4970</v>
      </c>
      <c r="B1214" s="11" t="s">
        <v>78</v>
      </c>
      <c r="C1214" s="23">
        <v>46129.0</v>
      </c>
      <c r="D1214" s="11" t="s">
        <v>85</v>
      </c>
      <c r="E1214" s="11" t="s">
        <v>7599</v>
      </c>
      <c r="F1214" s="11" t="s">
        <v>3193</v>
      </c>
      <c r="G1214" s="11"/>
      <c r="H1214" s="11"/>
      <c r="I1214" s="20"/>
      <c r="J1214" s="20"/>
      <c r="BO1214" s="20"/>
      <c r="BP1214" s="11" t="s">
        <v>7600</v>
      </c>
      <c r="BQ1214" s="11" t="b">
        <v>0</v>
      </c>
      <c r="BR1214" s="20"/>
      <c r="BS1214" s="19" t="s">
        <v>7987</v>
      </c>
      <c r="BT1214" s="11" t="b">
        <v>1</v>
      </c>
      <c r="BU1214" s="11" t="s">
        <v>2932</v>
      </c>
      <c r="BV1214" s="11"/>
      <c r="BW1214" s="11"/>
      <c r="BX1214" s="11"/>
      <c r="BY1214" s="11"/>
    </row>
    <row r="1215">
      <c r="A1215" s="11" t="s">
        <v>4979</v>
      </c>
      <c r="B1215" s="11" t="s">
        <v>78</v>
      </c>
      <c r="C1215" s="23">
        <v>46129.0</v>
      </c>
      <c r="D1215" s="11" t="s">
        <v>104</v>
      </c>
      <c r="E1215" s="11" t="s">
        <v>7603</v>
      </c>
      <c r="F1215" s="11" t="s">
        <v>380</v>
      </c>
      <c r="G1215" s="11"/>
      <c r="H1215" s="11"/>
      <c r="I1215" s="20"/>
      <c r="J1215" s="20"/>
      <c r="BO1215" s="20"/>
      <c r="BP1215" s="11" t="s">
        <v>7605</v>
      </c>
      <c r="BQ1215" s="11" t="b">
        <v>0</v>
      </c>
      <c r="BR1215" s="20"/>
      <c r="BS1215" s="19" t="s">
        <v>7990</v>
      </c>
      <c r="BT1215" s="11" t="b">
        <v>1</v>
      </c>
      <c r="BU1215" s="11" t="s">
        <v>2932</v>
      </c>
      <c r="BV1215" s="11"/>
      <c r="BW1215" s="11"/>
      <c r="BX1215" s="11"/>
      <c r="BY1215" s="11"/>
    </row>
    <row r="1216">
      <c r="A1216" s="11" t="s">
        <v>4961</v>
      </c>
      <c r="B1216" s="11" t="s">
        <v>78</v>
      </c>
      <c r="C1216" s="23">
        <v>46126.0</v>
      </c>
      <c r="D1216" s="11" t="s">
        <v>1076</v>
      </c>
      <c r="E1216" s="11" t="s">
        <v>7606</v>
      </c>
      <c r="F1216" s="11" t="s">
        <v>7608</v>
      </c>
      <c r="G1216" s="11"/>
      <c r="H1216" s="11"/>
      <c r="I1216" s="20"/>
      <c r="J1216" s="20"/>
      <c r="BO1216" s="20"/>
      <c r="BP1216" s="11" t="s">
        <v>7607</v>
      </c>
      <c r="BQ1216" s="11" t="b">
        <v>0</v>
      </c>
      <c r="BR1216" s="20"/>
      <c r="BS1216" s="19" t="s">
        <v>7995</v>
      </c>
      <c r="BT1216" s="11" t="b">
        <v>1</v>
      </c>
      <c r="BU1216" s="11" t="s">
        <v>2932</v>
      </c>
      <c r="BV1216" s="11"/>
      <c r="BW1216" s="11"/>
      <c r="BX1216" s="11"/>
      <c r="BY1216" s="11"/>
    </row>
    <row r="1217">
      <c r="A1217" s="11" t="s">
        <v>5008</v>
      </c>
      <c r="B1217" s="11" t="s">
        <v>78</v>
      </c>
      <c r="C1217" s="23">
        <v>46132.0</v>
      </c>
      <c r="D1217" s="11" t="s">
        <v>85</v>
      </c>
      <c r="E1217" s="11" t="s">
        <v>7609</v>
      </c>
      <c r="F1217" s="11" t="s">
        <v>7611</v>
      </c>
      <c r="G1217" s="11"/>
      <c r="H1217" s="11"/>
      <c r="I1217" s="20"/>
      <c r="J1217" s="20"/>
      <c r="BO1217" s="20"/>
      <c r="BP1217" s="11" t="s">
        <v>7610</v>
      </c>
      <c r="BQ1217" s="11" t="b">
        <v>0</v>
      </c>
      <c r="BR1217" s="20"/>
      <c r="BS1217" s="19" t="s">
        <v>8000</v>
      </c>
      <c r="BT1217" s="11" t="b">
        <v>1</v>
      </c>
      <c r="BU1217" s="11" t="s">
        <v>2932</v>
      </c>
      <c r="BV1217" s="11"/>
      <c r="BW1217" s="11"/>
      <c r="BX1217" s="11"/>
      <c r="BY1217" s="11"/>
    </row>
    <row r="1218">
      <c r="A1218" s="11" t="s">
        <v>5044</v>
      </c>
      <c r="B1218" s="11" t="s">
        <v>78</v>
      </c>
      <c r="C1218" s="23">
        <v>46132.0</v>
      </c>
      <c r="D1218" s="11" t="s">
        <v>7065</v>
      </c>
      <c r="E1218" s="11" t="s">
        <v>7613</v>
      </c>
      <c r="F1218" s="11" t="s">
        <v>7617</v>
      </c>
      <c r="G1218" s="11"/>
      <c r="H1218" s="11"/>
      <c r="I1218" s="20"/>
      <c r="J1218" s="20"/>
      <c r="BO1218" s="20"/>
      <c r="BP1218" s="11" t="s">
        <v>7614</v>
      </c>
      <c r="BQ1218" s="11" t="b">
        <v>0</v>
      </c>
      <c r="BR1218" s="20"/>
      <c r="BS1218" s="19" t="s">
        <v>8008</v>
      </c>
      <c r="BT1218" s="11" t="b">
        <v>1</v>
      </c>
      <c r="BU1218" s="11" t="s">
        <v>2932</v>
      </c>
      <c r="BV1218" s="11"/>
      <c r="BW1218" s="11"/>
      <c r="BX1218" s="11"/>
      <c r="BY1218" s="11"/>
    </row>
    <row r="1219">
      <c r="A1219" s="11">
        <v>1902.0</v>
      </c>
      <c r="B1219" s="11" t="s">
        <v>78</v>
      </c>
      <c r="C1219" s="23">
        <v>46132.0</v>
      </c>
      <c r="D1219" s="11" t="s">
        <v>547</v>
      </c>
      <c r="E1219" s="11"/>
      <c r="F1219" s="11" t="s">
        <v>973</v>
      </c>
      <c r="G1219" s="11" t="s">
        <v>975</v>
      </c>
      <c r="H1219" s="11">
        <v>1.0</v>
      </c>
      <c r="I1219" s="20">
        <v>1098.0</v>
      </c>
      <c r="J1219" s="20">
        <v>1098.0</v>
      </c>
      <c r="BO1219" s="20">
        <v>1098.0</v>
      </c>
      <c r="BP1219" s="11"/>
      <c r="BQ1219" s="11" t="b">
        <v>1</v>
      </c>
      <c r="BR1219" s="20">
        <v>1098.0</v>
      </c>
      <c r="BS1219" s="11"/>
      <c r="BT1219" s="11"/>
      <c r="BU1219" s="11" t="s">
        <v>187</v>
      </c>
      <c r="BV1219" s="11"/>
      <c r="BW1219" s="11"/>
      <c r="BX1219" s="11"/>
      <c r="BY1219" s="11"/>
    </row>
    <row r="1220">
      <c r="A1220" s="11">
        <v>1903.0</v>
      </c>
      <c r="B1220" s="11" t="s">
        <v>78</v>
      </c>
      <c r="C1220" s="23">
        <v>46132.0</v>
      </c>
      <c r="D1220" s="11" t="s">
        <v>547</v>
      </c>
      <c r="E1220" s="11"/>
      <c r="F1220" s="11" t="s">
        <v>964</v>
      </c>
      <c r="G1220" s="11" t="s">
        <v>648</v>
      </c>
      <c r="H1220" s="11">
        <v>1.0</v>
      </c>
      <c r="I1220" s="20">
        <v>700.0</v>
      </c>
      <c r="J1220" s="20">
        <v>700.0</v>
      </c>
      <c r="BO1220" s="20">
        <v>700.0</v>
      </c>
      <c r="BP1220" s="11"/>
      <c r="BQ1220" s="11" t="b">
        <v>1</v>
      </c>
      <c r="BR1220" s="20">
        <v>700.0</v>
      </c>
      <c r="BS1220" s="11"/>
      <c r="BT1220" s="11"/>
      <c r="BU1220" s="11" t="s">
        <v>187</v>
      </c>
      <c r="BV1220" s="11"/>
      <c r="BW1220" s="11"/>
      <c r="BX1220" s="11"/>
      <c r="BY1220" s="11"/>
    </row>
    <row r="1221">
      <c r="A1221" s="11">
        <v>1904.0</v>
      </c>
      <c r="B1221" s="11" t="s">
        <v>78</v>
      </c>
      <c r="C1221" s="23">
        <v>46132.0</v>
      </c>
      <c r="D1221" s="11" t="s">
        <v>547</v>
      </c>
      <c r="E1221" s="11"/>
      <c r="F1221" s="11" t="s">
        <v>955</v>
      </c>
      <c r="G1221" s="11" t="s">
        <v>957</v>
      </c>
      <c r="H1221" s="11">
        <v>1.0</v>
      </c>
      <c r="I1221" s="20">
        <v>396.0</v>
      </c>
      <c r="J1221" s="20">
        <v>396.0</v>
      </c>
      <c r="BO1221" s="20">
        <v>396.0</v>
      </c>
      <c r="BP1221" s="11"/>
      <c r="BQ1221" s="11" t="b">
        <v>1</v>
      </c>
      <c r="BR1221" s="20">
        <v>396.0</v>
      </c>
      <c r="BS1221" s="11"/>
      <c r="BT1221" s="11"/>
      <c r="BU1221" s="11" t="s">
        <v>187</v>
      </c>
      <c r="BV1221" s="11"/>
      <c r="BW1221" s="11"/>
      <c r="BX1221" s="11"/>
      <c r="BY1221" s="11"/>
    </row>
    <row r="1222">
      <c r="A1222" s="11">
        <v>1920.0</v>
      </c>
      <c r="B1222" s="11" t="s">
        <v>78</v>
      </c>
      <c r="C1222" s="23">
        <v>46132.0</v>
      </c>
      <c r="D1222" s="11" t="s">
        <v>1046</v>
      </c>
      <c r="E1222" s="11"/>
      <c r="F1222" s="11" t="s">
        <v>1557</v>
      </c>
      <c r="G1222" s="11" t="s">
        <v>1049</v>
      </c>
      <c r="H1222" s="11">
        <v>1.0</v>
      </c>
      <c r="I1222" s="20">
        <v>8504.54</v>
      </c>
      <c r="J1222" s="20">
        <v>8504.54</v>
      </c>
      <c r="BO1222" s="20">
        <v>8504.54</v>
      </c>
      <c r="BP1222" s="11"/>
      <c r="BQ1222" s="11" t="b">
        <v>1</v>
      </c>
      <c r="BR1222" s="20">
        <v>8504.54</v>
      </c>
      <c r="BS1222" s="11"/>
      <c r="BT1222" s="11"/>
      <c r="BU1222" s="11" t="s">
        <v>187</v>
      </c>
      <c r="BV1222" s="11"/>
      <c r="BW1222" s="11"/>
      <c r="BX1222" s="11"/>
      <c r="BY1222" s="11"/>
    </row>
    <row r="1223">
      <c r="A1223" s="11" t="s">
        <v>3086</v>
      </c>
      <c r="B1223" s="11" t="s">
        <v>78</v>
      </c>
      <c r="C1223" s="23">
        <v>46132.0</v>
      </c>
      <c r="D1223" s="11" t="s">
        <v>237</v>
      </c>
      <c r="E1223" s="11"/>
      <c r="F1223" s="11" t="s">
        <v>7625</v>
      </c>
      <c r="G1223" s="11" t="s">
        <v>2040</v>
      </c>
      <c r="H1223" s="11">
        <v>1.0</v>
      </c>
      <c r="I1223" s="20">
        <v>2001.0</v>
      </c>
      <c r="J1223" s="20">
        <v>2001.0</v>
      </c>
      <c r="BO1223" s="20">
        <v>2001.0</v>
      </c>
      <c r="BP1223" s="11"/>
      <c r="BQ1223" s="11" t="b">
        <v>1</v>
      </c>
      <c r="BR1223" s="20">
        <v>2001.0</v>
      </c>
      <c r="BS1223" s="11"/>
      <c r="BT1223" s="11"/>
      <c r="BU1223" s="11" t="s">
        <v>187</v>
      </c>
      <c r="BV1223" s="11"/>
      <c r="BW1223" s="11"/>
      <c r="BX1223" s="11"/>
      <c r="BY1223" s="11"/>
    </row>
    <row r="1224">
      <c r="A1224" s="11" t="s">
        <v>3090</v>
      </c>
      <c r="B1224" s="11" t="s">
        <v>78</v>
      </c>
      <c r="C1224" s="23">
        <v>46132.0</v>
      </c>
      <c r="D1224" s="11" t="s">
        <v>237</v>
      </c>
      <c r="E1224" s="11"/>
      <c r="F1224" s="11" t="s">
        <v>7627</v>
      </c>
      <c r="G1224" s="11" t="s">
        <v>1958</v>
      </c>
      <c r="H1224" s="11">
        <v>1.0</v>
      </c>
      <c r="I1224" s="20">
        <v>1566.35</v>
      </c>
      <c r="J1224" s="20">
        <v>1566.35</v>
      </c>
      <c r="BO1224" s="20">
        <v>1566.35</v>
      </c>
      <c r="BP1224" s="11"/>
      <c r="BQ1224" s="11" t="b">
        <v>1</v>
      </c>
      <c r="BR1224" s="20">
        <v>1566.35</v>
      </c>
      <c r="BS1224" s="11"/>
      <c r="BT1224" s="11"/>
      <c r="BU1224" s="11" t="s">
        <v>187</v>
      </c>
      <c r="BV1224" s="11"/>
      <c r="BW1224" s="11"/>
      <c r="BX1224" s="11"/>
      <c r="BY1224" s="11"/>
    </row>
    <row r="1225">
      <c r="A1225" s="11">
        <v>1933.0</v>
      </c>
      <c r="B1225" s="11" t="s">
        <v>78</v>
      </c>
      <c r="C1225" s="23">
        <v>46132.0</v>
      </c>
      <c r="D1225" s="11" t="s">
        <v>415</v>
      </c>
      <c r="E1225" s="11"/>
      <c r="F1225" s="66">
        <v>46302.0</v>
      </c>
      <c r="G1225" s="11" t="s">
        <v>1971</v>
      </c>
      <c r="H1225" s="11">
        <v>1.0</v>
      </c>
      <c r="I1225" s="20">
        <v>190.34</v>
      </c>
      <c r="J1225" s="20">
        <v>190.34</v>
      </c>
      <c r="BO1225" s="20">
        <v>190.34</v>
      </c>
      <c r="BP1225" s="11"/>
      <c r="BQ1225" s="11" t="b">
        <v>1</v>
      </c>
      <c r="BR1225" s="20">
        <v>190.34</v>
      </c>
      <c r="BS1225" s="11"/>
      <c r="BT1225" s="11"/>
      <c r="BU1225" s="11" t="s">
        <v>187</v>
      </c>
      <c r="BV1225" s="11"/>
      <c r="BW1225" s="11"/>
      <c r="BX1225" s="11"/>
      <c r="BY1225" s="11"/>
    </row>
    <row r="1226">
      <c r="A1226" s="11" t="s">
        <v>5583</v>
      </c>
      <c r="B1226" s="11" t="s">
        <v>78</v>
      </c>
      <c r="C1226" s="23">
        <v>46135.0</v>
      </c>
      <c r="D1226" s="11" t="s">
        <v>104</v>
      </c>
      <c r="E1226" s="11" t="s">
        <v>7629</v>
      </c>
      <c r="F1226" s="11" t="s">
        <v>7631</v>
      </c>
      <c r="G1226" s="11"/>
      <c r="H1226" s="11"/>
      <c r="I1226" s="20"/>
      <c r="J1226" s="20"/>
      <c r="BO1226" s="20"/>
      <c r="BP1226" s="11" t="s">
        <v>7630</v>
      </c>
      <c r="BQ1226" s="11" t="b">
        <v>0</v>
      </c>
      <c r="BR1226" s="20"/>
      <c r="BS1226" s="19" t="s">
        <v>8020</v>
      </c>
      <c r="BT1226" s="11" t="b">
        <v>1</v>
      </c>
      <c r="BU1226" s="11" t="s">
        <v>2932</v>
      </c>
      <c r="BV1226" s="11"/>
      <c r="BW1226" s="11"/>
      <c r="BX1226" s="11"/>
      <c r="BY1226" s="11"/>
    </row>
    <row r="1227">
      <c r="A1227" s="11" t="s">
        <v>5056</v>
      </c>
      <c r="B1227" s="11" t="s">
        <v>78</v>
      </c>
      <c r="C1227" s="23">
        <v>46134.0</v>
      </c>
      <c r="D1227" s="11" t="s">
        <v>116</v>
      </c>
      <c r="E1227" s="11" t="s">
        <v>7634</v>
      </c>
      <c r="F1227" s="11" t="s">
        <v>7636</v>
      </c>
      <c r="G1227" s="11"/>
      <c r="H1227" s="11"/>
      <c r="I1227" s="20"/>
      <c r="J1227" s="20"/>
      <c r="BO1227" s="20"/>
      <c r="BP1227" s="11" t="s">
        <v>7635</v>
      </c>
      <c r="BQ1227" s="11" t="b">
        <v>0</v>
      </c>
      <c r="BR1227" s="20"/>
      <c r="BS1227" s="19" t="s">
        <v>8023</v>
      </c>
      <c r="BT1227" s="11" t="b">
        <v>1</v>
      </c>
      <c r="BU1227" s="11" t="s">
        <v>2932</v>
      </c>
      <c r="BV1227" s="11"/>
      <c r="BW1227" s="11"/>
      <c r="BX1227" s="11"/>
      <c r="BY1227" s="11"/>
    </row>
    <row r="1228">
      <c r="A1228" s="11" t="s">
        <v>5070</v>
      </c>
      <c r="B1228" s="11" t="s">
        <v>78</v>
      </c>
      <c r="C1228" s="23">
        <v>46134.0</v>
      </c>
      <c r="D1228" s="11" t="s">
        <v>1627</v>
      </c>
      <c r="E1228" s="11" t="s">
        <v>7639</v>
      </c>
      <c r="F1228" s="11" t="s">
        <v>7641</v>
      </c>
      <c r="G1228" s="11"/>
      <c r="H1228" s="11"/>
      <c r="I1228" s="20"/>
      <c r="J1228" s="20"/>
      <c r="BO1228" s="20"/>
      <c r="BP1228" s="11" t="s">
        <v>7640</v>
      </c>
      <c r="BQ1228" s="11" t="b">
        <v>0</v>
      </c>
      <c r="BR1228" s="20"/>
      <c r="BS1228" s="19" t="s">
        <v>8026</v>
      </c>
      <c r="BT1228" s="11" t="b">
        <v>1</v>
      </c>
      <c r="BU1228" s="11" t="s">
        <v>2932</v>
      </c>
      <c r="BV1228" s="11"/>
      <c r="BW1228" s="11"/>
      <c r="BX1228" s="11"/>
      <c r="BY1228" s="11"/>
    </row>
    <row r="1229">
      <c r="A1229" s="11" t="s">
        <v>5075</v>
      </c>
      <c r="B1229" s="11" t="s">
        <v>78</v>
      </c>
      <c r="C1229" s="23">
        <v>46134.0</v>
      </c>
      <c r="D1229" s="11" t="s">
        <v>237</v>
      </c>
      <c r="E1229" s="11" t="s">
        <v>7643</v>
      </c>
      <c r="F1229" s="11" t="s">
        <v>7645</v>
      </c>
      <c r="G1229" s="11"/>
      <c r="H1229" s="11"/>
      <c r="I1229" s="20"/>
      <c r="J1229" s="20"/>
      <c r="BO1229" s="20"/>
      <c r="BP1229" s="11" t="s">
        <v>7644</v>
      </c>
      <c r="BQ1229" s="11" t="b">
        <v>0</v>
      </c>
      <c r="BR1229" s="20"/>
      <c r="BS1229" s="11"/>
      <c r="BT1229" s="11" t="b">
        <v>0</v>
      </c>
      <c r="BU1229" s="11" t="s">
        <v>2932</v>
      </c>
      <c r="BV1229" s="11"/>
      <c r="BW1229" s="11" t="s">
        <v>7647</v>
      </c>
      <c r="BX1229" s="11"/>
      <c r="BY1229" s="11"/>
    </row>
    <row r="1230">
      <c r="A1230" s="11" t="s">
        <v>5083</v>
      </c>
      <c r="B1230" s="11" t="s">
        <v>78</v>
      </c>
      <c r="C1230" s="23">
        <v>46134.0</v>
      </c>
      <c r="D1230" s="11" t="s">
        <v>237</v>
      </c>
      <c r="E1230" s="11" t="s">
        <v>7649</v>
      </c>
      <c r="F1230" s="11" t="s">
        <v>7651</v>
      </c>
      <c r="G1230" s="11"/>
      <c r="H1230" s="11"/>
      <c r="I1230" s="20"/>
      <c r="J1230" s="20"/>
      <c r="BO1230" s="20"/>
      <c r="BP1230" s="11" t="s">
        <v>7650</v>
      </c>
      <c r="BQ1230" s="11" t="b">
        <v>0</v>
      </c>
      <c r="BR1230" s="20"/>
      <c r="BS1230" s="11"/>
      <c r="BT1230" s="11" t="b">
        <v>0</v>
      </c>
      <c r="BU1230" s="11" t="s">
        <v>2932</v>
      </c>
      <c r="BV1230" s="11"/>
      <c r="BW1230" s="11"/>
      <c r="BX1230" s="11"/>
      <c r="BY1230" s="11"/>
    </row>
    <row r="1231">
      <c r="A1231" s="11" t="s">
        <v>5098</v>
      </c>
      <c r="B1231" s="11" t="s">
        <v>78</v>
      </c>
      <c r="C1231" s="23">
        <v>46134.0</v>
      </c>
      <c r="D1231" s="11" t="s">
        <v>237</v>
      </c>
      <c r="E1231" s="11" t="s">
        <v>7654</v>
      </c>
      <c r="F1231" s="11" t="s">
        <v>7656</v>
      </c>
      <c r="G1231" s="11"/>
      <c r="H1231" s="11"/>
      <c r="I1231" s="20"/>
      <c r="J1231" s="20"/>
      <c r="BO1231" s="20"/>
      <c r="BP1231" s="11" t="s">
        <v>7655</v>
      </c>
      <c r="BQ1231" s="11" t="b">
        <v>0</v>
      </c>
      <c r="BR1231" s="20"/>
      <c r="BS1231" s="11"/>
      <c r="BT1231" s="11" t="b">
        <v>0</v>
      </c>
      <c r="BU1231" s="11" t="s">
        <v>2932</v>
      </c>
      <c r="BV1231" s="11"/>
      <c r="BW1231" s="11"/>
      <c r="BX1231" s="11"/>
      <c r="BY1231" s="11"/>
    </row>
    <row r="1232">
      <c r="A1232" s="11" t="s">
        <v>5106</v>
      </c>
      <c r="B1232" s="11" t="s">
        <v>78</v>
      </c>
      <c r="C1232" s="23">
        <v>46135.0</v>
      </c>
      <c r="D1232" s="11" t="s">
        <v>513</v>
      </c>
      <c r="E1232" s="11" t="s">
        <v>7658</v>
      </c>
      <c r="F1232" s="11" t="s">
        <v>7660</v>
      </c>
      <c r="G1232" s="11"/>
      <c r="H1232" s="11"/>
      <c r="I1232" s="20"/>
      <c r="J1232" s="20"/>
      <c r="BO1232" s="20"/>
      <c r="BP1232" s="11" t="s">
        <v>7659</v>
      </c>
      <c r="BQ1232" s="11" t="b">
        <v>0</v>
      </c>
      <c r="BR1232" s="20"/>
      <c r="BS1232" s="19" t="s">
        <v>8041</v>
      </c>
      <c r="BT1232" s="11" t="b">
        <v>1</v>
      </c>
      <c r="BU1232" s="11" t="s">
        <v>2932</v>
      </c>
      <c r="BV1232" s="11"/>
      <c r="BW1232" s="11"/>
      <c r="BX1232" s="11"/>
      <c r="BY1232" s="11"/>
    </row>
    <row r="1233">
      <c r="A1233" s="11" t="s">
        <v>5113</v>
      </c>
      <c r="B1233" s="11" t="s">
        <v>78</v>
      </c>
      <c r="C1233" s="23">
        <v>46135.0</v>
      </c>
      <c r="D1233" s="11" t="s">
        <v>168</v>
      </c>
      <c r="E1233" s="11" t="s">
        <v>7663</v>
      </c>
      <c r="F1233" s="11" t="s">
        <v>7666</v>
      </c>
      <c r="G1233" s="11"/>
      <c r="H1233" s="11"/>
      <c r="I1233" s="20"/>
      <c r="J1233" s="20"/>
      <c r="BO1233" s="20"/>
      <c r="BP1233" s="11" t="s">
        <v>7664</v>
      </c>
      <c r="BQ1233" s="11" t="b">
        <v>0</v>
      </c>
      <c r="BR1233" s="20"/>
      <c r="BS1233" s="19" t="s">
        <v>8047</v>
      </c>
      <c r="BT1233" s="11" t="b">
        <v>1</v>
      </c>
      <c r="BU1233" s="11" t="s">
        <v>2932</v>
      </c>
      <c r="BV1233" s="11"/>
      <c r="BW1233" s="11"/>
      <c r="BX1233" s="11"/>
      <c r="BY1233" s="11"/>
    </row>
    <row r="1234">
      <c r="A1234" s="11" t="s">
        <v>5127</v>
      </c>
      <c r="B1234" s="11" t="s">
        <v>78</v>
      </c>
      <c r="C1234" s="23">
        <v>46136.0</v>
      </c>
      <c r="D1234" s="11" t="s">
        <v>992</v>
      </c>
      <c r="E1234" s="11" t="s">
        <v>7669</v>
      </c>
      <c r="F1234" s="11" t="s">
        <v>7671</v>
      </c>
      <c r="G1234" s="11"/>
      <c r="H1234" s="11"/>
      <c r="I1234" s="20"/>
      <c r="J1234" s="20"/>
      <c r="BO1234" s="20"/>
      <c r="BP1234" s="11" t="s">
        <v>7670</v>
      </c>
      <c r="BQ1234" s="11" t="b">
        <v>0</v>
      </c>
      <c r="BR1234" s="20"/>
      <c r="BS1234" s="19" t="s">
        <v>8052</v>
      </c>
      <c r="BT1234" s="11" t="b">
        <v>1</v>
      </c>
      <c r="BU1234" s="11" t="s">
        <v>2932</v>
      </c>
      <c r="BV1234" s="11"/>
      <c r="BW1234" s="11"/>
      <c r="BX1234" s="11"/>
      <c r="BY1234" s="11"/>
    </row>
    <row r="1235">
      <c r="A1235" s="11" t="s">
        <v>5130</v>
      </c>
      <c r="B1235" s="11" t="s">
        <v>78</v>
      </c>
      <c r="C1235" s="23">
        <v>46136.0</v>
      </c>
      <c r="D1235" s="11" t="s">
        <v>85</v>
      </c>
      <c r="E1235" s="11" t="s">
        <v>7673</v>
      </c>
      <c r="F1235" s="11" t="s">
        <v>7675</v>
      </c>
      <c r="G1235" s="11"/>
      <c r="H1235" s="11"/>
      <c r="I1235" s="20"/>
      <c r="J1235" s="20"/>
      <c r="BO1235" s="20"/>
      <c r="BP1235" s="11" t="s">
        <v>7674</v>
      </c>
      <c r="BQ1235" s="11" t="b">
        <v>0</v>
      </c>
      <c r="BR1235" s="20"/>
      <c r="BS1235" s="19" t="s">
        <v>8057</v>
      </c>
      <c r="BT1235" s="11" t="b">
        <v>1</v>
      </c>
      <c r="BU1235" s="11" t="s">
        <v>5814</v>
      </c>
      <c r="BV1235" s="11"/>
      <c r="BW1235" s="11"/>
      <c r="BX1235" s="11"/>
      <c r="BY1235" s="11"/>
    </row>
    <row r="1236">
      <c r="A1236" s="11">
        <v>1934.0</v>
      </c>
      <c r="B1236" s="11" t="s">
        <v>78</v>
      </c>
      <c r="C1236" s="23">
        <v>46139.0</v>
      </c>
      <c r="D1236" s="11"/>
      <c r="E1236" s="11"/>
      <c r="F1236" s="11" t="s">
        <v>681</v>
      </c>
      <c r="G1236" s="11" t="s">
        <v>376</v>
      </c>
      <c r="H1236" s="11">
        <v>1.0</v>
      </c>
      <c r="I1236" s="20">
        <v>3728.0</v>
      </c>
      <c r="J1236" s="20">
        <v>3728.0</v>
      </c>
      <c r="BO1236" s="20">
        <v>3728.0</v>
      </c>
      <c r="BP1236" s="11"/>
      <c r="BQ1236" s="11" t="b">
        <v>1</v>
      </c>
      <c r="BR1236" s="20">
        <v>3728.0</v>
      </c>
      <c r="BS1236" s="11"/>
      <c r="BT1236" s="11"/>
      <c r="BU1236" s="11" t="s">
        <v>187</v>
      </c>
      <c r="BV1236" s="11" t="s">
        <v>685</v>
      </c>
      <c r="BW1236" s="11"/>
      <c r="BX1236" s="11"/>
      <c r="BY1236" s="11"/>
    </row>
    <row r="1237">
      <c r="A1237" s="11">
        <v>1935.0</v>
      </c>
      <c r="B1237" s="11" t="s">
        <v>78</v>
      </c>
      <c r="C1237" s="23">
        <v>46139.0</v>
      </c>
      <c r="D1237" s="11"/>
      <c r="E1237" s="11"/>
      <c r="F1237" s="11" t="s">
        <v>687</v>
      </c>
      <c r="G1237" s="11" t="s">
        <v>376</v>
      </c>
      <c r="H1237" s="11">
        <v>1.0</v>
      </c>
      <c r="I1237" s="20">
        <v>312.0</v>
      </c>
      <c r="J1237" s="20">
        <v>312.0</v>
      </c>
      <c r="BO1237" s="20">
        <v>312.0</v>
      </c>
      <c r="BP1237" s="11"/>
      <c r="BQ1237" s="11" t="b">
        <v>1</v>
      </c>
      <c r="BR1237" s="20">
        <v>312.0</v>
      </c>
      <c r="BS1237" s="11"/>
      <c r="BT1237" s="11"/>
      <c r="BU1237" s="11" t="s">
        <v>187</v>
      </c>
      <c r="BV1237" s="11" t="s">
        <v>3675</v>
      </c>
      <c r="BW1237" s="11"/>
      <c r="BX1237" s="11"/>
      <c r="BY1237" s="11"/>
    </row>
    <row r="1238">
      <c r="A1238" s="11">
        <v>1936.0</v>
      </c>
      <c r="B1238" s="11" t="s">
        <v>78</v>
      </c>
      <c r="C1238" s="23">
        <v>46139.0</v>
      </c>
      <c r="D1238" s="11"/>
      <c r="E1238" s="11"/>
      <c r="F1238" s="11" t="s">
        <v>687</v>
      </c>
      <c r="G1238" s="11" t="s">
        <v>376</v>
      </c>
      <c r="H1238" s="11">
        <v>1.0</v>
      </c>
      <c r="I1238" s="20">
        <v>312.0</v>
      </c>
      <c r="J1238" s="20">
        <v>312.0</v>
      </c>
      <c r="BO1238" s="20">
        <v>312.0</v>
      </c>
      <c r="BP1238" s="11"/>
      <c r="BQ1238" s="11" t="b">
        <v>1</v>
      </c>
      <c r="BR1238" s="20">
        <v>312.0</v>
      </c>
      <c r="BS1238" s="11"/>
      <c r="BT1238" s="11"/>
      <c r="BU1238" s="11" t="s">
        <v>187</v>
      </c>
      <c r="BV1238" s="11" t="s">
        <v>704</v>
      </c>
      <c r="BW1238" s="11"/>
      <c r="BX1238" s="11"/>
      <c r="BY1238" s="11"/>
    </row>
    <row r="1239">
      <c r="A1239" s="11">
        <v>1937.0</v>
      </c>
      <c r="B1239" s="11" t="s">
        <v>78</v>
      </c>
      <c r="C1239" s="23">
        <v>46139.0</v>
      </c>
      <c r="D1239" s="11" t="s">
        <v>415</v>
      </c>
      <c r="E1239" s="11"/>
      <c r="F1239" s="11" t="s">
        <v>1015</v>
      </c>
      <c r="G1239" s="11" t="s">
        <v>1017</v>
      </c>
      <c r="H1239" s="11">
        <v>1.0</v>
      </c>
      <c r="I1239" s="20">
        <v>22.0</v>
      </c>
      <c r="J1239" s="20">
        <v>22.0</v>
      </c>
      <c r="BO1239" s="20">
        <v>22.0</v>
      </c>
      <c r="BP1239" s="11"/>
      <c r="BQ1239" s="11" t="b">
        <v>1</v>
      </c>
      <c r="BR1239" s="20">
        <v>22.0</v>
      </c>
      <c r="BS1239" s="11"/>
      <c r="BT1239" s="11"/>
      <c r="BU1239" s="11" t="s">
        <v>187</v>
      </c>
      <c r="BV1239" s="11"/>
      <c r="BW1239" s="11"/>
      <c r="BX1239" s="11"/>
      <c r="BY1239" s="11"/>
    </row>
    <row r="1240">
      <c r="A1240" s="11">
        <v>1938.0</v>
      </c>
      <c r="B1240" s="11" t="s">
        <v>78</v>
      </c>
      <c r="C1240" s="23">
        <v>46139.0</v>
      </c>
      <c r="D1240" s="11" t="s">
        <v>415</v>
      </c>
      <c r="E1240" s="11"/>
      <c r="F1240" s="11" t="s">
        <v>1022</v>
      </c>
      <c r="G1240" s="11" t="s">
        <v>1023</v>
      </c>
      <c r="H1240" s="11">
        <v>1.0</v>
      </c>
      <c r="I1240" s="20">
        <v>10.0</v>
      </c>
      <c r="J1240" s="20">
        <v>10.0</v>
      </c>
      <c r="BO1240" s="20">
        <v>10.0</v>
      </c>
      <c r="BP1240" s="11"/>
      <c r="BQ1240" s="11" t="b">
        <v>1</v>
      </c>
      <c r="BR1240" s="20">
        <v>10.0</v>
      </c>
      <c r="BS1240" s="11"/>
      <c r="BT1240" s="11"/>
      <c r="BU1240" s="11" t="s">
        <v>187</v>
      </c>
      <c r="BV1240" s="11"/>
      <c r="BW1240" s="11"/>
      <c r="BX1240" s="11"/>
      <c r="BY1240" s="11"/>
    </row>
    <row r="1241">
      <c r="A1241" s="11">
        <v>1939.0</v>
      </c>
      <c r="B1241" s="11" t="s">
        <v>78</v>
      </c>
      <c r="C1241" s="23">
        <v>46139.0</v>
      </c>
      <c r="D1241" s="11" t="s">
        <v>629</v>
      </c>
      <c r="E1241" s="11"/>
      <c r="F1241" s="11" t="s">
        <v>633</v>
      </c>
      <c r="G1241" s="11" t="s">
        <v>1870</v>
      </c>
      <c r="H1241" s="11">
        <v>1.0</v>
      </c>
      <c r="I1241" s="20">
        <v>3081.01</v>
      </c>
      <c r="J1241" s="20">
        <v>3081.01</v>
      </c>
      <c r="BO1241" s="20">
        <v>3081.01</v>
      </c>
      <c r="BP1241" s="11"/>
      <c r="BQ1241" s="11" t="b">
        <v>1</v>
      </c>
      <c r="BR1241" s="20">
        <v>3081.01</v>
      </c>
      <c r="BS1241" s="11"/>
      <c r="BT1241" s="11"/>
      <c r="BU1241" s="11" t="s">
        <v>187</v>
      </c>
      <c r="BV1241" s="11"/>
      <c r="BW1241" s="11"/>
      <c r="BX1241" s="11"/>
      <c r="BY1241" s="11"/>
    </row>
    <row r="1242">
      <c r="A1242" s="11" t="s">
        <v>3116</v>
      </c>
      <c r="B1242" s="11" t="s">
        <v>78</v>
      </c>
      <c r="C1242" s="23">
        <v>46139.0</v>
      </c>
      <c r="D1242" s="11" t="s">
        <v>5487</v>
      </c>
      <c r="E1242" s="11"/>
      <c r="F1242" s="11" t="s">
        <v>7680</v>
      </c>
      <c r="G1242" s="11" t="s">
        <v>788</v>
      </c>
      <c r="H1242" s="11">
        <v>1.0</v>
      </c>
      <c r="I1242" s="20">
        <v>2247.18</v>
      </c>
      <c r="J1242" s="20">
        <v>2247.18</v>
      </c>
      <c r="BO1242" s="20">
        <v>2247.18</v>
      </c>
      <c r="BP1242" s="11"/>
      <c r="BQ1242" s="11" t="b">
        <v>1</v>
      </c>
      <c r="BR1242" s="20">
        <v>2247.18</v>
      </c>
      <c r="BS1242" s="11"/>
      <c r="BT1242" s="11"/>
      <c r="BU1242" s="11" t="s">
        <v>187</v>
      </c>
      <c r="BV1242" s="11"/>
      <c r="BW1242" s="11"/>
      <c r="BX1242" s="11"/>
      <c r="BY1242" s="11"/>
    </row>
    <row r="1243">
      <c r="A1243" s="11" t="s">
        <v>5142</v>
      </c>
      <c r="B1243" s="11" t="s">
        <v>78</v>
      </c>
      <c r="C1243" s="23">
        <v>46138.0</v>
      </c>
      <c r="D1243" s="11" t="s">
        <v>2549</v>
      </c>
      <c r="E1243" s="11" t="s">
        <v>7683</v>
      </c>
      <c r="F1243" s="11" t="s">
        <v>7685</v>
      </c>
      <c r="G1243" s="11"/>
      <c r="H1243" s="11"/>
      <c r="I1243" s="20"/>
      <c r="J1243" s="20"/>
      <c r="BO1243" s="20"/>
      <c r="BP1243" s="11" t="s">
        <v>7684</v>
      </c>
      <c r="BQ1243" s="11" t="b">
        <v>0</v>
      </c>
      <c r="BR1243" s="20"/>
      <c r="BS1243" s="19" t="s">
        <v>8083</v>
      </c>
      <c r="BT1243" s="11" t="b">
        <v>1</v>
      </c>
      <c r="BU1243" s="11" t="s">
        <v>2932</v>
      </c>
      <c r="BV1243" s="11"/>
      <c r="BW1243" s="11"/>
      <c r="BX1243" s="11"/>
      <c r="BY1243" s="11"/>
    </row>
    <row r="1244">
      <c r="A1244" s="11" t="s">
        <v>5048</v>
      </c>
      <c r="B1244" s="11" t="s">
        <v>78</v>
      </c>
      <c r="C1244" s="23">
        <v>46132.0</v>
      </c>
      <c r="D1244" s="11" t="s">
        <v>5487</v>
      </c>
      <c r="E1244" s="11" t="s">
        <v>7686</v>
      </c>
      <c r="F1244" s="11" t="s">
        <v>7688</v>
      </c>
      <c r="G1244" s="11"/>
      <c r="H1244" s="11"/>
      <c r="I1244" s="20"/>
      <c r="J1244" s="20"/>
      <c r="BO1244" s="20"/>
      <c r="BP1244" s="11" t="s">
        <v>7687</v>
      </c>
      <c r="BQ1244" s="11" t="b">
        <v>0</v>
      </c>
      <c r="BR1244" s="20"/>
      <c r="BS1244" s="11"/>
      <c r="BT1244" s="11" t="b">
        <v>0</v>
      </c>
      <c r="BU1244" s="11" t="s">
        <v>2932</v>
      </c>
      <c r="BV1244" s="11"/>
      <c r="BW1244" s="11"/>
      <c r="BX1244" s="11"/>
      <c r="BY1244" s="11"/>
    </row>
    <row r="1245">
      <c r="A1245" s="11" t="s">
        <v>5146</v>
      </c>
      <c r="B1245" s="11" t="s">
        <v>78</v>
      </c>
      <c r="C1245" s="23">
        <v>46140.0</v>
      </c>
      <c r="D1245" s="11" t="s">
        <v>3805</v>
      </c>
      <c r="E1245" s="11" t="s">
        <v>7691</v>
      </c>
      <c r="F1245" s="11" t="s">
        <v>7693</v>
      </c>
      <c r="G1245" s="11"/>
      <c r="H1245" s="11"/>
      <c r="I1245" s="20"/>
      <c r="J1245" s="20"/>
      <c r="BO1245" s="20"/>
      <c r="BP1245" s="11" t="s">
        <v>7692</v>
      </c>
      <c r="BQ1245" s="11" t="b">
        <v>0</v>
      </c>
      <c r="BR1245" s="20"/>
      <c r="BS1245" s="19" t="s">
        <v>8092</v>
      </c>
      <c r="BT1245" s="11" t="b">
        <v>1</v>
      </c>
      <c r="BU1245" s="11" t="s">
        <v>2932</v>
      </c>
      <c r="BV1245" s="11"/>
      <c r="BW1245" s="11"/>
      <c r="BX1245" s="11"/>
      <c r="BY1245" s="11"/>
    </row>
    <row r="1246">
      <c r="A1246" s="11" t="s">
        <v>5137</v>
      </c>
      <c r="B1246" s="11" t="s">
        <v>78</v>
      </c>
      <c r="C1246" s="23">
        <v>46137.0</v>
      </c>
      <c r="D1246" s="11" t="s">
        <v>7694</v>
      </c>
      <c r="E1246" s="11" t="s">
        <v>7695</v>
      </c>
      <c r="F1246" s="11" t="s">
        <v>7697</v>
      </c>
      <c r="G1246" s="11"/>
      <c r="H1246" s="11"/>
      <c r="I1246" s="20"/>
      <c r="J1246" s="20"/>
      <c r="BO1246" s="20"/>
      <c r="BP1246" s="11" t="s">
        <v>7696</v>
      </c>
      <c r="BQ1246" s="11" t="b">
        <v>0</v>
      </c>
      <c r="BR1246" s="20"/>
      <c r="BS1246" s="11"/>
      <c r="BT1246" s="11" t="b">
        <v>0</v>
      </c>
      <c r="BU1246" s="11" t="s">
        <v>2932</v>
      </c>
      <c r="BV1246" s="11"/>
      <c r="BW1246" s="11"/>
      <c r="BX1246" s="11"/>
      <c r="BY1246" s="11"/>
    </row>
    <row r="1247">
      <c r="A1247" s="11">
        <v>1940.0</v>
      </c>
      <c r="B1247" s="11" t="s">
        <v>78</v>
      </c>
      <c r="C1247" s="23">
        <v>46142.0</v>
      </c>
      <c r="D1247" s="11"/>
      <c r="E1247" s="11"/>
      <c r="F1247" s="11" t="s">
        <v>2638</v>
      </c>
      <c r="G1247" s="11" t="s">
        <v>376</v>
      </c>
      <c r="H1247" s="11">
        <v>1.0</v>
      </c>
      <c r="I1247" s="20">
        <v>3197.99</v>
      </c>
      <c r="J1247" s="20">
        <v>3197.99</v>
      </c>
      <c r="BO1247" s="20">
        <v>3197.99</v>
      </c>
      <c r="BP1247" s="11"/>
      <c r="BQ1247" s="11" t="b">
        <v>1</v>
      </c>
      <c r="BR1247" s="20">
        <v>3197.99</v>
      </c>
      <c r="BS1247" s="11"/>
      <c r="BT1247" s="11"/>
      <c r="BU1247" s="11" t="s">
        <v>187</v>
      </c>
      <c r="BV1247" s="11" t="s">
        <v>225</v>
      </c>
      <c r="BW1247" s="11"/>
      <c r="BX1247" s="11"/>
      <c r="BY1247" s="11"/>
    </row>
    <row r="1248">
      <c r="A1248" s="11">
        <v>1941.0</v>
      </c>
      <c r="B1248" s="11" t="s">
        <v>78</v>
      </c>
      <c r="C1248" s="23">
        <v>46142.0</v>
      </c>
      <c r="D1248" s="11"/>
      <c r="E1248" s="11"/>
      <c r="F1248" s="11" t="s">
        <v>2638</v>
      </c>
      <c r="G1248" s="11" t="s">
        <v>376</v>
      </c>
      <c r="H1248" s="11">
        <v>1.0</v>
      </c>
      <c r="I1248" s="20">
        <v>1060.93</v>
      </c>
      <c r="J1248" s="20">
        <v>1060.93</v>
      </c>
      <c r="BO1248" s="20">
        <v>1060.93</v>
      </c>
      <c r="BP1248" s="11"/>
      <c r="BQ1248" s="11" t="b">
        <v>1</v>
      </c>
      <c r="BR1248" s="20">
        <v>1060.93</v>
      </c>
      <c r="BS1248" s="11"/>
      <c r="BT1248" s="11"/>
      <c r="BU1248" s="11" t="s">
        <v>187</v>
      </c>
      <c r="BV1248" s="11" t="s">
        <v>113</v>
      </c>
      <c r="BW1248" s="11"/>
      <c r="BX1248" s="11"/>
      <c r="BY1248" s="11"/>
    </row>
    <row r="1249">
      <c r="A1249" s="11">
        <v>1942.0</v>
      </c>
      <c r="B1249" s="11" t="s">
        <v>78</v>
      </c>
      <c r="C1249" s="23">
        <v>46142.0</v>
      </c>
      <c r="D1249" s="11"/>
      <c r="E1249" s="11"/>
      <c r="F1249" s="11" t="s">
        <v>2638</v>
      </c>
      <c r="G1249" s="11" t="s">
        <v>376</v>
      </c>
      <c r="H1249" s="11">
        <v>1.0</v>
      </c>
      <c r="I1249" s="20">
        <v>2005.88</v>
      </c>
      <c r="J1249" s="20">
        <v>2005.88</v>
      </c>
      <c r="BO1249" s="20">
        <v>2005.88</v>
      </c>
      <c r="BP1249" s="11"/>
      <c r="BQ1249" s="11" t="b">
        <v>1</v>
      </c>
      <c r="BR1249" s="20">
        <v>2005.88</v>
      </c>
      <c r="BS1249" s="11"/>
      <c r="BT1249" s="11"/>
      <c r="BU1249" s="11" t="s">
        <v>187</v>
      </c>
      <c r="BV1249" s="11" t="s">
        <v>126</v>
      </c>
      <c r="BW1249" s="11"/>
      <c r="BX1249" s="11"/>
      <c r="BY1249" s="11"/>
    </row>
    <row r="1250">
      <c r="A1250" s="11">
        <v>1943.0</v>
      </c>
      <c r="B1250" s="11" t="s">
        <v>78</v>
      </c>
      <c r="C1250" s="23">
        <v>46142.0</v>
      </c>
      <c r="D1250" s="11"/>
      <c r="E1250" s="11"/>
      <c r="F1250" s="11" t="s">
        <v>2638</v>
      </c>
      <c r="G1250" s="11" t="s">
        <v>376</v>
      </c>
      <c r="H1250" s="11">
        <v>1.0</v>
      </c>
      <c r="I1250" s="20">
        <v>0.0</v>
      </c>
      <c r="J1250" s="20">
        <v>0.0</v>
      </c>
      <c r="BO1250" s="20">
        <v>0.0</v>
      </c>
      <c r="BP1250" s="11"/>
      <c r="BQ1250" s="11" t="b">
        <v>1</v>
      </c>
      <c r="BR1250" s="20">
        <v>0.0</v>
      </c>
      <c r="BS1250" s="11"/>
      <c r="BT1250" s="11"/>
      <c r="BU1250" s="11" t="s">
        <v>187</v>
      </c>
      <c r="BV1250" s="11" t="s">
        <v>3739</v>
      </c>
      <c r="BW1250" s="11"/>
      <c r="BX1250" s="11"/>
      <c r="BY1250" s="11"/>
    </row>
    <row r="1251">
      <c r="A1251" s="11">
        <v>1944.0</v>
      </c>
      <c r="B1251" s="11" t="s">
        <v>78</v>
      </c>
      <c r="C1251" s="23">
        <v>46142.0</v>
      </c>
      <c r="D1251" s="11"/>
      <c r="E1251" s="11"/>
      <c r="F1251" s="11" t="s">
        <v>2638</v>
      </c>
      <c r="G1251" s="11" t="s">
        <v>376</v>
      </c>
      <c r="H1251" s="11">
        <v>1.0</v>
      </c>
      <c r="I1251" s="20">
        <v>2077.71</v>
      </c>
      <c r="J1251" s="20">
        <v>2077.71</v>
      </c>
      <c r="BO1251" s="20">
        <v>2077.71</v>
      </c>
      <c r="BP1251" s="11"/>
      <c r="BQ1251" s="11" t="b">
        <v>1</v>
      </c>
      <c r="BR1251" s="20">
        <v>2077.71</v>
      </c>
      <c r="BS1251" s="11"/>
      <c r="BT1251" s="11"/>
      <c r="BU1251" s="11" t="s">
        <v>187</v>
      </c>
      <c r="BV1251" s="11" t="s">
        <v>145</v>
      </c>
      <c r="BW1251" s="11"/>
      <c r="BX1251" s="11"/>
      <c r="BY1251" s="11"/>
    </row>
    <row r="1252">
      <c r="A1252" s="11" t="s">
        <v>5151</v>
      </c>
      <c r="B1252" s="11" t="s">
        <v>78</v>
      </c>
      <c r="C1252" s="23">
        <v>46142.0</v>
      </c>
      <c r="D1252" s="11" t="s">
        <v>992</v>
      </c>
      <c r="E1252" s="11" t="s">
        <v>7702</v>
      </c>
      <c r="F1252" s="11" t="s">
        <v>3641</v>
      </c>
      <c r="G1252" s="11"/>
      <c r="H1252" s="11"/>
      <c r="I1252" s="20"/>
      <c r="J1252" s="20"/>
      <c r="BO1252" s="20"/>
      <c r="BP1252" s="11" t="s">
        <v>7703</v>
      </c>
      <c r="BQ1252" s="11" t="b">
        <v>0</v>
      </c>
      <c r="BR1252" s="20"/>
      <c r="BS1252" s="19" t="s">
        <v>8115</v>
      </c>
      <c r="BT1252" s="11" t="b">
        <v>1</v>
      </c>
      <c r="BU1252" s="11" t="s">
        <v>2932</v>
      </c>
      <c r="BV1252" s="11"/>
      <c r="BW1252" s="11"/>
      <c r="BX1252" s="11"/>
      <c r="BY1252" s="11"/>
    </row>
    <row r="1253">
      <c r="A1253" s="11" t="s">
        <v>5160</v>
      </c>
      <c r="B1253" s="11" t="s">
        <v>78</v>
      </c>
      <c r="C1253" s="23">
        <v>46143.0</v>
      </c>
      <c r="D1253" s="11" t="s">
        <v>85</v>
      </c>
      <c r="E1253" s="11" t="s">
        <v>7707</v>
      </c>
      <c r="F1253" s="11" t="s">
        <v>7709</v>
      </c>
      <c r="G1253" s="11"/>
      <c r="H1253" s="11"/>
      <c r="I1253" s="20"/>
      <c r="J1253" s="20"/>
      <c r="BO1253" s="20"/>
      <c r="BP1253" s="11" t="s">
        <v>7708</v>
      </c>
      <c r="BQ1253" s="11" t="b">
        <v>0</v>
      </c>
      <c r="BR1253" s="20"/>
      <c r="BS1253" s="19" t="s">
        <v>8121</v>
      </c>
      <c r="BT1253" s="11" t="b">
        <v>1</v>
      </c>
      <c r="BU1253" s="11" t="s">
        <v>2932</v>
      </c>
      <c r="BV1253" s="11"/>
      <c r="BW1253" s="11"/>
      <c r="BX1253" s="11"/>
      <c r="BY1253" s="11"/>
    </row>
    <row r="1254">
      <c r="A1254" s="11" t="s">
        <v>5171</v>
      </c>
      <c r="B1254" s="11" t="s">
        <v>78</v>
      </c>
      <c r="C1254" s="23">
        <v>46144.0</v>
      </c>
      <c r="D1254" s="11" t="s">
        <v>85</v>
      </c>
      <c r="E1254" s="11" t="s">
        <v>7710</v>
      </c>
      <c r="F1254" s="11" t="s">
        <v>7712</v>
      </c>
      <c r="G1254" s="11"/>
      <c r="H1254" s="11"/>
      <c r="I1254" s="20"/>
      <c r="J1254" s="20"/>
      <c r="BO1254" s="20"/>
      <c r="BP1254" s="11" t="s">
        <v>7711</v>
      </c>
      <c r="BQ1254" s="11" t="b">
        <v>0</v>
      </c>
      <c r="BR1254" s="20"/>
      <c r="BS1254" s="19" t="s">
        <v>8126</v>
      </c>
      <c r="BT1254" s="11" t="b">
        <v>1</v>
      </c>
      <c r="BU1254" s="11" t="s">
        <v>5814</v>
      </c>
      <c r="BV1254" s="11"/>
      <c r="BW1254" s="11"/>
      <c r="BX1254" s="11"/>
      <c r="BY1254" s="11"/>
    </row>
    <row r="1255">
      <c r="A1255" s="11" t="s">
        <v>5164</v>
      </c>
      <c r="B1255" s="11" t="s">
        <v>78</v>
      </c>
      <c r="C1255" s="23">
        <v>46143.0</v>
      </c>
      <c r="D1255" s="11" t="s">
        <v>85</v>
      </c>
      <c r="E1255" s="11" t="s">
        <v>7714</v>
      </c>
      <c r="F1255" s="11" t="s">
        <v>7716</v>
      </c>
      <c r="G1255" s="11"/>
      <c r="H1255" s="11"/>
      <c r="I1255" s="20"/>
      <c r="J1255" s="20"/>
      <c r="BO1255" s="20"/>
      <c r="BP1255" s="11" t="s">
        <v>7715</v>
      </c>
      <c r="BQ1255" s="11" t="b">
        <v>0</v>
      </c>
      <c r="BR1255" s="20"/>
      <c r="BS1255" s="19" t="s">
        <v>8131</v>
      </c>
      <c r="BT1255" s="11" t="b">
        <v>1</v>
      </c>
      <c r="BU1255" s="11" t="s">
        <v>2932</v>
      </c>
      <c r="BV1255" s="11"/>
      <c r="BW1255" s="11"/>
      <c r="BX1255" s="11"/>
      <c r="BY1255" s="11"/>
    </row>
    <row r="1256">
      <c r="A1256" s="11" t="s">
        <v>5179</v>
      </c>
      <c r="B1256" s="11" t="s">
        <v>78</v>
      </c>
      <c r="C1256" s="23">
        <v>46145.0</v>
      </c>
      <c r="D1256" s="11" t="s">
        <v>2549</v>
      </c>
      <c r="E1256" s="11" t="s">
        <v>7722</v>
      </c>
      <c r="F1256" s="11" t="s">
        <v>7724</v>
      </c>
      <c r="G1256" s="11"/>
      <c r="H1256" s="11"/>
      <c r="I1256" s="20"/>
      <c r="J1256" s="20"/>
      <c r="BO1256" s="20"/>
      <c r="BP1256" s="11" t="s">
        <v>7723</v>
      </c>
      <c r="BQ1256" s="11" t="b">
        <v>0</v>
      </c>
      <c r="BR1256" s="20"/>
      <c r="BS1256" s="19" t="s">
        <v>8138</v>
      </c>
      <c r="BT1256" s="11" t="b">
        <v>1</v>
      </c>
      <c r="BU1256" s="11" t="s">
        <v>2932</v>
      </c>
      <c r="BV1256" s="11"/>
      <c r="BW1256" s="11"/>
      <c r="BX1256" s="11"/>
      <c r="BY1256" s="11"/>
    </row>
    <row r="1257">
      <c r="A1257" s="11" t="s">
        <v>5184</v>
      </c>
      <c r="B1257" s="11" t="s">
        <v>78</v>
      </c>
      <c r="C1257" s="23">
        <v>46146.0</v>
      </c>
      <c r="D1257" s="11" t="s">
        <v>7726</v>
      </c>
      <c r="E1257" s="11" t="s">
        <v>7727</v>
      </c>
      <c r="F1257" s="11" t="s">
        <v>7729</v>
      </c>
      <c r="G1257" s="11"/>
      <c r="H1257" s="11"/>
      <c r="I1257" s="20"/>
      <c r="J1257" s="20"/>
      <c r="BO1257" s="20"/>
      <c r="BP1257" s="11" t="s">
        <v>7728</v>
      </c>
      <c r="BQ1257" s="11" t="b">
        <v>0</v>
      </c>
      <c r="BR1257" s="20"/>
      <c r="BS1257" s="19" t="s">
        <v>8145</v>
      </c>
      <c r="BT1257" s="11" t="b">
        <v>1</v>
      </c>
      <c r="BU1257" s="11" t="s">
        <v>2932</v>
      </c>
      <c r="BV1257" s="11"/>
      <c r="BW1257" s="11"/>
      <c r="BX1257" s="11"/>
      <c r="BY1257" s="11"/>
    </row>
    <row r="1258">
      <c r="A1258" s="11" t="s">
        <v>3139</v>
      </c>
      <c r="B1258" s="11" t="s">
        <v>78</v>
      </c>
      <c r="C1258" s="23">
        <v>46146.0</v>
      </c>
      <c r="D1258" s="11" t="s">
        <v>237</v>
      </c>
      <c r="E1258" s="11"/>
      <c r="F1258" s="11" t="s">
        <v>7730</v>
      </c>
      <c r="G1258" s="11" t="s">
        <v>1958</v>
      </c>
      <c r="H1258" s="11">
        <v>1.0</v>
      </c>
      <c r="I1258" s="20">
        <v>1.75</v>
      </c>
      <c r="J1258" s="20">
        <v>1.75</v>
      </c>
      <c r="BO1258" s="20">
        <v>1.75</v>
      </c>
      <c r="BP1258" s="11"/>
      <c r="BQ1258" s="11" t="b">
        <v>1</v>
      </c>
      <c r="BR1258" s="20">
        <v>1.75</v>
      </c>
      <c r="BS1258" s="11"/>
      <c r="BT1258" s="11"/>
      <c r="BU1258" s="11" t="s">
        <v>187</v>
      </c>
      <c r="BV1258" s="11"/>
      <c r="BW1258" s="11"/>
      <c r="BX1258" s="11"/>
      <c r="BY1258" s="11"/>
    </row>
    <row r="1259">
      <c r="A1259" s="11" t="s">
        <v>3143</v>
      </c>
      <c r="B1259" s="11" t="s">
        <v>78</v>
      </c>
      <c r="C1259" s="23">
        <v>46146.0</v>
      </c>
      <c r="D1259" s="11" t="s">
        <v>237</v>
      </c>
      <c r="E1259" s="11"/>
      <c r="F1259" s="11" t="s">
        <v>7733</v>
      </c>
      <c r="G1259" s="11" t="s">
        <v>2040</v>
      </c>
      <c r="H1259" s="11">
        <v>1.0</v>
      </c>
      <c r="I1259" s="20">
        <v>30.0</v>
      </c>
      <c r="J1259" s="20">
        <v>30.0</v>
      </c>
      <c r="BO1259" s="20">
        <v>30.0</v>
      </c>
      <c r="BP1259" s="11"/>
      <c r="BQ1259" s="11" t="b">
        <v>1</v>
      </c>
      <c r="BR1259" s="20">
        <v>30.0</v>
      </c>
      <c r="BS1259" s="11"/>
      <c r="BT1259" s="11"/>
      <c r="BU1259" s="11" t="s">
        <v>187</v>
      </c>
      <c r="BV1259" s="11"/>
      <c r="BW1259" s="11"/>
      <c r="BX1259" s="11"/>
      <c r="BY1259" s="11"/>
    </row>
    <row r="1260">
      <c r="A1260" s="11" t="s">
        <v>3146</v>
      </c>
      <c r="B1260" s="11" t="s">
        <v>78</v>
      </c>
      <c r="C1260" s="23">
        <v>46146.0</v>
      </c>
      <c r="D1260" s="11" t="s">
        <v>237</v>
      </c>
      <c r="E1260" s="11"/>
      <c r="F1260" s="11" t="s">
        <v>7734</v>
      </c>
      <c r="G1260" s="11" t="s">
        <v>2040</v>
      </c>
      <c r="H1260" s="11">
        <v>1.0</v>
      </c>
      <c r="I1260" s="20">
        <v>1167.0</v>
      </c>
      <c r="J1260" s="20">
        <v>1167.0</v>
      </c>
      <c r="BO1260" s="20">
        <v>1167.0</v>
      </c>
      <c r="BP1260" s="11"/>
      <c r="BQ1260" s="11" t="b">
        <v>1</v>
      </c>
      <c r="BR1260" s="20">
        <v>1167.0</v>
      </c>
      <c r="BS1260" s="11"/>
      <c r="BT1260" s="11"/>
      <c r="BU1260" s="11" t="s">
        <v>187</v>
      </c>
      <c r="BV1260" s="11"/>
      <c r="BW1260" s="11"/>
      <c r="BX1260" s="11"/>
      <c r="BY1260" s="11"/>
    </row>
    <row r="1261">
      <c r="A1261" s="11" t="s">
        <v>3149</v>
      </c>
      <c r="B1261" s="11" t="s">
        <v>78</v>
      </c>
      <c r="C1261" s="23">
        <v>46146.0</v>
      </c>
      <c r="D1261" s="11" t="s">
        <v>237</v>
      </c>
      <c r="E1261" s="11"/>
      <c r="F1261" s="11" t="s">
        <v>7737</v>
      </c>
      <c r="G1261" s="11" t="s">
        <v>1958</v>
      </c>
      <c r="H1261" s="11">
        <v>1.0</v>
      </c>
      <c r="I1261" s="20">
        <v>487.32</v>
      </c>
      <c r="J1261" s="20">
        <v>487.32</v>
      </c>
      <c r="BO1261" s="20">
        <v>487.32</v>
      </c>
      <c r="BP1261" s="11"/>
      <c r="BQ1261" s="11" t="b">
        <v>1</v>
      </c>
      <c r="BR1261" s="20">
        <v>487.32</v>
      </c>
      <c r="BS1261" s="11"/>
      <c r="BT1261" s="11"/>
      <c r="BU1261" s="11" t="s">
        <v>187</v>
      </c>
      <c r="BV1261" s="11"/>
      <c r="BW1261" s="11"/>
      <c r="BX1261" s="11"/>
      <c r="BY1261" s="11"/>
    </row>
    <row r="1262">
      <c r="A1262" s="11">
        <v>1954.0</v>
      </c>
      <c r="B1262" s="11" t="s">
        <v>78</v>
      </c>
      <c r="C1262" s="23">
        <v>46146.0</v>
      </c>
      <c r="D1262" s="11" t="s">
        <v>176</v>
      </c>
      <c r="E1262" s="11"/>
      <c r="F1262" s="11" t="s">
        <v>1440</v>
      </c>
      <c r="G1262" s="11" t="s">
        <v>179</v>
      </c>
      <c r="H1262" s="11">
        <v>1.0</v>
      </c>
      <c r="I1262" s="20">
        <v>533.95</v>
      </c>
      <c r="J1262" s="20">
        <v>533.95</v>
      </c>
      <c r="BO1262" s="20">
        <v>533.95</v>
      </c>
      <c r="BP1262" s="11"/>
      <c r="BQ1262" s="11" t="b">
        <v>1</v>
      </c>
      <c r="BR1262" s="20">
        <v>533.95</v>
      </c>
      <c r="BS1262" s="11"/>
      <c r="BT1262" s="11"/>
      <c r="BU1262" s="11" t="s">
        <v>187</v>
      </c>
      <c r="BV1262" s="11"/>
      <c r="BW1262" s="11"/>
      <c r="BX1262" s="11"/>
      <c r="BY1262" s="11"/>
    </row>
    <row r="1263">
      <c r="A1263" s="11">
        <v>1955.0</v>
      </c>
      <c r="B1263" s="11" t="s">
        <v>78</v>
      </c>
      <c r="C1263" s="23">
        <v>46146.0</v>
      </c>
      <c r="D1263" s="11">
        <v>3.6037127E7</v>
      </c>
      <c r="E1263" s="11"/>
      <c r="F1263" s="11" t="s">
        <v>2162</v>
      </c>
      <c r="G1263" s="11" t="s">
        <v>1726</v>
      </c>
      <c r="H1263" s="11">
        <v>1.0</v>
      </c>
      <c r="I1263" s="20">
        <v>120.0</v>
      </c>
      <c r="J1263" s="20">
        <v>120.0</v>
      </c>
      <c r="BO1263" s="20">
        <v>120.0</v>
      </c>
      <c r="BP1263" s="11"/>
      <c r="BQ1263" s="11" t="b">
        <v>1</v>
      </c>
      <c r="BR1263" s="20">
        <v>120.0</v>
      </c>
      <c r="BS1263" s="11"/>
      <c r="BT1263" s="11"/>
      <c r="BU1263" s="11" t="s">
        <v>187</v>
      </c>
      <c r="BV1263" s="11"/>
      <c r="BW1263" s="11"/>
      <c r="BX1263" s="11"/>
      <c r="BY1263" s="11"/>
    </row>
    <row r="1264">
      <c r="A1264" s="11">
        <v>1956.0</v>
      </c>
      <c r="B1264" s="11" t="s">
        <v>78</v>
      </c>
      <c r="C1264" s="23">
        <v>46146.0</v>
      </c>
      <c r="D1264" s="11" t="s">
        <v>2509</v>
      </c>
      <c r="E1264" s="11"/>
      <c r="F1264" s="11" t="s">
        <v>2638</v>
      </c>
      <c r="G1264" s="11" t="s">
        <v>1898</v>
      </c>
      <c r="H1264" s="11">
        <v>1.0</v>
      </c>
      <c r="I1264" s="20">
        <v>221.75</v>
      </c>
      <c r="J1264" s="20">
        <v>221.75</v>
      </c>
      <c r="BO1264" s="20">
        <v>221.75</v>
      </c>
      <c r="BP1264" s="11"/>
      <c r="BQ1264" s="11" t="b">
        <v>1</v>
      </c>
      <c r="BR1264" s="20">
        <v>221.75</v>
      </c>
      <c r="BS1264" s="11"/>
      <c r="BT1264" s="11"/>
      <c r="BU1264" s="11" t="s">
        <v>187</v>
      </c>
      <c r="BV1264" s="11"/>
      <c r="BW1264" s="11"/>
      <c r="BX1264" s="11"/>
      <c r="BY1264" s="11"/>
    </row>
    <row r="1265">
      <c r="A1265" s="11">
        <v>1959.0</v>
      </c>
      <c r="B1265" s="11" t="s">
        <v>78</v>
      </c>
      <c r="C1265" s="23">
        <v>46146.0</v>
      </c>
      <c r="D1265" s="11" t="s">
        <v>5965</v>
      </c>
      <c r="E1265" s="11"/>
      <c r="F1265" s="11" t="s">
        <v>7740</v>
      </c>
      <c r="G1265" s="11" t="s">
        <v>2099</v>
      </c>
      <c r="H1265" s="11">
        <v>1.0</v>
      </c>
      <c r="I1265" s="20">
        <v>1886.71</v>
      </c>
      <c r="J1265" s="20">
        <v>1886.71</v>
      </c>
      <c r="BO1265" s="20">
        <v>1886.71</v>
      </c>
      <c r="BP1265" s="11"/>
      <c r="BQ1265" s="11" t="b">
        <v>1</v>
      </c>
      <c r="BR1265" s="20">
        <v>1886.71</v>
      </c>
      <c r="BS1265" s="11"/>
      <c r="BT1265" s="11"/>
      <c r="BU1265" s="11" t="s">
        <v>187</v>
      </c>
      <c r="BV1265" s="11"/>
      <c r="BW1265" s="11"/>
      <c r="BX1265" s="11"/>
      <c r="BY1265" s="11"/>
    </row>
    <row r="1266">
      <c r="A1266" s="11" t="s">
        <v>5188</v>
      </c>
      <c r="B1266" s="11" t="s">
        <v>78</v>
      </c>
      <c r="C1266" s="23">
        <v>46147.0</v>
      </c>
      <c r="D1266" s="11" t="s">
        <v>1251</v>
      </c>
      <c r="E1266" s="11" t="s">
        <v>7742</v>
      </c>
      <c r="F1266" s="11" t="s">
        <v>2825</v>
      </c>
      <c r="G1266" s="11"/>
      <c r="H1266" s="11"/>
      <c r="I1266" s="20"/>
      <c r="J1266" s="20"/>
      <c r="BO1266" s="20"/>
      <c r="BP1266" s="11" t="s">
        <v>7743</v>
      </c>
      <c r="BQ1266" s="11" t="b">
        <v>0</v>
      </c>
      <c r="BR1266" s="20"/>
      <c r="BS1266" s="19" t="s">
        <v>8161</v>
      </c>
      <c r="BT1266" s="11" t="b">
        <v>1</v>
      </c>
      <c r="BU1266" s="11" t="s">
        <v>2932</v>
      </c>
      <c r="BV1266" s="11"/>
      <c r="BW1266" s="11"/>
      <c r="BX1266" s="11"/>
      <c r="BY1266" s="11"/>
    </row>
    <row r="1267">
      <c r="A1267" s="11" t="s">
        <v>5154</v>
      </c>
      <c r="B1267" s="11" t="s">
        <v>78</v>
      </c>
      <c r="C1267" s="23">
        <v>46142.0</v>
      </c>
      <c r="D1267" s="11" t="s">
        <v>7746</v>
      </c>
      <c r="E1267" s="11" t="s">
        <v>7747</v>
      </c>
      <c r="F1267" s="11" t="s">
        <v>7749</v>
      </c>
      <c r="G1267" s="11"/>
      <c r="H1267" s="11"/>
      <c r="I1267" s="20"/>
      <c r="J1267" s="20"/>
      <c r="BO1267" s="20"/>
      <c r="BP1267" s="11" t="s">
        <v>7748</v>
      </c>
      <c r="BQ1267" s="11" t="b">
        <v>0</v>
      </c>
      <c r="BR1267" s="20"/>
      <c r="BS1267" s="19" t="s">
        <v>8162</v>
      </c>
      <c r="BT1267" s="11" t="b">
        <v>1</v>
      </c>
      <c r="BU1267" s="11" t="s">
        <v>2932</v>
      </c>
      <c r="BV1267" s="11"/>
      <c r="BW1267" s="11"/>
      <c r="BX1267" s="11"/>
      <c r="BY1267" s="11"/>
    </row>
    <row r="1268">
      <c r="A1268" s="11" t="s">
        <v>5193</v>
      </c>
      <c r="B1268" s="11" t="s">
        <v>78</v>
      </c>
      <c r="C1268" s="23">
        <v>46147.0</v>
      </c>
      <c r="D1268" s="11" t="s">
        <v>237</v>
      </c>
      <c r="E1268" s="11" t="s">
        <v>7750</v>
      </c>
      <c r="F1268" s="11" t="s">
        <v>7752</v>
      </c>
      <c r="G1268" s="11"/>
      <c r="H1268" s="11"/>
      <c r="I1268" s="20"/>
      <c r="J1268" s="20"/>
      <c r="BO1268" s="20"/>
      <c r="BP1268" s="11" t="s">
        <v>7751</v>
      </c>
      <c r="BQ1268" s="11" t="b">
        <v>0</v>
      </c>
      <c r="BR1268" s="20"/>
      <c r="BS1268" s="11"/>
      <c r="BT1268" s="11" t="b">
        <v>0</v>
      </c>
      <c r="BU1268" s="11" t="s">
        <v>2932</v>
      </c>
      <c r="BV1268" s="11"/>
      <c r="BW1268" s="11"/>
      <c r="BX1268" s="11"/>
      <c r="BY1268" s="11"/>
    </row>
    <row r="1269">
      <c r="A1269" s="11" t="s">
        <v>5201</v>
      </c>
      <c r="B1269" s="11" t="s">
        <v>78</v>
      </c>
      <c r="C1269" s="23">
        <v>46147.0</v>
      </c>
      <c r="D1269" s="11" t="s">
        <v>237</v>
      </c>
      <c r="E1269" s="11" t="s">
        <v>7755</v>
      </c>
      <c r="F1269" s="11" t="s">
        <v>7757</v>
      </c>
      <c r="G1269" s="11"/>
      <c r="H1269" s="11"/>
      <c r="I1269" s="20"/>
      <c r="J1269" s="20"/>
      <c r="BO1269" s="20"/>
      <c r="BP1269" s="11" t="s">
        <v>7756</v>
      </c>
      <c r="BQ1269" s="11" t="b">
        <v>0</v>
      </c>
      <c r="BR1269" s="20"/>
      <c r="BS1269" s="11"/>
      <c r="BT1269" s="11" t="b">
        <v>0</v>
      </c>
      <c r="BU1269" s="11" t="s">
        <v>2932</v>
      </c>
      <c r="BV1269" s="11"/>
      <c r="BW1269" s="11"/>
      <c r="BX1269" s="11"/>
      <c r="BY1269" s="11"/>
    </row>
    <row r="1270">
      <c r="A1270" s="11" t="s">
        <v>5213</v>
      </c>
      <c r="B1270" s="11" t="s">
        <v>78</v>
      </c>
      <c r="C1270" s="23">
        <v>46147.0</v>
      </c>
      <c r="D1270" s="11" t="s">
        <v>237</v>
      </c>
      <c r="E1270" s="11" t="s">
        <v>7759</v>
      </c>
      <c r="F1270" s="11" t="s">
        <v>7761</v>
      </c>
      <c r="G1270" s="11"/>
      <c r="H1270" s="11"/>
      <c r="I1270" s="20"/>
      <c r="J1270" s="20"/>
      <c r="BO1270" s="20"/>
      <c r="BP1270" s="11" t="s">
        <v>7760</v>
      </c>
      <c r="BQ1270" s="11" t="b">
        <v>0</v>
      </c>
      <c r="BR1270" s="20"/>
      <c r="BS1270" s="11"/>
      <c r="BT1270" s="11" t="b">
        <v>0</v>
      </c>
      <c r="BU1270" s="11" t="s">
        <v>2932</v>
      </c>
      <c r="BV1270" s="11"/>
      <c r="BW1270" s="11" t="s">
        <v>7762</v>
      </c>
      <c r="BX1270" s="11"/>
      <c r="BY1270" s="11"/>
    </row>
    <row r="1271">
      <c r="A1271" s="11" t="s">
        <v>3164</v>
      </c>
      <c r="B1271" s="11" t="s">
        <v>78</v>
      </c>
      <c r="C1271" s="23">
        <v>46149.0</v>
      </c>
      <c r="D1271" s="11" t="s">
        <v>7763</v>
      </c>
      <c r="E1271" s="11"/>
      <c r="F1271" s="11" t="s">
        <v>7764</v>
      </c>
      <c r="G1271" s="11" t="s">
        <v>3166</v>
      </c>
      <c r="H1271" s="11">
        <v>1.0</v>
      </c>
      <c r="I1271" s="20">
        <v>1249.8</v>
      </c>
      <c r="J1271" s="20">
        <v>1249.8</v>
      </c>
      <c r="BO1271" s="20">
        <v>1249.8</v>
      </c>
      <c r="BP1271" s="11"/>
      <c r="BQ1271" s="11" t="b">
        <v>1</v>
      </c>
      <c r="BR1271" s="20">
        <v>1249.8</v>
      </c>
      <c r="BS1271" s="11"/>
      <c r="BT1271" s="11"/>
      <c r="BU1271" s="11" t="s">
        <v>235</v>
      </c>
      <c r="BV1271" s="11"/>
      <c r="BW1271" s="11"/>
      <c r="BX1271" s="11"/>
      <c r="BY1271" s="11"/>
    </row>
    <row r="1272">
      <c r="A1272" s="11" t="s">
        <v>5241</v>
      </c>
      <c r="B1272" s="11" t="s">
        <v>78</v>
      </c>
      <c r="C1272" s="23">
        <v>46153.0</v>
      </c>
      <c r="D1272" s="11" t="s">
        <v>104</v>
      </c>
      <c r="E1272" s="11" t="s">
        <v>7767</v>
      </c>
      <c r="F1272" s="11" t="s">
        <v>7769</v>
      </c>
      <c r="G1272" s="11"/>
      <c r="H1272" s="11"/>
      <c r="I1272" s="20"/>
      <c r="J1272" s="20"/>
      <c r="BO1272" s="20"/>
      <c r="BP1272" s="11" t="s">
        <v>7768</v>
      </c>
      <c r="BQ1272" s="11" t="b">
        <v>0</v>
      </c>
      <c r="BR1272" s="20"/>
      <c r="BS1272" s="19" t="s">
        <v>8173</v>
      </c>
      <c r="BT1272" s="11" t="b">
        <v>1</v>
      </c>
      <c r="BU1272" s="11" t="s">
        <v>2932</v>
      </c>
      <c r="BV1272" s="11"/>
      <c r="BW1272" s="11"/>
      <c r="BX1272" s="11"/>
      <c r="BY1272" s="11"/>
    </row>
    <row r="1273">
      <c r="A1273" s="11" t="s">
        <v>5122</v>
      </c>
      <c r="B1273" s="11" t="s">
        <v>78</v>
      </c>
      <c r="C1273" s="23">
        <v>46135.0</v>
      </c>
      <c r="D1273" s="19" t="s">
        <v>6565</v>
      </c>
      <c r="E1273" s="11" t="s">
        <v>7771</v>
      </c>
      <c r="F1273" s="11" t="s">
        <v>7773</v>
      </c>
      <c r="G1273" s="11"/>
      <c r="H1273" s="11"/>
      <c r="I1273" s="20"/>
      <c r="J1273" s="20"/>
      <c r="BO1273" s="20"/>
      <c r="BP1273" s="11" t="s">
        <v>7772</v>
      </c>
      <c r="BQ1273" s="11" t="b">
        <v>0</v>
      </c>
      <c r="BR1273" s="20"/>
      <c r="BS1273" s="19" t="s">
        <v>8177</v>
      </c>
      <c r="BT1273" s="11" t="b">
        <v>1</v>
      </c>
      <c r="BU1273" s="11" t="s">
        <v>2932</v>
      </c>
      <c r="BV1273" s="11"/>
      <c r="BW1273" s="11"/>
      <c r="BX1273" s="11"/>
      <c r="BY1273" s="11"/>
    </row>
    <row r="1274">
      <c r="A1274" s="11" t="s">
        <v>5233</v>
      </c>
      <c r="B1274" s="11" t="s">
        <v>78</v>
      </c>
      <c r="C1274" s="23">
        <v>46152.0</v>
      </c>
      <c r="D1274" s="11" t="s">
        <v>6191</v>
      </c>
      <c r="E1274" s="11" t="s">
        <v>7774</v>
      </c>
      <c r="F1274" s="11" t="s">
        <v>7776</v>
      </c>
      <c r="G1274" s="11"/>
      <c r="H1274" s="11"/>
      <c r="I1274" s="20"/>
      <c r="J1274" s="20"/>
      <c r="BO1274" s="20"/>
      <c r="BP1274" s="11" t="s">
        <v>7775</v>
      </c>
      <c r="BQ1274" s="11" t="b">
        <v>0</v>
      </c>
      <c r="BR1274" s="20"/>
      <c r="BS1274" s="19" t="s">
        <v>8182</v>
      </c>
      <c r="BT1274" s="11" t="b">
        <v>1</v>
      </c>
      <c r="BU1274" s="11" t="s">
        <v>2932</v>
      </c>
      <c r="BV1274" s="11"/>
      <c r="BW1274" s="11"/>
      <c r="BX1274" s="11"/>
      <c r="BY1274" s="11"/>
    </row>
    <row r="1275">
      <c r="A1275" s="11" t="s">
        <v>5237</v>
      </c>
      <c r="B1275" s="11" t="s">
        <v>78</v>
      </c>
      <c r="C1275" s="23">
        <v>46152.0</v>
      </c>
      <c r="D1275" s="11" t="s">
        <v>2549</v>
      </c>
      <c r="E1275" s="11" t="s">
        <v>7778</v>
      </c>
      <c r="F1275" s="11" t="s">
        <v>7780</v>
      </c>
      <c r="G1275" s="11"/>
      <c r="H1275" s="11"/>
      <c r="I1275" s="20"/>
      <c r="J1275" s="20"/>
      <c r="BO1275" s="20"/>
      <c r="BP1275" s="11" t="s">
        <v>7779</v>
      </c>
      <c r="BQ1275" s="11" t="b">
        <v>0</v>
      </c>
      <c r="BR1275" s="20"/>
      <c r="BS1275" s="19" t="s">
        <v>8187</v>
      </c>
      <c r="BT1275" s="11" t="b">
        <v>1</v>
      </c>
      <c r="BU1275" s="11" t="s">
        <v>2932</v>
      </c>
      <c r="BV1275" s="11"/>
      <c r="BW1275" s="11"/>
      <c r="BX1275" s="11"/>
      <c r="BY1275" s="11"/>
    </row>
    <row r="1276">
      <c r="A1276" s="11" t="s">
        <v>5257</v>
      </c>
      <c r="B1276" s="11" t="s">
        <v>78</v>
      </c>
      <c r="C1276" s="23">
        <v>46153.0</v>
      </c>
      <c r="D1276" s="11" t="s">
        <v>992</v>
      </c>
      <c r="E1276" s="11" t="s">
        <v>7782</v>
      </c>
      <c r="F1276" s="11" t="s">
        <v>7200</v>
      </c>
      <c r="G1276" s="11"/>
      <c r="H1276" s="11"/>
      <c r="I1276" s="20"/>
      <c r="J1276" s="20"/>
      <c r="BO1276" s="20"/>
      <c r="BP1276" s="11" t="s">
        <v>7783</v>
      </c>
      <c r="BQ1276" s="11" t="b">
        <v>0</v>
      </c>
      <c r="BR1276" s="20"/>
      <c r="BS1276" s="19" t="s">
        <v>8193</v>
      </c>
      <c r="BT1276" s="11" t="b">
        <v>1</v>
      </c>
      <c r="BU1276" s="11" t="s">
        <v>2932</v>
      </c>
      <c r="BV1276" s="11"/>
      <c r="BW1276" s="11"/>
      <c r="BX1276" s="11"/>
      <c r="BY1276" s="11"/>
    </row>
    <row r="1277">
      <c r="A1277" s="11">
        <v>1957.0</v>
      </c>
      <c r="B1277" s="11" t="s">
        <v>78</v>
      </c>
      <c r="C1277" s="23">
        <v>46153.0</v>
      </c>
      <c r="D1277" s="11" t="s">
        <v>1676</v>
      </c>
      <c r="E1277" s="11"/>
      <c r="F1277" s="11" t="s">
        <v>2802</v>
      </c>
      <c r="G1277" s="11" t="s">
        <v>1902</v>
      </c>
      <c r="H1277" s="11">
        <v>1.0</v>
      </c>
      <c r="I1277" s="20">
        <v>967.67</v>
      </c>
      <c r="J1277" s="20">
        <v>967.67</v>
      </c>
      <c r="BO1277" s="20">
        <v>967.67</v>
      </c>
      <c r="BP1277" s="11"/>
      <c r="BQ1277" s="11" t="b">
        <v>1</v>
      </c>
      <c r="BR1277" s="20">
        <v>967.67</v>
      </c>
      <c r="BS1277" s="11"/>
      <c r="BT1277" s="11"/>
      <c r="BU1277" s="11" t="s">
        <v>187</v>
      </c>
      <c r="BV1277" s="11"/>
      <c r="BW1277" s="11"/>
      <c r="BX1277" s="11"/>
      <c r="BY1277" s="11"/>
    </row>
    <row r="1278">
      <c r="A1278" s="11">
        <v>1958.0</v>
      </c>
      <c r="B1278" s="11" t="s">
        <v>78</v>
      </c>
      <c r="C1278" s="23">
        <v>46153.0</v>
      </c>
      <c r="D1278" s="11" t="s">
        <v>2535</v>
      </c>
      <c r="E1278" s="11"/>
      <c r="F1278" s="11" t="s">
        <v>2638</v>
      </c>
      <c r="G1278" s="11" t="s">
        <v>1906</v>
      </c>
      <c r="H1278" s="11">
        <v>1.0</v>
      </c>
      <c r="I1278" s="20">
        <v>65.69</v>
      </c>
      <c r="J1278" s="20">
        <v>65.69</v>
      </c>
      <c r="BO1278" s="20">
        <v>65.69</v>
      </c>
      <c r="BP1278" s="11"/>
      <c r="BQ1278" s="11" t="b">
        <v>1</v>
      </c>
      <c r="BR1278" s="20">
        <v>65.69</v>
      </c>
      <c r="BS1278" s="11"/>
      <c r="BT1278" s="11"/>
      <c r="BU1278" s="11" t="s">
        <v>187</v>
      </c>
      <c r="BV1278" s="11"/>
      <c r="BW1278" s="11"/>
      <c r="BX1278" s="11"/>
      <c r="BY1278" s="11"/>
    </row>
    <row r="1279">
      <c r="A1279" s="11">
        <v>1960.0</v>
      </c>
      <c r="B1279" s="11" t="s">
        <v>78</v>
      </c>
      <c r="C1279" s="23">
        <v>46153.0</v>
      </c>
      <c r="D1279" s="11" t="s">
        <v>547</v>
      </c>
      <c r="E1279" s="11"/>
      <c r="F1279" s="11" t="s">
        <v>973</v>
      </c>
      <c r="G1279" s="11" t="s">
        <v>975</v>
      </c>
      <c r="H1279" s="11">
        <v>1.0</v>
      </c>
      <c r="I1279" s="20">
        <v>1098.0</v>
      </c>
      <c r="J1279" s="20">
        <v>1098.0</v>
      </c>
      <c r="BO1279" s="20">
        <v>1098.0</v>
      </c>
      <c r="BP1279" s="11"/>
      <c r="BQ1279" s="11" t="b">
        <v>1</v>
      </c>
      <c r="BR1279" s="20">
        <v>1098.0</v>
      </c>
      <c r="BS1279" s="11"/>
      <c r="BT1279" s="11"/>
      <c r="BU1279" s="11" t="s">
        <v>187</v>
      </c>
      <c r="BV1279" s="11"/>
      <c r="BW1279" s="11"/>
      <c r="BX1279" s="11"/>
      <c r="BY1279" s="11"/>
    </row>
    <row r="1280">
      <c r="A1280" s="11">
        <v>1961.0</v>
      </c>
      <c r="B1280" s="11" t="s">
        <v>78</v>
      </c>
      <c r="C1280" s="23">
        <v>46153.0</v>
      </c>
      <c r="D1280" s="11" t="s">
        <v>547</v>
      </c>
      <c r="E1280" s="11"/>
      <c r="F1280" s="11" t="s">
        <v>964</v>
      </c>
      <c r="G1280" s="11" t="s">
        <v>648</v>
      </c>
      <c r="H1280" s="11">
        <v>1.0</v>
      </c>
      <c r="I1280" s="20">
        <v>1033.0</v>
      </c>
      <c r="J1280" s="20">
        <v>1033.0</v>
      </c>
      <c r="BO1280" s="20">
        <v>1033.0</v>
      </c>
      <c r="BP1280" s="11"/>
      <c r="BQ1280" s="11" t="b">
        <v>1</v>
      </c>
      <c r="BR1280" s="20">
        <v>1033.0</v>
      </c>
      <c r="BS1280" s="11"/>
      <c r="BT1280" s="11"/>
      <c r="BU1280" s="11" t="s">
        <v>187</v>
      </c>
      <c r="BV1280" s="11"/>
      <c r="BW1280" s="11"/>
      <c r="BX1280" s="11"/>
      <c r="BY1280" s="11"/>
    </row>
    <row r="1281">
      <c r="A1281" s="11">
        <v>1962.0</v>
      </c>
      <c r="B1281" s="11" t="s">
        <v>78</v>
      </c>
      <c r="C1281" s="23">
        <v>46153.0</v>
      </c>
      <c r="D1281" s="11" t="s">
        <v>547</v>
      </c>
      <c r="E1281" s="11"/>
      <c r="F1281" s="11" t="s">
        <v>955</v>
      </c>
      <c r="G1281" s="11" t="s">
        <v>957</v>
      </c>
      <c r="H1281" s="11">
        <v>1.0</v>
      </c>
      <c r="I1281" s="20">
        <v>396.0</v>
      </c>
      <c r="J1281" s="20">
        <v>396.0</v>
      </c>
      <c r="BO1281" s="20">
        <v>396.0</v>
      </c>
      <c r="BP1281" s="11"/>
      <c r="BQ1281" s="11" t="b">
        <v>1</v>
      </c>
      <c r="BR1281" s="20">
        <v>396.0</v>
      </c>
      <c r="BS1281" s="11"/>
      <c r="BT1281" s="11"/>
      <c r="BU1281" s="11" t="s">
        <v>187</v>
      </c>
      <c r="BV1281" s="11"/>
      <c r="BW1281" s="11"/>
      <c r="BX1281" s="11"/>
      <c r="BY1281" s="11"/>
    </row>
    <row r="1282">
      <c r="A1282" s="11">
        <v>1963.0</v>
      </c>
      <c r="B1282" s="11" t="s">
        <v>78</v>
      </c>
      <c r="C1282" s="23">
        <v>46153.0</v>
      </c>
      <c r="D1282" s="11" t="s">
        <v>192</v>
      </c>
      <c r="E1282" s="11"/>
      <c r="F1282" s="11" t="s">
        <v>195</v>
      </c>
      <c r="G1282" s="11" t="s">
        <v>196</v>
      </c>
      <c r="H1282" s="11">
        <v>1.0</v>
      </c>
      <c r="I1282" s="20">
        <v>2500.0</v>
      </c>
      <c r="J1282" s="20">
        <v>2500.0</v>
      </c>
      <c r="BO1282" s="20">
        <v>2500.0</v>
      </c>
      <c r="BP1282" s="11"/>
      <c r="BQ1282" s="11" t="b">
        <v>1</v>
      </c>
      <c r="BR1282" s="20">
        <v>2500.0</v>
      </c>
      <c r="BS1282" s="11"/>
      <c r="BT1282" s="11"/>
      <c r="BU1282" s="11" t="s">
        <v>187</v>
      </c>
      <c r="BV1282" s="11"/>
      <c r="BW1282" s="11"/>
      <c r="BX1282" s="11"/>
      <c r="BY1282" s="11"/>
    </row>
    <row r="1283">
      <c r="A1283" s="11">
        <v>1964.0</v>
      </c>
      <c r="B1283" s="11" t="s">
        <v>78</v>
      </c>
      <c r="C1283" s="23">
        <v>46153.0</v>
      </c>
      <c r="D1283" s="11" t="s">
        <v>1217</v>
      </c>
      <c r="E1283" s="11"/>
      <c r="F1283" s="11" t="s">
        <v>7554</v>
      </c>
      <c r="G1283" s="11" t="s">
        <v>502</v>
      </c>
      <c r="H1283" s="11">
        <v>1.0</v>
      </c>
      <c r="I1283" s="20">
        <v>131.9</v>
      </c>
      <c r="J1283" s="20">
        <v>131.9</v>
      </c>
      <c r="BO1283" s="20">
        <v>131.9</v>
      </c>
      <c r="BP1283" s="11"/>
      <c r="BQ1283" s="11" t="b">
        <v>1</v>
      </c>
      <c r="BR1283" s="20">
        <v>131.9</v>
      </c>
      <c r="BS1283" s="11"/>
      <c r="BT1283" s="11"/>
      <c r="BU1283" s="11" t="s">
        <v>187</v>
      </c>
      <c r="BV1283" s="11"/>
      <c r="BW1283" s="11"/>
      <c r="BX1283" s="11"/>
      <c r="BY1283" s="11"/>
    </row>
    <row r="1284">
      <c r="A1284" s="11">
        <v>1965.0</v>
      </c>
      <c r="B1284" s="11" t="s">
        <v>78</v>
      </c>
      <c r="C1284" s="23">
        <v>46153.0</v>
      </c>
      <c r="D1284" s="11" t="s">
        <v>415</v>
      </c>
      <c r="E1284" s="11"/>
      <c r="F1284" s="11" t="s">
        <v>7789</v>
      </c>
      <c r="G1284" s="11" t="s">
        <v>761</v>
      </c>
      <c r="H1284" s="11">
        <v>1.0</v>
      </c>
      <c r="I1284" s="20">
        <v>121.9</v>
      </c>
      <c r="J1284" s="20">
        <v>121.9</v>
      </c>
      <c r="BO1284" s="20">
        <v>121.9</v>
      </c>
      <c r="BP1284" s="11"/>
      <c r="BQ1284" s="11" t="b">
        <v>1</v>
      </c>
      <c r="BR1284" s="20">
        <v>121.9</v>
      </c>
      <c r="BS1284" s="11"/>
      <c r="BT1284" s="11"/>
      <c r="BU1284" s="11" t="s">
        <v>187</v>
      </c>
      <c r="BV1284" s="11"/>
      <c r="BW1284" s="11"/>
      <c r="BX1284" s="11"/>
      <c r="BY1284" s="11"/>
    </row>
    <row r="1285">
      <c r="A1285" s="11" t="s">
        <v>3188</v>
      </c>
      <c r="B1285" s="11" t="s">
        <v>78</v>
      </c>
      <c r="C1285" s="23">
        <v>46155.0</v>
      </c>
      <c r="D1285" s="11"/>
      <c r="E1285" s="11"/>
      <c r="F1285" s="11" t="s">
        <v>7792</v>
      </c>
      <c r="G1285" s="11" t="s">
        <v>376</v>
      </c>
      <c r="H1285" s="11">
        <v>1.0</v>
      </c>
      <c r="I1285" s="20">
        <v>3904.33</v>
      </c>
      <c r="J1285" s="20">
        <v>3904.33</v>
      </c>
      <c r="BO1285" s="20">
        <v>3904.33</v>
      </c>
      <c r="BP1285" s="11"/>
      <c r="BQ1285" s="11" t="b">
        <v>1</v>
      </c>
      <c r="BR1285" s="20">
        <v>3904.33</v>
      </c>
      <c r="BS1285" s="11"/>
      <c r="BT1285" s="11"/>
      <c r="BU1285" s="11" t="s">
        <v>187</v>
      </c>
      <c r="BV1285" s="11" t="s">
        <v>225</v>
      </c>
      <c r="BW1285" s="11"/>
      <c r="BX1285" s="11"/>
      <c r="BY1285" s="11"/>
    </row>
    <row r="1286">
      <c r="A1286" s="11" t="s">
        <v>3195</v>
      </c>
      <c r="B1286" s="11" t="s">
        <v>78</v>
      </c>
      <c r="C1286" s="23">
        <v>46155.0</v>
      </c>
      <c r="D1286" s="11"/>
      <c r="E1286" s="11"/>
      <c r="F1286" s="11" t="s">
        <v>7793</v>
      </c>
      <c r="G1286" s="11" t="s">
        <v>350</v>
      </c>
      <c r="H1286" s="11">
        <v>1.0</v>
      </c>
      <c r="I1286" s="20">
        <v>500.0</v>
      </c>
      <c r="J1286" s="20">
        <v>500.0</v>
      </c>
      <c r="BO1286" s="20">
        <v>500.0</v>
      </c>
      <c r="BP1286" s="11"/>
      <c r="BQ1286" s="11" t="b">
        <v>1</v>
      </c>
      <c r="BR1286" s="20">
        <v>500.0</v>
      </c>
      <c r="BS1286" s="11"/>
      <c r="BT1286" s="11"/>
      <c r="BU1286" s="11" t="s">
        <v>187</v>
      </c>
      <c r="BV1286" s="11" t="s">
        <v>126</v>
      </c>
      <c r="BW1286" s="11"/>
      <c r="BX1286" s="11"/>
      <c r="BY1286" s="11"/>
    </row>
    <row r="1287">
      <c r="A1287" s="11" t="s">
        <v>5224</v>
      </c>
      <c r="B1287" s="11" t="s">
        <v>78</v>
      </c>
      <c r="C1287" s="23">
        <v>46149.0</v>
      </c>
      <c r="D1287" s="11" t="s">
        <v>237</v>
      </c>
      <c r="E1287" s="11" t="s">
        <v>7795</v>
      </c>
      <c r="F1287" s="11" t="s">
        <v>7798</v>
      </c>
      <c r="G1287" s="11"/>
      <c r="H1287" s="11"/>
      <c r="I1287" s="20"/>
      <c r="J1287" s="20"/>
      <c r="BO1287" s="20"/>
      <c r="BP1287" s="11" t="s">
        <v>7797</v>
      </c>
      <c r="BQ1287" s="11" t="b">
        <v>0</v>
      </c>
      <c r="BR1287" s="20"/>
      <c r="BS1287" s="11"/>
      <c r="BT1287" s="11" t="b">
        <v>0</v>
      </c>
      <c r="BU1287" s="11" t="s">
        <v>2932</v>
      </c>
      <c r="BV1287" s="11"/>
      <c r="BW1287" s="11"/>
      <c r="BX1287" s="11"/>
      <c r="BY1287" s="11"/>
    </row>
    <row r="1288">
      <c r="A1288" s="11" t="s">
        <v>5261</v>
      </c>
      <c r="B1288" s="11" t="s">
        <v>78</v>
      </c>
      <c r="C1288" s="23">
        <v>46157.0</v>
      </c>
      <c r="D1288" s="11" t="s">
        <v>992</v>
      </c>
      <c r="E1288" s="11" t="s">
        <v>7800</v>
      </c>
      <c r="F1288" s="11" t="s">
        <v>7802</v>
      </c>
      <c r="G1288" s="11"/>
      <c r="H1288" s="11"/>
      <c r="I1288" s="20"/>
      <c r="J1288" s="20"/>
      <c r="BO1288" s="20"/>
      <c r="BP1288" s="11" t="s">
        <v>7801</v>
      </c>
      <c r="BQ1288" s="11" t="b">
        <v>0</v>
      </c>
      <c r="BR1288" s="20"/>
      <c r="BS1288" s="19" t="s">
        <v>8221</v>
      </c>
      <c r="BT1288" s="11" t="b">
        <v>1</v>
      </c>
      <c r="BU1288" s="11" t="s">
        <v>2932</v>
      </c>
      <c r="BV1288" s="11"/>
      <c r="BW1288" s="11"/>
      <c r="BX1288" s="11"/>
      <c r="BY1288" s="11"/>
    </row>
    <row r="1289">
      <c r="A1289" s="11" t="s">
        <v>5436</v>
      </c>
      <c r="B1289" s="11" t="s">
        <v>78</v>
      </c>
      <c r="C1289" s="23">
        <v>46158.0</v>
      </c>
      <c r="D1289" s="11" t="s">
        <v>7583</v>
      </c>
      <c r="E1289" s="11" t="s">
        <v>7804</v>
      </c>
      <c r="F1289" s="11" t="s">
        <v>7806</v>
      </c>
      <c r="G1289" s="11"/>
      <c r="H1289" s="11"/>
      <c r="I1289" s="20"/>
      <c r="J1289" s="20"/>
      <c r="BO1289" s="20"/>
      <c r="BP1289" s="11" t="s">
        <v>7805</v>
      </c>
      <c r="BQ1289" s="11" t="b">
        <v>0</v>
      </c>
      <c r="BR1289" s="20"/>
      <c r="BS1289" s="19" t="s">
        <v>8222</v>
      </c>
      <c r="BT1289" s="11" t="b">
        <v>1</v>
      </c>
      <c r="BU1289" s="11" t="s">
        <v>2932</v>
      </c>
      <c r="BV1289" s="11"/>
      <c r="BW1289" s="11"/>
      <c r="BX1289" s="11"/>
      <c r="BY1289" s="11"/>
    </row>
    <row r="1290">
      <c r="A1290" s="11" t="s">
        <v>5266</v>
      </c>
      <c r="B1290" s="11" t="s">
        <v>78</v>
      </c>
      <c r="C1290" s="23">
        <v>46158.0</v>
      </c>
      <c r="D1290" s="11" t="s">
        <v>1251</v>
      </c>
      <c r="E1290" s="11" t="s">
        <v>7807</v>
      </c>
      <c r="F1290" s="11" t="s">
        <v>7809</v>
      </c>
      <c r="G1290" s="11"/>
      <c r="H1290" s="11"/>
      <c r="I1290" s="20"/>
      <c r="J1290" s="20"/>
      <c r="BO1290" s="20"/>
      <c r="BP1290" s="11" t="s">
        <v>7808</v>
      </c>
      <c r="BQ1290" s="11" t="b">
        <v>0</v>
      </c>
      <c r="BR1290" s="20"/>
      <c r="BS1290" s="19" t="s">
        <v>8227</v>
      </c>
      <c r="BT1290" s="11" t="b">
        <v>1</v>
      </c>
      <c r="BU1290" s="11" t="s">
        <v>2932</v>
      </c>
      <c r="BV1290" s="11"/>
      <c r="BW1290" s="11"/>
      <c r="BX1290" s="11"/>
      <c r="BY1290" s="11"/>
    </row>
    <row r="1291">
      <c r="A1291" s="11" t="s">
        <v>3200</v>
      </c>
      <c r="B1291" s="11" t="s">
        <v>78</v>
      </c>
      <c r="C1291" s="23">
        <v>46160.0</v>
      </c>
      <c r="D1291" s="11" t="s">
        <v>237</v>
      </c>
      <c r="E1291" s="11"/>
      <c r="F1291" s="11" t="s">
        <v>7810</v>
      </c>
      <c r="G1291" s="11" t="s">
        <v>2040</v>
      </c>
      <c r="H1291" s="11">
        <v>1.0</v>
      </c>
      <c r="I1291" s="20">
        <v>1843.2</v>
      </c>
      <c r="J1291" s="20">
        <v>1843.2</v>
      </c>
      <c r="BO1291" s="20">
        <v>1843.2</v>
      </c>
      <c r="BP1291" s="11"/>
      <c r="BQ1291" s="11" t="b">
        <v>1</v>
      </c>
      <c r="BR1291" s="20">
        <v>1843.2</v>
      </c>
      <c r="BS1291" s="11"/>
      <c r="BT1291" s="11"/>
      <c r="BU1291" s="11" t="s">
        <v>187</v>
      </c>
      <c r="BV1291" s="11"/>
      <c r="BW1291" s="11"/>
      <c r="BX1291" s="11"/>
      <c r="BY1291" s="11"/>
    </row>
    <row r="1292">
      <c r="A1292" s="11" t="s">
        <v>3204</v>
      </c>
      <c r="B1292" s="11" t="s">
        <v>78</v>
      </c>
      <c r="C1292" s="23">
        <v>46160.0</v>
      </c>
      <c r="D1292" s="11" t="s">
        <v>237</v>
      </c>
      <c r="E1292" s="11"/>
      <c r="F1292" s="11" t="s">
        <v>7811</v>
      </c>
      <c r="G1292" s="11" t="s">
        <v>2040</v>
      </c>
      <c r="H1292" s="11">
        <v>1.0</v>
      </c>
      <c r="I1292" s="20">
        <v>82.73</v>
      </c>
      <c r="J1292" s="20">
        <v>82.73</v>
      </c>
      <c r="BO1292" s="20">
        <v>82.73</v>
      </c>
      <c r="BP1292" s="11"/>
      <c r="BQ1292" s="11" t="b">
        <v>1</v>
      </c>
      <c r="BR1292" s="20">
        <v>82.73</v>
      </c>
      <c r="BS1292" s="11"/>
      <c r="BT1292" s="11"/>
      <c r="BU1292" s="11" t="s">
        <v>187</v>
      </c>
      <c r="BV1292" s="11"/>
      <c r="BW1292" s="11"/>
      <c r="BX1292" s="11"/>
      <c r="BY1292" s="11"/>
    </row>
    <row r="1293">
      <c r="A1293" s="11">
        <v>1973.0</v>
      </c>
      <c r="B1293" s="11" t="s">
        <v>78</v>
      </c>
      <c r="C1293" s="23">
        <v>46160.0</v>
      </c>
      <c r="D1293" s="11" t="s">
        <v>1046</v>
      </c>
      <c r="E1293" s="11"/>
      <c r="F1293" s="11" t="s">
        <v>1557</v>
      </c>
      <c r="G1293" s="11" t="s">
        <v>1049</v>
      </c>
      <c r="H1293" s="11">
        <v>1.0</v>
      </c>
      <c r="I1293" s="20">
        <v>5606.9</v>
      </c>
      <c r="J1293" s="20">
        <v>5606.9</v>
      </c>
      <c r="BO1293" s="20">
        <v>5606.9</v>
      </c>
      <c r="BP1293" s="11"/>
      <c r="BQ1293" s="11" t="b">
        <v>1</v>
      </c>
      <c r="BR1293" s="20">
        <v>5606.9</v>
      </c>
      <c r="BS1293" s="11"/>
      <c r="BT1293" s="11"/>
      <c r="BU1293" s="11" t="s">
        <v>187</v>
      </c>
      <c r="BV1293" s="11"/>
      <c r="BW1293" s="11"/>
      <c r="BX1293" s="11"/>
      <c r="BY1293" s="11"/>
    </row>
    <row r="1294">
      <c r="A1294" s="11">
        <v>1974.0</v>
      </c>
      <c r="B1294" s="11" t="s">
        <v>78</v>
      </c>
      <c r="C1294" s="23">
        <v>46160.0</v>
      </c>
      <c r="D1294" s="11" t="s">
        <v>1046</v>
      </c>
      <c r="E1294" s="11"/>
      <c r="F1294" s="11" t="s">
        <v>2638</v>
      </c>
      <c r="G1294" s="11" t="s">
        <v>1944</v>
      </c>
      <c r="H1294" s="11">
        <v>1.0</v>
      </c>
      <c r="I1294" s="20">
        <v>1513.25</v>
      </c>
      <c r="J1294" s="20">
        <v>1513.25</v>
      </c>
      <c r="BO1294" s="20">
        <v>1513.25</v>
      </c>
      <c r="BP1294" s="11"/>
      <c r="BQ1294" s="11" t="b">
        <v>1</v>
      </c>
      <c r="BR1294" s="20">
        <v>1513.25</v>
      </c>
      <c r="BS1294" s="11"/>
      <c r="BT1294" s="11"/>
      <c r="BU1294" s="11" t="s">
        <v>187</v>
      </c>
      <c r="BV1294" s="11"/>
      <c r="BW1294" s="11"/>
      <c r="BX1294" s="11"/>
      <c r="BY1294" s="11"/>
    </row>
    <row r="1295">
      <c r="A1295" s="11" t="s">
        <v>3215</v>
      </c>
      <c r="B1295" s="11" t="s">
        <v>78</v>
      </c>
      <c r="C1295" s="23">
        <v>46160.0</v>
      </c>
      <c r="D1295" s="11" t="s">
        <v>237</v>
      </c>
      <c r="E1295" s="11"/>
      <c r="F1295" s="11" t="s">
        <v>7813</v>
      </c>
      <c r="G1295" s="11" t="s">
        <v>1958</v>
      </c>
      <c r="H1295" s="11">
        <v>1.0</v>
      </c>
      <c r="I1295" s="20">
        <v>662.2</v>
      </c>
      <c r="J1295" s="20">
        <v>662.2</v>
      </c>
      <c r="BO1295" s="20">
        <v>662.2</v>
      </c>
      <c r="BP1295" s="11"/>
      <c r="BQ1295" s="11" t="b">
        <v>1</v>
      </c>
      <c r="BR1295" s="20">
        <v>662.2</v>
      </c>
      <c r="BS1295" s="11"/>
      <c r="BT1295" s="11"/>
      <c r="BU1295" s="11" t="s">
        <v>187</v>
      </c>
      <c r="BV1295" s="11"/>
      <c r="BW1295" s="11"/>
      <c r="BX1295" s="11"/>
      <c r="BY1295" s="11"/>
    </row>
    <row r="1296">
      <c r="A1296" s="11" t="s">
        <v>3220</v>
      </c>
      <c r="B1296" s="11" t="s">
        <v>78</v>
      </c>
      <c r="C1296" s="23">
        <v>46160.0</v>
      </c>
      <c r="D1296" s="11" t="s">
        <v>237</v>
      </c>
      <c r="E1296" s="11"/>
      <c r="F1296" s="11" t="s">
        <v>7814</v>
      </c>
      <c r="G1296" s="11" t="s">
        <v>788</v>
      </c>
      <c r="H1296" s="11">
        <v>1.0</v>
      </c>
      <c r="I1296" s="20">
        <v>56.0</v>
      </c>
      <c r="J1296" s="20">
        <v>56.0</v>
      </c>
      <c r="BO1296" s="20">
        <v>56.0</v>
      </c>
      <c r="BP1296" s="11"/>
      <c r="BQ1296" s="11" t="b">
        <v>1</v>
      </c>
      <c r="BR1296" s="20">
        <v>56.0</v>
      </c>
      <c r="BS1296" s="11"/>
      <c r="BT1296" s="11"/>
      <c r="BU1296" s="11" t="s">
        <v>187</v>
      </c>
      <c r="BV1296" s="11"/>
      <c r="BW1296" s="11"/>
      <c r="BX1296" s="11"/>
      <c r="BY1296" s="11"/>
    </row>
    <row r="1297">
      <c r="A1297" s="11">
        <v>1966.0</v>
      </c>
      <c r="B1297" s="11" t="s">
        <v>78</v>
      </c>
      <c r="C1297" s="23">
        <v>46161.0</v>
      </c>
      <c r="D1297" s="11" t="s">
        <v>1046</v>
      </c>
      <c r="E1297" s="11"/>
      <c r="F1297" s="11" t="s">
        <v>7815</v>
      </c>
      <c r="G1297" s="11" t="s">
        <v>1936</v>
      </c>
      <c r="H1297" s="11">
        <v>1.0</v>
      </c>
      <c r="I1297" s="20">
        <v>0.0</v>
      </c>
      <c r="J1297" s="20">
        <v>0.0</v>
      </c>
      <c r="BO1297" s="20">
        <v>0.0</v>
      </c>
      <c r="BP1297" s="11"/>
      <c r="BQ1297" s="11" t="b">
        <v>1</v>
      </c>
      <c r="BR1297" s="20">
        <v>0.0</v>
      </c>
      <c r="BS1297" s="11"/>
      <c r="BT1297" s="11"/>
      <c r="BU1297" s="11" t="s">
        <v>187</v>
      </c>
      <c r="BV1297" s="11"/>
      <c r="BW1297" s="11"/>
      <c r="BX1297" s="11"/>
      <c r="BY1297" s="11"/>
    </row>
    <row r="1298">
      <c r="A1298" s="11" t="s">
        <v>3229</v>
      </c>
      <c r="B1298" s="11" t="s">
        <v>78</v>
      </c>
      <c r="C1298" s="23">
        <v>46161.0</v>
      </c>
      <c r="D1298" s="11" t="s">
        <v>1567</v>
      </c>
      <c r="E1298" s="11"/>
      <c r="F1298" s="11" t="s">
        <v>59</v>
      </c>
      <c r="G1298" s="11" t="s">
        <v>2106</v>
      </c>
      <c r="H1298" s="11">
        <v>1.0</v>
      </c>
      <c r="I1298" s="20">
        <v>540.71</v>
      </c>
      <c r="J1298" s="20">
        <v>540.71</v>
      </c>
      <c r="BO1298" s="20">
        <v>540.71</v>
      </c>
      <c r="BP1298" s="11"/>
      <c r="BQ1298" s="11" t="b">
        <v>1</v>
      </c>
      <c r="BR1298" s="20">
        <v>540.71</v>
      </c>
      <c r="BS1298" s="11"/>
      <c r="BT1298" s="11"/>
      <c r="BU1298" s="11" t="s">
        <v>187</v>
      </c>
      <c r="BV1298" s="11"/>
      <c r="BW1298" s="11"/>
      <c r="BX1298" s="11"/>
      <c r="BY1298" s="11"/>
    </row>
    <row r="1299">
      <c r="A1299" s="11" t="s">
        <v>5304</v>
      </c>
      <c r="B1299" s="11" t="s">
        <v>78</v>
      </c>
      <c r="C1299" s="23">
        <v>46163.0</v>
      </c>
      <c r="D1299" s="11" t="s">
        <v>104</v>
      </c>
      <c r="E1299" s="11" t="s">
        <v>7816</v>
      </c>
      <c r="F1299" s="11" t="s">
        <v>7819</v>
      </c>
      <c r="G1299" s="11"/>
      <c r="H1299" s="11"/>
      <c r="I1299" s="20"/>
      <c r="J1299" s="20"/>
      <c r="BO1299" s="20"/>
      <c r="BP1299" s="11" t="s">
        <v>7818</v>
      </c>
      <c r="BQ1299" s="11" t="b">
        <v>0</v>
      </c>
      <c r="BR1299" s="20"/>
      <c r="BS1299" s="19" t="s">
        <v>8266</v>
      </c>
      <c r="BT1299" s="11" t="b">
        <v>1</v>
      </c>
      <c r="BU1299" s="11" t="s">
        <v>2932</v>
      </c>
      <c r="BV1299" s="11"/>
      <c r="BW1299" s="11"/>
      <c r="BX1299" s="11"/>
      <c r="BY1299" s="11"/>
    </row>
    <row r="1300">
      <c r="A1300" s="11" t="s">
        <v>5274</v>
      </c>
      <c r="B1300" s="11" t="s">
        <v>78</v>
      </c>
      <c r="C1300" s="23">
        <v>46159.0</v>
      </c>
      <c r="D1300" s="11" t="s">
        <v>2549</v>
      </c>
      <c r="E1300" s="11" t="s">
        <v>7821</v>
      </c>
      <c r="F1300" s="11" t="s">
        <v>7823</v>
      </c>
      <c r="G1300" s="11"/>
      <c r="H1300" s="11"/>
      <c r="I1300" s="20"/>
      <c r="J1300" s="20"/>
      <c r="BO1300" s="20"/>
      <c r="BP1300" s="11" t="s">
        <v>7822</v>
      </c>
      <c r="BQ1300" s="11" t="b">
        <v>0</v>
      </c>
      <c r="BR1300" s="20"/>
      <c r="BS1300" s="19" t="s">
        <v>8267</v>
      </c>
      <c r="BT1300" s="11" t="b">
        <v>1</v>
      </c>
      <c r="BU1300" s="11" t="s">
        <v>2932</v>
      </c>
      <c r="BV1300" s="11"/>
      <c r="BW1300" s="11"/>
      <c r="BX1300" s="11"/>
      <c r="BY1300" s="11"/>
    </row>
    <row r="1301">
      <c r="A1301" s="11" t="s">
        <v>5280</v>
      </c>
      <c r="B1301" s="11" t="s">
        <v>78</v>
      </c>
      <c r="C1301" s="23">
        <v>46162.0</v>
      </c>
      <c r="D1301" s="11" t="s">
        <v>992</v>
      </c>
      <c r="E1301" s="11" t="s">
        <v>7824</v>
      </c>
      <c r="F1301" s="11" t="s">
        <v>7200</v>
      </c>
      <c r="G1301" s="11"/>
      <c r="H1301" s="11"/>
      <c r="I1301" s="20"/>
      <c r="J1301" s="20"/>
      <c r="BO1301" s="20"/>
      <c r="BP1301" s="11" t="s">
        <v>7825</v>
      </c>
      <c r="BQ1301" s="11" t="b">
        <v>0</v>
      </c>
      <c r="BR1301" s="20"/>
      <c r="BS1301" s="19" t="s">
        <v>8268</v>
      </c>
      <c r="BT1301" s="11" t="b">
        <v>1</v>
      </c>
      <c r="BU1301" s="11" t="s">
        <v>2932</v>
      </c>
      <c r="BV1301" s="11"/>
      <c r="BW1301" s="11"/>
      <c r="BX1301" s="11"/>
      <c r="BY1301" s="11"/>
    </row>
    <row r="1302">
      <c r="A1302" s="11" t="s">
        <v>5284</v>
      </c>
      <c r="B1302" s="11" t="s">
        <v>78</v>
      </c>
      <c r="C1302" s="23">
        <v>46162.0</v>
      </c>
      <c r="D1302" s="11" t="s">
        <v>237</v>
      </c>
      <c r="E1302" s="11" t="s">
        <v>7826</v>
      </c>
      <c r="F1302" s="11" t="s">
        <v>7828</v>
      </c>
      <c r="G1302" s="11"/>
      <c r="H1302" s="11"/>
      <c r="I1302" s="20"/>
      <c r="J1302" s="20"/>
      <c r="BO1302" s="20"/>
      <c r="BP1302" s="11" t="s">
        <v>7827</v>
      </c>
      <c r="BQ1302" s="11" t="b">
        <v>0</v>
      </c>
      <c r="BR1302" s="20"/>
      <c r="BS1302" s="11"/>
      <c r="BT1302" s="11" t="b">
        <v>0</v>
      </c>
      <c r="BU1302" s="11" t="s">
        <v>2932</v>
      </c>
      <c r="BV1302" s="11"/>
      <c r="BW1302" s="11"/>
      <c r="BX1302" s="11"/>
      <c r="BY1302" s="11"/>
    </row>
    <row r="1303">
      <c r="A1303" s="11" t="s">
        <v>5294</v>
      </c>
      <c r="B1303" s="11" t="s">
        <v>78</v>
      </c>
      <c r="C1303" s="23">
        <v>46162.0</v>
      </c>
      <c r="D1303" s="11" t="s">
        <v>237</v>
      </c>
      <c r="E1303" s="11" t="s">
        <v>7831</v>
      </c>
      <c r="F1303" s="11" t="s">
        <v>7833</v>
      </c>
      <c r="G1303" s="11"/>
      <c r="H1303" s="11"/>
      <c r="I1303" s="20"/>
      <c r="J1303" s="20"/>
      <c r="BO1303" s="20"/>
      <c r="BP1303" s="11" t="s">
        <v>7832</v>
      </c>
      <c r="BQ1303" s="11" t="b">
        <v>0</v>
      </c>
      <c r="BR1303" s="20"/>
      <c r="BS1303" s="11"/>
      <c r="BT1303" s="11" t="b">
        <v>0</v>
      </c>
      <c r="BU1303" s="11" t="s">
        <v>2932</v>
      </c>
      <c r="BV1303" s="11"/>
      <c r="BW1303" s="11"/>
      <c r="BX1303" s="11"/>
      <c r="BY1303" s="11"/>
    </row>
    <row r="1304">
      <c r="A1304" s="11">
        <v>1980.0</v>
      </c>
      <c r="B1304" s="11" t="s">
        <v>78</v>
      </c>
      <c r="C1304" s="23">
        <v>46167.0</v>
      </c>
      <c r="D1304" s="11" t="s">
        <v>415</v>
      </c>
      <c r="E1304" s="11"/>
      <c r="F1304" s="23">
        <v>46303.0</v>
      </c>
      <c r="G1304" s="11" t="s">
        <v>1971</v>
      </c>
      <c r="H1304" s="11">
        <v>1.0</v>
      </c>
      <c r="I1304" s="20">
        <v>190.34</v>
      </c>
      <c r="J1304" s="20">
        <v>190.34</v>
      </c>
      <c r="BO1304" s="20">
        <v>190.34</v>
      </c>
      <c r="BP1304" s="11"/>
      <c r="BQ1304" s="11" t="b">
        <v>1</v>
      </c>
      <c r="BR1304" s="20">
        <v>190.34</v>
      </c>
      <c r="BS1304" s="11"/>
      <c r="BT1304" s="11"/>
      <c r="BU1304" s="11" t="s">
        <v>187</v>
      </c>
      <c r="BV1304" s="11"/>
      <c r="BW1304" s="11"/>
      <c r="BX1304" s="11"/>
      <c r="BY1304" s="11"/>
    </row>
    <row r="1305">
      <c r="A1305" s="11">
        <v>1982.0</v>
      </c>
      <c r="B1305" s="11" t="s">
        <v>78</v>
      </c>
      <c r="C1305" s="23">
        <v>46167.0</v>
      </c>
      <c r="D1305" s="11"/>
      <c r="E1305" s="11"/>
      <c r="F1305" s="11" t="s">
        <v>681</v>
      </c>
      <c r="G1305" s="11" t="s">
        <v>376</v>
      </c>
      <c r="H1305" s="11">
        <v>1.0</v>
      </c>
      <c r="I1305" s="20">
        <v>3727.0</v>
      </c>
      <c r="J1305" s="20">
        <v>3727.0</v>
      </c>
      <c r="BO1305" s="20">
        <v>3727.0</v>
      </c>
      <c r="BP1305" s="11"/>
      <c r="BQ1305" s="11" t="b">
        <v>1</v>
      </c>
      <c r="BR1305" s="20">
        <v>3727.0</v>
      </c>
      <c r="BS1305" s="11"/>
      <c r="BT1305" s="11"/>
      <c r="BU1305" s="11" t="s">
        <v>187</v>
      </c>
      <c r="BV1305" s="11" t="s">
        <v>685</v>
      </c>
      <c r="BW1305" s="11"/>
      <c r="BX1305" s="11"/>
      <c r="BY1305" s="11"/>
    </row>
    <row r="1306">
      <c r="A1306" s="11">
        <v>1983.0</v>
      </c>
      <c r="B1306" s="11" t="s">
        <v>78</v>
      </c>
      <c r="C1306" s="23">
        <v>46167.0</v>
      </c>
      <c r="D1306" s="11"/>
      <c r="E1306" s="11"/>
      <c r="F1306" s="11" t="s">
        <v>687</v>
      </c>
      <c r="G1306" s="11" t="s">
        <v>376</v>
      </c>
      <c r="H1306" s="11">
        <v>1.0</v>
      </c>
      <c r="I1306" s="20">
        <v>312.0</v>
      </c>
      <c r="J1306" s="20">
        <v>312.0</v>
      </c>
      <c r="BO1306" s="20">
        <v>312.0</v>
      </c>
      <c r="BP1306" s="11"/>
      <c r="BQ1306" s="11" t="b">
        <v>1</v>
      </c>
      <c r="BR1306" s="20">
        <v>312.0</v>
      </c>
      <c r="BS1306" s="11"/>
      <c r="BT1306" s="11"/>
      <c r="BU1306" s="11" t="s">
        <v>187</v>
      </c>
      <c r="BV1306" s="11" t="s">
        <v>3675</v>
      </c>
      <c r="BW1306" s="11"/>
      <c r="BX1306" s="11"/>
      <c r="BY1306" s="11"/>
    </row>
    <row r="1307">
      <c r="A1307" s="11">
        <v>1984.0</v>
      </c>
      <c r="B1307" s="11" t="s">
        <v>78</v>
      </c>
      <c r="C1307" s="23">
        <v>46167.0</v>
      </c>
      <c r="D1307" s="11"/>
      <c r="E1307" s="11"/>
      <c r="F1307" s="11" t="s">
        <v>687</v>
      </c>
      <c r="G1307" s="11" t="s">
        <v>376</v>
      </c>
      <c r="H1307" s="11">
        <v>1.0</v>
      </c>
      <c r="I1307" s="20">
        <v>312.0</v>
      </c>
      <c r="J1307" s="20">
        <v>312.0</v>
      </c>
      <c r="BO1307" s="20">
        <v>312.0</v>
      </c>
      <c r="BP1307" s="11"/>
      <c r="BQ1307" s="11" t="b">
        <v>1</v>
      </c>
      <c r="BR1307" s="20">
        <v>312.0</v>
      </c>
      <c r="BS1307" s="11"/>
      <c r="BT1307" s="11"/>
      <c r="BU1307" s="11" t="s">
        <v>187</v>
      </c>
      <c r="BV1307" s="11" t="s">
        <v>704</v>
      </c>
      <c r="BW1307" s="11"/>
      <c r="BX1307" s="11"/>
      <c r="BY1307" s="11"/>
    </row>
    <row r="1308">
      <c r="A1308" s="11">
        <v>1985.0</v>
      </c>
      <c r="B1308" s="11" t="s">
        <v>78</v>
      </c>
      <c r="C1308" s="23">
        <v>46167.0</v>
      </c>
      <c r="D1308" s="11" t="s">
        <v>415</v>
      </c>
      <c r="E1308" s="11"/>
      <c r="F1308" s="11" t="s">
        <v>1015</v>
      </c>
      <c r="G1308" s="11" t="s">
        <v>1017</v>
      </c>
      <c r="H1308" s="11">
        <v>1.0</v>
      </c>
      <c r="I1308" s="20">
        <v>22.0</v>
      </c>
      <c r="J1308" s="20">
        <v>22.0</v>
      </c>
      <c r="BO1308" s="20">
        <v>22.0</v>
      </c>
      <c r="BP1308" s="11"/>
      <c r="BQ1308" s="11" t="b">
        <v>1</v>
      </c>
      <c r="BR1308" s="20">
        <v>22.0</v>
      </c>
      <c r="BS1308" s="11"/>
      <c r="BT1308" s="11"/>
      <c r="BU1308" s="11" t="s">
        <v>187</v>
      </c>
      <c r="BV1308" s="11"/>
      <c r="BW1308" s="11"/>
      <c r="BX1308" s="11"/>
      <c r="BY1308" s="11"/>
    </row>
    <row r="1309">
      <c r="A1309" s="11">
        <v>1986.0</v>
      </c>
      <c r="B1309" s="11" t="s">
        <v>78</v>
      </c>
      <c r="C1309" s="23">
        <v>46167.0</v>
      </c>
      <c r="D1309" s="11" t="s">
        <v>415</v>
      </c>
      <c r="E1309" s="11"/>
      <c r="F1309" s="11" t="s">
        <v>1022</v>
      </c>
      <c r="G1309" s="11" t="s">
        <v>1023</v>
      </c>
      <c r="H1309" s="11">
        <v>1.0</v>
      </c>
      <c r="I1309" s="20">
        <v>10.0</v>
      </c>
      <c r="J1309" s="20">
        <v>10.0</v>
      </c>
      <c r="BO1309" s="20">
        <v>10.0</v>
      </c>
      <c r="BP1309" s="11"/>
      <c r="BQ1309" s="11" t="b">
        <v>1</v>
      </c>
      <c r="BR1309" s="20">
        <v>10.0</v>
      </c>
      <c r="BS1309" s="11"/>
      <c r="BT1309" s="11"/>
      <c r="BU1309" s="11" t="s">
        <v>187</v>
      </c>
      <c r="BV1309" s="11"/>
      <c r="BW1309" s="11"/>
      <c r="BX1309" s="11"/>
      <c r="BY1309" s="11"/>
    </row>
    <row r="1310">
      <c r="A1310" s="11">
        <v>1993.0</v>
      </c>
      <c r="B1310" s="11" t="s">
        <v>78</v>
      </c>
      <c r="C1310" s="23">
        <v>46167.0</v>
      </c>
      <c r="D1310" s="11" t="s">
        <v>415</v>
      </c>
      <c r="E1310" s="11"/>
      <c r="F1310" s="23">
        <v>46296.0</v>
      </c>
      <c r="G1310" s="11" t="s">
        <v>3257</v>
      </c>
      <c r="H1310" s="11">
        <v>1.0</v>
      </c>
      <c r="I1310" s="20">
        <v>855.0</v>
      </c>
      <c r="J1310" s="20">
        <v>855.0</v>
      </c>
      <c r="BO1310" s="20">
        <v>855.0</v>
      </c>
      <c r="BP1310" s="11"/>
      <c r="BQ1310" s="11" t="b">
        <v>1</v>
      </c>
      <c r="BR1310" s="20">
        <v>855.0</v>
      </c>
      <c r="BS1310" s="11"/>
      <c r="BT1310" s="11"/>
      <c r="BU1310" s="11" t="s">
        <v>187</v>
      </c>
      <c r="BV1310" s="11"/>
      <c r="BW1310" s="11"/>
      <c r="BX1310" s="11"/>
      <c r="BY1310" s="11"/>
    </row>
    <row r="1311">
      <c r="A1311" s="11" t="s">
        <v>3261</v>
      </c>
      <c r="B1311" s="11" t="s">
        <v>78</v>
      </c>
      <c r="C1311" s="23">
        <v>46167.0</v>
      </c>
      <c r="D1311" s="11" t="s">
        <v>237</v>
      </c>
      <c r="E1311" s="11"/>
      <c r="F1311" s="11" t="s">
        <v>7838</v>
      </c>
      <c r="G1311" s="11" t="s">
        <v>2040</v>
      </c>
      <c r="H1311" s="11">
        <v>1.0</v>
      </c>
      <c r="I1311" s="20">
        <v>322.0</v>
      </c>
      <c r="J1311" s="20">
        <v>322.0</v>
      </c>
      <c r="BO1311" s="20">
        <v>322.0</v>
      </c>
      <c r="BP1311" s="11"/>
      <c r="BQ1311" s="11" t="b">
        <v>1</v>
      </c>
      <c r="BR1311" s="20">
        <v>322.0</v>
      </c>
      <c r="BS1311" s="11"/>
      <c r="BT1311" s="11"/>
      <c r="BU1311" s="11" t="s">
        <v>187</v>
      </c>
      <c r="BV1311" s="11"/>
      <c r="BW1311" s="11"/>
      <c r="BX1311" s="11"/>
      <c r="BY1311" s="11"/>
    </row>
    <row r="1312">
      <c r="A1312" s="11" t="s">
        <v>5321</v>
      </c>
      <c r="B1312" s="11" t="s">
        <v>78</v>
      </c>
      <c r="C1312" s="23">
        <v>46164.0</v>
      </c>
      <c r="D1312" s="11" t="s">
        <v>85</v>
      </c>
      <c r="E1312" s="11" t="s">
        <v>7840</v>
      </c>
      <c r="F1312" s="11" t="s">
        <v>7842</v>
      </c>
      <c r="G1312" s="11"/>
      <c r="H1312" s="11"/>
      <c r="I1312" s="20"/>
      <c r="J1312" s="20"/>
      <c r="BO1312" s="20"/>
      <c r="BP1312" s="11" t="s">
        <v>7841</v>
      </c>
      <c r="BQ1312" s="11" t="b">
        <v>0</v>
      </c>
      <c r="BR1312" s="20"/>
      <c r="BS1312" s="19" t="s">
        <v>8269</v>
      </c>
      <c r="BT1312" s="11" t="b">
        <v>1</v>
      </c>
      <c r="BU1312" s="11" t="s">
        <v>2932</v>
      </c>
      <c r="BV1312" s="11"/>
      <c r="BW1312" s="11"/>
      <c r="BX1312" s="11"/>
      <c r="BY1312" s="11"/>
    </row>
    <row r="1313">
      <c r="A1313" s="11" t="s">
        <v>5334</v>
      </c>
      <c r="B1313" s="11" t="s">
        <v>78</v>
      </c>
      <c r="C1313" s="23">
        <v>46166.0</v>
      </c>
      <c r="D1313" s="11" t="s">
        <v>2549</v>
      </c>
      <c r="E1313" s="11" t="s">
        <v>7843</v>
      </c>
      <c r="F1313" s="11" t="s">
        <v>7845</v>
      </c>
      <c r="G1313" s="11"/>
      <c r="H1313" s="11"/>
      <c r="I1313" s="20"/>
      <c r="J1313" s="20"/>
      <c r="BO1313" s="20"/>
      <c r="BP1313" s="11" t="s">
        <v>7844</v>
      </c>
      <c r="BQ1313" s="11" t="b">
        <v>0</v>
      </c>
      <c r="BR1313" s="20"/>
      <c r="BS1313" s="19" t="s">
        <v>8270</v>
      </c>
      <c r="BT1313" s="11" t="b">
        <v>1</v>
      </c>
      <c r="BU1313" s="11" t="s">
        <v>2932</v>
      </c>
      <c r="BV1313" s="11"/>
      <c r="BW1313" s="11"/>
      <c r="BX1313" s="11"/>
      <c r="BY1313" s="11"/>
    </row>
    <row r="1314">
      <c r="A1314" s="11" t="s">
        <v>266</v>
      </c>
      <c r="B1314" s="11" t="s">
        <v>78</v>
      </c>
      <c r="C1314" s="23">
        <v>46170.0</v>
      </c>
      <c r="D1314" s="11" t="s">
        <v>7847</v>
      </c>
      <c r="E1314" s="11" t="s">
        <v>7848</v>
      </c>
      <c r="F1314" s="11" t="s">
        <v>781</v>
      </c>
      <c r="G1314" s="11"/>
      <c r="H1314" s="11"/>
      <c r="I1314" s="20"/>
      <c r="J1314" s="20"/>
      <c r="BO1314" s="20"/>
      <c r="BP1314" s="11" t="s">
        <v>7849</v>
      </c>
      <c r="BQ1314" s="11" t="b">
        <v>0</v>
      </c>
      <c r="BR1314" s="20"/>
      <c r="BS1314" s="19" t="s">
        <v>8271</v>
      </c>
      <c r="BT1314" s="11" t="b">
        <v>1</v>
      </c>
      <c r="BU1314" s="11" t="s">
        <v>2932</v>
      </c>
      <c r="BV1314" s="11"/>
      <c r="BW1314" s="11"/>
      <c r="BX1314" s="11"/>
      <c r="BY1314" s="11"/>
    </row>
    <row r="1315">
      <c r="A1315" s="11" t="s">
        <v>137</v>
      </c>
      <c r="B1315" s="11" t="s">
        <v>78</v>
      </c>
      <c r="C1315" s="23">
        <v>46168.0</v>
      </c>
      <c r="D1315" s="11" t="s">
        <v>104</v>
      </c>
      <c r="E1315" s="11" t="s">
        <v>7851</v>
      </c>
      <c r="F1315" s="11" t="s">
        <v>7853</v>
      </c>
      <c r="G1315" s="11"/>
      <c r="H1315" s="11"/>
      <c r="I1315" s="20"/>
      <c r="J1315" s="20"/>
      <c r="BO1315" s="20"/>
      <c r="BP1315" s="11" t="s">
        <v>7852</v>
      </c>
      <c r="BQ1315" s="11" t="b">
        <v>0</v>
      </c>
      <c r="BR1315" s="20"/>
      <c r="BS1315" s="19" t="s">
        <v>8272</v>
      </c>
      <c r="BT1315" s="11" t="b">
        <v>1</v>
      </c>
      <c r="BU1315" s="11" t="s">
        <v>2932</v>
      </c>
      <c r="BV1315" s="11"/>
      <c r="BW1315" s="11"/>
      <c r="BX1315" s="11"/>
      <c r="BY1315" s="11"/>
    </row>
    <row r="1316">
      <c r="A1316" s="11" t="s">
        <v>199</v>
      </c>
      <c r="B1316" s="11" t="s">
        <v>78</v>
      </c>
      <c r="C1316" s="23">
        <v>46169.0</v>
      </c>
      <c r="D1316" s="11" t="s">
        <v>7000</v>
      </c>
      <c r="E1316" s="11" t="s">
        <v>7854</v>
      </c>
      <c r="F1316" s="11" t="s">
        <v>7856</v>
      </c>
      <c r="G1316" s="11"/>
      <c r="H1316" s="11"/>
      <c r="I1316" s="20"/>
      <c r="J1316" s="20"/>
      <c r="BO1316" s="20"/>
      <c r="BP1316" s="11" t="s">
        <v>7855</v>
      </c>
      <c r="BQ1316" s="11" t="b">
        <v>0</v>
      </c>
      <c r="BR1316" s="20"/>
      <c r="BS1316" s="19" t="s">
        <v>8273</v>
      </c>
      <c r="BT1316" s="11" t="b">
        <v>1</v>
      </c>
      <c r="BU1316" s="11" t="s">
        <v>2932</v>
      </c>
      <c r="BV1316" s="11"/>
      <c r="BW1316" s="11"/>
      <c r="BX1316" s="11"/>
      <c r="BY1316" s="11"/>
    </row>
    <row r="1317">
      <c r="A1317" s="11" t="s">
        <v>293</v>
      </c>
      <c r="B1317" s="11" t="s">
        <v>78</v>
      </c>
      <c r="C1317" s="23">
        <v>46171.0</v>
      </c>
      <c r="D1317" s="11" t="s">
        <v>992</v>
      </c>
      <c r="E1317" s="11" t="s">
        <v>7858</v>
      </c>
      <c r="F1317" s="11" t="s">
        <v>7860</v>
      </c>
      <c r="G1317" s="11"/>
      <c r="H1317" s="11"/>
      <c r="I1317" s="20"/>
      <c r="J1317" s="20"/>
      <c r="BO1317" s="20"/>
      <c r="BP1317" s="11" t="s">
        <v>7859</v>
      </c>
      <c r="BQ1317" s="11" t="b">
        <v>0</v>
      </c>
      <c r="BR1317" s="20"/>
      <c r="BS1317" s="19" t="s">
        <v>8274</v>
      </c>
      <c r="BT1317" s="11" t="b">
        <v>1</v>
      </c>
      <c r="BU1317" s="11" t="s">
        <v>2932</v>
      </c>
      <c r="BV1317" s="11"/>
      <c r="BW1317" s="11"/>
      <c r="BX1317" s="11"/>
      <c r="BY1317" s="11"/>
    </row>
    <row r="1318">
      <c r="A1318" s="11" t="s">
        <v>330</v>
      </c>
      <c r="B1318" s="11" t="s">
        <v>78</v>
      </c>
      <c r="C1318" s="23">
        <v>46171.0</v>
      </c>
      <c r="D1318" s="19" t="s">
        <v>6565</v>
      </c>
      <c r="E1318" s="11" t="s">
        <v>7862</v>
      </c>
      <c r="F1318" s="11" t="s">
        <v>7864</v>
      </c>
      <c r="G1318" s="11"/>
      <c r="H1318" s="11"/>
      <c r="I1318" s="20"/>
      <c r="J1318" s="20"/>
      <c r="BO1318" s="20"/>
      <c r="BP1318" s="11" t="s">
        <v>7863</v>
      </c>
      <c r="BQ1318" s="11" t="b">
        <v>0</v>
      </c>
      <c r="BR1318" s="20"/>
      <c r="BS1318" s="19" t="s">
        <v>8275</v>
      </c>
      <c r="BT1318" s="11" t="b">
        <v>1</v>
      </c>
      <c r="BU1318" s="11" t="s">
        <v>2932</v>
      </c>
      <c r="BV1318" s="11"/>
      <c r="BW1318" s="11"/>
      <c r="BX1318" s="11"/>
      <c r="BY1318" s="11"/>
    </row>
    <row r="1319">
      <c r="A1319" s="11" t="s">
        <v>320</v>
      </c>
      <c r="B1319" s="11" t="s">
        <v>78</v>
      </c>
      <c r="C1319" s="23">
        <v>46171.0</v>
      </c>
      <c r="D1319" s="19" t="s">
        <v>6565</v>
      </c>
      <c r="E1319" s="11" t="s">
        <v>7865</v>
      </c>
      <c r="F1319" s="11" t="s">
        <v>7867</v>
      </c>
      <c r="G1319" s="11"/>
      <c r="H1319" s="11"/>
      <c r="I1319" s="20"/>
      <c r="J1319" s="20"/>
      <c r="BO1319" s="20"/>
      <c r="BP1319" s="11" t="s">
        <v>7866</v>
      </c>
      <c r="BQ1319" s="11" t="b">
        <v>0</v>
      </c>
      <c r="BR1319" s="20"/>
      <c r="BS1319" s="19" t="s">
        <v>8276</v>
      </c>
      <c r="BT1319" s="11" t="b">
        <v>1</v>
      </c>
      <c r="BU1319" s="11" t="s">
        <v>2932</v>
      </c>
      <c r="BV1319" s="11"/>
      <c r="BW1319" s="11"/>
      <c r="BX1319" s="11"/>
      <c r="BY1319" s="11"/>
    </row>
    <row r="1320">
      <c r="A1320" s="11" t="s">
        <v>312</v>
      </c>
      <c r="B1320" s="11" t="s">
        <v>78</v>
      </c>
      <c r="C1320" s="23">
        <v>46171.0</v>
      </c>
      <c r="D1320" s="19" t="s">
        <v>6565</v>
      </c>
      <c r="E1320" s="11" t="s">
        <v>7869</v>
      </c>
      <c r="F1320" s="11" t="s">
        <v>7871</v>
      </c>
      <c r="G1320" s="11"/>
      <c r="H1320" s="11"/>
      <c r="I1320" s="20"/>
      <c r="J1320" s="20"/>
      <c r="BO1320" s="20"/>
      <c r="BP1320" s="11" t="s">
        <v>7870</v>
      </c>
      <c r="BQ1320" s="11" t="b">
        <v>0</v>
      </c>
      <c r="BR1320" s="20"/>
      <c r="BS1320" s="19" t="s">
        <v>8277</v>
      </c>
      <c r="BT1320" s="11" t="b">
        <v>1</v>
      </c>
      <c r="BU1320" s="11" t="s">
        <v>2932</v>
      </c>
      <c r="BV1320" s="11"/>
      <c r="BW1320" s="11"/>
      <c r="BX1320" s="11"/>
      <c r="BY1320" s="11"/>
    </row>
    <row r="1321">
      <c r="A1321" s="11" t="s">
        <v>303</v>
      </c>
      <c r="B1321" s="11" t="s">
        <v>78</v>
      </c>
      <c r="C1321" s="23">
        <v>46171.0</v>
      </c>
      <c r="D1321" s="11" t="s">
        <v>1251</v>
      </c>
      <c r="E1321" s="11" t="s">
        <v>7872</v>
      </c>
      <c r="F1321" s="11" t="s">
        <v>7874</v>
      </c>
      <c r="G1321" s="11"/>
      <c r="H1321" s="11"/>
      <c r="I1321" s="20"/>
      <c r="J1321" s="20"/>
      <c r="BO1321" s="20"/>
      <c r="BP1321" s="11" t="s">
        <v>7873</v>
      </c>
      <c r="BQ1321" s="11" t="b">
        <v>0</v>
      </c>
      <c r="BR1321" s="20"/>
      <c r="BS1321" s="19" t="s">
        <v>8278</v>
      </c>
      <c r="BT1321" s="11" t="b">
        <v>1</v>
      </c>
      <c r="BU1321" s="11" t="s">
        <v>2932</v>
      </c>
      <c r="BV1321" s="11"/>
      <c r="BW1321" s="11"/>
      <c r="BX1321" s="11"/>
      <c r="BY1321" s="11"/>
    </row>
    <row r="1322">
      <c r="A1322" s="11" t="s">
        <v>5338</v>
      </c>
      <c r="B1322" s="11" t="s">
        <v>78</v>
      </c>
      <c r="C1322" s="23">
        <v>46167.0</v>
      </c>
      <c r="D1322" s="11" t="s">
        <v>7875</v>
      </c>
      <c r="E1322" s="11" t="s">
        <v>7876</v>
      </c>
      <c r="F1322" s="11" t="s">
        <v>7878</v>
      </c>
      <c r="G1322" s="11"/>
      <c r="H1322" s="11"/>
      <c r="I1322" s="20"/>
      <c r="J1322" s="20"/>
      <c r="BO1322" s="20"/>
      <c r="BP1322" s="11" t="s">
        <v>7877</v>
      </c>
      <c r="BQ1322" s="11" t="b">
        <v>0</v>
      </c>
      <c r="BR1322" s="20"/>
      <c r="BS1322" s="11"/>
      <c r="BT1322" s="11" t="b">
        <v>0</v>
      </c>
      <c r="BU1322" s="11" t="s">
        <v>2932</v>
      </c>
      <c r="BV1322" s="11"/>
      <c r="BW1322" s="11"/>
      <c r="BX1322" s="11"/>
      <c r="BY1322" s="11"/>
    </row>
    <row r="1323">
      <c r="A1323" s="11">
        <v>1988.0</v>
      </c>
      <c r="B1323" s="11" t="s">
        <v>78</v>
      </c>
      <c r="C1323" s="23">
        <v>46171.0</v>
      </c>
      <c r="D1323" s="11"/>
      <c r="E1323" s="11"/>
      <c r="F1323" s="11" t="s">
        <v>2638</v>
      </c>
      <c r="G1323" s="11" t="s">
        <v>376</v>
      </c>
      <c r="H1323" s="11">
        <v>1.0</v>
      </c>
      <c r="I1323" s="20">
        <v>3153.84</v>
      </c>
      <c r="J1323" s="20">
        <v>3153.84</v>
      </c>
      <c r="BO1323" s="20">
        <v>3153.84</v>
      </c>
      <c r="BP1323" s="11"/>
      <c r="BQ1323" s="11" t="b">
        <v>1</v>
      </c>
      <c r="BR1323" s="20">
        <v>3153.84</v>
      </c>
      <c r="BS1323" s="11"/>
      <c r="BT1323" s="11"/>
      <c r="BU1323" s="11" t="s">
        <v>187</v>
      </c>
      <c r="BV1323" s="11" t="s">
        <v>225</v>
      </c>
      <c r="BW1323" s="11"/>
      <c r="BX1323" s="11"/>
      <c r="BY1323" s="11"/>
    </row>
    <row r="1324">
      <c r="A1324" s="11">
        <v>1989.0</v>
      </c>
      <c r="B1324" s="11" t="s">
        <v>78</v>
      </c>
      <c r="C1324" s="23">
        <v>46171.0</v>
      </c>
      <c r="D1324" s="11"/>
      <c r="E1324" s="11"/>
      <c r="F1324" s="11" t="s">
        <v>2638</v>
      </c>
      <c r="G1324" s="11" t="s">
        <v>376</v>
      </c>
      <c r="H1324" s="11">
        <v>1.0</v>
      </c>
      <c r="I1324" s="20">
        <v>966.21</v>
      </c>
      <c r="J1324" s="20">
        <v>966.21</v>
      </c>
      <c r="BO1324" s="20">
        <v>966.21</v>
      </c>
      <c r="BP1324" s="11"/>
      <c r="BQ1324" s="11" t="b">
        <v>1</v>
      </c>
      <c r="BR1324" s="20">
        <v>966.21</v>
      </c>
      <c r="BS1324" s="11"/>
      <c r="BT1324" s="11"/>
      <c r="BU1324" s="11" t="s">
        <v>187</v>
      </c>
      <c r="BV1324" s="11" t="s">
        <v>113</v>
      </c>
      <c r="BW1324" s="11"/>
      <c r="BX1324" s="11"/>
      <c r="BY1324" s="11"/>
    </row>
    <row r="1325">
      <c r="A1325" s="11">
        <v>1990.0</v>
      </c>
      <c r="B1325" s="11" t="s">
        <v>78</v>
      </c>
      <c r="C1325" s="23">
        <v>46171.0</v>
      </c>
      <c r="D1325" s="11"/>
      <c r="E1325" s="11"/>
      <c r="F1325" s="11" t="s">
        <v>2638</v>
      </c>
      <c r="G1325" s="11" t="s">
        <v>376</v>
      </c>
      <c r="H1325" s="11">
        <v>1.0</v>
      </c>
      <c r="I1325" s="20">
        <v>1410.77</v>
      </c>
      <c r="J1325" s="20">
        <v>1410.77</v>
      </c>
      <c r="BO1325" s="20">
        <v>1410.77</v>
      </c>
      <c r="BP1325" s="11"/>
      <c r="BQ1325" s="11" t="b">
        <v>1</v>
      </c>
      <c r="BR1325" s="20">
        <v>1410.77</v>
      </c>
      <c r="BS1325" s="11"/>
      <c r="BT1325" s="11"/>
      <c r="BU1325" s="11" t="s">
        <v>187</v>
      </c>
      <c r="BV1325" s="11" t="s">
        <v>126</v>
      </c>
      <c r="BW1325" s="11"/>
      <c r="BX1325" s="11"/>
      <c r="BY1325" s="11"/>
    </row>
    <row r="1326">
      <c r="A1326" s="11">
        <v>1991.0</v>
      </c>
      <c r="B1326" s="11" t="s">
        <v>78</v>
      </c>
      <c r="C1326" s="23">
        <v>46171.0</v>
      </c>
      <c r="D1326" s="11"/>
      <c r="E1326" s="11"/>
      <c r="F1326" s="11" t="s">
        <v>2638</v>
      </c>
      <c r="G1326" s="11" t="s">
        <v>376</v>
      </c>
      <c r="H1326" s="11">
        <v>1.0</v>
      </c>
      <c r="I1326" s="20">
        <v>0.0</v>
      </c>
      <c r="J1326" s="20">
        <v>0.0</v>
      </c>
      <c r="BO1326" s="20">
        <v>0.0</v>
      </c>
      <c r="BP1326" s="11"/>
      <c r="BQ1326" s="11" t="b">
        <v>1</v>
      </c>
      <c r="BR1326" s="20">
        <v>0.0</v>
      </c>
      <c r="BS1326" s="11"/>
      <c r="BT1326" s="11"/>
      <c r="BU1326" s="11" t="s">
        <v>187</v>
      </c>
      <c r="BV1326" s="11" t="s">
        <v>3739</v>
      </c>
      <c r="BW1326" s="11"/>
      <c r="BX1326" s="11"/>
      <c r="BY1326" s="11"/>
    </row>
    <row r="1327">
      <c r="A1327" s="11">
        <v>1992.0</v>
      </c>
      <c r="B1327" s="11" t="s">
        <v>78</v>
      </c>
      <c r="C1327" s="23">
        <v>46171.0</v>
      </c>
      <c r="D1327" s="11"/>
      <c r="E1327" s="11"/>
      <c r="F1327" s="11" t="s">
        <v>2638</v>
      </c>
      <c r="G1327" s="11" t="s">
        <v>376</v>
      </c>
      <c r="H1327" s="11">
        <v>1.0</v>
      </c>
      <c r="I1327" s="20">
        <v>1547.92</v>
      </c>
      <c r="J1327" s="20">
        <v>1547.92</v>
      </c>
      <c r="BO1327" s="20">
        <v>1547.92</v>
      </c>
      <c r="BP1327" s="11"/>
      <c r="BQ1327" s="11" t="b">
        <v>1</v>
      </c>
      <c r="BR1327" s="20">
        <v>1547.92</v>
      </c>
      <c r="BS1327" s="11"/>
      <c r="BT1327" s="11"/>
      <c r="BU1327" s="11" t="s">
        <v>187</v>
      </c>
      <c r="BV1327" s="11" t="s">
        <v>145</v>
      </c>
      <c r="BW1327" s="11"/>
      <c r="BX1327" s="11"/>
      <c r="BY1327" s="11"/>
    </row>
    <row r="1328">
      <c r="A1328" s="11">
        <v>1987.0</v>
      </c>
      <c r="B1328" s="11" t="s">
        <v>78</v>
      </c>
      <c r="C1328" s="23">
        <v>46175.0</v>
      </c>
      <c r="D1328" s="11" t="s">
        <v>629</v>
      </c>
      <c r="E1328" s="11"/>
      <c r="F1328" s="11" t="s">
        <v>633</v>
      </c>
      <c r="G1328" s="11" t="s">
        <v>1870</v>
      </c>
      <c r="H1328" s="11">
        <v>1.0</v>
      </c>
      <c r="I1328" s="20">
        <v>2277.04</v>
      </c>
      <c r="J1328" s="20">
        <v>2277.04</v>
      </c>
      <c r="BO1328" s="20">
        <v>2277.04</v>
      </c>
      <c r="BP1328" s="11"/>
      <c r="BQ1328" s="11" t="b">
        <v>1</v>
      </c>
      <c r="BR1328" s="20">
        <v>2277.04</v>
      </c>
      <c r="BS1328" s="11"/>
      <c r="BT1328" s="11"/>
      <c r="BU1328" s="11" t="s">
        <v>187</v>
      </c>
      <c r="BV1328" s="11"/>
      <c r="BW1328" s="11"/>
      <c r="BX1328" s="11"/>
      <c r="BY1328" s="11"/>
    </row>
    <row r="1329">
      <c r="A1329" s="11" t="s">
        <v>5451</v>
      </c>
      <c r="B1329" s="11" t="s">
        <v>78</v>
      </c>
      <c r="C1329" s="23">
        <v>46175.0</v>
      </c>
      <c r="D1329" s="11" t="s">
        <v>237</v>
      </c>
      <c r="E1329" s="11"/>
      <c r="F1329" s="11" t="s">
        <v>7926</v>
      </c>
      <c r="G1329" s="11" t="s">
        <v>1958</v>
      </c>
      <c r="H1329" s="11">
        <v>1.0</v>
      </c>
      <c r="I1329" s="20">
        <v>24.15</v>
      </c>
      <c r="J1329" s="20">
        <v>24.15</v>
      </c>
      <c r="BO1329" s="20">
        <v>24.15</v>
      </c>
      <c r="BP1329" s="11"/>
      <c r="BQ1329" s="11" t="b">
        <v>1</v>
      </c>
      <c r="BR1329" s="20">
        <v>24.15</v>
      </c>
      <c r="BS1329" s="11"/>
      <c r="BT1329" s="11"/>
      <c r="BU1329" s="11" t="s">
        <v>187</v>
      </c>
      <c r="BV1329" s="11"/>
      <c r="BW1329" s="11"/>
      <c r="BX1329" s="11"/>
      <c r="BY1329" s="11"/>
    </row>
    <row r="1330">
      <c r="A1330" s="11">
        <v>1998.0</v>
      </c>
      <c r="B1330" s="11" t="s">
        <v>78</v>
      </c>
      <c r="C1330" s="23">
        <v>46181.0</v>
      </c>
      <c r="D1330" s="11" t="s">
        <v>176</v>
      </c>
      <c r="E1330" s="11"/>
      <c r="F1330" s="11" t="s">
        <v>1440</v>
      </c>
      <c r="G1330" s="11" t="s">
        <v>179</v>
      </c>
      <c r="H1330" s="11">
        <v>1.0</v>
      </c>
      <c r="I1330" s="20">
        <v>533.95</v>
      </c>
      <c r="J1330" s="20">
        <v>533.95</v>
      </c>
      <c r="BO1330" s="20">
        <v>533.95</v>
      </c>
      <c r="BP1330" s="11"/>
      <c r="BQ1330" s="11" t="b">
        <v>1</v>
      </c>
      <c r="BR1330" s="20">
        <v>533.95</v>
      </c>
      <c r="BS1330" s="11"/>
      <c r="BT1330" s="11"/>
      <c r="BU1330" s="11" t="s">
        <v>187</v>
      </c>
      <c r="BV1330" s="11"/>
      <c r="BW1330" s="11"/>
      <c r="BX1330" s="11"/>
      <c r="BY1330" s="11"/>
    </row>
    <row r="1331">
      <c r="A1331" s="11">
        <v>1999.0</v>
      </c>
      <c r="B1331" s="11" t="s">
        <v>78</v>
      </c>
      <c r="C1331" s="23">
        <v>46181.0</v>
      </c>
      <c r="D1331" s="11">
        <v>3.6037127E7</v>
      </c>
      <c r="E1331" s="11"/>
      <c r="F1331" s="11" t="s">
        <v>2162</v>
      </c>
      <c r="G1331" s="11" t="s">
        <v>1726</v>
      </c>
      <c r="H1331" s="11">
        <v>1.0</v>
      </c>
      <c r="I1331" s="20">
        <v>120.0</v>
      </c>
      <c r="J1331" s="20">
        <v>120.0</v>
      </c>
      <c r="BO1331" s="20">
        <v>120.0</v>
      </c>
      <c r="BP1331" s="11"/>
      <c r="BQ1331" s="11" t="b">
        <v>1</v>
      </c>
      <c r="BR1331" s="20">
        <v>120.0</v>
      </c>
      <c r="BS1331" s="11"/>
      <c r="BT1331" s="11"/>
      <c r="BU1331" s="11" t="s">
        <v>187</v>
      </c>
      <c r="BV1331" s="11"/>
      <c r="BW1331" s="11"/>
      <c r="BX1331" s="11"/>
      <c r="BY1331" s="11"/>
    </row>
    <row r="1332">
      <c r="A1332" s="11">
        <v>11001.0</v>
      </c>
      <c r="B1332" s="11" t="s">
        <v>78</v>
      </c>
      <c r="C1332" s="23">
        <v>46181.0</v>
      </c>
      <c r="D1332" s="11" t="s">
        <v>1676</v>
      </c>
      <c r="E1332" s="11"/>
      <c r="F1332" s="11" t="s">
        <v>2802</v>
      </c>
      <c r="G1332" s="11" t="s">
        <v>1902</v>
      </c>
      <c r="H1332" s="11">
        <v>1.0</v>
      </c>
      <c r="I1332" s="20">
        <v>709.77</v>
      </c>
      <c r="J1332" s="20">
        <v>709.77</v>
      </c>
      <c r="BO1332" s="20">
        <v>709.77</v>
      </c>
      <c r="BP1332" s="11"/>
      <c r="BQ1332" s="11" t="b">
        <v>1</v>
      </c>
      <c r="BR1332" s="20">
        <v>709.77</v>
      </c>
      <c r="BS1332" s="11"/>
      <c r="BT1332" s="11"/>
      <c r="BU1332" s="11" t="s">
        <v>187</v>
      </c>
      <c r="BV1332" s="11"/>
      <c r="BW1332" s="11"/>
      <c r="BX1332" s="11"/>
      <c r="BY1332" s="11"/>
    </row>
    <row r="1333">
      <c r="A1333" s="11">
        <v>11002.0</v>
      </c>
      <c r="B1333" s="11" t="s">
        <v>78</v>
      </c>
      <c r="C1333" s="23">
        <v>46181.0</v>
      </c>
      <c r="D1333" s="11" t="s">
        <v>2535</v>
      </c>
      <c r="E1333" s="11"/>
      <c r="F1333" s="11" t="s">
        <v>2638</v>
      </c>
      <c r="G1333" s="11" t="s">
        <v>5456</v>
      </c>
      <c r="H1333" s="11">
        <v>1.0</v>
      </c>
      <c r="I1333" s="20">
        <v>65.28</v>
      </c>
      <c r="J1333" s="20">
        <v>65.28</v>
      </c>
      <c r="BO1333" s="20">
        <v>65.28</v>
      </c>
      <c r="BP1333" s="11"/>
      <c r="BQ1333" s="11" t="b">
        <v>1</v>
      </c>
      <c r="BR1333" s="20">
        <v>65.28</v>
      </c>
      <c r="BS1333" s="11"/>
      <c r="BT1333" s="11"/>
      <c r="BU1333" s="11" t="s">
        <v>187</v>
      </c>
      <c r="BV1333" s="11"/>
      <c r="BW1333" s="11"/>
      <c r="BX1333" s="11"/>
      <c r="BY1333" s="11"/>
    </row>
    <row r="1334">
      <c r="A1334" s="11">
        <v>11003.0</v>
      </c>
      <c r="B1334" s="11" t="s">
        <v>78</v>
      </c>
      <c r="C1334" s="23">
        <v>46181.0</v>
      </c>
      <c r="D1334" s="11" t="s">
        <v>5965</v>
      </c>
      <c r="E1334" s="11"/>
      <c r="F1334" s="11" t="s">
        <v>7929</v>
      </c>
      <c r="G1334" s="11" t="s">
        <v>2099</v>
      </c>
      <c r="H1334" s="11">
        <v>1.0</v>
      </c>
      <c r="I1334" s="20">
        <v>1886.71</v>
      </c>
      <c r="J1334" s="20">
        <v>1886.71</v>
      </c>
      <c r="BO1334" s="20">
        <v>1886.71</v>
      </c>
      <c r="BP1334" s="11"/>
      <c r="BQ1334" s="11" t="b">
        <v>1</v>
      </c>
      <c r="BR1334" s="20">
        <v>1886.71</v>
      </c>
      <c r="BS1334" s="11"/>
      <c r="BT1334" s="11"/>
      <c r="BU1334" s="11" t="s">
        <v>187</v>
      </c>
      <c r="BV1334" s="11"/>
      <c r="BW1334" s="11"/>
      <c r="BX1334" s="11"/>
      <c r="BY1334" s="11"/>
    </row>
    <row r="1335">
      <c r="A1335" s="11">
        <v>11008.0</v>
      </c>
      <c r="B1335" s="11" t="s">
        <v>78</v>
      </c>
      <c r="C1335" s="23">
        <v>46181.0</v>
      </c>
      <c r="D1335" s="11" t="s">
        <v>192</v>
      </c>
      <c r="E1335" s="11"/>
      <c r="F1335" s="11" t="s">
        <v>195</v>
      </c>
      <c r="G1335" s="11" t="s">
        <v>196</v>
      </c>
      <c r="H1335" s="11">
        <v>1.0</v>
      </c>
      <c r="I1335" s="20">
        <v>2500.0</v>
      </c>
      <c r="J1335" s="20">
        <v>2500.0</v>
      </c>
      <c r="BO1335" s="20">
        <v>2500.0</v>
      </c>
      <c r="BP1335" s="11"/>
      <c r="BQ1335" s="11" t="b">
        <v>1</v>
      </c>
      <c r="BR1335" s="20">
        <v>2500.0</v>
      </c>
      <c r="BS1335" s="11"/>
      <c r="BT1335" s="11"/>
      <c r="BU1335" s="11" t="s">
        <v>187</v>
      </c>
      <c r="BV1335" s="11"/>
      <c r="BW1335" s="11"/>
      <c r="BX1335" s="11"/>
      <c r="BY1335" s="11"/>
    </row>
    <row r="1336">
      <c r="A1336" s="11">
        <v>11009.0</v>
      </c>
      <c r="B1336" s="11" t="s">
        <v>78</v>
      </c>
      <c r="C1336" s="23">
        <v>46181.0</v>
      </c>
      <c r="D1336" s="11" t="s">
        <v>1217</v>
      </c>
      <c r="E1336" s="11"/>
      <c r="F1336" s="11" t="s">
        <v>7554</v>
      </c>
      <c r="G1336" s="11" t="s">
        <v>502</v>
      </c>
      <c r="H1336" s="11">
        <v>1.0</v>
      </c>
      <c r="I1336" s="20">
        <v>131.9</v>
      </c>
      <c r="J1336" s="20">
        <v>131.9</v>
      </c>
      <c r="BO1336" s="20">
        <v>131.9</v>
      </c>
      <c r="BP1336" s="11"/>
      <c r="BQ1336" s="11" t="b">
        <v>1</v>
      </c>
      <c r="BR1336" s="20">
        <v>131.9</v>
      </c>
      <c r="BS1336" s="11"/>
      <c r="BT1336" s="11"/>
      <c r="BU1336" s="11" t="s">
        <v>187</v>
      </c>
      <c r="BV1336" s="11"/>
      <c r="BW1336" s="11"/>
      <c r="BX1336" s="11"/>
      <c r="BY1336" s="11"/>
    </row>
    <row r="1337">
      <c r="A1337" s="11">
        <v>11010.0</v>
      </c>
      <c r="B1337" s="11" t="s">
        <v>78</v>
      </c>
      <c r="C1337" s="23">
        <v>46181.0</v>
      </c>
      <c r="D1337" s="11" t="s">
        <v>415</v>
      </c>
      <c r="E1337" s="11"/>
      <c r="F1337" s="11" t="s">
        <v>7932</v>
      </c>
      <c r="G1337" s="11" t="s">
        <v>761</v>
      </c>
      <c r="H1337" s="11">
        <v>1.0</v>
      </c>
      <c r="I1337" s="20">
        <v>121.9</v>
      </c>
      <c r="J1337" s="20">
        <v>121.9</v>
      </c>
      <c r="BO1337" s="20">
        <v>121.9</v>
      </c>
      <c r="BP1337" s="11"/>
      <c r="BQ1337" s="11" t="b">
        <v>1</v>
      </c>
      <c r="BR1337" s="20">
        <v>121.9</v>
      </c>
      <c r="BS1337" s="11"/>
      <c r="BT1337" s="11"/>
      <c r="BU1337" s="11" t="s">
        <v>187</v>
      </c>
      <c r="BV1337" s="11"/>
      <c r="BW1337" s="11"/>
      <c r="BX1337" s="11"/>
      <c r="BY1337" s="11"/>
    </row>
    <row r="1338">
      <c r="A1338" s="11" t="s">
        <v>5462</v>
      </c>
      <c r="B1338" s="11" t="s">
        <v>78</v>
      </c>
      <c r="C1338" s="23">
        <v>46181.0</v>
      </c>
      <c r="D1338" s="11" t="s">
        <v>7933</v>
      </c>
      <c r="E1338" s="11"/>
      <c r="F1338" s="11" t="s">
        <v>7934</v>
      </c>
      <c r="G1338" s="11" t="s">
        <v>2254</v>
      </c>
      <c r="H1338" s="11">
        <v>1.0</v>
      </c>
      <c r="I1338" s="20">
        <v>76.0</v>
      </c>
      <c r="J1338" s="20">
        <v>76.0</v>
      </c>
      <c r="BO1338" s="20">
        <v>76.0</v>
      </c>
      <c r="BP1338" s="11"/>
      <c r="BQ1338" s="11" t="b">
        <v>1</v>
      </c>
      <c r="BR1338" s="20">
        <v>76.0</v>
      </c>
      <c r="BS1338" s="11"/>
      <c r="BT1338" s="11"/>
      <c r="BU1338" s="11" t="s">
        <v>235</v>
      </c>
      <c r="BV1338" s="11"/>
      <c r="BW1338" s="11"/>
      <c r="BX1338" s="11"/>
      <c r="BY1338" s="11"/>
    </row>
    <row r="1339">
      <c r="A1339" s="11" t="s">
        <v>5464</v>
      </c>
      <c r="B1339" s="11" t="s">
        <v>78</v>
      </c>
      <c r="C1339" s="23">
        <v>46182.0</v>
      </c>
      <c r="D1339" s="11">
        <v>3.6037127E7</v>
      </c>
      <c r="E1339" s="11"/>
      <c r="F1339" s="11" t="s">
        <v>7936</v>
      </c>
      <c r="G1339" s="11" t="s">
        <v>1726</v>
      </c>
      <c r="H1339" s="11">
        <v>1.0</v>
      </c>
      <c r="I1339" s="20">
        <v>50.0</v>
      </c>
      <c r="J1339" s="20">
        <v>50.0</v>
      </c>
      <c r="BO1339" s="20">
        <v>50.0</v>
      </c>
      <c r="BP1339" s="11"/>
      <c r="BQ1339" s="11" t="b">
        <v>1</v>
      </c>
      <c r="BR1339" s="20">
        <v>50.0</v>
      </c>
      <c r="BS1339" s="11"/>
      <c r="BT1339" s="11"/>
      <c r="BU1339" s="11" t="s">
        <v>187</v>
      </c>
      <c r="BV1339" s="11"/>
      <c r="BW1339" s="11"/>
      <c r="BX1339" s="11"/>
      <c r="BY1339" s="11"/>
    </row>
    <row r="1340">
      <c r="A1340" s="11">
        <v>1.52509255E8</v>
      </c>
      <c r="B1340" s="11" t="s">
        <v>78</v>
      </c>
      <c r="C1340" s="23">
        <v>46182.0</v>
      </c>
      <c r="D1340" s="11" t="s">
        <v>2535</v>
      </c>
      <c r="E1340" s="11"/>
      <c r="F1340" s="11" t="s">
        <v>7937</v>
      </c>
      <c r="G1340" s="11" t="s">
        <v>5456</v>
      </c>
      <c r="H1340" s="11">
        <v>1.0</v>
      </c>
      <c r="I1340" s="20">
        <v>60.0</v>
      </c>
      <c r="J1340" s="20">
        <v>60.0</v>
      </c>
      <c r="BO1340" s="20">
        <v>60.0</v>
      </c>
      <c r="BP1340" s="11"/>
      <c r="BQ1340" s="11" t="b">
        <v>1</v>
      </c>
      <c r="BR1340" s="20">
        <v>60.0</v>
      </c>
      <c r="BS1340" s="11"/>
      <c r="BT1340" s="11"/>
      <c r="BU1340" s="11" t="s">
        <v>187</v>
      </c>
      <c r="BV1340" s="11"/>
      <c r="BW1340" s="11"/>
      <c r="BX1340" s="11"/>
      <c r="BY1340" s="11"/>
    </row>
    <row r="1341">
      <c r="A1341" s="11" t="s">
        <v>5469</v>
      </c>
      <c r="B1341" s="11" t="s">
        <v>78</v>
      </c>
      <c r="C1341" s="23">
        <v>46183.0</v>
      </c>
      <c r="D1341" s="11"/>
      <c r="E1341" s="11"/>
      <c r="F1341" s="11" t="s">
        <v>7939</v>
      </c>
      <c r="G1341" s="11" t="s">
        <v>350</v>
      </c>
      <c r="H1341" s="11">
        <v>1.0</v>
      </c>
      <c r="I1341" s="20">
        <v>500.0</v>
      </c>
      <c r="J1341" s="20">
        <v>500.0</v>
      </c>
      <c r="BO1341" s="20">
        <v>500.0</v>
      </c>
      <c r="BP1341" s="11"/>
      <c r="BQ1341" s="11" t="b">
        <v>1</v>
      </c>
      <c r="BR1341" s="20">
        <v>500.0</v>
      </c>
      <c r="BS1341" s="11"/>
      <c r="BT1341" s="11"/>
      <c r="BU1341" s="11" t="s">
        <v>187</v>
      </c>
      <c r="BV1341" s="11" t="s">
        <v>126</v>
      </c>
      <c r="BW1341" s="11"/>
      <c r="BX1341" s="11"/>
      <c r="BY1341" s="11"/>
    </row>
    <row r="1342">
      <c r="A1342" s="11" t="s">
        <v>5471</v>
      </c>
      <c r="B1342" s="11" t="s">
        <v>78</v>
      </c>
      <c r="C1342" s="23">
        <v>46183.0</v>
      </c>
      <c r="D1342" s="11"/>
      <c r="E1342" s="11"/>
      <c r="F1342" s="11" t="s">
        <v>7939</v>
      </c>
      <c r="G1342" s="11" t="s">
        <v>350</v>
      </c>
      <c r="H1342" s="11">
        <v>1.0</v>
      </c>
      <c r="I1342" s="20">
        <v>300.0</v>
      </c>
      <c r="J1342" s="20">
        <v>300.0</v>
      </c>
      <c r="BO1342" s="20">
        <v>300.0</v>
      </c>
      <c r="BP1342" s="11"/>
      <c r="BQ1342" s="11" t="b">
        <v>1</v>
      </c>
      <c r="BR1342" s="20">
        <v>300.0</v>
      </c>
      <c r="BS1342" s="11"/>
      <c r="BT1342" s="11"/>
      <c r="BU1342" s="11" t="s">
        <v>187</v>
      </c>
      <c r="BV1342" s="11" t="s">
        <v>145</v>
      </c>
      <c r="BW1342" s="11"/>
      <c r="BX1342" s="11"/>
      <c r="BY1342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3" max="3" width="10.0"/>
    <col customWidth="1" min="4" max="4" width="43.75"/>
    <col customWidth="1" min="5" max="5" width="30.75"/>
    <col customWidth="1" min="6" max="6" width="8.63"/>
    <col customWidth="1" min="7" max="7" width="40.25"/>
    <col customWidth="1" min="10" max="10" width="27.63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26</v>
      </c>
      <c r="G1" s="3" t="s">
        <v>28</v>
      </c>
      <c r="H1" s="3" t="s">
        <v>6</v>
      </c>
      <c r="I1" s="3" t="s">
        <v>32</v>
      </c>
      <c r="J1" s="3" t="s">
        <v>36</v>
      </c>
      <c r="K1" s="3" t="s">
        <v>38</v>
      </c>
      <c r="L1" s="3" t="s">
        <v>42</v>
      </c>
      <c r="M1" s="3" t="s">
        <v>45</v>
      </c>
      <c r="N1" s="3" t="s">
        <v>49</v>
      </c>
      <c r="O1" s="3" t="s">
        <v>51</v>
      </c>
      <c r="P1" s="3" t="s">
        <v>1</v>
      </c>
      <c r="Q1" s="3" t="s">
        <v>55</v>
      </c>
      <c r="R1" s="3" t="s">
        <v>59</v>
      </c>
      <c r="S1" s="3" t="s">
        <v>61</v>
      </c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73</v>
      </c>
      <c r="B2" s="11" t="s">
        <v>78</v>
      </c>
      <c r="C2" s="12">
        <v>45611.0</v>
      </c>
      <c r="D2" s="11" t="s">
        <v>85</v>
      </c>
      <c r="E2" s="11" t="s">
        <v>88</v>
      </c>
      <c r="G2" s="11" t="s">
        <v>90</v>
      </c>
      <c r="H2" s="11" t="s">
        <v>92</v>
      </c>
      <c r="I2" s="11" t="b">
        <v>0</v>
      </c>
      <c r="J2" s="11" t="s">
        <v>95</v>
      </c>
      <c r="O2" s="15"/>
      <c r="Q2" s="11" t="b">
        <v>1</v>
      </c>
    </row>
    <row r="3">
      <c r="A3" s="11" t="s">
        <v>100</v>
      </c>
      <c r="B3" s="11" t="s">
        <v>78</v>
      </c>
      <c r="C3" s="12">
        <v>45611.0</v>
      </c>
      <c r="D3" s="11" t="s">
        <v>104</v>
      </c>
      <c r="E3" s="11" t="s">
        <v>106</v>
      </c>
      <c r="G3" s="11" t="s">
        <v>108</v>
      </c>
      <c r="H3" s="11" t="s">
        <v>110</v>
      </c>
      <c r="I3" s="11" t="b">
        <v>1</v>
      </c>
      <c r="J3" s="11" t="s">
        <v>95</v>
      </c>
      <c r="P3" s="11">
        <v>1150915.0</v>
      </c>
      <c r="Q3" s="11" t="b">
        <v>1</v>
      </c>
    </row>
    <row r="4">
      <c r="A4" s="11" t="s">
        <v>114</v>
      </c>
      <c r="B4" s="11" t="s">
        <v>78</v>
      </c>
      <c r="C4" s="12">
        <v>45612.0</v>
      </c>
      <c r="D4" s="11" t="s">
        <v>116</v>
      </c>
      <c r="E4" s="11" t="s">
        <v>118</v>
      </c>
      <c r="G4" s="11" t="s">
        <v>120</v>
      </c>
      <c r="H4" s="11" t="s">
        <v>122</v>
      </c>
      <c r="I4" s="11" t="b">
        <v>0</v>
      </c>
      <c r="J4" s="11" t="s">
        <v>95</v>
      </c>
      <c r="O4" s="17"/>
      <c r="Q4" s="11" t="b">
        <v>1</v>
      </c>
    </row>
    <row r="5">
      <c r="A5" s="11" t="s">
        <v>125</v>
      </c>
      <c r="B5" s="11" t="s">
        <v>78</v>
      </c>
      <c r="C5" s="12">
        <v>45613.0</v>
      </c>
      <c r="D5" s="11" t="s">
        <v>127</v>
      </c>
      <c r="E5" s="11" t="s">
        <v>128</v>
      </c>
      <c r="G5" s="11" t="s">
        <v>130</v>
      </c>
      <c r="H5" s="11" t="s">
        <v>131</v>
      </c>
      <c r="I5" s="11" t="b">
        <v>0</v>
      </c>
      <c r="J5" s="11" t="s">
        <v>95</v>
      </c>
      <c r="Q5" s="11" t="b">
        <v>1</v>
      </c>
    </row>
    <row r="6">
      <c r="A6" s="11" t="s">
        <v>132</v>
      </c>
      <c r="B6" s="11" t="s">
        <v>78</v>
      </c>
      <c r="C6" s="18">
        <v>45613.0</v>
      </c>
      <c r="D6" s="11" t="s">
        <v>127</v>
      </c>
      <c r="E6" s="11" t="s">
        <v>128</v>
      </c>
      <c r="G6" s="11" t="s">
        <v>135</v>
      </c>
      <c r="H6" s="11" t="s">
        <v>131</v>
      </c>
      <c r="I6" s="11" t="b">
        <v>0</v>
      </c>
      <c r="J6" s="11" t="s">
        <v>95</v>
      </c>
      <c r="O6" s="17"/>
      <c r="Q6" s="11" t="b">
        <v>1</v>
      </c>
    </row>
    <row r="7">
      <c r="A7" s="11" t="s">
        <v>139</v>
      </c>
      <c r="B7" s="11" t="s">
        <v>78</v>
      </c>
      <c r="C7" s="12">
        <v>45615.0</v>
      </c>
      <c r="D7" s="11" t="s">
        <v>104</v>
      </c>
      <c r="E7" s="11" t="s">
        <v>140</v>
      </c>
      <c r="G7" s="11" t="s">
        <v>142</v>
      </c>
      <c r="H7" s="11" t="s">
        <v>110</v>
      </c>
      <c r="I7" s="11" t="b">
        <v>1</v>
      </c>
      <c r="J7" s="11" t="s">
        <v>95</v>
      </c>
      <c r="P7" s="11">
        <v>1159257.0</v>
      </c>
      <c r="Q7" s="11" t="b">
        <v>1</v>
      </c>
    </row>
    <row r="8">
      <c r="A8" s="11" t="s">
        <v>144</v>
      </c>
      <c r="B8" s="11" t="s">
        <v>78</v>
      </c>
      <c r="C8" s="12">
        <v>45616.0</v>
      </c>
      <c r="D8" s="11" t="s">
        <v>85</v>
      </c>
      <c r="E8" s="11" t="s">
        <v>147</v>
      </c>
      <c r="G8" s="11" t="s">
        <v>148</v>
      </c>
      <c r="H8" s="11" t="s">
        <v>149</v>
      </c>
      <c r="I8" s="11" t="b">
        <v>1</v>
      </c>
      <c r="J8" s="11" t="s">
        <v>95</v>
      </c>
      <c r="P8" s="11">
        <v>1161077.0</v>
      </c>
      <c r="Q8" s="11" t="b">
        <v>1</v>
      </c>
    </row>
    <row r="9">
      <c r="A9" s="11" t="s">
        <v>152</v>
      </c>
      <c r="B9" s="11" t="s">
        <v>78</v>
      </c>
      <c r="C9" s="12">
        <v>45616.0</v>
      </c>
      <c r="D9" s="11" t="s">
        <v>104</v>
      </c>
      <c r="E9" s="11" t="s">
        <v>154</v>
      </c>
      <c r="G9" s="11" t="s">
        <v>155</v>
      </c>
      <c r="H9" s="11" t="s">
        <v>110</v>
      </c>
      <c r="I9" s="11" t="b">
        <v>1</v>
      </c>
      <c r="J9" s="11" t="s">
        <v>95</v>
      </c>
      <c r="P9" s="11">
        <v>1151075.0</v>
      </c>
      <c r="Q9" s="11" t="b">
        <v>1</v>
      </c>
    </row>
    <row r="10">
      <c r="A10" s="11" t="s">
        <v>158</v>
      </c>
      <c r="B10" s="11" t="s">
        <v>78</v>
      </c>
      <c r="C10" s="12">
        <v>45616.0</v>
      </c>
      <c r="D10" s="11" t="s">
        <v>85</v>
      </c>
      <c r="E10" s="11" t="s">
        <v>160</v>
      </c>
      <c r="G10" s="11" t="s">
        <v>162</v>
      </c>
      <c r="H10" s="11" t="s">
        <v>164</v>
      </c>
      <c r="I10" s="11" t="b">
        <v>1</v>
      </c>
      <c r="J10" s="11" t="s">
        <v>95</v>
      </c>
      <c r="P10" s="11">
        <v>1161070.0</v>
      </c>
      <c r="Q10" s="11" t="b">
        <v>1</v>
      </c>
    </row>
    <row r="11">
      <c r="A11" s="11" t="s">
        <v>166</v>
      </c>
      <c r="B11" s="11" t="s">
        <v>78</v>
      </c>
      <c r="C11" s="12">
        <v>45616.0</v>
      </c>
      <c r="D11" s="11" t="s">
        <v>168</v>
      </c>
      <c r="E11" s="11" t="s">
        <v>169</v>
      </c>
      <c r="G11" s="11" t="s">
        <v>171</v>
      </c>
      <c r="H11" s="11" t="s">
        <v>172</v>
      </c>
      <c r="I11" s="11" t="b">
        <v>1</v>
      </c>
      <c r="J11" s="11" t="s">
        <v>95</v>
      </c>
      <c r="P11" s="11">
        <v>1161096.0</v>
      </c>
      <c r="Q11" s="11" t="b">
        <v>1</v>
      </c>
    </row>
    <row r="12">
      <c r="A12" s="11" t="s">
        <v>177</v>
      </c>
      <c r="B12" s="11" t="s">
        <v>78</v>
      </c>
      <c r="C12" s="12">
        <v>45616.0</v>
      </c>
      <c r="D12" s="11" t="s">
        <v>168</v>
      </c>
      <c r="E12" s="11" t="s">
        <v>180</v>
      </c>
      <c r="G12" s="11" t="s">
        <v>181</v>
      </c>
      <c r="H12" s="11" t="s">
        <v>182</v>
      </c>
      <c r="I12" s="11" t="b">
        <v>1</v>
      </c>
      <c r="J12" s="11" t="s">
        <v>95</v>
      </c>
      <c r="P12" s="11">
        <v>1161104.0</v>
      </c>
      <c r="Q12" s="11" t="b">
        <v>1</v>
      </c>
    </row>
    <row r="13">
      <c r="A13" s="11" t="s">
        <v>183</v>
      </c>
      <c r="B13" s="11" t="s">
        <v>78</v>
      </c>
      <c r="C13" s="12">
        <v>45617.0</v>
      </c>
      <c r="D13" s="11" t="s">
        <v>185</v>
      </c>
      <c r="E13" s="11" t="s">
        <v>186</v>
      </c>
      <c r="G13" s="11" t="s">
        <v>188</v>
      </c>
      <c r="H13" s="11" t="s">
        <v>189</v>
      </c>
      <c r="I13" s="11" t="b">
        <v>1</v>
      </c>
      <c r="J13" s="11" t="s">
        <v>95</v>
      </c>
      <c r="P13" s="11">
        <v>1162374.0</v>
      </c>
      <c r="Q13" s="11" t="b">
        <v>1</v>
      </c>
    </row>
    <row r="14">
      <c r="A14" s="11" t="s">
        <v>194</v>
      </c>
      <c r="B14" s="11" t="s">
        <v>78</v>
      </c>
      <c r="C14" s="12">
        <v>45618.0</v>
      </c>
      <c r="D14" s="11" t="s">
        <v>197</v>
      </c>
      <c r="E14" s="11" t="s">
        <v>198</v>
      </c>
      <c r="G14" s="11" t="s">
        <v>200</v>
      </c>
      <c r="H14" s="11" t="s">
        <v>201</v>
      </c>
      <c r="I14" s="11" t="b">
        <v>1</v>
      </c>
      <c r="J14" s="11" t="s">
        <v>95</v>
      </c>
      <c r="P14" s="11">
        <v>1163483.0</v>
      </c>
      <c r="Q14" s="11" t="b">
        <v>1</v>
      </c>
    </row>
    <row r="15">
      <c r="A15" s="11" t="s">
        <v>205</v>
      </c>
      <c r="B15" s="11" t="s">
        <v>78</v>
      </c>
      <c r="C15" s="21">
        <v>45618.0</v>
      </c>
      <c r="D15" s="11" t="s">
        <v>85</v>
      </c>
      <c r="E15" s="11" t="s">
        <v>210</v>
      </c>
      <c r="G15" s="11" t="s">
        <v>211</v>
      </c>
      <c r="H15" s="11" t="s">
        <v>122</v>
      </c>
      <c r="I15" s="11" t="b">
        <v>1</v>
      </c>
      <c r="J15" s="11" t="s">
        <v>95</v>
      </c>
      <c r="P15" s="11">
        <v>1164346.0</v>
      </c>
      <c r="Q15" s="11" t="b">
        <v>1</v>
      </c>
    </row>
    <row r="16">
      <c r="A16" s="11" t="s">
        <v>215</v>
      </c>
      <c r="B16" s="11" t="s">
        <v>78</v>
      </c>
      <c r="C16" s="18">
        <v>45619.0</v>
      </c>
      <c r="D16" s="11" t="s">
        <v>217</v>
      </c>
      <c r="E16" s="11" t="s">
        <v>220</v>
      </c>
      <c r="G16" s="11" t="s">
        <v>221</v>
      </c>
      <c r="H16" s="11" t="s">
        <v>222</v>
      </c>
      <c r="I16" s="11" t="b">
        <v>1</v>
      </c>
      <c r="J16" s="11" t="s">
        <v>95</v>
      </c>
      <c r="P16" s="11">
        <v>1164773.0</v>
      </c>
      <c r="Q16" s="11" t="b">
        <v>1</v>
      </c>
    </row>
    <row r="17">
      <c r="A17" s="11" t="s">
        <v>224</v>
      </c>
      <c r="B17" s="11" t="s">
        <v>78</v>
      </c>
      <c r="C17" s="12">
        <v>45621.0</v>
      </c>
      <c r="D17" s="11" t="s">
        <v>228</v>
      </c>
      <c r="E17" s="11" t="s">
        <v>229</v>
      </c>
      <c r="G17" s="11" t="s">
        <v>230</v>
      </c>
      <c r="H17" s="11" t="s">
        <v>231</v>
      </c>
      <c r="I17" s="11" t="b">
        <v>0</v>
      </c>
      <c r="J17" s="11" t="s">
        <v>235</v>
      </c>
      <c r="Q17" s="11" t="b">
        <v>1</v>
      </c>
    </row>
    <row r="18">
      <c r="A18" s="11" t="s">
        <v>236</v>
      </c>
      <c r="B18" s="11" t="s">
        <v>78</v>
      </c>
      <c r="C18" s="12">
        <v>45616.0</v>
      </c>
      <c r="D18" s="11" t="s">
        <v>237</v>
      </c>
      <c r="E18" s="11" t="s">
        <v>238</v>
      </c>
      <c r="G18" s="11" t="s">
        <v>240</v>
      </c>
      <c r="H18" s="11" t="s">
        <v>241</v>
      </c>
      <c r="I18" s="11" t="b">
        <v>0</v>
      </c>
      <c r="J18" s="11" t="s">
        <v>213</v>
      </c>
      <c r="Q18" s="11" t="b">
        <v>1</v>
      </c>
    </row>
    <row r="19">
      <c r="A19" s="11" t="s">
        <v>244</v>
      </c>
      <c r="B19" s="11" t="s">
        <v>78</v>
      </c>
      <c r="C19" s="12">
        <v>45616.0</v>
      </c>
      <c r="D19" s="11" t="s">
        <v>237</v>
      </c>
      <c r="E19" s="11" t="s">
        <v>247</v>
      </c>
      <c r="G19" s="11" t="s">
        <v>248</v>
      </c>
      <c r="H19" s="11" t="s">
        <v>249</v>
      </c>
      <c r="I19" s="11" t="b">
        <v>0</v>
      </c>
      <c r="J19" s="11" t="s">
        <v>95</v>
      </c>
      <c r="L19" s="11" t="s">
        <v>250</v>
      </c>
      <c r="M19" s="11" t="s">
        <v>251</v>
      </c>
      <c r="Q19" s="11" t="b">
        <v>1</v>
      </c>
    </row>
    <row r="20">
      <c r="A20" s="11" t="s">
        <v>253</v>
      </c>
      <c r="B20" s="11" t="s">
        <v>78</v>
      </c>
      <c r="C20" s="12">
        <v>45621.0</v>
      </c>
      <c r="D20" s="11" t="s">
        <v>254</v>
      </c>
      <c r="E20" s="11" t="s">
        <v>255</v>
      </c>
      <c r="G20" s="11" t="s">
        <v>256</v>
      </c>
      <c r="H20" s="11" t="s">
        <v>257</v>
      </c>
      <c r="I20" s="11" t="b">
        <v>1</v>
      </c>
      <c r="J20" s="11" t="s">
        <v>235</v>
      </c>
      <c r="P20" s="11">
        <v>1170489.0</v>
      </c>
      <c r="Q20" s="11" t="b">
        <v>1</v>
      </c>
    </row>
    <row r="21">
      <c r="A21" s="11" t="s">
        <v>261</v>
      </c>
      <c r="B21" s="11" t="s">
        <v>78</v>
      </c>
      <c r="C21" s="12">
        <v>45622.0</v>
      </c>
      <c r="D21" s="11" t="s">
        <v>104</v>
      </c>
      <c r="E21" s="11" t="s">
        <v>264</v>
      </c>
      <c r="G21" s="11" t="s">
        <v>265</v>
      </c>
      <c r="H21" s="11" t="s">
        <v>267</v>
      </c>
      <c r="I21" s="11" t="b">
        <v>1</v>
      </c>
      <c r="J21" s="11" t="s">
        <v>95</v>
      </c>
      <c r="P21" s="11">
        <v>1170837.0</v>
      </c>
      <c r="Q21" s="11" t="b">
        <v>1</v>
      </c>
    </row>
    <row r="22">
      <c r="A22" s="11" t="s">
        <v>271</v>
      </c>
      <c r="B22" s="11" t="s">
        <v>78</v>
      </c>
      <c r="C22" s="12">
        <v>45620.0</v>
      </c>
      <c r="D22" s="11" t="s">
        <v>274</v>
      </c>
      <c r="E22" s="11" t="s">
        <v>275</v>
      </c>
      <c r="G22" s="11" t="s">
        <v>277</v>
      </c>
      <c r="H22" s="11" t="s">
        <v>279</v>
      </c>
      <c r="I22" s="11" t="b">
        <v>0</v>
      </c>
      <c r="J22" s="11" t="s">
        <v>235</v>
      </c>
      <c r="Q22" s="11" t="b">
        <v>1</v>
      </c>
    </row>
    <row r="23">
      <c r="A23" s="11" t="s">
        <v>283</v>
      </c>
      <c r="B23" s="11" t="s">
        <v>78</v>
      </c>
      <c r="C23" s="12">
        <v>45622.0</v>
      </c>
      <c r="D23" s="11" t="s">
        <v>285</v>
      </c>
      <c r="E23" s="11" t="s">
        <v>287</v>
      </c>
      <c r="G23" s="11" t="s">
        <v>288</v>
      </c>
      <c r="H23" s="11" t="s">
        <v>291</v>
      </c>
      <c r="I23" s="11" t="b">
        <v>0</v>
      </c>
      <c r="J23" s="11" t="s">
        <v>235</v>
      </c>
      <c r="Q23" s="11" t="b">
        <v>1</v>
      </c>
    </row>
    <row r="24">
      <c r="A24" s="11" t="s">
        <v>294</v>
      </c>
      <c r="B24" s="11" t="s">
        <v>78</v>
      </c>
      <c r="C24" s="12">
        <v>45622.0</v>
      </c>
      <c r="D24" s="11" t="s">
        <v>297</v>
      </c>
      <c r="E24" s="11" t="s">
        <v>299</v>
      </c>
      <c r="G24" s="11" t="s">
        <v>300</v>
      </c>
      <c r="H24" s="11" t="s">
        <v>131</v>
      </c>
      <c r="I24" s="11" t="b">
        <v>0</v>
      </c>
      <c r="J24" s="11" t="s">
        <v>235</v>
      </c>
      <c r="Q24" s="11" t="b">
        <v>1</v>
      </c>
    </row>
    <row r="25">
      <c r="A25" s="11" t="s">
        <v>305</v>
      </c>
      <c r="B25" s="11" t="s">
        <v>78</v>
      </c>
      <c r="C25" s="12">
        <v>45623.0</v>
      </c>
      <c r="D25" s="11" t="s">
        <v>237</v>
      </c>
      <c r="E25" s="11" t="s">
        <v>307</v>
      </c>
      <c r="G25" s="11" t="s">
        <v>309</v>
      </c>
      <c r="H25" s="11" t="s">
        <v>311</v>
      </c>
      <c r="I25" s="11" t="b">
        <v>0</v>
      </c>
      <c r="J25" s="11" t="s">
        <v>213</v>
      </c>
      <c r="L25" s="11" t="s">
        <v>313</v>
      </c>
      <c r="M25" s="11" t="s">
        <v>316</v>
      </c>
      <c r="Q25" s="11" t="b">
        <v>1</v>
      </c>
    </row>
    <row r="26">
      <c r="A26" s="11" t="s">
        <v>318</v>
      </c>
      <c r="B26" s="11" t="s">
        <v>78</v>
      </c>
      <c r="C26" s="12">
        <v>45625.0</v>
      </c>
      <c r="D26" s="11" t="s">
        <v>197</v>
      </c>
      <c r="E26" s="11" t="s">
        <v>321</v>
      </c>
      <c r="G26" s="11" t="s">
        <v>322</v>
      </c>
      <c r="H26" s="11" t="s">
        <v>325</v>
      </c>
      <c r="I26" s="11" t="b">
        <v>1</v>
      </c>
      <c r="J26" s="11" t="s">
        <v>95</v>
      </c>
      <c r="P26" s="11">
        <v>1.1765888E7</v>
      </c>
      <c r="Q26" s="11" t="b">
        <v>1</v>
      </c>
    </row>
    <row r="27">
      <c r="A27" s="11" t="s">
        <v>329</v>
      </c>
      <c r="B27" s="11" t="s">
        <v>78</v>
      </c>
      <c r="C27" s="12">
        <v>45626.0</v>
      </c>
      <c r="D27" s="11" t="s">
        <v>197</v>
      </c>
      <c r="E27" s="11" t="s">
        <v>331</v>
      </c>
      <c r="G27" s="11" t="s">
        <v>332</v>
      </c>
      <c r="H27" s="11" t="s">
        <v>335</v>
      </c>
      <c r="I27" s="11" t="b">
        <v>1</v>
      </c>
      <c r="J27" s="11" t="s">
        <v>95</v>
      </c>
      <c r="P27" s="11">
        <v>1178489.0</v>
      </c>
      <c r="Q27" s="11" t="b">
        <v>1</v>
      </c>
    </row>
    <row r="28">
      <c r="A28" s="11" t="s">
        <v>337</v>
      </c>
      <c r="B28" s="11" t="s">
        <v>78</v>
      </c>
      <c r="C28" s="18">
        <v>45628.0</v>
      </c>
      <c r="D28" s="11" t="s">
        <v>339</v>
      </c>
      <c r="E28" s="11" t="s">
        <v>341</v>
      </c>
      <c r="G28" s="11" t="s">
        <v>342</v>
      </c>
      <c r="H28" s="11" t="s">
        <v>344</v>
      </c>
      <c r="I28" s="11" t="b">
        <v>1</v>
      </c>
      <c r="J28" s="11" t="s">
        <v>95</v>
      </c>
      <c r="P28" s="11">
        <v>1183385.0</v>
      </c>
      <c r="Q28" s="11" t="b">
        <v>1</v>
      </c>
    </row>
    <row r="29">
      <c r="A29" s="11">
        <v>8.0950878E7</v>
      </c>
      <c r="B29" s="11" t="s">
        <v>78</v>
      </c>
      <c r="C29" s="12">
        <v>45617.0</v>
      </c>
      <c r="D29" s="11">
        <v>6.8893939E7</v>
      </c>
      <c r="E29" s="11" t="s">
        <v>352</v>
      </c>
      <c r="G29" s="11" t="s">
        <v>354</v>
      </c>
      <c r="H29" s="11" t="s">
        <v>355</v>
      </c>
      <c r="I29" s="11" t="b">
        <v>0</v>
      </c>
      <c r="J29" s="11" t="s">
        <v>95</v>
      </c>
      <c r="Q29" s="11" t="b">
        <v>1</v>
      </c>
    </row>
    <row r="30">
      <c r="A30" s="11" t="s">
        <v>358</v>
      </c>
      <c r="B30" s="11" t="s">
        <v>78</v>
      </c>
      <c r="C30" s="12">
        <v>45644.0</v>
      </c>
      <c r="D30" s="11" t="s">
        <v>237</v>
      </c>
      <c r="E30" s="11" t="s">
        <v>363</v>
      </c>
      <c r="G30" s="11" t="s">
        <v>365</v>
      </c>
      <c r="H30" s="11">
        <v>497.0</v>
      </c>
      <c r="I30" s="11" t="b">
        <v>0</v>
      </c>
      <c r="J30" s="11" t="s">
        <v>95</v>
      </c>
      <c r="Q30" s="11" t="b">
        <v>1</v>
      </c>
    </row>
    <row r="31">
      <c r="A31" s="11" t="s">
        <v>369</v>
      </c>
      <c r="B31" s="11" t="s">
        <v>78</v>
      </c>
      <c r="C31" s="12">
        <v>45625.0</v>
      </c>
      <c r="D31" s="11" t="s">
        <v>104</v>
      </c>
      <c r="E31" s="11" t="s">
        <v>377</v>
      </c>
      <c r="G31" s="11" t="s">
        <v>379</v>
      </c>
      <c r="H31" s="11" t="s">
        <v>380</v>
      </c>
      <c r="I31" s="11" t="b">
        <v>1</v>
      </c>
      <c r="J31" s="11" t="s">
        <v>95</v>
      </c>
      <c r="P31" s="11">
        <v>1176571.0</v>
      </c>
      <c r="Q31" s="11" t="b">
        <v>1</v>
      </c>
    </row>
    <row r="32">
      <c r="A32" s="11" t="s">
        <v>392</v>
      </c>
      <c r="B32" s="11" t="s">
        <v>78</v>
      </c>
      <c r="C32" s="12">
        <v>45626.0</v>
      </c>
      <c r="D32" s="11" t="s">
        <v>104</v>
      </c>
      <c r="E32" s="11" t="s">
        <v>397</v>
      </c>
      <c r="G32" s="11" t="s">
        <v>399</v>
      </c>
      <c r="H32" s="11" t="s">
        <v>380</v>
      </c>
      <c r="I32" s="11" t="b">
        <v>1</v>
      </c>
      <c r="J32" s="11" t="s">
        <v>95</v>
      </c>
      <c r="P32" s="11">
        <v>1177425.0</v>
      </c>
      <c r="Q32" s="11" t="b">
        <v>1</v>
      </c>
    </row>
    <row r="33">
      <c r="A33" s="11" t="s">
        <v>407</v>
      </c>
      <c r="B33" s="11" t="s">
        <v>78</v>
      </c>
      <c r="C33" s="12">
        <v>45626.0</v>
      </c>
      <c r="D33" s="11" t="s">
        <v>409</v>
      </c>
      <c r="E33" s="11" t="s">
        <v>411</v>
      </c>
      <c r="G33" s="11" t="s">
        <v>412</v>
      </c>
      <c r="H33" s="11" t="s">
        <v>380</v>
      </c>
      <c r="I33" s="11" t="b">
        <v>1</v>
      </c>
      <c r="J33" s="11" t="s">
        <v>95</v>
      </c>
      <c r="P33" s="11">
        <v>1178473.0</v>
      </c>
      <c r="Q33" s="11" t="b">
        <v>1</v>
      </c>
    </row>
    <row r="34">
      <c r="A34" s="11" t="s">
        <v>418</v>
      </c>
      <c r="B34" s="11" t="s">
        <v>78</v>
      </c>
      <c r="C34" s="18">
        <v>45628.0</v>
      </c>
      <c r="D34" s="11" t="s">
        <v>104</v>
      </c>
      <c r="E34" s="11" t="s">
        <v>421</v>
      </c>
      <c r="G34" s="11" t="s">
        <v>423</v>
      </c>
      <c r="H34" s="11" t="s">
        <v>380</v>
      </c>
      <c r="I34" s="11" t="b">
        <v>1</v>
      </c>
      <c r="J34" s="11" t="s">
        <v>95</v>
      </c>
      <c r="P34" s="11">
        <v>1182295.0</v>
      </c>
      <c r="Q34" s="11" t="b">
        <v>1</v>
      </c>
    </row>
    <row r="35">
      <c r="A35" s="11" t="s">
        <v>425</v>
      </c>
      <c r="B35" s="11" t="s">
        <v>78</v>
      </c>
      <c r="C35" s="12">
        <v>45625.0</v>
      </c>
      <c r="D35" s="11" t="s">
        <v>168</v>
      </c>
      <c r="E35" s="11" t="s">
        <v>427</v>
      </c>
      <c r="G35" s="11" t="s">
        <v>428</v>
      </c>
      <c r="H35" s="11" t="s">
        <v>429</v>
      </c>
      <c r="I35" s="11" t="b">
        <v>1</v>
      </c>
      <c r="J35" s="11" t="s">
        <v>95</v>
      </c>
      <c r="P35" s="11">
        <v>1176581.0</v>
      </c>
      <c r="Q35" s="11" t="b">
        <v>1</v>
      </c>
    </row>
    <row r="36">
      <c r="A36" s="11" t="s">
        <v>432</v>
      </c>
      <c r="B36" s="11" t="s">
        <v>78</v>
      </c>
      <c r="C36" s="18">
        <v>45628.0</v>
      </c>
      <c r="D36" s="11" t="s">
        <v>85</v>
      </c>
      <c r="E36" s="11" t="s">
        <v>435</v>
      </c>
      <c r="G36" s="11" t="s">
        <v>437</v>
      </c>
      <c r="H36" s="11" t="s">
        <v>438</v>
      </c>
      <c r="I36" s="11" t="b">
        <v>1</v>
      </c>
      <c r="J36" s="11" t="s">
        <v>95</v>
      </c>
      <c r="P36" s="11">
        <v>1184022.0</v>
      </c>
      <c r="Q36" s="11" t="b">
        <v>1</v>
      </c>
    </row>
    <row r="37">
      <c r="A37" s="11" t="s">
        <v>443</v>
      </c>
      <c r="B37" s="11" t="s">
        <v>78</v>
      </c>
      <c r="C37" s="18">
        <v>45630.0</v>
      </c>
      <c r="D37" s="11" t="s">
        <v>445</v>
      </c>
      <c r="E37" s="11" t="s">
        <v>447</v>
      </c>
      <c r="G37" s="11" t="s">
        <v>449</v>
      </c>
      <c r="H37" s="11" t="s">
        <v>450</v>
      </c>
      <c r="I37" s="11" t="b">
        <v>1</v>
      </c>
      <c r="J37" s="11" t="s">
        <v>95</v>
      </c>
      <c r="P37" s="11">
        <v>1185286.0</v>
      </c>
      <c r="Q37" s="11" t="b">
        <v>1</v>
      </c>
    </row>
    <row r="38">
      <c r="A38" s="11" t="s">
        <v>455</v>
      </c>
      <c r="B38" s="11" t="s">
        <v>78</v>
      </c>
      <c r="C38" s="18">
        <v>45633.0</v>
      </c>
      <c r="D38" s="11" t="s">
        <v>85</v>
      </c>
      <c r="E38" s="11" t="s">
        <v>456</v>
      </c>
      <c r="G38" s="11" t="s">
        <v>459</v>
      </c>
      <c r="H38" s="11" t="s">
        <v>460</v>
      </c>
      <c r="I38" s="11" t="b">
        <v>1</v>
      </c>
      <c r="J38" s="11" t="s">
        <v>95</v>
      </c>
      <c r="P38" s="11">
        <v>1190245.0</v>
      </c>
      <c r="Q38" s="11" t="b">
        <v>1</v>
      </c>
    </row>
    <row r="39">
      <c r="A39" s="11" t="s">
        <v>463</v>
      </c>
      <c r="B39" s="11" t="s">
        <v>78</v>
      </c>
      <c r="C39" s="18">
        <v>45633.0</v>
      </c>
      <c r="D39" s="11" t="s">
        <v>465</v>
      </c>
      <c r="E39" s="11" t="s">
        <v>466</v>
      </c>
      <c r="G39" s="11" t="s">
        <v>469</v>
      </c>
      <c r="H39" s="11" t="s">
        <v>470</v>
      </c>
      <c r="I39" s="11" t="b">
        <v>1</v>
      </c>
      <c r="J39" s="11" t="s">
        <v>95</v>
      </c>
      <c r="P39" s="11">
        <v>1190248.0</v>
      </c>
      <c r="Q39" s="11" t="b">
        <v>1</v>
      </c>
    </row>
    <row r="40">
      <c r="A40" s="11" t="s">
        <v>474</v>
      </c>
      <c r="B40" s="11" t="s">
        <v>78</v>
      </c>
      <c r="C40" s="18">
        <v>45634.0</v>
      </c>
      <c r="D40" s="11" t="s">
        <v>477</v>
      </c>
      <c r="E40" s="11" t="s">
        <v>479</v>
      </c>
      <c r="G40" s="11" t="s">
        <v>480</v>
      </c>
      <c r="H40" s="11" t="s">
        <v>483</v>
      </c>
      <c r="I40" s="11" t="b">
        <v>1</v>
      </c>
      <c r="J40" s="11" t="s">
        <v>95</v>
      </c>
      <c r="P40" s="11">
        <v>1188453.0</v>
      </c>
      <c r="Q40" s="11" t="b">
        <v>1</v>
      </c>
    </row>
    <row r="41">
      <c r="A41" s="11" t="s">
        <v>488</v>
      </c>
      <c r="B41" s="11" t="s">
        <v>78</v>
      </c>
      <c r="C41" s="18">
        <v>45632.0</v>
      </c>
      <c r="D41" s="11" t="s">
        <v>254</v>
      </c>
      <c r="E41" s="11" t="s">
        <v>493</v>
      </c>
      <c r="G41" s="11" t="s">
        <v>494</v>
      </c>
      <c r="H41" s="11" t="s">
        <v>380</v>
      </c>
      <c r="I41" s="11" t="b">
        <v>1</v>
      </c>
      <c r="J41" s="11" t="s">
        <v>95</v>
      </c>
      <c r="P41" s="11">
        <v>1188500.0</v>
      </c>
      <c r="Q41" s="11" t="b">
        <v>1</v>
      </c>
    </row>
    <row r="42">
      <c r="A42" s="11" t="s">
        <v>499</v>
      </c>
      <c r="B42" s="11" t="s">
        <v>78</v>
      </c>
      <c r="C42" s="18">
        <v>45631.0</v>
      </c>
      <c r="D42" s="11" t="s">
        <v>505</v>
      </c>
      <c r="E42" s="11" t="s">
        <v>506</v>
      </c>
      <c r="G42" s="11" t="s">
        <v>507</v>
      </c>
      <c r="H42" s="11" t="s">
        <v>508</v>
      </c>
      <c r="I42" s="11" t="b">
        <v>1</v>
      </c>
      <c r="J42" s="11" t="s">
        <v>95</v>
      </c>
      <c r="P42" s="11">
        <v>1188786.0</v>
      </c>
      <c r="Q42" s="11" t="b">
        <v>1</v>
      </c>
    </row>
    <row r="43">
      <c r="A43" s="11" t="s">
        <v>512</v>
      </c>
      <c r="B43" s="11" t="s">
        <v>78</v>
      </c>
      <c r="C43" s="18">
        <v>45630.0</v>
      </c>
      <c r="D43" s="11" t="s">
        <v>514</v>
      </c>
      <c r="E43" s="11" t="s">
        <v>517</v>
      </c>
      <c r="G43" s="11" t="s">
        <v>518</v>
      </c>
      <c r="H43" s="11" t="s">
        <v>519</v>
      </c>
      <c r="I43" s="11" t="b">
        <v>1</v>
      </c>
      <c r="J43" s="11" t="s">
        <v>95</v>
      </c>
      <c r="P43" s="11">
        <v>1185282.0</v>
      </c>
      <c r="Q43" s="11" t="b">
        <v>1</v>
      </c>
    </row>
    <row r="44">
      <c r="A44" s="11" t="s">
        <v>524</v>
      </c>
      <c r="B44" s="11" t="s">
        <v>78</v>
      </c>
      <c r="C44" s="18">
        <v>45631.0</v>
      </c>
      <c r="D44" s="11" t="s">
        <v>513</v>
      </c>
      <c r="E44" s="11" t="s">
        <v>528</v>
      </c>
      <c r="G44" s="11" t="s">
        <v>530</v>
      </c>
      <c r="H44" s="11" t="s">
        <v>531</v>
      </c>
      <c r="I44" s="11" t="b">
        <v>1</v>
      </c>
      <c r="J44" s="11" t="s">
        <v>95</v>
      </c>
      <c r="P44" s="11">
        <v>118607.0</v>
      </c>
      <c r="Q44" s="11" t="b">
        <v>1</v>
      </c>
    </row>
    <row r="45">
      <c r="A45" s="11" t="s">
        <v>534</v>
      </c>
      <c r="B45" s="11" t="s">
        <v>78</v>
      </c>
      <c r="C45" s="18">
        <v>45633.0</v>
      </c>
      <c r="D45" s="11" t="s">
        <v>537</v>
      </c>
      <c r="E45" s="11" t="s">
        <v>540</v>
      </c>
      <c r="G45" s="11" t="s">
        <v>541</v>
      </c>
      <c r="H45" s="11" t="s">
        <v>542</v>
      </c>
      <c r="I45" s="11" t="b">
        <v>0</v>
      </c>
      <c r="J45" s="11" t="s">
        <v>95</v>
      </c>
      <c r="Q45" s="11" t="b">
        <v>1</v>
      </c>
    </row>
    <row r="46">
      <c r="A46" s="11" t="s">
        <v>544</v>
      </c>
      <c r="B46" s="11" t="s">
        <v>78</v>
      </c>
      <c r="C46" s="18">
        <v>45632.0</v>
      </c>
      <c r="D46" s="11" t="s">
        <v>547</v>
      </c>
      <c r="E46" s="11" t="s">
        <v>548</v>
      </c>
      <c r="G46" s="11" t="s">
        <v>550</v>
      </c>
      <c r="H46" s="11" t="s">
        <v>553</v>
      </c>
      <c r="I46" s="11" t="b">
        <v>0</v>
      </c>
      <c r="J46" s="11" t="s">
        <v>95</v>
      </c>
      <c r="Q46" s="11" t="b">
        <v>1</v>
      </c>
    </row>
    <row r="47">
      <c r="A47" s="11" t="s">
        <v>557</v>
      </c>
      <c r="B47" s="11" t="s">
        <v>78</v>
      </c>
      <c r="C47" s="18">
        <v>45632.0</v>
      </c>
      <c r="D47" s="11" t="s">
        <v>237</v>
      </c>
      <c r="E47" s="11" t="s">
        <v>559</v>
      </c>
      <c r="G47" s="11" t="s">
        <v>560</v>
      </c>
      <c r="H47" s="11" t="s">
        <v>561</v>
      </c>
      <c r="I47" s="11" t="b">
        <v>0</v>
      </c>
      <c r="J47" s="11" t="s">
        <v>95</v>
      </c>
      <c r="Q47" s="11" t="b">
        <v>1</v>
      </c>
    </row>
    <row r="48">
      <c r="A48" s="11" t="s">
        <v>566</v>
      </c>
      <c r="B48" s="11" t="s">
        <v>78</v>
      </c>
      <c r="C48" s="18">
        <v>45633.0</v>
      </c>
      <c r="D48" s="11" t="s">
        <v>237</v>
      </c>
      <c r="E48" s="11" t="s">
        <v>571</v>
      </c>
      <c r="G48" s="11" t="s">
        <v>572</v>
      </c>
      <c r="H48" s="11" t="s">
        <v>573</v>
      </c>
      <c r="I48" s="11" t="b">
        <v>0</v>
      </c>
      <c r="J48" s="11" t="s">
        <v>95</v>
      </c>
      <c r="L48" s="11" t="s">
        <v>575</v>
      </c>
      <c r="Q48" s="11" t="b">
        <v>1</v>
      </c>
    </row>
    <row r="49">
      <c r="A49" s="11" t="s">
        <v>577</v>
      </c>
      <c r="B49" s="11" t="s">
        <v>78</v>
      </c>
      <c r="C49" s="12">
        <v>45626.0</v>
      </c>
      <c r="D49" s="11" t="s">
        <v>85</v>
      </c>
      <c r="E49" s="11" t="s">
        <v>581</v>
      </c>
      <c r="G49" s="11" t="s">
        <v>584</v>
      </c>
      <c r="H49" s="11" t="s">
        <v>586</v>
      </c>
      <c r="I49" s="11" t="b">
        <v>0</v>
      </c>
      <c r="J49" s="11" t="s">
        <v>235</v>
      </c>
      <c r="Q49" s="11" t="b">
        <v>1</v>
      </c>
    </row>
    <row r="50">
      <c r="A50" s="11" t="s">
        <v>590</v>
      </c>
      <c r="B50" s="11" t="s">
        <v>78</v>
      </c>
      <c r="C50" s="12">
        <v>45626.0</v>
      </c>
      <c r="D50" s="11" t="s">
        <v>85</v>
      </c>
      <c r="E50" s="11" t="s">
        <v>592</v>
      </c>
      <c r="G50" s="11" t="s">
        <v>593</v>
      </c>
      <c r="H50" s="11" t="s">
        <v>594</v>
      </c>
      <c r="I50" s="11" t="b">
        <v>0</v>
      </c>
      <c r="J50" s="11" t="s">
        <v>235</v>
      </c>
      <c r="Q50" s="11" t="b">
        <v>1</v>
      </c>
    </row>
    <row r="51">
      <c r="A51" s="11" t="s">
        <v>595</v>
      </c>
      <c r="B51" s="11" t="s">
        <v>78</v>
      </c>
      <c r="C51" s="12">
        <v>45625.0</v>
      </c>
      <c r="D51" s="11" t="s">
        <v>596</v>
      </c>
      <c r="E51" s="11" t="s">
        <v>597</v>
      </c>
      <c r="G51" s="11" t="s">
        <v>598</v>
      </c>
      <c r="H51" s="11" t="s">
        <v>599</v>
      </c>
      <c r="I51" s="11" t="b">
        <v>0</v>
      </c>
      <c r="J51" s="11" t="s">
        <v>235</v>
      </c>
      <c r="Q51" s="11" t="b">
        <v>1</v>
      </c>
    </row>
    <row r="52">
      <c r="A52" s="11" t="s">
        <v>600</v>
      </c>
      <c r="B52" s="11" t="s">
        <v>78</v>
      </c>
      <c r="C52" s="12">
        <v>45626.0</v>
      </c>
      <c r="D52" s="11" t="s">
        <v>274</v>
      </c>
      <c r="E52" s="11" t="s">
        <v>602</v>
      </c>
      <c r="G52" s="11" t="s">
        <v>603</v>
      </c>
      <c r="H52" s="11" t="s">
        <v>604</v>
      </c>
      <c r="I52" s="11" t="b">
        <v>0</v>
      </c>
      <c r="J52" s="11" t="s">
        <v>235</v>
      </c>
      <c r="Q52" s="11" t="b">
        <v>1</v>
      </c>
    </row>
    <row r="53">
      <c r="A53" s="11" t="s">
        <v>607</v>
      </c>
      <c r="B53" s="11" t="s">
        <v>78</v>
      </c>
      <c r="C53" s="12">
        <v>45623.0</v>
      </c>
      <c r="D53" s="11" t="s">
        <v>610</v>
      </c>
      <c r="E53" s="11" t="s">
        <v>611</v>
      </c>
      <c r="G53" s="11" t="s">
        <v>612</v>
      </c>
      <c r="H53" s="11" t="s">
        <v>613</v>
      </c>
      <c r="I53" s="11" t="b">
        <v>0</v>
      </c>
      <c r="J53" s="11" t="s">
        <v>235</v>
      </c>
      <c r="Q53" s="11" t="b">
        <v>1</v>
      </c>
    </row>
    <row r="54">
      <c r="A54" s="11" t="s">
        <v>616</v>
      </c>
      <c r="B54" s="11" t="s">
        <v>78</v>
      </c>
      <c r="C54" s="12">
        <v>45637.0</v>
      </c>
      <c r="D54" s="11" t="s">
        <v>617</v>
      </c>
      <c r="E54" s="11" t="s">
        <v>618</v>
      </c>
      <c r="G54" s="11" t="s">
        <v>620</v>
      </c>
      <c r="H54" s="11" t="s">
        <v>622</v>
      </c>
      <c r="I54" s="11" t="b">
        <v>1</v>
      </c>
      <c r="J54" s="11" t="s">
        <v>235</v>
      </c>
      <c r="P54" s="11">
        <v>1198015.0</v>
      </c>
      <c r="Q54" s="11" t="b">
        <v>1</v>
      </c>
    </row>
    <row r="55">
      <c r="A55" s="11" t="s">
        <v>626</v>
      </c>
      <c r="B55" s="11" t="s">
        <v>78</v>
      </c>
      <c r="C55" s="12">
        <v>45581.0</v>
      </c>
      <c r="D55" s="11" t="s">
        <v>629</v>
      </c>
      <c r="E55" s="11" t="s">
        <v>630</v>
      </c>
      <c r="G55" s="11" t="s">
        <v>631</v>
      </c>
      <c r="H55" s="11" t="s">
        <v>633</v>
      </c>
      <c r="I55" s="11" t="b">
        <v>0</v>
      </c>
      <c r="J55" s="11" t="s">
        <v>235</v>
      </c>
      <c r="Q55" s="11" t="b">
        <v>1</v>
      </c>
    </row>
    <row r="56">
      <c r="A56" s="11" t="s">
        <v>637</v>
      </c>
      <c r="B56" s="11" t="s">
        <v>78</v>
      </c>
      <c r="C56" s="18">
        <v>45600.0</v>
      </c>
      <c r="D56" s="11" t="s">
        <v>629</v>
      </c>
      <c r="E56" s="11" t="s">
        <v>640</v>
      </c>
      <c r="G56" s="11" t="s">
        <v>641</v>
      </c>
      <c r="H56" s="11" t="s">
        <v>633</v>
      </c>
      <c r="I56" s="11" t="b">
        <v>0</v>
      </c>
      <c r="J56" s="11" t="s">
        <v>235</v>
      </c>
      <c r="Q56" s="11" t="b">
        <v>1</v>
      </c>
    </row>
    <row r="57">
      <c r="A57" s="11" t="s">
        <v>647</v>
      </c>
      <c r="B57" s="11" t="s">
        <v>78</v>
      </c>
      <c r="C57" s="18">
        <v>45631.0</v>
      </c>
      <c r="D57" s="11">
        <v>6.8893939E7</v>
      </c>
      <c r="E57" s="11" t="s">
        <v>649</v>
      </c>
      <c r="G57" s="11" t="s">
        <v>651</v>
      </c>
      <c r="H57" s="11" t="s">
        <v>652</v>
      </c>
      <c r="I57" s="11" t="b">
        <v>0</v>
      </c>
      <c r="J57" s="11" t="s">
        <v>235</v>
      </c>
      <c r="Q57" s="11" t="b">
        <v>1</v>
      </c>
    </row>
    <row r="58">
      <c r="A58" s="11" t="s">
        <v>655</v>
      </c>
      <c r="B58" s="11" t="s">
        <v>78</v>
      </c>
      <c r="C58" s="12">
        <v>45636.0</v>
      </c>
      <c r="D58" s="11" t="s">
        <v>168</v>
      </c>
      <c r="E58" s="11" t="s">
        <v>657</v>
      </c>
      <c r="G58" s="11" t="s">
        <v>658</v>
      </c>
      <c r="H58" s="11" t="s">
        <v>659</v>
      </c>
      <c r="I58" s="11" t="b">
        <v>1</v>
      </c>
      <c r="J58" s="11" t="s">
        <v>95</v>
      </c>
      <c r="P58" s="11">
        <v>1195377.0</v>
      </c>
      <c r="Q58" s="11" t="b">
        <v>1</v>
      </c>
    </row>
    <row r="59">
      <c r="A59" s="11" t="s">
        <v>665</v>
      </c>
      <c r="B59" s="11" t="s">
        <v>78</v>
      </c>
      <c r="C59" s="12">
        <v>45641.0</v>
      </c>
      <c r="D59" s="11" t="s">
        <v>667</v>
      </c>
      <c r="E59" s="11" t="s">
        <v>670</v>
      </c>
      <c r="G59" s="11" t="s">
        <v>671</v>
      </c>
      <c r="H59" s="11" t="s">
        <v>672</v>
      </c>
      <c r="I59" s="11" t="b">
        <v>1</v>
      </c>
      <c r="J59" s="11" t="s">
        <v>95</v>
      </c>
      <c r="P59" s="11">
        <v>1204620.0</v>
      </c>
      <c r="Q59" s="11" t="b">
        <v>1</v>
      </c>
    </row>
    <row r="60">
      <c r="A60" s="11" t="s">
        <v>675</v>
      </c>
      <c r="B60" s="11" t="s">
        <v>78</v>
      </c>
      <c r="C60" s="12">
        <v>45640.0</v>
      </c>
      <c r="D60" s="11" t="s">
        <v>676</v>
      </c>
      <c r="E60" s="11" t="s">
        <v>679</v>
      </c>
      <c r="G60" s="11" t="s">
        <v>680</v>
      </c>
      <c r="H60" s="11" t="s">
        <v>682</v>
      </c>
      <c r="I60" s="11" t="b">
        <v>1</v>
      </c>
      <c r="J60" s="11" t="s">
        <v>95</v>
      </c>
      <c r="P60" s="11">
        <v>1201697.0</v>
      </c>
      <c r="Q60" s="11" t="b">
        <v>1</v>
      </c>
    </row>
    <row r="61">
      <c r="A61" s="11" t="s">
        <v>684</v>
      </c>
      <c r="B61" s="11" t="s">
        <v>78</v>
      </c>
      <c r="C61" s="12">
        <v>45639.0</v>
      </c>
      <c r="D61" s="11" t="s">
        <v>168</v>
      </c>
      <c r="E61" s="11" t="s">
        <v>689</v>
      </c>
      <c r="G61" s="11" t="s">
        <v>692</v>
      </c>
      <c r="H61" s="11" t="s">
        <v>693</v>
      </c>
      <c r="I61" s="11" t="b">
        <v>1</v>
      </c>
      <c r="J61" s="11" t="s">
        <v>95</v>
      </c>
      <c r="P61" s="11">
        <v>1199782.0</v>
      </c>
      <c r="Q61" s="11" t="b">
        <v>1</v>
      </c>
    </row>
    <row r="62">
      <c r="A62" s="11" t="s">
        <v>697</v>
      </c>
      <c r="B62" s="11" t="s">
        <v>78</v>
      </c>
      <c r="C62" s="12">
        <v>45644.0</v>
      </c>
      <c r="D62" s="11" t="s">
        <v>104</v>
      </c>
      <c r="E62" s="11" t="s">
        <v>700</v>
      </c>
      <c r="G62" s="11" t="s">
        <v>701</v>
      </c>
      <c r="H62" s="11" t="s">
        <v>702</v>
      </c>
      <c r="I62" s="11" t="b">
        <v>1</v>
      </c>
      <c r="J62" s="11" t="s">
        <v>95</v>
      </c>
      <c r="P62" s="11">
        <v>1209031.0</v>
      </c>
      <c r="Q62" s="11" t="b">
        <v>1</v>
      </c>
    </row>
    <row r="63">
      <c r="A63" s="11" t="s">
        <v>707</v>
      </c>
      <c r="B63" s="11" t="s">
        <v>78</v>
      </c>
      <c r="C63" s="12">
        <v>45644.0</v>
      </c>
      <c r="D63" s="11" t="s">
        <v>708</v>
      </c>
      <c r="E63" s="11" t="s">
        <v>710</v>
      </c>
      <c r="G63" s="11" t="s">
        <v>712</v>
      </c>
      <c r="H63" s="11" t="s">
        <v>713</v>
      </c>
      <c r="I63" s="11" t="b">
        <v>1</v>
      </c>
      <c r="J63" s="11" t="s">
        <v>95</v>
      </c>
      <c r="P63" s="11">
        <v>1209730.0</v>
      </c>
      <c r="Q63" s="11" t="b">
        <v>1</v>
      </c>
    </row>
    <row r="64">
      <c r="A64" s="11" t="s">
        <v>726</v>
      </c>
      <c r="B64" s="11" t="s">
        <v>78</v>
      </c>
      <c r="C64" s="12">
        <v>45645.0</v>
      </c>
      <c r="D64" s="11" t="s">
        <v>168</v>
      </c>
      <c r="E64" s="11" t="s">
        <v>729</v>
      </c>
      <c r="G64" s="11" t="s">
        <v>730</v>
      </c>
      <c r="H64" s="11" t="s">
        <v>732</v>
      </c>
      <c r="I64" s="11" t="b">
        <v>1</v>
      </c>
      <c r="J64" s="11" t="s">
        <v>95</v>
      </c>
      <c r="P64" s="11">
        <v>1211237.0</v>
      </c>
      <c r="Q64" s="11" t="b">
        <v>1</v>
      </c>
    </row>
    <row r="65">
      <c r="A65" s="11" t="s">
        <v>735</v>
      </c>
      <c r="B65" s="11" t="s">
        <v>78</v>
      </c>
      <c r="C65" s="12">
        <v>45645.0</v>
      </c>
      <c r="D65" s="11" t="s">
        <v>739</v>
      </c>
      <c r="E65" s="11" t="s">
        <v>742</v>
      </c>
      <c r="G65" s="11" t="s">
        <v>743</v>
      </c>
      <c r="H65" s="11" t="s">
        <v>744</v>
      </c>
      <c r="I65" s="11" t="b">
        <v>1</v>
      </c>
      <c r="J65" s="11" t="s">
        <v>95</v>
      </c>
      <c r="P65" s="11">
        <v>1210865.0</v>
      </c>
      <c r="Q65" s="11" t="b">
        <v>1</v>
      </c>
    </row>
    <row r="66">
      <c r="A66" s="11" t="s">
        <v>748</v>
      </c>
      <c r="B66" s="11" t="s">
        <v>78</v>
      </c>
      <c r="C66" s="12">
        <v>45642.0</v>
      </c>
      <c r="D66" s="11" t="s">
        <v>104</v>
      </c>
      <c r="E66" s="11" t="s">
        <v>751</v>
      </c>
      <c r="G66" s="11" t="s">
        <v>753</v>
      </c>
      <c r="H66" s="11" t="s">
        <v>754</v>
      </c>
      <c r="I66" s="11" t="b">
        <v>1</v>
      </c>
      <c r="J66" s="11" t="s">
        <v>95</v>
      </c>
      <c r="P66" s="11">
        <v>1205935.0</v>
      </c>
      <c r="Q66" s="11" t="b">
        <v>1</v>
      </c>
    </row>
    <row r="67">
      <c r="A67" s="11" t="s">
        <v>758</v>
      </c>
      <c r="B67" s="11" t="s">
        <v>78</v>
      </c>
      <c r="C67" s="12">
        <v>45645.0</v>
      </c>
      <c r="D67" s="11" t="s">
        <v>168</v>
      </c>
      <c r="E67" s="11" t="s">
        <v>762</v>
      </c>
      <c r="G67" s="11" t="s">
        <v>764</v>
      </c>
      <c r="H67" s="11" t="s">
        <v>766</v>
      </c>
      <c r="I67" s="11" t="b">
        <v>1</v>
      </c>
      <c r="J67" s="11" t="s">
        <v>95</v>
      </c>
      <c r="P67" s="11">
        <v>1211237.0</v>
      </c>
      <c r="Q67" s="11" t="b">
        <v>1</v>
      </c>
    </row>
    <row r="68">
      <c r="A68" s="11" t="s">
        <v>773</v>
      </c>
      <c r="B68" s="11" t="s">
        <v>78</v>
      </c>
      <c r="C68" s="12">
        <v>45645.0</v>
      </c>
      <c r="D68" s="11" t="s">
        <v>445</v>
      </c>
      <c r="E68" s="11" t="s">
        <v>777</v>
      </c>
      <c r="G68" s="11" t="s">
        <v>779</v>
      </c>
      <c r="H68" s="11" t="s">
        <v>781</v>
      </c>
      <c r="I68" s="11" t="b">
        <v>1</v>
      </c>
      <c r="J68" s="11" t="s">
        <v>95</v>
      </c>
      <c r="P68" s="11">
        <v>1210918.0</v>
      </c>
      <c r="Q68" s="11" t="b">
        <v>1</v>
      </c>
    </row>
    <row r="69">
      <c r="A69" s="11" t="s">
        <v>786</v>
      </c>
      <c r="B69" s="11" t="s">
        <v>78</v>
      </c>
      <c r="C69" s="12">
        <v>45645.0</v>
      </c>
      <c r="D69" s="11" t="s">
        <v>445</v>
      </c>
      <c r="E69" s="11" t="s">
        <v>777</v>
      </c>
      <c r="G69" s="11" t="s">
        <v>791</v>
      </c>
      <c r="H69" s="11" t="s">
        <v>781</v>
      </c>
      <c r="I69" s="11" t="b">
        <v>1</v>
      </c>
      <c r="J69" s="11" t="s">
        <v>95</v>
      </c>
      <c r="P69" s="11">
        <v>1210919.0</v>
      </c>
      <c r="Q69" s="11" t="b">
        <v>1</v>
      </c>
    </row>
    <row r="70">
      <c r="A70" s="11" t="s">
        <v>796</v>
      </c>
      <c r="B70" s="11" t="s">
        <v>78</v>
      </c>
      <c r="C70" s="12">
        <v>45636.0</v>
      </c>
      <c r="D70" s="11" t="s">
        <v>799</v>
      </c>
      <c r="E70" s="11" t="s">
        <v>801</v>
      </c>
      <c r="G70" s="11" t="s">
        <v>803</v>
      </c>
      <c r="H70" s="11" t="s">
        <v>805</v>
      </c>
      <c r="I70" s="11" t="b">
        <v>0</v>
      </c>
      <c r="J70" s="11" t="s">
        <v>95</v>
      </c>
      <c r="Q70" s="11" t="b">
        <v>1</v>
      </c>
    </row>
    <row r="71">
      <c r="A71" s="11" t="s">
        <v>808</v>
      </c>
      <c r="B71" s="11" t="s">
        <v>78</v>
      </c>
      <c r="C71" s="12">
        <v>45644.0</v>
      </c>
      <c r="D71" s="11" t="s">
        <v>793</v>
      </c>
      <c r="E71" s="11" t="s">
        <v>812</v>
      </c>
      <c r="G71" s="11" t="s">
        <v>813</v>
      </c>
      <c r="H71" s="11" t="s">
        <v>816</v>
      </c>
      <c r="I71" s="11" t="b">
        <v>0</v>
      </c>
      <c r="J71" s="11" t="s">
        <v>235</v>
      </c>
      <c r="Q71" s="11" t="b">
        <v>1</v>
      </c>
    </row>
    <row r="72">
      <c r="A72" s="11" t="s">
        <v>820</v>
      </c>
      <c r="B72" s="11" t="s">
        <v>78</v>
      </c>
      <c r="C72" s="12">
        <v>45645.0</v>
      </c>
      <c r="D72" s="11" t="s">
        <v>237</v>
      </c>
      <c r="E72" s="11" t="s">
        <v>823</v>
      </c>
      <c r="G72" s="11" t="s">
        <v>824</v>
      </c>
      <c r="H72" s="11" t="s">
        <v>826</v>
      </c>
      <c r="I72" s="11" t="b">
        <v>0</v>
      </c>
      <c r="J72" s="11" t="s">
        <v>95</v>
      </c>
      <c r="L72" s="11" t="s">
        <v>828</v>
      </c>
      <c r="Q72" s="11" t="b">
        <v>1</v>
      </c>
    </row>
    <row r="73">
      <c r="A73" s="11" t="s">
        <v>830</v>
      </c>
      <c r="B73" s="11" t="s">
        <v>78</v>
      </c>
      <c r="C73" s="12">
        <v>45645.0</v>
      </c>
      <c r="D73" s="11" t="s">
        <v>835</v>
      </c>
      <c r="E73" s="11" t="s">
        <v>837</v>
      </c>
      <c r="G73" s="11" t="s">
        <v>841</v>
      </c>
      <c r="H73" s="11" t="s">
        <v>843</v>
      </c>
      <c r="I73" s="11" t="b">
        <v>0</v>
      </c>
      <c r="J73" s="11" t="s">
        <v>95</v>
      </c>
      <c r="Q73" s="11" t="b">
        <v>1</v>
      </c>
    </row>
    <row r="74">
      <c r="A74" s="11" t="s">
        <v>844</v>
      </c>
      <c r="B74" s="11" t="s">
        <v>78</v>
      </c>
      <c r="C74" s="12">
        <v>45645.0</v>
      </c>
      <c r="D74" s="11" t="s">
        <v>676</v>
      </c>
      <c r="E74" s="11" t="s">
        <v>850</v>
      </c>
      <c r="G74" s="11" t="s">
        <v>852</v>
      </c>
      <c r="H74" s="11" t="s">
        <v>853</v>
      </c>
      <c r="I74" s="11" t="b">
        <v>1</v>
      </c>
      <c r="J74" s="11" t="s">
        <v>95</v>
      </c>
      <c r="P74" s="11">
        <v>1215239.0</v>
      </c>
      <c r="Q74" s="11" t="b">
        <v>1</v>
      </c>
    </row>
    <row r="75">
      <c r="A75" s="11" t="s">
        <v>856</v>
      </c>
      <c r="B75" s="11" t="s">
        <v>78</v>
      </c>
      <c r="C75" s="12">
        <v>45647.0</v>
      </c>
      <c r="D75" s="11" t="s">
        <v>676</v>
      </c>
      <c r="E75" s="11" t="s">
        <v>861</v>
      </c>
      <c r="G75" s="11" t="s">
        <v>863</v>
      </c>
      <c r="H75" s="11" t="s">
        <v>864</v>
      </c>
      <c r="I75" s="11" t="b">
        <v>1</v>
      </c>
      <c r="J75" s="11" t="s">
        <v>95</v>
      </c>
      <c r="P75" s="11">
        <v>1215238.0</v>
      </c>
      <c r="Q75" s="11" t="b">
        <v>1</v>
      </c>
    </row>
    <row r="76">
      <c r="A76" s="11" t="s">
        <v>869</v>
      </c>
      <c r="B76" s="11" t="s">
        <v>78</v>
      </c>
      <c r="C76" s="12">
        <v>45646.0</v>
      </c>
      <c r="D76" s="11" t="s">
        <v>513</v>
      </c>
      <c r="E76" s="11" t="s">
        <v>871</v>
      </c>
      <c r="G76" s="11" t="s">
        <v>873</v>
      </c>
      <c r="H76" s="11" t="s">
        <v>875</v>
      </c>
      <c r="I76" s="11" t="b">
        <v>1</v>
      </c>
      <c r="J76" s="11" t="s">
        <v>95</v>
      </c>
      <c r="P76" s="11">
        <v>1212919.0</v>
      </c>
      <c r="Q76" s="11" t="b">
        <v>1</v>
      </c>
    </row>
    <row r="77">
      <c r="A77" s="11" t="s">
        <v>880</v>
      </c>
      <c r="B77" s="11" t="s">
        <v>78</v>
      </c>
      <c r="C77" s="12">
        <v>45654.0</v>
      </c>
      <c r="D77" s="11" t="s">
        <v>885</v>
      </c>
      <c r="E77" s="11" t="s">
        <v>886</v>
      </c>
      <c r="G77" s="11" t="s">
        <v>888</v>
      </c>
      <c r="H77" s="11" t="s">
        <v>889</v>
      </c>
      <c r="I77" s="11" t="b">
        <v>1</v>
      </c>
      <c r="J77" s="11" t="s">
        <v>95</v>
      </c>
      <c r="P77" s="11">
        <v>1226710.0</v>
      </c>
      <c r="Q77" s="11" t="b">
        <v>1</v>
      </c>
    </row>
    <row r="78">
      <c r="A78" s="11" t="s">
        <v>895</v>
      </c>
      <c r="B78" s="11" t="s">
        <v>78</v>
      </c>
      <c r="C78" s="12">
        <v>45654.0</v>
      </c>
      <c r="D78" s="11" t="s">
        <v>104</v>
      </c>
      <c r="E78" s="11" t="s">
        <v>898</v>
      </c>
      <c r="G78" s="11" t="s">
        <v>899</v>
      </c>
      <c r="H78" s="11" t="s">
        <v>902</v>
      </c>
      <c r="I78" s="11" t="b">
        <v>1</v>
      </c>
      <c r="J78" s="11" t="s">
        <v>95</v>
      </c>
      <c r="P78" s="11">
        <v>1226719.0</v>
      </c>
      <c r="Q78" s="11" t="b">
        <v>1</v>
      </c>
    </row>
    <row r="79">
      <c r="A79" s="11" t="s">
        <v>907</v>
      </c>
      <c r="B79" s="11" t="s">
        <v>78</v>
      </c>
      <c r="C79" s="12">
        <v>45653.0</v>
      </c>
      <c r="D79" s="11" t="s">
        <v>104</v>
      </c>
      <c r="E79" s="11" t="s">
        <v>909</v>
      </c>
      <c r="G79" s="11" t="s">
        <v>912</v>
      </c>
      <c r="H79" s="11" t="s">
        <v>380</v>
      </c>
      <c r="I79" s="11" t="b">
        <v>1</v>
      </c>
      <c r="J79" s="11" t="s">
        <v>95</v>
      </c>
      <c r="P79" s="11">
        <v>1223465.0</v>
      </c>
      <c r="Q79" s="11" t="b">
        <v>1</v>
      </c>
    </row>
    <row r="80">
      <c r="A80" s="11" t="s">
        <v>918</v>
      </c>
      <c r="B80" s="11" t="s">
        <v>78</v>
      </c>
      <c r="C80" s="12">
        <v>45653.0</v>
      </c>
      <c r="D80" s="11" t="s">
        <v>274</v>
      </c>
      <c r="E80" s="11" t="s">
        <v>922</v>
      </c>
      <c r="G80" s="11" t="s">
        <v>923</v>
      </c>
      <c r="H80" s="11" t="s">
        <v>925</v>
      </c>
      <c r="I80" s="11" t="b">
        <v>1</v>
      </c>
      <c r="J80" s="11" t="s">
        <v>95</v>
      </c>
      <c r="P80" s="11">
        <v>124521.0</v>
      </c>
      <c r="Q80" s="11" t="b">
        <v>1</v>
      </c>
    </row>
    <row r="81">
      <c r="A81" s="11" t="s">
        <v>927</v>
      </c>
      <c r="B81" s="11" t="s">
        <v>78</v>
      </c>
      <c r="C81" s="12">
        <v>45652.0</v>
      </c>
      <c r="D81" s="11">
        <v>6.8893939E7</v>
      </c>
      <c r="E81" s="11" t="s">
        <v>930</v>
      </c>
      <c r="G81" s="11" t="s">
        <v>931</v>
      </c>
      <c r="H81" s="11" t="s">
        <v>933</v>
      </c>
      <c r="I81" s="11" t="b">
        <v>0</v>
      </c>
      <c r="J81" s="11" t="s">
        <v>95</v>
      </c>
      <c r="Q81" s="11" t="b">
        <v>1</v>
      </c>
    </row>
    <row r="82">
      <c r="A82" s="11" t="s">
        <v>936</v>
      </c>
      <c r="B82" s="11" t="s">
        <v>78</v>
      </c>
      <c r="C82" s="12">
        <v>45653.0</v>
      </c>
      <c r="D82" s="11" t="s">
        <v>237</v>
      </c>
      <c r="E82" s="11" t="s">
        <v>938</v>
      </c>
      <c r="G82" s="11" t="s">
        <v>940</v>
      </c>
      <c r="H82" s="11" t="s">
        <v>941</v>
      </c>
      <c r="I82" s="11" t="b">
        <v>0</v>
      </c>
      <c r="J82" s="11" t="s">
        <v>95</v>
      </c>
      <c r="Q82" s="11" t="b">
        <v>1</v>
      </c>
    </row>
    <row r="83">
      <c r="A83" s="11" t="s">
        <v>944</v>
      </c>
      <c r="B83" s="11" t="s">
        <v>78</v>
      </c>
      <c r="C83" s="12">
        <v>45653.0</v>
      </c>
      <c r="D83" s="11" t="s">
        <v>835</v>
      </c>
      <c r="E83" s="11" t="s">
        <v>949</v>
      </c>
      <c r="G83" s="11" t="s">
        <v>952</v>
      </c>
      <c r="H83" s="11" t="s">
        <v>954</v>
      </c>
      <c r="I83" s="11" t="b">
        <v>0</v>
      </c>
      <c r="J83" s="11" t="s">
        <v>95</v>
      </c>
      <c r="Q83" s="11" t="b">
        <v>1</v>
      </c>
    </row>
    <row r="84">
      <c r="A84" s="11" t="s">
        <v>959</v>
      </c>
      <c r="B84" s="11" t="s">
        <v>78</v>
      </c>
      <c r="C84" s="18">
        <v>45658.0</v>
      </c>
      <c r="D84" s="11" t="s">
        <v>962</v>
      </c>
      <c r="E84" s="11" t="s">
        <v>963</v>
      </c>
      <c r="G84" s="11" t="s">
        <v>965</v>
      </c>
      <c r="H84" s="11" t="s">
        <v>968</v>
      </c>
      <c r="I84" s="11" t="b">
        <v>1</v>
      </c>
      <c r="J84" s="11" t="s">
        <v>95</v>
      </c>
      <c r="P84" s="11">
        <v>1233509.0</v>
      </c>
      <c r="Q84" s="11" t="b">
        <v>1</v>
      </c>
    </row>
    <row r="85">
      <c r="A85" s="11" t="s">
        <v>970</v>
      </c>
      <c r="B85" s="11" t="s">
        <v>78</v>
      </c>
      <c r="C85" s="18">
        <v>45658.0</v>
      </c>
      <c r="D85" s="11" t="s">
        <v>885</v>
      </c>
      <c r="E85" s="11" t="s">
        <v>974</v>
      </c>
      <c r="G85" s="11" t="s">
        <v>978</v>
      </c>
      <c r="H85" s="11" t="s">
        <v>470</v>
      </c>
      <c r="I85" s="11" t="b">
        <v>1</v>
      </c>
      <c r="J85" s="11" t="s">
        <v>95</v>
      </c>
      <c r="P85" s="11">
        <v>1.233351E7</v>
      </c>
      <c r="Q85" s="11" t="b">
        <v>1</v>
      </c>
    </row>
    <row r="86">
      <c r="A86" s="11" t="s">
        <v>981</v>
      </c>
      <c r="B86" s="11" t="s">
        <v>78</v>
      </c>
      <c r="C86" s="18">
        <v>45659.0</v>
      </c>
      <c r="D86" s="11" t="s">
        <v>104</v>
      </c>
      <c r="E86" s="11" t="s">
        <v>984</v>
      </c>
      <c r="G86" s="11" t="s">
        <v>985</v>
      </c>
      <c r="H86" s="11" t="s">
        <v>987</v>
      </c>
      <c r="I86" s="11" t="b">
        <v>1</v>
      </c>
      <c r="J86" s="11" t="s">
        <v>95</v>
      </c>
      <c r="P86" s="11">
        <v>1234217.0</v>
      </c>
      <c r="Q86" s="11" t="b">
        <v>1</v>
      </c>
    </row>
    <row r="87">
      <c r="A87" s="11" t="s">
        <v>989</v>
      </c>
      <c r="B87" s="11" t="s">
        <v>78</v>
      </c>
      <c r="C87" s="18">
        <v>45659.0</v>
      </c>
      <c r="D87" s="11" t="s">
        <v>992</v>
      </c>
      <c r="E87" s="11" t="s">
        <v>994</v>
      </c>
      <c r="G87" s="11" t="s">
        <v>995</v>
      </c>
      <c r="H87" s="11" t="s">
        <v>335</v>
      </c>
      <c r="I87" s="11" t="b">
        <v>1</v>
      </c>
      <c r="J87" s="11" t="s">
        <v>95</v>
      </c>
      <c r="P87" s="11">
        <v>1234217.0</v>
      </c>
      <c r="Q87" s="11" t="b">
        <v>1</v>
      </c>
    </row>
    <row r="88">
      <c r="A88" s="11" t="s">
        <v>999</v>
      </c>
      <c r="B88" s="11" t="s">
        <v>78</v>
      </c>
      <c r="C88" s="18">
        <v>45660.0</v>
      </c>
      <c r="D88" s="11" t="s">
        <v>104</v>
      </c>
      <c r="E88" s="11" t="s">
        <v>1002</v>
      </c>
      <c r="G88" s="11" t="s">
        <v>1003</v>
      </c>
      <c r="H88" s="11" t="s">
        <v>1004</v>
      </c>
      <c r="I88" s="11" t="b">
        <v>1</v>
      </c>
      <c r="J88" s="11" t="s">
        <v>95</v>
      </c>
      <c r="P88" s="11">
        <v>1236933.0</v>
      </c>
      <c r="Q88" s="11" t="b">
        <v>1</v>
      </c>
    </row>
    <row r="89">
      <c r="A89" s="11" t="s">
        <v>1008</v>
      </c>
      <c r="B89" s="11" t="s">
        <v>78</v>
      </c>
      <c r="C89" s="18">
        <v>45659.0</v>
      </c>
      <c r="D89" s="11" t="s">
        <v>1011</v>
      </c>
      <c r="E89" s="11" t="s">
        <v>1012</v>
      </c>
      <c r="G89" s="11" t="s">
        <v>1014</v>
      </c>
      <c r="H89" s="11" t="s">
        <v>1016</v>
      </c>
      <c r="I89" s="11" t="b">
        <v>1</v>
      </c>
      <c r="J89" s="11" t="s">
        <v>95</v>
      </c>
      <c r="P89" s="11">
        <v>1236984.0</v>
      </c>
      <c r="Q89" s="11" t="b">
        <v>1</v>
      </c>
    </row>
    <row r="90">
      <c r="A90" s="11" t="s">
        <v>1019</v>
      </c>
      <c r="B90" s="11" t="s">
        <v>78</v>
      </c>
      <c r="C90" s="18">
        <v>45660.0</v>
      </c>
      <c r="D90" s="11" t="s">
        <v>513</v>
      </c>
      <c r="E90" s="11" t="s">
        <v>1021</v>
      </c>
      <c r="G90" s="11" t="s">
        <v>1024</v>
      </c>
      <c r="H90" s="11" t="s">
        <v>460</v>
      </c>
      <c r="I90" s="11" t="b">
        <v>1</v>
      </c>
      <c r="J90" s="11" t="s">
        <v>95</v>
      </c>
      <c r="P90" s="11">
        <v>1236929.0</v>
      </c>
      <c r="Q90" s="11" t="b">
        <v>1</v>
      </c>
    </row>
    <row r="91">
      <c r="A91" s="11" t="s">
        <v>1028</v>
      </c>
      <c r="B91" s="11" t="s">
        <v>78</v>
      </c>
      <c r="C91" s="18">
        <v>45665.0</v>
      </c>
      <c r="D91" s="11" t="s">
        <v>237</v>
      </c>
      <c r="E91" s="11" t="s">
        <v>1030</v>
      </c>
      <c r="G91" s="11" t="s">
        <v>1032</v>
      </c>
      <c r="H91" s="11" t="s">
        <v>1033</v>
      </c>
      <c r="I91" s="11" t="b">
        <v>0</v>
      </c>
      <c r="J91" s="11" t="s">
        <v>213</v>
      </c>
      <c r="Q91" s="11" t="b">
        <v>1</v>
      </c>
    </row>
    <row r="92">
      <c r="A92" s="11" t="s">
        <v>1036</v>
      </c>
      <c r="B92" s="11" t="s">
        <v>78</v>
      </c>
      <c r="C92" s="12">
        <v>45656.0</v>
      </c>
      <c r="D92" s="11" t="s">
        <v>835</v>
      </c>
      <c r="E92" s="11" t="s">
        <v>1038</v>
      </c>
      <c r="G92" s="11" t="s">
        <v>1040</v>
      </c>
      <c r="H92" s="11" t="s">
        <v>843</v>
      </c>
      <c r="I92" s="11" t="b">
        <v>0</v>
      </c>
      <c r="J92" s="11" t="s">
        <v>95</v>
      </c>
      <c r="Q92" s="11" t="b">
        <v>1</v>
      </c>
    </row>
    <row r="93">
      <c r="A93" s="11" t="s">
        <v>1044</v>
      </c>
      <c r="B93" s="11" t="s">
        <v>78</v>
      </c>
      <c r="C93" s="18">
        <v>45663.0</v>
      </c>
      <c r="D93" s="11" t="s">
        <v>1048</v>
      </c>
      <c r="E93" s="11" t="s">
        <v>1051</v>
      </c>
      <c r="G93" s="11" t="s">
        <v>1053</v>
      </c>
      <c r="H93" s="11" t="s">
        <v>1054</v>
      </c>
      <c r="I93" s="11" t="b">
        <v>1</v>
      </c>
      <c r="J93" s="11" t="s">
        <v>95</v>
      </c>
      <c r="P93" s="11">
        <v>1243531.0</v>
      </c>
      <c r="Q93" s="11" t="b">
        <v>1</v>
      </c>
    </row>
    <row r="94">
      <c r="A94" s="11" t="s">
        <v>1058</v>
      </c>
      <c r="B94" s="11" t="s">
        <v>78</v>
      </c>
      <c r="C94" s="18">
        <v>45663.0</v>
      </c>
      <c r="D94" s="11" t="s">
        <v>992</v>
      </c>
      <c r="E94" s="11" t="s">
        <v>1063</v>
      </c>
      <c r="G94" s="11" t="s">
        <v>1065</v>
      </c>
      <c r="H94" s="11" t="s">
        <v>1066</v>
      </c>
      <c r="I94" s="11" t="b">
        <v>1</v>
      </c>
      <c r="J94" s="11" t="s">
        <v>95</v>
      </c>
      <c r="P94" s="11">
        <v>1243529.0</v>
      </c>
      <c r="Q94" s="11" t="b">
        <v>1</v>
      </c>
    </row>
    <row r="95">
      <c r="A95" s="11" t="s">
        <v>1073</v>
      </c>
      <c r="B95" s="11" t="s">
        <v>78</v>
      </c>
      <c r="C95" s="18">
        <v>45663.0</v>
      </c>
      <c r="D95" s="11" t="s">
        <v>1076</v>
      </c>
      <c r="E95" s="11" t="s">
        <v>1078</v>
      </c>
      <c r="G95" s="11" t="s">
        <v>1079</v>
      </c>
      <c r="H95" s="11" t="s">
        <v>1081</v>
      </c>
      <c r="I95" s="11" t="b">
        <v>1</v>
      </c>
      <c r="J95" s="11" t="s">
        <v>95</v>
      </c>
      <c r="P95" s="11">
        <v>1243868.0</v>
      </c>
      <c r="Q95" s="11" t="b">
        <v>1</v>
      </c>
    </row>
    <row r="96">
      <c r="A96" s="11" t="s">
        <v>1082</v>
      </c>
      <c r="B96" s="11" t="s">
        <v>78</v>
      </c>
      <c r="C96" s="18">
        <v>45662.0</v>
      </c>
      <c r="D96" s="11" t="s">
        <v>168</v>
      </c>
      <c r="E96" s="11" t="s">
        <v>1085</v>
      </c>
      <c r="G96" s="11" t="s">
        <v>1087</v>
      </c>
      <c r="H96" s="11" t="s">
        <v>1089</v>
      </c>
      <c r="I96" s="11" t="b">
        <v>1</v>
      </c>
      <c r="J96" s="11" t="s">
        <v>95</v>
      </c>
      <c r="P96" s="11">
        <v>1242005.0</v>
      </c>
      <c r="Q96" s="11" t="b">
        <v>1</v>
      </c>
    </row>
    <row r="97">
      <c r="A97" s="11" t="s">
        <v>1093</v>
      </c>
      <c r="B97" s="11" t="s">
        <v>78</v>
      </c>
      <c r="C97" s="18">
        <v>45663.0</v>
      </c>
      <c r="D97" s="11" t="s">
        <v>1094</v>
      </c>
      <c r="E97" s="11" t="s">
        <v>1096</v>
      </c>
      <c r="G97" s="11" t="s">
        <v>1097</v>
      </c>
      <c r="H97" s="11" t="s">
        <v>1099</v>
      </c>
      <c r="I97" s="11" t="b">
        <v>1</v>
      </c>
      <c r="J97" s="11" t="s">
        <v>95</v>
      </c>
      <c r="P97" s="11">
        <v>1243594.0</v>
      </c>
      <c r="Q97" s="11" t="b">
        <v>1</v>
      </c>
    </row>
    <row r="98">
      <c r="A98" s="11" t="s">
        <v>1102</v>
      </c>
      <c r="B98" s="11" t="s">
        <v>78</v>
      </c>
      <c r="C98" s="18">
        <v>45663.0</v>
      </c>
      <c r="D98" s="11" t="s">
        <v>1105</v>
      </c>
      <c r="E98" s="11" t="s">
        <v>1106</v>
      </c>
      <c r="G98" s="11" t="s">
        <v>1107</v>
      </c>
      <c r="H98" s="11" t="s">
        <v>1110</v>
      </c>
      <c r="I98" s="11" t="b">
        <v>1</v>
      </c>
      <c r="J98" s="11" t="s">
        <v>95</v>
      </c>
      <c r="P98" s="11">
        <v>1243255.0</v>
      </c>
      <c r="Q98" s="11" t="b">
        <v>1</v>
      </c>
    </row>
    <row r="99">
      <c r="A99" s="11" t="s">
        <v>1115</v>
      </c>
      <c r="B99" s="11" t="s">
        <v>78</v>
      </c>
      <c r="C99" s="18">
        <v>45661.0</v>
      </c>
      <c r="D99" s="11" t="s">
        <v>1011</v>
      </c>
      <c r="E99" s="11" t="s">
        <v>1118</v>
      </c>
      <c r="G99" s="11" t="s">
        <v>1119</v>
      </c>
      <c r="H99" s="11" t="s">
        <v>1121</v>
      </c>
      <c r="I99" s="11" t="b">
        <v>1</v>
      </c>
      <c r="J99" s="11" t="s">
        <v>95</v>
      </c>
      <c r="P99" s="11">
        <v>1239499.0</v>
      </c>
      <c r="Q99" s="11" t="b">
        <v>1</v>
      </c>
    </row>
    <row r="100">
      <c r="A100" s="11" t="s">
        <v>1125</v>
      </c>
      <c r="B100" s="11" t="s">
        <v>78</v>
      </c>
      <c r="C100" s="18">
        <v>45663.0</v>
      </c>
      <c r="D100" s="11" t="s">
        <v>168</v>
      </c>
      <c r="E100" s="11" t="s">
        <v>1127</v>
      </c>
      <c r="G100" s="11" t="s">
        <v>1129</v>
      </c>
      <c r="H100" s="11" t="s">
        <v>1130</v>
      </c>
      <c r="I100" s="11" t="b">
        <v>1</v>
      </c>
      <c r="J100" s="11" t="s">
        <v>95</v>
      </c>
      <c r="P100" s="11">
        <v>1243575.0</v>
      </c>
      <c r="Q100" s="11" t="b">
        <v>1</v>
      </c>
    </row>
    <row r="101">
      <c r="A101" s="11" t="s">
        <v>1133</v>
      </c>
      <c r="B101" s="11" t="s">
        <v>78</v>
      </c>
      <c r="C101" s="12">
        <v>45656.0</v>
      </c>
      <c r="D101" s="11" t="s">
        <v>237</v>
      </c>
      <c r="E101" s="11" t="s">
        <v>1137</v>
      </c>
      <c r="G101" s="11" t="s">
        <v>1138</v>
      </c>
      <c r="H101" s="11" t="s">
        <v>1140</v>
      </c>
      <c r="I101" s="11" t="b">
        <v>0</v>
      </c>
      <c r="J101" s="11" t="s">
        <v>95</v>
      </c>
      <c r="L101" s="11" t="s">
        <v>1142</v>
      </c>
      <c r="Q101" s="11" t="b">
        <v>1</v>
      </c>
    </row>
    <row r="102">
      <c r="A102" s="11" t="s">
        <v>1144</v>
      </c>
      <c r="B102" s="11" t="s">
        <v>78</v>
      </c>
      <c r="C102" s="12">
        <v>45656.0</v>
      </c>
      <c r="D102" s="11" t="s">
        <v>835</v>
      </c>
      <c r="E102" s="11" t="s">
        <v>1038</v>
      </c>
      <c r="G102" s="11" t="s">
        <v>1147</v>
      </c>
      <c r="H102" s="11" t="s">
        <v>843</v>
      </c>
      <c r="I102" s="11" t="b">
        <v>0</v>
      </c>
      <c r="J102" s="11" t="s">
        <v>95</v>
      </c>
      <c r="Q102" s="11" t="b">
        <v>1</v>
      </c>
    </row>
    <row r="103">
      <c r="A103" s="11" t="s">
        <v>1152</v>
      </c>
      <c r="B103" s="11" t="s">
        <v>78</v>
      </c>
      <c r="C103" s="18">
        <v>45665.0</v>
      </c>
      <c r="D103" s="11" t="s">
        <v>1154</v>
      </c>
      <c r="E103" s="11" t="s">
        <v>1156</v>
      </c>
      <c r="G103" s="11" t="s">
        <v>1157</v>
      </c>
      <c r="H103" s="11" t="s">
        <v>1158</v>
      </c>
      <c r="I103" s="11" t="b">
        <v>1</v>
      </c>
      <c r="J103" s="11" t="s">
        <v>95</v>
      </c>
      <c r="P103" s="11">
        <v>1247725.0</v>
      </c>
      <c r="Q103" s="11" t="b">
        <v>1</v>
      </c>
    </row>
    <row r="104">
      <c r="A104" s="11" t="s">
        <v>1163</v>
      </c>
      <c r="B104" s="11" t="s">
        <v>78</v>
      </c>
      <c r="C104" s="18">
        <v>45665.0</v>
      </c>
      <c r="D104" s="11" t="s">
        <v>104</v>
      </c>
      <c r="E104" s="11" t="s">
        <v>1167</v>
      </c>
      <c r="G104" s="11" t="s">
        <v>1169</v>
      </c>
      <c r="H104" s="11" t="s">
        <v>1172</v>
      </c>
      <c r="I104" s="11" t="b">
        <v>1</v>
      </c>
      <c r="J104" s="11" t="s">
        <v>95</v>
      </c>
      <c r="P104" s="11">
        <v>1247730.0</v>
      </c>
      <c r="Q104" s="11" t="b">
        <v>1</v>
      </c>
    </row>
    <row r="105">
      <c r="A105" s="11" t="s">
        <v>1173</v>
      </c>
      <c r="B105" s="11" t="s">
        <v>78</v>
      </c>
      <c r="C105" s="18">
        <v>45663.0</v>
      </c>
      <c r="D105" s="11">
        <v>6.8893939E7</v>
      </c>
      <c r="E105" s="11" t="s">
        <v>1177</v>
      </c>
      <c r="G105" s="11" t="s">
        <v>1178</v>
      </c>
      <c r="H105" s="11" t="s">
        <v>1181</v>
      </c>
      <c r="I105" s="11" t="b">
        <v>0</v>
      </c>
      <c r="J105" s="11" t="s">
        <v>95</v>
      </c>
      <c r="Q105" s="11" t="b">
        <v>1</v>
      </c>
    </row>
    <row r="106">
      <c r="A106" s="11" t="s">
        <v>1183</v>
      </c>
      <c r="B106" s="11" t="s">
        <v>78</v>
      </c>
      <c r="C106" s="18">
        <v>45666.0</v>
      </c>
      <c r="D106" s="11" t="s">
        <v>168</v>
      </c>
      <c r="E106" s="11" t="s">
        <v>1188</v>
      </c>
      <c r="G106" s="11" t="s">
        <v>1190</v>
      </c>
      <c r="H106" s="11" t="s">
        <v>1193</v>
      </c>
      <c r="I106" s="11" t="b">
        <v>1</v>
      </c>
      <c r="J106" s="11" t="s">
        <v>95</v>
      </c>
      <c r="P106" s="11">
        <v>1249593.0</v>
      </c>
      <c r="Q106" s="11" t="b">
        <v>1</v>
      </c>
    </row>
    <row r="107">
      <c r="A107" s="11" t="s">
        <v>1198</v>
      </c>
      <c r="B107" s="11" t="s">
        <v>78</v>
      </c>
      <c r="C107" s="18">
        <v>45666.0</v>
      </c>
      <c r="D107" s="11" t="s">
        <v>1201</v>
      </c>
      <c r="E107" s="11" t="s">
        <v>1202</v>
      </c>
      <c r="G107" s="11" t="s">
        <v>1203</v>
      </c>
      <c r="H107" s="11" t="s">
        <v>1205</v>
      </c>
      <c r="I107" s="11" t="b">
        <v>1</v>
      </c>
      <c r="J107" s="11" t="s">
        <v>95</v>
      </c>
      <c r="P107" s="11">
        <v>1249727.0</v>
      </c>
      <c r="Q107" s="11" t="b">
        <v>1</v>
      </c>
    </row>
    <row r="108">
      <c r="A108" s="11" t="s">
        <v>1208</v>
      </c>
      <c r="B108" s="11" t="s">
        <v>78</v>
      </c>
      <c r="C108" s="18">
        <v>45667.0</v>
      </c>
      <c r="D108" s="11" t="s">
        <v>992</v>
      </c>
      <c r="E108" s="11" t="s">
        <v>1211</v>
      </c>
      <c r="G108" s="11" t="s">
        <v>1213</v>
      </c>
      <c r="H108" s="11" t="s">
        <v>1215</v>
      </c>
      <c r="I108" s="11" t="b">
        <v>1</v>
      </c>
      <c r="J108" s="11" t="s">
        <v>95</v>
      </c>
      <c r="P108" s="11">
        <v>1250786.0</v>
      </c>
      <c r="Q108" s="11" t="b">
        <v>1</v>
      </c>
    </row>
    <row r="109">
      <c r="A109" s="11" t="s">
        <v>1223</v>
      </c>
      <c r="B109" s="11" t="s">
        <v>78</v>
      </c>
      <c r="C109" s="18">
        <v>45668.0</v>
      </c>
      <c r="D109" s="11" t="s">
        <v>1011</v>
      </c>
      <c r="E109" s="11" t="s">
        <v>1227</v>
      </c>
      <c r="G109" s="11" t="s">
        <v>1228</v>
      </c>
      <c r="H109" s="11" t="s">
        <v>1230</v>
      </c>
      <c r="I109" s="11" t="b">
        <v>1</v>
      </c>
      <c r="J109" s="11" t="s">
        <v>95</v>
      </c>
      <c r="P109" s="11">
        <v>1253773.0</v>
      </c>
      <c r="Q109" s="11" t="b">
        <v>1</v>
      </c>
    </row>
    <row r="110">
      <c r="A110" s="11" t="s">
        <v>1232</v>
      </c>
      <c r="B110" s="11" t="s">
        <v>78</v>
      </c>
      <c r="C110" s="18">
        <v>45667.0</v>
      </c>
      <c r="D110" s="11">
        <v>6.8893939E7</v>
      </c>
      <c r="E110" s="11" t="s">
        <v>1233</v>
      </c>
      <c r="G110" s="11" t="s">
        <v>1236</v>
      </c>
      <c r="H110" s="11" t="s">
        <v>1237</v>
      </c>
      <c r="I110" s="11" t="b">
        <v>0</v>
      </c>
      <c r="J110" s="11" t="s">
        <v>95</v>
      </c>
      <c r="Q110" s="11" t="b">
        <v>1</v>
      </c>
    </row>
    <row r="111">
      <c r="A111" s="11">
        <v>9.3234044E7</v>
      </c>
      <c r="B111" s="11" t="s">
        <v>78</v>
      </c>
      <c r="C111" s="18">
        <v>45671.0</v>
      </c>
      <c r="D111" s="11" t="s">
        <v>274</v>
      </c>
      <c r="E111" s="11" t="s">
        <v>1243</v>
      </c>
      <c r="G111" s="11" t="s">
        <v>1244</v>
      </c>
      <c r="H111" s="11" t="s">
        <v>1247</v>
      </c>
      <c r="I111" s="11" t="b">
        <v>1</v>
      </c>
      <c r="J111" s="11" t="s">
        <v>95</v>
      </c>
      <c r="P111" s="11">
        <v>1259641.0</v>
      </c>
      <c r="Q111" s="11" t="b">
        <v>1</v>
      </c>
    </row>
    <row r="112">
      <c r="A112" s="11" t="s">
        <v>1250</v>
      </c>
      <c r="B112" s="11" t="s">
        <v>78</v>
      </c>
      <c r="C112" s="18">
        <v>45671.0</v>
      </c>
      <c r="D112" s="11" t="s">
        <v>1251</v>
      </c>
      <c r="E112" s="11" t="s">
        <v>1252</v>
      </c>
      <c r="G112" s="11" t="s">
        <v>1253</v>
      </c>
      <c r="H112" s="11" t="s">
        <v>1254</v>
      </c>
      <c r="I112" s="11" t="b">
        <v>1</v>
      </c>
      <c r="J112" s="11" t="s">
        <v>95</v>
      </c>
      <c r="P112" s="11">
        <v>1259646.0</v>
      </c>
      <c r="Q112" s="11" t="b">
        <v>1</v>
      </c>
    </row>
    <row r="113">
      <c r="A113" s="11" t="s">
        <v>1259</v>
      </c>
      <c r="B113" s="11" t="s">
        <v>78</v>
      </c>
      <c r="C113" s="18">
        <v>45671.0</v>
      </c>
      <c r="D113" s="11" t="s">
        <v>104</v>
      </c>
      <c r="E113" s="11" t="s">
        <v>1261</v>
      </c>
      <c r="G113" s="11" t="s">
        <v>1263</v>
      </c>
      <c r="H113" s="11" t="s">
        <v>902</v>
      </c>
      <c r="I113" s="11" t="b">
        <v>1</v>
      </c>
      <c r="J113" s="11" t="s">
        <v>95</v>
      </c>
      <c r="P113" s="11">
        <v>1259939.0</v>
      </c>
      <c r="Q113" s="11" t="b">
        <v>1</v>
      </c>
    </row>
    <row r="114">
      <c r="A114" s="11" t="s">
        <v>1268</v>
      </c>
      <c r="B114" s="11" t="s">
        <v>78</v>
      </c>
      <c r="C114" s="18">
        <v>45672.0</v>
      </c>
      <c r="D114" s="11" t="s">
        <v>992</v>
      </c>
      <c r="E114" s="11" t="s">
        <v>1272</v>
      </c>
      <c r="G114" s="11" t="s">
        <v>1274</v>
      </c>
      <c r="H114" s="11" t="s">
        <v>1275</v>
      </c>
      <c r="I114" s="11" t="b">
        <v>1</v>
      </c>
      <c r="J114" s="11" t="s">
        <v>95</v>
      </c>
      <c r="P114" s="11">
        <v>1261372.0</v>
      </c>
      <c r="Q114" s="11" t="b">
        <v>1</v>
      </c>
    </row>
    <row r="115">
      <c r="A115" s="11" t="s">
        <v>1280</v>
      </c>
      <c r="B115" s="11" t="s">
        <v>78</v>
      </c>
      <c r="C115" s="18">
        <v>45672.0</v>
      </c>
      <c r="D115" s="11" t="s">
        <v>1154</v>
      </c>
      <c r="E115" s="11" t="s">
        <v>1285</v>
      </c>
      <c r="G115" s="11" t="s">
        <v>1286</v>
      </c>
      <c r="H115" s="11" t="s">
        <v>781</v>
      </c>
      <c r="I115" s="11" t="b">
        <v>1</v>
      </c>
      <c r="J115" s="11" t="s">
        <v>95</v>
      </c>
      <c r="P115" s="11">
        <v>1261559.0</v>
      </c>
      <c r="Q115" s="11" t="b">
        <v>1</v>
      </c>
    </row>
    <row r="116">
      <c r="A116" s="11" t="s">
        <v>1291</v>
      </c>
      <c r="B116" s="11" t="s">
        <v>78</v>
      </c>
      <c r="C116" s="18">
        <v>45672.0</v>
      </c>
      <c r="D116" s="11" t="s">
        <v>1293</v>
      </c>
      <c r="E116" s="11" t="s">
        <v>1294</v>
      </c>
      <c r="G116" s="11" t="s">
        <v>1295</v>
      </c>
      <c r="H116" s="11" t="s">
        <v>1297</v>
      </c>
      <c r="I116" s="11" t="b">
        <v>1</v>
      </c>
      <c r="J116" s="11" t="s">
        <v>95</v>
      </c>
      <c r="P116" s="11">
        <v>1261557.0</v>
      </c>
      <c r="Q116" s="11" t="b">
        <v>1</v>
      </c>
    </row>
    <row r="117">
      <c r="A117" s="11" t="s">
        <v>1300</v>
      </c>
      <c r="B117" s="11" t="s">
        <v>78</v>
      </c>
      <c r="C117" s="18">
        <v>45672.0</v>
      </c>
      <c r="D117" s="11" t="s">
        <v>708</v>
      </c>
      <c r="E117" s="11" t="s">
        <v>1304</v>
      </c>
      <c r="G117" s="11" t="s">
        <v>1306</v>
      </c>
      <c r="H117" s="11" t="s">
        <v>1308</v>
      </c>
      <c r="I117" s="11" t="b">
        <v>1</v>
      </c>
      <c r="J117" s="11" t="s">
        <v>95</v>
      </c>
      <c r="P117" s="11">
        <v>1261376.0</v>
      </c>
      <c r="Q117" s="11" t="b">
        <v>1</v>
      </c>
    </row>
    <row r="118">
      <c r="A118" s="11" t="s">
        <v>1311</v>
      </c>
      <c r="B118" s="11" t="s">
        <v>78</v>
      </c>
      <c r="C118" s="18">
        <v>45670.0</v>
      </c>
      <c r="D118" s="11" t="s">
        <v>237</v>
      </c>
      <c r="E118" s="11" t="s">
        <v>1315</v>
      </c>
      <c r="G118" s="11" t="s">
        <v>1316</v>
      </c>
      <c r="H118" s="11" t="s">
        <v>1318</v>
      </c>
      <c r="I118" s="11" t="b">
        <v>0</v>
      </c>
      <c r="J118" s="11" t="s">
        <v>95</v>
      </c>
      <c r="Q118" s="11" t="b">
        <v>1</v>
      </c>
    </row>
    <row r="119">
      <c r="A119" s="11" t="s">
        <v>1319</v>
      </c>
      <c r="B119" s="11" t="s">
        <v>78</v>
      </c>
      <c r="C119" s="18">
        <v>45670.0</v>
      </c>
      <c r="D119" s="11" t="s">
        <v>835</v>
      </c>
      <c r="E119" s="11" t="s">
        <v>1324</v>
      </c>
      <c r="G119" s="11" t="s">
        <v>1325</v>
      </c>
      <c r="H119" s="11" t="s">
        <v>843</v>
      </c>
      <c r="I119" s="11" t="b">
        <v>0</v>
      </c>
      <c r="J119" s="11" t="s">
        <v>95</v>
      </c>
      <c r="Q119" s="11" t="b">
        <v>1</v>
      </c>
    </row>
    <row r="120">
      <c r="A120" s="11" t="s">
        <v>1329</v>
      </c>
      <c r="B120" s="11" t="s">
        <v>78</v>
      </c>
      <c r="C120" s="18">
        <v>45671.0</v>
      </c>
      <c r="D120" s="11" t="s">
        <v>237</v>
      </c>
      <c r="E120" s="11" t="s">
        <v>1331</v>
      </c>
      <c r="G120" s="11" t="s">
        <v>1332</v>
      </c>
      <c r="H120" s="11" t="s">
        <v>1334</v>
      </c>
      <c r="I120" s="11" t="b">
        <v>0</v>
      </c>
      <c r="J120" s="11" t="s">
        <v>95</v>
      </c>
      <c r="Q120" s="11" t="b">
        <v>1</v>
      </c>
    </row>
    <row r="121">
      <c r="A121" s="11" t="s">
        <v>1337</v>
      </c>
      <c r="B121" s="11" t="s">
        <v>78</v>
      </c>
      <c r="C121" s="18">
        <v>45671.0</v>
      </c>
      <c r="D121" s="11" t="s">
        <v>835</v>
      </c>
      <c r="E121" s="11" t="s">
        <v>1340</v>
      </c>
      <c r="G121" s="11" t="s">
        <v>1342</v>
      </c>
      <c r="H121" s="11" t="s">
        <v>843</v>
      </c>
      <c r="I121" s="11" t="b">
        <v>0</v>
      </c>
      <c r="J121" s="11" t="s">
        <v>95</v>
      </c>
      <c r="Q121" s="11" t="b">
        <v>1</v>
      </c>
    </row>
    <row r="122">
      <c r="A122" s="11" t="s">
        <v>1345</v>
      </c>
      <c r="B122" s="11" t="s">
        <v>78</v>
      </c>
      <c r="C122" s="18">
        <v>45673.0</v>
      </c>
      <c r="D122" s="11" t="s">
        <v>513</v>
      </c>
      <c r="E122" s="11" t="s">
        <v>1347</v>
      </c>
      <c r="G122" s="11" t="s">
        <v>1349</v>
      </c>
      <c r="H122" s="11" t="s">
        <v>1350</v>
      </c>
      <c r="I122" s="11" t="b">
        <v>0</v>
      </c>
      <c r="J122" s="11" t="s">
        <v>95</v>
      </c>
      <c r="Q122" s="11" t="b">
        <v>1</v>
      </c>
    </row>
    <row r="123">
      <c r="A123" s="11" t="s">
        <v>1353</v>
      </c>
      <c r="B123" s="11" t="s">
        <v>78</v>
      </c>
      <c r="C123" s="18">
        <v>45673.0</v>
      </c>
      <c r="D123" s="11" t="s">
        <v>237</v>
      </c>
      <c r="E123" s="11" t="s">
        <v>1355</v>
      </c>
      <c r="G123" s="11" t="s">
        <v>1357</v>
      </c>
      <c r="H123" s="11" t="s">
        <v>1359</v>
      </c>
      <c r="I123" s="11" t="b">
        <v>0</v>
      </c>
      <c r="J123" s="11" t="s">
        <v>95</v>
      </c>
      <c r="L123" s="11" t="s">
        <v>1362</v>
      </c>
      <c r="M123" s="11" t="s">
        <v>1363</v>
      </c>
      <c r="Q123" s="11" t="b">
        <v>1</v>
      </c>
    </row>
    <row r="124">
      <c r="A124" s="11" t="s">
        <v>1364</v>
      </c>
      <c r="B124" s="11" t="s">
        <v>78</v>
      </c>
      <c r="C124" s="18">
        <v>45673.0</v>
      </c>
      <c r="D124" s="11" t="s">
        <v>835</v>
      </c>
      <c r="E124" s="11" t="s">
        <v>1366</v>
      </c>
      <c r="G124" s="11" t="s">
        <v>1368</v>
      </c>
      <c r="H124" s="11" t="s">
        <v>843</v>
      </c>
      <c r="I124" s="11" t="b">
        <v>0</v>
      </c>
      <c r="J124" s="11" t="s">
        <v>95</v>
      </c>
      <c r="Q124" s="11" t="b">
        <v>1</v>
      </c>
    </row>
    <row r="125">
      <c r="A125" s="11" t="s">
        <v>1371</v>
      </c>
      <c r="B125" s="11" t="s">
        <v>78</v>
      </c>
      <c r="C125" s="18">
        <v>45673.0</v>
      </c>
      <c r="D125" s="11" t="s">
        <v>104</v>
      </c>
      <c r="E125" s="11" t="s">
        <v>1373</v>
      </c>
      <c r="G125" s="11" t="s">
        <v>1376</v>
      </c>
      <c r="H125" s="11" t="s">
        <v>1375</v>
      </c>
      <c r="I125" s="11" t="b">
        <v>1</v>
      </c>
      <c r="J125" s="11" t="s">
        <v>95</v>
      </c>
      <c r="P125" s="11">
        <v>1265135.0</v>
      </c>
      <c r="Q125" s="11" t="b">
        <v>1</v>
      </c>
    </row>
    <row r="126">
      <c r="A126" s="11" t="s">
        <v>1379</v>
      </c>
      <c r="B126" s="11" t="s">
        <v>78</v>
      </c>
      <c r="C126" s="18">
        <v>45675.0</v>
      </c>
      <c r="D126" s="11" t="s">
        <v>104</v>
      </c>
      <c r="E126" s="11" t="s">
        <v>1381</v>
      </c>
      <c r="G126" s="11" t="s">
        <v>1385</v>
      </c>
      <c r="H126" s="11" t="s">
        <v>1382</v>
      </c>
      <c r="I126" s="11" t="b">
        <v>1</v>
      </c>
      <c r="J126" s="11" t="s">
        <v>95</v>
      </c>
      <c r="P126" s="11">
        <v>1269261.0</v>
      </c>
      <c r="Q126" s="11" t="b">
        <v>1</v>
      </c>
    </row>
    <row r="127">
      <c r="A127" s="11" t="s">
        <v>1390</v>
      </c>
      <c r="B127" s="11" t="s">
        <v>78</v>
      </c>
      <c r="C127" s="18">
        <v>45675.0</v>
      </c>
      <c r="D127" s="11" t="s">
        <v>1394</v>
      </c>
      <c r="E127" s="11" t="s">
        <v>1395</v>
      </c>
      <c r="G127" s="11" t="s">
        <v>1398</v>
      </c>
      <c r="H127" s="11" t="s">
        <v>1396</v>
      </c>
      <c r="I127" s="11" t="b">
        <v>1</v>
      </c>
      <c r="J127" s="11" t="s">
        <v>95</v>
      </c>
      <c r="P127" s="11">
        <v>1269264.0</v>
      </c>
      <c r="Q127" s="11" t="b">
        <v>1</v>
      </c>
    </row>
    <row r="128">
      <c r="A128" s="11" t="s">
        <v>1402</v>
      </c>
      <c r="B128" s="11" t="s">
        <v>78</v>
      </c>
      <c r="C128" s="18">
        <v>45681.0</v>
      </c>
      <c r="D128" s="11" t="s">
        <v>513</v>
      </c>
      <c r="E128" s="11" t="s">
        <v>1404</v>
      </c>
      <c r="G128" s="11" t="s">
        <v>1407</v>
      </c>
      <c r="H128" s="11" t="s">
        <v>1406</v>
      </c>
      <c r="I128" s="11" t="b">
        <v>1</v>
      </c>
      <c r="J128" s="11" t="s">
        <v>95</v>
      </c>
      <c r="P128" s="11">
        <v>1278152.0</v>
      </c>
      <c r="Q128" s="11" t="b">
        <v>1</v>
      </c>
    </row>
    <row r="129">
      <c r="A129" s="11" t="s">
        <v>1410</v>
      </c>
      <c r="B129" s="11" t="s">
        <v>78</v>
      </c>
      <c r="C129" s="18">
        <v>45681.0</v>
      </c>
      <c r="D129" s="11" t="s">
        <v>197</v>
      </c>
      <c r="E129" s="11" t="s">
        <v>1414</v>
      </c>
      <c r="G129" s="11" t="s">
        <v>1417</v>
      </c>
      <c r="H129" s="11" t="s">
        <v>1416</v>
      </c>
      <c r="I129" s="11" t="b">
        <v>1</v>
      </c>
      <c r="J129" s="11" t="s">
        <v>95</v>
      </c>
      <c r="P129" s="11">
        <v>1278303.0</v>
      </c>
      <c r="Q129" s="11" t="b">
        <v>1</v>
      </c>
    </row>
    <row r="130">
      <c r="A130" s="11" t="s">
        <v>1421</v>
      </c>
      <c r="B130" s="11" t="s">
        <v>78</v>
      </c>
      <c r="C130" s="18">
        <v>45681.0</v>
      </c>
      <c r="D130" s="11" t="s">
        <v>104</v>
      </c>
      <c r="E130" s="11" t="s">
        <v>1423</v>
      </c>
      <c r="G130" s="11" t="s">
        <v>1427</v>
      </c>
      <c r="H130" s="11" t="s">
        <v>1425</v>
      </c>
      <c r="I130" s="11" t="b">
        <v>1</v>
      </c>
      <c r="J130" s="11" t="s">
        <v>95</v>
      </c>
      <c r="P130" s="11">
        <v>128414.0</v>
      </c>
      <c r="Q130" s="11" t="b">
        <v>1</v>
      </c>
    </row>
    <row r="131">
      <c r="A131" s="11" t="s">
        <v>1430</v>
      </c>
      <c r="B131" s="11" t="s">
        <v>78</v>
      </c>
      <c r="C131" s="18">
        <v>45682.0</v>
      </c>
      <c r="D131" s="11" t="s">
        <v>1011</v>
      </c>
      <c r="E131" s="11" t="s">
        <v>1432</v>
      </c>
      <c r="G131" s="11" t="s">
        <v>1435</v>
      </c>
      <c r="H131" s="11" t="s">
        <v>1433</v>
      </c>
      <c r="I131" s="11" t="b">
        <v>1</v>
      </c>
      <c r="J131" s="11" t="s">
        <v>95</v>
      </c>
      <c r="P131" s="11">
        <v>1280147.0</v>
      </c>
      <c r="Q131" s="11" t="b">
        <v>1</v>
      </c>
    </row>
    <row r="132">
      <c r="A132" s="11" t="s">
        <v>1438</v>
      </c>
      <c r="B132" s="11" t="s">
        <v>78</v>
      </c>
      <c r="C132" s="18">
        <v>45681.0</v>
      </c>
      <c r="D132" s="11" t="s">
        <v>1154</v>
      </c>
      <c r="E132" s="11" t="s">
        <v>1441</v>
      </c>
      <c r="G132" s="11" t="s">
        <v>1444</v>
      </c>
      <c r="H132" s="11" t="s">
        <v>1442</v>
      </c>
      <c r="I132" s="11" t="b">
        <v>1</v>
      </c>
      <c r="J132" s="11" t="s">
        <v>95</v>
      </c>
      <c r="P132" s="11">
        <v>1278381.0</v>
      </c>
      <c r="Q132" s="11" t="b">
        <v>1</v>
      </c>
    </row>
    <row r="133">
      <c r="A133" s="11" t="s">
        <v>1447</v>
      </c>
      <c r="B133" s="11" t="s">
        <v>78</v>
      </c>
      <c r="C133" s="18">
        <v>45677.0</v>
      </c>
      <c r="D133" s="11" t="s">
        <v>104</v>
      </c>
      <c r="E133" s="11" t="s">
        <v>1450</v>
      </c>
      <c r="G133" s="11" t="s">
        <v>1456</v>
      </c>
      <c r="H133" s="11" t="s">
        <v>1451</v>
      </c>
      <c r="I133" s="11" t="b">
        <v>1</v>
      </c>
      <c r="J133" s="11" t="s">
        <v>95</v>
      </c>
      <c r="P133" s="11">
        <v>1271728.0</v>
      </c>
      <c r="Q133" s="11" t="b">
        <v>1</v>
      </c>
    </row>
    <row r="134">
      <c r="A134" s="11" t="s">
        <v>1459</v>
      </c>
      <c r="B134" s="11" t="s">
        <v>78</v>
      </c>
      <c r="C134" s="18">
        <v>45679.0</v>
      </c>
      <c r="D134" s="11" t="s">
        <v>1460</v>
      </c>
      <c r="E134" s="11" t="s">
        <v>1461</v>
      </c>
      <c r="G134" s="11" t="s">
        <v>1463</v>
      </c>
      <c r="H134" s="11" t="s">
        <v>1462</v>
      </c>
      <c r="I134" s="11" t="b">
        <v>1</v>
      </c>
      <c r="J134" s="11" t="s">
        <v>95</v>
      </c>
      <c r="P134" s="11">
        <v>1278975.0</v>
      </c>
      <c r="Q134" s="11" t="b">
        <v>1</v>
      </c>
    </row>
    <row r="135">
      <c r="A135" s="11" t="s">
        <v>1467</v>
      </c>
      <c r="B135" s="11" t="s">
        <v>78</v>
      </c>
      <c r="C135" s="18">
        <v>45684.0</v>
      </c>
      <c r="D135" s="11" t="s">
        <v>676</v>
      </c>
      <c r="E135" s="11" t="s">
        <v>1469</v>
      </c>
      <c r="G135" s="11" t="s">
        <v>1471</v>
      </c>
      <c r="H135" s="11" t="s">
        <v>1470</v>
      </c>
      <c r="I135" s="11" t="b">
        <v>1</v>
      </c>
      <c r="J135" s="11" t="s">
        <v>95</v>
      </c>
      <c r="P135" s="11">
        <v>1288335.0</v>
      </c>
      <c r="Q135" s="11" t="b">
        <v>1</v>
      </c>
    </row>
    <row r="136">
      <c r="A136" s="11" t="s">
        <v>1475</v>
      </c>
      <c r="B136" s="11" t="s">
        <v>78</v>
      </c>
      <c r="C136" s="18">
        <v>45686.0</v>
      </c>
      <c r="D136" s="11" t="s">
        <v>708</v>
      </c>
      <c r="E136" s="11" t="s">
        <v>1477</v>
      </c>
      <c r="G136" s="11" t="s">
        <v>1480</v>
      </c>
      <c r="H136" s="11" t="s">
        <v>1478</v>
      </c>
      <c r="I136" s="11" t="b">
        <v>1</v>
      </c>
      <c r="J136" s="11" t="s">
        <v>95</v>
      </c>
      <c r="P136" s="11">
        <v>128819.0</v>
      </c>
      <c r="Q136" s="11" t="b">
        <v>1</v>
      </c>
    </row>
    <row r="137">
      <c r="A137" s="11" t="s">
        <v>1483</v>
      </c>
      <c r="B137" s="11" t="s">
        <v>78</v>
      </c>
      <c r="C137" s="18">
        <v>45684.0</v>
      </c>
      <c r="D137" s="11" t="s">
        <v>104</v>
      </c>
      <c r="E137" s="11" t="s">
        <v>1486</v>
      </c>
      <c r="G137" s="11" t="s">
        <v>1488</v>
      </c>
      <c r="H137" s="11" t="s">
        <v>702</v>
      </c>
      <c r="I137" s="11" t="b">
        <v>1</v>
      </c>
      <c r="J137" s="11" t="s">
        <v>95</v>
      </c>
      <c r="P137" s="11">
        <v>1285464.0</v>
      </c>
      <c r="Q137" s="11" t="b">
        <v>1</v>
      </c>
    </row>
    <row r="138">
      <c r="A138" s="11" t="s">
        <v>1498</v>
      </c>
      <c r="B138" s="11" t="s">
        <v>78</v>
      </c>
      <c r="C138" s="18">
        <v>45684.0</v>
      </c>
      <c r="D138" s="11" t="s">
        <v>992</v>
      </c>
      <c r="E138" s="11" t="s">
        <v>1501</v>
      </c>
      <c r="G138" s="11" t="s">
        <v>1503</v>
      </c>
      <c r="H138" s="11" t="s">
        <v>335</v>
      </c>
      <c r="I138" s="11" t="b">
        <v>1</v>
      </c>
      <c r="J138" s="11" t="s">
        <v>95</v>
      </c>
      <c r="P138" s="11">
        <v>1285468.0</v>
      </c>
      <c r="Q138" s="11" t="b">
        <v>1</v>
      </c>
    </row>
    <row r="139">
      <c r="A139" s="11" t="s">
        <v>1507</v>
      </c>
      <c r="B139" s="11" t="s">
        <v>78</v>
      </c>
      <c r="C139" s="18">
        <v>45680.0</v>
      </c>
      <c r="D139" s="11">
        <v>6.8893939E7</v>
      </c>
      <c r="E139" s="11" t="s">
        <v>1509</v>
      </c>
      <c r="G139" s="11" t="s">
        <v>1512</v>
      </c>
      <c r="H139" s="11" t="s">
        <v>1511</v>
      </c>
      <c r="I139" s="11" t="b">
        <v>0</v>
      </c>
      <c r="J139" s="11" t="s">
        <v>95</v>
      </c>
      <c r="L139" s="11" t="s">
        <v>1514</v>
      </c>
      <c r="M139" s="11" t="s">
        <v>1515</v>
      </c>
      <c r="Q139" s="11" t="b">
        <v>1</v>
      </c>
    </row>
    <row r="140">
      <c r="A140" s="11" t="s">
        <v>1516</v>
      </c>
      <c r="B140" s="11" t="s">
        <v>78</v>
      </c>
      <c r="C140" s="18">
        <v>45713.0</v>
      </c>
      <c r="D140" s="11" t="s">
        <v>817</v>
      </c>
      <c r="E140" s="11" t="s">
        <v>1519</v>
      </c>
      <c r="G140" s="11" t="s">
        <v>1522</v>
      </c>
      <c r="H140" s="11" t="s">
        <v>818</v>
      </c>
      <c r="I140" s="11" t="b">
        <v>0</v>
      </c>
      <c r="J140" s="11" t="s">
        <v>95</v>
      </c>
      <c r="Q140" s="11" t="b">
        <v>1</v>
      </c>
    </row>
    <row r="141">
      <c r="A141" s="11" t="s">
        <v>1523</v>
      </c>
      <c r="B141" s="11" t="s">
        <v>78</v>
      </c>
      <c r="C141" s="18">
        <v>45698.0</v>
      </c>
      <c r="D141" s="11" t="s">
        <v>835</v>
      </c>
      <c r="E141" s="11" t="s">
        <v>1525</v>
      </c>
      <c r="G141" s="11" t="s">
        <v>1527</v>
      </c>
      <c r="H141" s="11" t="s">
        <v>1526</v>
      </c>
      <c r="I141" s="11" t="b">
        <v>0</v>
      </c>
      <c r="J141" s="11" t="s">
        <v>95</v>
      </c>
      <c r="Q141" s="11" t="b">
        <v>1</v>
      </c>
    </row>
    <row r="142">
      <c r="A142" s="11" t="s">
        <v>1528</v>
      </c>
      <c r="B142" s="11" t="s">
        <v>78</v>
      </c>
      <c r="C142" s="18">
        <v>45698.0</v>
      </c>
      <c r="D142" s="11" t="s">
        <v>237</v>
      </c>
      <c r="E142" s="11" t="s">
        <v>1530</v>
      </c>
      <c r="G142" s="11" t="s">
        <v>1533</v>
      </c>
      <c r="H142" s="11" t="s">
        <v>1531</v>
      </c>
      <c r="I142" s="11" t="b">
        <v>0</v>
      </c>
      <c r="J142" s="11" t="s">
        <v>95</v>
      </c>
      <c r="Q142" s="11" t="b">
        <v>1</v>
      </c>
    </row>
    <row r="143">
      <c r="A143" s="11" t="s">
        <v>1536</v>
      </c>
      <c r="B143" s="11" t="s">
        <v>78</v>
      </c>
      <c r="C143" s="18">
        <v>45684.0</v>
      </c>
      <c r="D143" s="11" t="s">
        <v>237</v>
      </c>
      <c r="E143" s="11" t="s">
        <v>1538</v>
      </c>
      <c r="G143" s="11" t="s">
        <v>1543</v>
      </c>
      <c r="H143" s="11" t="s">
        <v>843</v>
      </c>
      <c r="I143" s="11" t="b">
        <v>0</v>
      </c>
      <c r="J143" s="11" t="s">
        <v>235</v>
      </c>
      <c r="Q143" s="11" t="b">
        <v>1</v>
      </c>
    </row>
    <row r="144">
      <c r="A144" s="11" t="s">
        <v>1545</v>
      </c>
      <c r="B144" s="11" t="s">
        <v>78</v>
      </c>
      <c r="C144" s="18">
        <v>45684.0</v>
      </c>
      <c r="D144" s="11" t="s">
        <v>237</v>
      </c>
      <c r="E144" s="11" t="s">
        <v>1548</v>
      </c>
      <c r="G144" s="11" t="s">
        <v>1551</v>
      </c>
      <c r="H144" s="11" t="s">
        <v>1549</v>
      </c>
      <c r="I144" s="11" t="b">
        <v>0</v>
      </c>
      <c r="J144" s="11" t="s">
        <v>235</v>
      </c>
      <c r="L144" s="11" t="s">
        <v>1552</v>
      </c>
      <c r="M144" s="11" t="s">
        <v>1553</v>
      </c>
      <c r="Q144" s="11" t="b">
        <v>1</v>
      </c>
    </row>
    <row r="145">
      <c r="A145" s="11" t="s">
        <v>1556</v>
      </c>
      <c r="B145" s="11" t="s">
        <v>78</v>
      </c>
      <c r="C145" s="18">
        <v>45688.0</v>
      </c>
      <c r="D145" s="11" t="s">
        <v>254</v>
      </c>
      <c r="E145" s="11" t="s">
        <v>1558</v>
      </c>
      <c r="G145" s="11" t="s">
        <v>1560</v>
      </c>
      <c r="H145" s="11" t="s">
        <v>1559</v>
      </c>
      <c r="I145" s="11" t="b">
        <v>1</v>
      </c>
      <c r="J145" s="11" t="s">
        <v>95</v>
      </c>
      <c r="P145" s="11">
        <v>1291222.0</v>
      </c>
      <c r="Q145" s="11" t="b">
        <v>1</v>
      </c>
    </row>
    <row r="146">
      <c r="A146" s="11" t="s">
        <v>1563</v>
      </c>
      <c r="B146" s="11" t="s">
        <v>78</v>
      </c>
      <c r="C146" s="18">
        <v>45686.0</v>
      </c>
      <c r="D146" s="11" t="s">
        <v>1389</v>
      </c>
      <c r="E146" s="11" t="s">
        <v>1565</v>
      </c>
      <c r="G146" s="11" t="s">
        <v>1571</v>
      </c>
      <c r="H146" s="11" t="s">
        <v>1566</v>
      </c>
      <c r="I146" s="11" t="b">
        <v>0</v>
      </c>
      <c r="J146" s="11" t="s">
        <v>95</v>
      </c>
      <c r="Q146" s="11" t="b">
        <v>1</v>
      </c>
    </row>
    <row r="147">
      <c r="A147" s="11" t="s">
        <v>1573</v>
      </c>
      <c r="B147" s="11" t="s">
        <v>78</v>
      </c>
      <c r="C147" s="18">
        <v>45687.0</v>
      </c>
      <c r="D147" s="11" t="s">
        <v>168</v>
      </c>
      <c r="E147" s="11" t="s">
        <v>1575</v>
      </c>
      <c r="G147" s="11" t="s">
        <v>1579</v>
      </c>
      <c r="H147" s="11" t="s">
        <v>1576</v>
      </c>
      <c r="I147" s="11" t="b">
        <v>1</v>
      </c>
      <c r="J147" s="11" t="s">
        <v>95</v>
      </c>
      <c r="P147" s="11">
        <v>1289853.0</v>
      </c>
      <c r="Q147" s="11" t="b">
        <v>1</v>
      </c>
    </row>
    <row r="148">
      <c r="A148" s="11" t="s">
        <v>1584</v>
      </c>
      <c r="B148" s="11" t="s">
        <v>78</v>
      </c>
      <c r="C148" s="18">
        <v>45688.0</v>
      </c>
      <c r="D148" s="11" t="s">
        <v>513</v>
      </c>
      <c r="E148" s="11" t="s">
        <v>1586</v>
      </c>
      <c r="G148" s="11" t="s">
        <v>1589</v>
      </c>
      <c r="H148" s="11" t="s">
        <v>1587</v>
      </c>
      <c r="I148" s="11" t="b">
        <v>1</v>
      </c>
      <c r="J148" s="11" t="s">
        <v>95</v>
      </c>
      <c r="P148" s="11">
        <v>1291100.0</v>
      </c>
      <c r="Q148" s="11" t="b">
        <v>1</v>
      </c>
    </row>
    <row r="149">
      <c r="A149" s="11" t="s">
        <v>1592</v>
      </c>
      <c r="B149" s="11" t="s">
        <v>78</v>
      </c>
      <c r="C149" s="18">
        <v>45690.0</v>
      </c>
      <c r="D149" s="11" t="s">
        <v>168</v>
      </c>
      <c r="E149" s="11" t="s">
        <v>1595</v>
      </c>
      <c r="G149" s="11" t="s">
        <v>1599</v>
      </c>
      <c r="H149" s="11" t="s">
        <v>1596</v>
      </c>
      <c r="I149" s="11" t="b">
        <v>1</v>
      </c>
      <c r="J149" s="11" t="s">
        <v>95</v>
      </c>
      <c r="P149" s="11">
        <v>129513.0</v>
      </c>
      <c r="Q149" s="11" t="b">
        <v>1</v>
      </c>
    </row>
    <row r="150">
      <c r="A150" s="11" t="s">
        <v>1602</v>
      </c>
      <c r="B150" s="11" t="s">
        <v>78</v>
      </c>
      <c r="C150" s="18">
        <v>45689.0</v>
      </c>
      <c r="D150" s="11" t="s">
        <v>676</v>
      </c>
      <c r="E150" s="11" t="s">
        <v>1604</v>
      </c>
      <c r="G150" s="11" t="s">
        <v>1608</v>
      </c>
      <c r="H150" s="11" t="s">
        <v>1605</v>
      </c>
      <c r="I150" s="11" t="b">
        <v>1</v>
      </c>
      <c r="J150" s="11" t="s">
        <v>95</v>
      </c>
      <c r="P150" s="11">
        <v>1294007.0</v>
      </c>
      <c r="Q150" s="11" t="b">
        <v>1</v>
      </c>
    </row>
    <row r="151">
      <c r="A151" s="11" t="s">
        <v>1610</v>
      </c>
      <c r="B151" s="11" t="s">
        <v>78</v>
      </c>
      <c r="C151" s="18">
        <v>45692.0</v>
      </c>
      <c r="D151" s="11" t="s">
        <v>1612</v>
      </c>
      <c r="E151" s="11" t="s">
        <v>1613</v>
      </c>
      <c r="G151" s="11" t="s">
        <v>1616</v>
      </c>
      <c r="H151" s="11" t="s">
        <v>1615</v>
      </c>
      <c r="I151" s="11" t="b">
        <v>1</v>
      </c>
      <c r="J151" s="11" t="s">
        <v>95</v>
      </c>
      <c r="P151" s="11">
        <v>1299800.0</v>
      </c>
      <c r="Q151" s="11" t="b">
        <v>1</v>
      </c>
    </row>
    <row r="152">
      <c r="A152" s="11" t="s">
        <v>1620</v>
      </c>
      <c r="B152" s="11" t="s">
        <v>78</v>
      </c>
      <c r="C152" s="18">
        <v>45692.0</v>
      </c>
      <c r="D152" s="11" t="s">
        <v>1612</v>
      </c>
      <c r="E152" s="11" t="s">
        <v>1613</v>
      </c>
      <c r="G152" s="11" t="s">
        <v>1623</v>
      </c>
      <c r="H152" s="11" t="s">
        <v>1615</v>
      </c>
      <c r="I152" s="11" t="b">
        <v>1</v>
      </c>
      <c r="J152" s="11" t="s">
        <v>95</v>
      </c>
      <c r="P152" s="11">
        <v>1299811.0</v>
      </c>
      <c r="Q152" s="11" t="b">
        <v>1</v>
      </c>
    </row>
    <row r="153">
      <c r="A153" s="11" t="s">
        <v>1626</v>
      </c>
      <c r="B153" s="11" t="s">
        <v>78</v>
      </c>
      <c r="C153" s="18">
        <v>45692.0</v>
      </c>
      <c r="D153" s="11" t="s">
        <v>1627</v>
      </c>
      <c r="E153" s="11" t="s">
        <v>1628</v>
      </c>
      <c r="G153" s="11" t="s">
        <v>1632</v>
      </c>
      <c r="H153" s="11" t="s">
        <v>1630</v>
      </c>
      <c r="I153" s="11" t="b">
        <v>1</v>
      </c>
      <c r="J153" s="11" t="s">
        <v>95</v>
      </c>
      <c r="P153" s="11">
        <v>1299807.0</v>
      </c>
      <c r="Q153" s="11" t="b">
        <v>1</v>
      </c>
    </row>
    <row r="154">
      <c r="A154" s="11" t="s">
        <v>1636</v>
      </c>
      <c r="B154" s="11" t="s">
        <v>78</v>
      </c>
      <c r="C154" s="18">
        <v>45692.0</v>
      </c>
      <c r="D154" s="11" t="s">
        <v>1094</v>
      </c>
      <c r="E154" s="11" t="s">
        <v>1637</v>
      </c>
      <c r="G154" s="11" t="s">
        <v>1640</v>
      </c>
      <c r="H154" s="11" t="s">
        <v>1638</v>
      </c>
      <c r="I154" s="11" t="b">
        <v>1</v>
      </c>
      <c r="J154" s="11" t="s">
        <v>95</v>
      </c>
      <c r="P154" s="11">
        <v>1299806.0</v>
      </c>
      <c r="Q154" s="11" t="b">
        <v>1</v>
      </c>
    </row>
    <row r="155">
      <c r="A155" s="11" t="s">
        <v>1642</v>
      </c>
      <c r="B155" s="11" t="s">
        <v>78</v>
      </c>
      <c r="C155" s="18">
        <v>45695.0</v>
      </c>
      <c r="D155" s="11" t="s">
        <v>992</v>
      </c>
      <c r="E155" s="11" t="s">
        <v>1643</v>
      </c>
      <c r="G155" s="11" t="s">
        <v>1646</v>
      </c>
      <c r="H155" s="11" t="s">
        <v>1645</v>
      </c>
      <c r="I155" s="11" t="b">
        <v>1</v>
      </c>
      <c r="J155" s="11" t="s">
        <v>95</v>
      </c>
      <c r="P155" s="11">
        <v>1304840.0</v>
      </c>
      <c r="Q155" s="11" t="b">
        <v>1</v>
      </c>
    </row>
    <row r="156">
      <c r="A156" s="11" t="s">
        <v>1649</v>
      </c>
      <c r="B156" s="11" t="s">
        <v>78</v>
      </c>
      <c r="C156" s="18">
        <v>45692.0</v>
      </c>
      <c r="D156" s="11" t="s">
        <v>104</v>
      </c>
      <c r="E156" s="11" t="s">
        <v>1651</v>
      </c>
      <c r="G156" s="11" t="s">
        <v>1655</v>
      </c>
      <c r="H156" s="11" t="s">
        <v>1652</v>
      </c>
      <c r="I156" s="11" t="b">
        <v>1</v>
      </c>
      <c r="J156" s="11" t="s">
        <v>95</v>
      </c>
      <c r="P156" s="11">
        <v>1304834.0</v>
      </c>
      <c r="Q156" s="11" t="b">
        <v>1</v>
      </c>
    </row>
    <row r="157">
      <c r="A157" s="11" t="s">
        <v>1658</v>
      </c>
      <c r="B157" s="11" t="s">
        <v>78</v>
      </c>
      <c r="C157" s="18">
        <v>45695.0</v>
      </c>
      <c r="D157" s="11" t="s">
        <v>104</v>
      </c>
      <c r="E157" s="11" t="s">
        <v>1659</v>
      </c>
      <c r="G157" s="11" t="s">
        <v>1661</v>
      </c>
      <c r="H157" s="11" t="s">
        <v>1660</v>
      </c>
      <c r="I157" s="11" t="b">
        <v>1</v>
      </c>
      <c r="J157" s="11" t="s">
        <v>95</v>
      </c>
      <c r="P157" s="11">
        <v>1304829.0</v>
      </c>
      <c r="Q157" s="11" t="b">
        <v>1</v>
      </c>
    </row>
    <row r="158">
      <c r="A158" s="11" t="s">
        <v>1665</v>
      </c>
      <c r="B158" s="11" t="s">
        <v>78</v>
      </c>
      <c r="C158" s="18">
        <v>45695.0</v>
      </c>
      <c r="D158" s="11" t="s">
        <v>339</v>
      </c>
      <c r="E158" s="11" t="s">
        <v>1667</v>
      </c>
      <c r="G158" s="11" t="s">
        <v>1670</v>
      </c>
      <c r="H158" s="11" t="s">
        <v>1668</v>
      </c>
      <c r="I158" s="11" t="b">
        <v>1</v>
      </c>
      <c r="J158" s="11" t="s">
        <v>95</v>
      </c>
      <c r="P158" s="11">
        <v>1304839.0</v>
      </c>
      <c r="Q158" s="11" t="b">
        <v>1</v>
      </c>
    </row>
    <row r="159">
      <c r="A159" s="11" t="s">
        <v>1675</v>
      </c>
      <c r="B159" s="11" t="s">
        <v>78</v>
      </c>
      <c r="C159" s="18">
        <v>45699.0</v>
      </c>
      <c r="D159" s="11" t="s">
        <v>1676</v>
      </c>
      <c r="E159" s="11" t="s">
        <v>1678</v>
      </c>
      <c r="G159" s="11" t="s">
        <v>1680</v>
      </c>
      <c r="H159" s="11" t="s">
        <v>1679</v>
      </c>
      <c r="I159" s="11" t="b">
        <v>1</v>
      </c>
      <c r="J159" s="11" t="s">
        <v>95</v>
      </c>
      <c r="P159" s="11">
        <v>1314024.0</v>
      </c>
      <c r="Q159" s="11" t="b">
        <v>1</v>
      </c>
    </row>
    <row r="160">
      <c r="A160" s="11" t="s">
        <v>1682</v>
      </c>
      <c r="B160" s="11" t="s">
        <v>78</v>
      </c>
      <c r="C160" s="18">
        <v>45698.0</v>
      </c>
      <c r="D160" s="11" t="s">
        <v>104</v>
      </c>
      <c r="E160" s="11" t="s">
        <v>1683</v>
      </c>
      <c r="G160" s="11" t="s">
        <v>1684</v>
      </c>
      <c r="H160" s="11" t="s">
        <v>110</v>
      </c>
      <c r="I160" s="11" t="b">
        <v>1</v>
      </c>
      <c r="J160" s="11" t="s">
        <v>95</v>
      </c>
      <c r="P160" s="11">
        <v>1312036.0</v>
      </c>
      <c r="Q160" s="11" t="b">
        <v>1</v>
      </c>
    </row>
    <row r="161">
      <c r="A161" s="11" t="s">
        <v>1686</v>
      </c>
      <c r="B161" s="11" t="s">
        <v>78</v>
      </c>
      <c r="C161" s="18">
        <v>45695.0</v>
      </c>
      <c r="D161" s="11" t="s">
        <v>992</v>
      </c>
      <c r="E161" s="11" t="s">
        <v>1687</v>
      </c>
      <c r="G161" s="11" t="s">
        <v>1691</v>
      </c>
      <c r="H161" s="11" t="s">
        <v>1688</v>
      </c>
      <c r="I161" s="11" t="b">
        <v>1</v>
      </c>
      <c r="J161" s="11" t="s">
        <v>95</v>
      </c>
      <c r="P161" s="11">
        <v>1312195.0</v>
      </c>
      <c r="Q161" s="11" t="b">
        <v>1</v>
      </c>
    </row>
    <row r="162">
      <c r="A162" s="11" t="s">
        <v>1695</v>
      </c>
      <c r="B162" s="11" t="s">
        <v>78</v>
      </c>
      <c r="C162" s="18">
        <v>45700.0</v>
      </c>
      <c r="D162" s="11" t="s">
        <v>708</v>
      </c>
      <c r="E162" s="11" t="s">
        <v>1696</v>
      </c>
      <c r="G162" s="11" t="s">
        <v>1699</v>
      </c>
      <c r="H162" s="11" t="s">
        <v>1697</v>
      </c>
      <c r="I162" s="11" t="b">
        <v>1</v>
      </c>
      <c r="J162" s="11" t="s">
        <v>95</v>
      </c>
      <c r="P162" s="11">
        <v>1315529.0</v>
      </c>
      <c r="Q162" s="11" t="b">
        <v>1</v>
      </c>
    </row>
    <row r="163">
      <c r="A163" s="11" t="s">
        <v>1704</v>
      </c>
      <c r="B163" s="11" t="s">
        <v>78</v>
      </c>
      <c r="C163" s="18">
        <v>45693.0</v>
      </c>
      <c r="D163" s="11" t="s">
        <v>1706</v>
      </c>
      <c r="E163" s="11" t="s">
        <v>1708</v>
      </c>
      <c r="G163" s="11" t="s">
        <v>1710</v>
      </c>
      <c r="H163" s="11" t="s">
        <v>1709</v>
      </c>
      <c r="I163" s="11" t="b">
        <v>1</v>
      </c>
      <c r="J163" s="11" t="s">
        <v>95</v>
      </c>
      <c r="P163" s="11">
        <v>1314025.0</v>
      </c>
      <c r="Q163" s="11" t="b">
        <v>1</v>
      </c>
    </row>
    <row r="164">
      <c r="A164" s="11" t="s">
        <v>1714</v>
      </c>
      <c r="B164" s="11" t="s">
        <v>78</v>
      </c>
      <c r="C164" s="18">
        <v>45700.0</v>
      </c>
      <c r="D164" s="11" t="s">
        <v>739</v>
      </c>
      <c r="E164" s="11" t="s">
        <v>1716</v>
      </c>
      <c r="G164" s="11" t="s">
        <v>1719</v>
      </c>
      <c r="H164" s="11" t="s">
        <v>1717</v>
      </c>
      <c r="I164" s="11" t="b">
        <v>1</v>
      </c>
      <c r="J164" s="11" t="s">
        <v>95</v>
      </c>
      <c r="P164" s="11">
        <v>1314026.0</v>
      </c>
      <c r="Q164" s="11" t="b">
        <v>1</v>
      </c>
    </row>
    <row r="165">
      <c r="A165" s="11" t="s">
        <v>1721</v>
      </c>
      <c r="B165" s="11" t="s">
        <v>78</v>
      </c>
      <c r="C165" s="18">
        <v>45696.0</v>
      </c>
      <c r="D165" s="11" t="s">
        <v>168</v>
      </c>
      <c r="E165" s="11" t="s">
        <v>1725</v>
      </c>
      <c r="G165" s="11" t="s">
        <v>1729</v>
      </c>
      <c r="H165" s="11" t="s">
        <v>1727</v>
      </c>
      <c r="I165" s="11" t="b">
        <v>1</v>
      </c>
      <c r="J165" s="11" t="s">
        <v>95</v>
      </c>
      <c r="P165" s="11">
        <v>1307243.0</v>
      </c>
      <c r="Q165" s="11" t="b">
        <v>1</v>
      </c>
    </row>
    <row r="166">
      <c r="A166" s="11" t="s">
        <v>1732</v>
      </c>
      <c r="B166" s="11" t="s">
        <v>78</v>
      </c>
      <c r="C166" s="18">
        <v>45699.0</v>
      </c>
      <c r="D166" s="11" t="s">
        <v>237</v>
      </c>
      <c r="E166" s="11" t="s">
        <v>1733</v>
      </c>
      <c r="G166" s="11" t="s">
        <v>1736</v>
      </c>
      <c r="H166" s="11" t="s">
        <v>1734</v>
      </c>
      <c r="I166" s="11" t="b">
        <v>0</v>
      </c>
      <c r="J166" s="11" t="s">
        <v>95</v>
      </c>
      <c r="Q166" s="11" t="b">
        <v>1</v>
      </c>
    </row>
    <row r="167">
      <c r="A167" s="11" t="s">
        <v>1738</v>
      </c>
      <c r="B167" s="11" t="s">
        <v>78</v>
      </c>
      <c r="C167" s="18">
        <v>45699.0</v>
      </c>
      <c r="D167" s="11" t="s">
        <v>835</v>
      </c>
      <c r="E167" s="11" t="s">
        <v>1741</v>
      </c>
      <c r="G167" s="11" t="s">
        <v>1744</v>
      </c>
      <c r="H167" s="11" t="s">
        <v>1742</v>
      </c>
      <c r="I167" s="11" t="b">
        <v>0</v>
      </c>
      <c r="J167" s="11" t="s">
        <v>95</v>
      </c>
      <c r="Q167" s="11" t="b">
        <v>1</v>
      </c>
    </row>
    <row r="168">
      <c r="A168" s="11" t="s">
        <v>1746</v>
      </c>
      <c r="B168" s="11" t="s">
        <v>78</v>
      </c>
      <c r="C168" s="18">
        <v>45704.0</v>
      </c>
      <c r="D168" s="11" t="s">
        <v>237</v>
      </c>
      <c r="E168" s="11" t="s">
        <v>1747</v>
      </c>
      <c r="G168" s="11" t="s">
        <v>1749</v>
      </c>
      <c r="H168" s="11" t="s">
        <v>826</v>
      </c>
      <c r="I168" s="11" t="b">
        <v>0</v>
      </c>
      <c r="J168" s="11" t="s">
        <v>95</v>
      </c>
      <c r="L168" s="11" t="s">
        <v>1750</v>
      </c>
      <c r="Q168" s="11" t="b">
        <v>1</v>
      </c>
    </row>
    <row r="169">
      <c r="A169" s="11" t="s">
        <v>1751</v>
      </c>
      <c r="B169" s="11" t="s">
        <v>78</v>
      </c>
      <c r="C169" s="18">
        <v>45701.0</v>
      </c>
      <c r="D169" s="11" t="s">
        <v>547</v>
      </c>
      <c r="E169" s="11" t="s">
        <v>1753</v>
      </c>
      <c r="G169" s="11" t="s">
        <v>1755</v>
      </c>
      <c r="H169" s="11" t="s">
        <v>1754</v>
      </c>
      <c r="I169" s="11" t="b">
        <v>0</v>
      </c>
      <c r="J169" s="11" t="s">
        <v>95</v>
      </c>
      <c r="Q169" s="11" t="b">
        <v>1</v>
      </c>
    </row>
    <row r="170">
      <c r="A170" s="11" t="s">
        <v>1758</v>
      </c>
      <c r="B170" s="11" t="s">
        <v>78</v>
      </c>
      <c r="C170" s="18">
        <v>45701.0</v>
      </c>
      <c r="D170" s="11" t="s">
        <v>1760</v>
      </c>
      <c r="E170" s="11" t="s">
        <v>1761</v>
      </c>
      <c r="G170" s="11" t="s">
        <v>1765</v>
      </c>
      <c r="H170" s="11" t="s">
        <v>1763</v>
      </c>
      <c r="I170" s="11" t="b">
        <v>1</v>
      </c>
      <c r="J170" s="11" t="s">
        <v>95</v>
      </c>
      <c r="P170" s="11">
        <v>1318966.0</v>
      </c>
      <c r="Q170" s="11" t="b">
        <v>1</v>
      </c>
    </row>
    <row r="171">
      <c r="A171" s="11" t="s">
        <v>1767</v>
      </c>
      <c r="B171" s="11" t="s">
        <v>78</v>
      </c>
      <c r="C171" s="18">
        <v>45702.0</v>
      </c>
      <c r="D171" s="11" t="s">
        <v>104</v>
      </c>
      <c r="E171" s="11" t="s">
        <v>1769</v>
      </c>
      <c r="G171" s="11" t="s">
        <v>1770</v>
      </c>
      <c r="H171" s="11" t="s">
        <v>380</v>
      </c>
      <c r="I171" s="11" t="b">
        <v>1</v>
      </c>
      <c r="J171" s="11" t="s">
        <v>95</v>
      </c>
      <c r="P171" s="11">
        <v>1319052.0</v>
      </c>
      <c r="Q171" s="11" t="b">
        <v>1</v>
      </c>
    </row>
    <row r="172">
      <c r="A172" s="11" t="s">
        <v>1772</v>
      </c>
      <c r="B172" s="11" t="s">
        <v>78</v>
      </c>
      <c r="C172" s="18">
        <v>45705.0</v>
      </c>
      <c r="D172" s="11" t="s">
        <v>1011</v>
      </c>
      <c r="E172" s="11" t="s">
        <v>1775</v>
      </c>
      <c r="G172" s="11" t="s">
        <v>1778</v>
      </c>
      <c r="H172" s="11" t="s">
        <v>1776</v>
      </c>
      <c r="I172" s="11" t="b">
        <v>1</v>
      </c>
      <c r="J172" s="11" t="s">
        <v>95</v>
      </c>
      <c r="P172" s="11">
        <v>1325934.0</v>
      </c>
      <c r="Q172" s="11" t="b">
        <v>1</v>
      </c>
    </row>
    <row r="173">
      <c r="A173" s="11" t="s">
        <v>1781</v>
      </c>
      <c r="B173" s="11" t="s">
        <v>78</v>
      </c>
      <c r="C173" s="18">
        <v>45701.0</v>
      </c>
      <c r="D173" s="11" t="s">
        <v>513</v>
      </c>
      <c r="E173" s="11" t="s">
        <v>1782</v>
      </c>
      <c r="G173" s="11" t="s">
        <v>1783</v>
      </c>
      <c r="H173" s="11" t="s">
        <v>531</v>
      </c>
      <c r="I173" s="11" t="b">
        <v>1</v>
      </c>
      <c r="J173" s="11" t="s">
        <v>95</v>
      </c>
      <c r="P173" s="11">
        <v>1318903.0</v>
      </c>
      <c r="Q173" s="11" t="b">
        <v>1</v>
      </c>
    </row>
    <row r="174">
      <c r="A174" s="11" t="s">
        <v>1786</v>
      </c>
      <c r="B174" s="11" t="s">
        <v>78</v>
      </c>
      <c r="C174" s="18">
        <v>45705.0</v>
      </c>
      <c r="D174" s="11" t="s">
        <v>197</v>
      </c>
      <c r="E174" s="11" t="s">
        <v>1788</v>
      </c>
      <c r="G174" s="11" t="s">
        <v>1790</v>
      </c>
      <c r="H174" s="11" t="s">
        <v>1789</v>
      </c>
      <c r="I174" s="11" t="b">
        <v>1</v>
      </c>
      <c r="J174" s="11" t="s">
        <v>95</v>
      </c>
      <c r="P174" s="11">
        <v>1318540.0</v>
      </c>
      <c r="Q174" s="11" t="b">
        <v>1</v>
      </c>
    </row>
    <row r="175">
      <c r="A175" s="11" t="s">
        <v>1796</v>
      </c>
      <c r="B175" s="11" t="s">
        <v>78</v>
      </c>
      <c r="C175" s="18">
        <v>45705.0</v>
      </c>
      <c r="D175" s="11" t="s">
        <v>197</v>
      </c>
      <c r="E175" s="11" t="s">
        <v>1798</v>
      </c>
      <c r="G175" s="11" t="s">
        <v>1801</v>
      </c>
      <c r="H175" s="11" t="s">
        <v>1799</v>
      </c>
      <c r="I175" s="11" t="b">
        <v>1</v>
      </c>
      <c r="J175" s="11" t="s">
        <v>95</v>
      </c>
      <c r="P175" s="11">
        <v>1325934.0</v>
      </c>
      <c r="Q175" s="11" t="b">
        <v>1</v>
      </c>
    </row>
    <row r="176">
      <c r="A176" s="11" t="s">
        <v>1803</v>
      </c>
      <c r="B176" s="11" t="s">
        <v>78</v>
      </c>
      <c r="C176" s="18">
        <v>45705.0</v>
      </c>
      <c r="D176" s="11" t="s">
        <v>1804</v>
      </c>
      <c r="E176" s="11" t="s">
        <v>1805</v>
      </c>
      <c r="G176" s="11" t="s">
        <v>1807</v>
      </c>
      <c r="H176" s="11" t="s">
        <v>1806</v>
      </c>
      <c r="I176" s="11" t="b">
        <v>1</v>
      </c>
      <c r="J176" s="11" t="s">
        <v>95</v>
      </c>
      <c r="P176" s="11">
        <v>1325941.0</v>
      </c>
      <c r="Q176" s="11" t="b">
        <v>1</v>
      </c>
    </row>
    <row r="177">
      <c r="A177" s="11">
        <v>5.1793317E7</v>
      </c>
      <c r="B177" s="11" t="s">
        <v>78</v>
      </c>
      <c r="C177" s="18">
        <v>45703.0</v>
      </c>
      <c r="D177" s="11" t="s">
        <v>1460</v>
      </c>
      <c r="E177" s="11" t="s">
        <v>1809</v>
      </c>
      <c r="G177" s="11" t="s">
        <v>1811</v>
      </c>
      <c r="H177" s="11" t="s">
        <v>1810</v>
      </c>
      <c r="I177" s="11" t="b">
        <v>1</v>
      </c>
      <c r="J177" s="11" t="s">
        <v>95</v>
      </c>
      <c r="P177" s="11">
        <v>1320094.0</v>
      </c>
      <c r="Q177" s="11" t="b">
        <v>1</v>
      </c>
    </row>
    <row r="178">
      <c r="A178" s="11" t="s">
        <v>1813</v>
      </c>
      <c r="B178" s="11" t="s">
        <v>78</v>
      </c>
      <c r="C178" s="18">
        <v>45703.0</v>
      </c>
      <c r="D178" s="11" t="s">
        <v>1011</v>
      </c>
      <c r="E178" s="11" t="s">
        <v>1814</v>
      </c>
      <c r="G178" s="11" t="s">
        <v>1816</v>
      </c>
      <c r="H178" s="11" t="s">
        <v>1815</v>
      </c>
      <c r="I178" s="11" t="b">
        <v>1</v>
      </c>
      <c r="J178" s="11" t="s">
        <v>95</v>
      </c>
      <c r="P178" s="11">
        <v>1320071.0</v>
      </c>
      <c r="Q178" s="11" t="b">
        <v>1</v>
      </c>
    </row>
    <row r="179">
      <c r="A179" s="11" t="s">
        <v>1818</v>
      </c>
      <c r="B179" s="11" t="s">
        <v>78</v>
      </c>
      <c r="C179" s="12">
        <v>45620.0</v>
      </c>
      <c r="D179" s="11" t="s">
        <v>817</v>
      </c>
      <c r="E179" s="11" t="s">
        <v>1819</v>
      </c>
      <c r="G179" s="11" t="s">
        <v>1820</v>
      </c>
      <c r="H179" s="11" t="s">
        <v>968</v>
      </c>
      <c r="I179" s="11" t="b">
        <v>0</v>
      </c>
      <c r="J179" s="11" t="s">
        <v>235</v>
      </c>
      <c r="Q179" s="11" t="b">
        <v>1</v>
      </c>
    </row>
    <row r="180">
      <c r="A180" s="11" t="s">
        <v>1821</v>
      </c>
      <c r="B180" s="11" t="s">
        <v>78</v>
      </c>
      <c r="C180" s="18">
        <v>45709.0</v>
      </c>
      <c r="D180" s="11" t="s">
        <v>104</v>
      </c>
      <c r="E180" s="11" t="s">
        <v>1822</v>
      </c>
      <c r="G180" s="11" t="s">
        <v>1824</v>
      </c>
      <c r="H180" s="11" t="s">
        <v>380</v>
      </c>
      <c r="I180" s="11" t="b">
        <v>1</v>
      </c>
      <c r="J180" s="11" t="s">
        <v>95</v>
      </c>
      <c r="P180" s="11">
        <v>1332165.0</v>
      </c>
      <c r="Q180" s="11" t="b">
        <v>1</v>
      </c>
    </row>
    <row r="181">
      <c r="A181" s="11" t="s">
        <v>1826</v>
      </c>
      <c r="B181" s="11" t="s">
        <v>78</v>
      </c>
      <c r="C181" s="18">
        <v>45706.0</v>
      </c>
      <c r="D181" s="11" t="s">
        <v>104</v>
      </c>
      <c r="E181" s="11" t="s">
        <v>1827</v>
      </c>
      <c r="G181" s="11" t="s">
        <v>1828</v>
      </c>
      <c r="H181" s="11" t="s">
        <v>380</v>
      </c>
      <c r="I181" s="11" t="b">
        <v>1</v>
      </c>
      <c r="J181" s="11" t="s">
        <v>95</v>
      </c>
      <c r="P181" s="11">
        <v>1327203.0</v>
      </c>
      <c r="Q181" s="11" t="b">
        <v>1</v>
      </c>
    </row>
    <row r="182">
      <c r="A182" s="11" t="s">
        <v>1831</v>
      </c>
      <c r="B182" s="11" t="s">
        <v>78</v>
      </c>
      <c r="C182" s="18">
        <v>45706.0</v>
      </c>
      <c r="D182" s="11" t="s">
        <v>1094</v>
      </c>
      <c r="E182" s="11" t="s">
        <v>1833</v>
      </c>
      <c r="G182" s="11" t="s">
        <v>1834</v>
      </c>
      <c r="H182" s="11" t="s">
        <v>781</v>
      </c>
      <c r="I182" s="11" t="b">
        <v>1</v>
      </c>
      <c r="J182" s="11" t="s">
        <v>95</v>
      </c>
      <c r="P182" s="11">
        <v>1339776.0</v>
      </c>
      <c r="Q182" s="11" t="b">
        <v>1</v>
      </c>
    </row>
    <row r="183">
      <c r="A183" s="11" t="s">
        <v>1836</v>
      </c>
      <c r="B183" s="11" t="s">
        <v>78</v>
      </c>
      <c r="C183" s="18">
        <v>45712.0</v>
      </c>
      <c r="D183" s="11" t="s">
        <v>1094</v>
      </c>
      <c r="E183" s="11" t="s">
        <v>1837</v>
      </c>
      <c r="G183" s="11" t="s">
        <v>1839</v>
      </c>
      <c r="H183" s="11" t="s">
        <v>781</v>
      </c>
      <c r="I183" s="11" t="b">
        <v>1</v>
      </c>
      <c r="J183" s="11" t="s">
        <v>95</v>
      </c>
      <c r="P183" s="11">
        <v>1339772.0</v>
      </c>
      <c r="Q183" s="11" t="b">
        <v>1</v>
      </c>
    </row>
    <row r="184">
      <c r="A184" s="11" t="s">
        <v>1841</v>
      </c>
      <c r="B184" s="11" t="s">
        <v>78</v>
      </c>
      <c r="C184" s="18">
        <v>45712.0</v>
      </c>
      <c r="D184" s="11" t="s">
        <v>1105</v>
      </c>
      <c r="E184" s="11" t="s">
        <v>1842</v>
      </c>
      <c r="G184" s="11" t="s">
        <v>1844</v>
      </c>
      <c r="H184" s="11" t="s">
        <v>1843</v>
      </c>
      <c r="I184" s="11" t="b">
        <v>1</v>
      </c>
      <c r="J184" s="11" t="s">
        <v>95</v>
      </c>
      <c r="P184" s="11">
        <v>1339766.0</v>
      </c>
      <c r="Q184" s="11" t="b">
        <v>1</v>
      </c>
    </row>
    <row r="185">
      <c r="A185" s="11" t="s">
        <v>1846</v>
      </c>
      <c r="B185" s="11" t="s">
        <v>78</v>
      </c>
      <c r="C185" s="18">
        <v>45712.0</v>
      </c>
      <c r="D185" s="11" t="s">
        <v>1924</v>
      </c>
      <c r="E185" s="11" t="s">
        <v>1933</v>
      </c>
      <c r="G185" s="11" t="s">
        <v>1941</v>
      </c>
      <c r="H185" s="11" t="s">
        <v>1937</v>
      </c>
      <c r="I185" s="11" t="b">
        <v>1</v>
      </c>
      <c r="J185" s="11" t="s">
        <v>95</v>
      </c>
      <c r="P185" s="11">
        <v>1339708.0</v>
      </c>
      <c r="Q185" s="11" t="b">
        <v>1</v>
      </c>
    </row>
    <row r="186">
      <c r="A186" s="11" t="s">
        <v>1952</v>
      </c>
      <c r="B186" s="11" t="s">
        <v>78</v>
      </c>
      <c r="C186" s="18">
        <v>45710.0</v>
      </c>
      <c r="D186" s="11" t="s">
        <v>1011</v>
      </c>
      <c r="E186" s="11" t="s">
        <v>1957</v>
      </c>
      <c r="G186" s="11" t="s">
        <v>1960</v>
      </c>
      <c r="H186" s="11" t="s">
        <v>1959</v>
      </c>
      <c r="I186" s="11" t="b">
        <v>1</v>
      </c>
      <c r="J186" s="11" t="s">
        <v>95</v>
      </c>
      <c r="P186" s="11">
        <v>1337834.0</v>
      </c>
      <c r="Q186" s="11" t="b">
        <v>1</v>
      </c>
    </row>
    <row r="187">
      <c r="A187" s="11" t="s">
        <v>1964</v>
      </c>
      <c r="B187" s="11" t="s">
        <v>78</v>
      </c>
      <c r="C187" s="18">
        <v>45714.0</v>
      </c>
      <c r="D187" s="11" t="s">
        <v>1279</v>
      </c>
      <c r="E187" s="11" t="s">
        <v>1967</v>
      </c>
      <c r="G187" s="11" t="s">
        <v>1972</v>
      </c>
      <c r="H187" s="11" t="s">
        <v>1968</v>
      </c>
      <c r="I187" s="11" t="b">
        <v>1</v>
      </c>
      <c r="J187" s="11" t="s">
        <v>95</v>
      </c>
      <c r="P187" s="11">
        <v>1342967.0</v>
      </c>
      <c r="Q187" s="11" t="b">
        <v>1</v>
      </c>
    </row>
    <row r="188">
      <c r="A188" s="11" t="s">
        <v>1977</v>
      </c>
      <c r="B188" s="11" t="s">
        <v>78</v>
      </c>
      <c r="C188" s="18">
        <v>45714.0</v>
      </c>
      <c r="D188" s="11" t="s">
        <v>104</v>
      </c>
      <c r="E188" s="11" t="s">
        <v>1980</v>
      </c>
      <c r="G188" s="11" t="s">
        <v>1982</v>
      </c>
      <c r="H188" s="11" t="s">
        <v>380</v>
      </c>
      <c r="I188" s="11" t="b">
        <v>1</v>
      </c>
      <c r="J188" s="11" t="s">
        <v>95</v>
      </c>
      <c r="P188" s="11">
        <v>1342987.0</v>
      </c>
      <c r="Q188" s="11" t="b">
        <v>1</v>
      </c>
    </row>
    <row r="189">
      <c r="A189" s="11" t="s">
        <v>1985</v>
      </c>
      <c r="B189" s="11" t="s">
        <v>78</v>
      </c>
      <c r="C189" s="18">
        <v>45709.0</v>
      </c>
      <c r="D189" s="11" t="s">
        <v>992</v>
      </c>
      <c r="E189" s="11" t="s">
        <v>1987</v>
      </c>
      <c r="G189" s="11" t="s">
        <v>1990</v>
      </c>
      <c r="H189" s="11" t="s">
        <v>1989</v>
      </c>
      <c r="I189" s="11" t="b">
        <v>1</v>
      </c>
      <c r="J189" s="11" t="s">
        <v>95</v>
      </c>
      <c r="P189" s="11">
        <v>1331735.0</v>
      </c>
      <c r="Q189" s="11" t="b">
        <v>1</v>
      </c>
    </row>
    <row r="190">
      <c r="A190" s="11" t="s">
        <v>1994</v>
      </c>
      <c r="B190" s="11" t="s">
        <v>78</v>
      </c>
      <c r="C190" s="18">
        <v>45714.0</v>
      </c>
      <c r="D190" s="11" t="s">
        <v>168</v>
      </c>
      <c r="E190" s="11" t="s">
        <v>1995</v>
      </c>
      <c r="G190" s="11" t="s">
        <v>1997</v>
      </c>
      <c r="H190" s="11" t="s">
        <v>1996</v>
      </c>
      <c r="I190" s="11" t="b">
        <v>1</v>
      </c>
      <c r="J190" s="11" t="s">
        <v>95</v>
      </c>
      <c r="P190" s="11">
        <v>1342984.0</v>
      </c>
      <c r="Q190" s="11" t="b">
        <v>1</v>
      </c>
    </row>
    <row r="191">
      <c r="A191" s="11" t="s">
        <v>1999</v>
      </c>
      <c r="B191" s="11" t="s">
        <v>78</v>
      </c>
      <c r="C191" s="18">
        <v>45713.0</v>
      </c>
      <c r="D191" s="11" t="s">
        <v>237</v>
      </c>
      <c r="E191" s="11" t="s">
        <v>2001</v>
      </c>
      <c r="G191" s="11" t="s">
        <v>2004</v>
      </c>
      <c r="H191" s="11" t="s">
        <v>2002</v>
      </c>
      <c r="I191" s="11" t="b">
        <v>0</v>
      </c>
      <c r="J191" s="11" t="s">
        <v>95</v>
      </c>
      <c r="L191" s="11" t="s">
        <v>2007</v>
      </c>
      <c r="Q191" s="11" t="b">
        <v>1</v>
      </c>
    </row>
    <row r="192">
      <c r="A192" s="11" t="s">
        <v>2008</v>
      </c>
      <c r="B192" s="11" t="s">
        <v>78</v>
      </c>
      <c r="C192" s="18">
        <v>45713.0</v>
      </c>
      <c r="D192" s="11" t="s">
        <v>237</v>
      </c>
      <c r="E192" s="11" t="s">
        <v>2009</v>
      </c>
      <c r="G192" s="11" t="s">
        <v>2012</v>
      </c>
      <c r="H192" s="11" t="s">
        <v>2011</v>
      </c>
      <c r="I192" s="11" t="b">
        <v>0</v>
      </c>
      <c r="J192" s="11" t="s">
        <v>95</v>
      </c>
      <c r="Q192" s="11" t="b">
        <v>1</v>
      </c>
    </row>
    <row r="193">
      <c r="A193" s="11" t="s">
        <v>2014</v>
      </c>
      <c r="B193" s="11" t="s">
        <v>78</v>
      </c>
      <c r="C193" s="18">
        <v>45716.0</v>
      </c>
      <c r="D193" s="11" t="s">
        <v>992</v>
      </c>
      <c r="E193" s="11" t="s">
        <v>2016</v>
      </c>
      <c r="G193" s="11" t="s">
        <v>2019</v>
      </c>
      <c r="H193" s="11" t="s">
        <v>2018</v>
      </c>
      <c r="I193" s="11" t="b">
        <v>1</v>
      </c>
      <c r="J193" s="11" t="s">
        <v>95</v>
      </c>
      <c r="P193" s="11">
        <v>1345772.0</v>
      </c>
      <c r="Q193" s="11" t="b">
        <v>1</v>
      </c>
    </row>
    <row r="194">
      <c r="A194" s="11" t="s">
        <v>2022</v>
      </c>
      <c r="B194" s="11" t="s">
        <v>78</v>
      </c>
      <c r="C194" s="18">
        <v>45719.0</v>
      </c>
      <c r="D194" s="11" t="s">
        <v>992</v>
      </c>
      <c r="E194" s="11" t="s">
        <v>2025</v>
      </c>
      <c r="G194" s="11" t="s">
        <v>2026</v>
      </c>
      <c r="H194" s="11" t="s">
        <v>2018</v>
      </c>
      <c r="I194" s="11" t="b">
        <v>1</v>
      </c>
      <c r="J194" s="11" t="s">
        <v>95</v>
      </c>
      <c r="P194" s="11">
        <v>1353848.0</v>
      </c>
      <c r="Q194" s="11" t="b">
        <v>1</v>
      </c>
    </row>
    <row r="195">
      <c r="A195" s="11" t="s">
        <v>2029</v>
      </c>
      <c r="B195" s="11" t="s">
        <v>78</v>
      </c>
      <c r="C195" s="18">
        <v>45717.0</v>
      </c>
      <c r="D195" s="11" t="s">
        <v>676</v>
      </c>
      <c r="E195" s="11" t="s">
        <v>2032</v>
      </c>
      <c r="G195" s="11" t="s">
        <v>2037</v>
      </c>
      <c r="H195" s="11" t="s">
        <v>2034</v>
      </c>
      <c r="I195" s="11" t="b">
        <v>1</v>
      </c>
      <c r="J195" s="11" t="s">
        <v>95</v>
      </c>
      <c r="P195" s="11">
        <v>1348651.0</v>
      </c>
      <c r="Q195" s="11" t="b">
        <v>1</v>
      </c>
    </row>
    <row r="196">
      <c r="A196" s="11" t="s">
        <v>2041</v>
      </c>
      <c r="B196" s="11" t="s">
        <v>78</v>
      </c>
      <c r="C196" s="18">
        <v>45717.0</v>
      </c>
      <c r="D196" s="11" t="s">
        <v>104</v>
      </c>
      <c r="E196" s="11" t="s">
        <v>2045</v>
      </c>
      <c r="G196" s="11" t="s">
        <v>2048</v>
      </c>
      <c r="H196" s="11" t="s">
        <v>110</v>
      </c>
      <c r="I196" s="11" t="b">
        <v>1</v>
      </c>
      <c r="J196" s="11" t="s">
        <v>95</v>
      </c>
      <c r="P196" s="11">
        <v>1348657.0</v>
      </c>
      <c r="Q196" s="11" t="b">
        <v>1</v>
      </c>
    </row>
    <row r="197">
      <c r="A197" s="11" t="s">
        <v>2051</v>
      </c>
      <c r="B197" s="11" t="s">
        <v>78</v>
      </c>
      <c r="C197" s="18">
        <v>45718.0</v>
      </c>
      <c r="D197" s="11" t="s">
        <v>85</v>
      </c>
      <c r="E197" s="11" t="s">
        <v>2053</v>
      </c>
      <c r="G197" s="11" t="s">
        <v>2057</v>
      </c>
      <c r="H197" s="11" t="s">
        <v>2054</v>
      </c>
      <c r="I197" s="11" t="b">
        <v>1</v>
      </c>
      <c r="J197" s="11" t="s">
        <v>95</v>
      </c>
      <c r="P197" s="11">
        <v>1351807.0</v>
      </c>
      <c r="Q197" s="11" t="b">
        <v>1</v>
      </c>
    </row>
    <row r="198">
      <c r="A198" s="11" t="s">
        <v>2060</v>
      </c>
      <c r="B198" s="11" t="s">
        <v>78</v>
      </c>
      <c r="C198" s="18">
        <v>45716.0</v>
      </c>
      <c r="D198" s="11" t="s">
        <v>513</v>
      </c>
      <c r="E198" s="11" t="s">
        <v>2064</v>
      </c>
      <c r="G198" s="11" t="s">
        <v>2066</v>
      </c>
      <c r="H198" s="11" t="s">
        <v>2065</v>
      </c>
      <c r="I198" s="11" t="b">
        <v>1</v>
      </c>
      <c r="J198" s="11" t="s">
        <v>95</v>
      </c>
      <c r="P198" s="11">
        <v>1345777.0</v>
      </c>
      <c r="Q198" s="11" t="b">
        <v>1</v>
      </c>
    </row>
    <row r="199">
      <c r="A199" s="11" t="s">
        <v>2069</v>
      </c>
      <c r="B199" s="11" t="s">
        <v>78</v>
      </c>
      <c r="C199" s="18">
        <v>45716.0</v>
      </c>
      <c r="D199" s="11" t="s">
        <v>237</v>
      </c>
      <c r="E199" s="11" t="s">
        <v>2071</v>
      </c>
      <c r="G199" s="11" t="s">
        <v>2075</v>
      </c>
      <c r="H199" s="11" t="s">
        <v>2073</v>
      </c>
      <c r="I199" s="11" t="b">
        <v>0</v>
      </c>
      <c r="J199" s="11" t="s">
        <v>95</v>
      </c>
      <c r="Q199" s="11" t="b">
        <v>1</v>
      </c>
    </row>
    <row r="200">
      <c r="A200" s="11" t="s">
        <v>2079</v>
      </c>
      <c r="B200" s="11" t="s">
        <v>78</v>
      </c>
      <c r="C200" s="18">
        <v>45716.0</v>
      </c>
      <c r="D200" s="11" t="s">
        <v>237</v>
      </c>
      <c r="E200" s="11" t="s">
        <v>2081</v>
      </c>
      <c r="G200" s="11" t="s">
        <v>2083</v>
      </c>
      <c r="H200" s="11" t="s">
        <v>2082</v>
      </c>
      <c r="I200" s="11" t="b">
        <v>0</v>
      </c>
      <c r="J200" s="11" t="s">
        <v>95</v>
      </c>
      <c r="L200" s="11" t="s">
        <v>2086</v>
      </c>
      <c r="M200" s="11" t="s">
        <v>2087</v>
      </c>
      <c r="Q200" s="11" t="b">
        <v>1</v>
      </c>
    </row>
    <row r="201">
      <c r="A201" s="11" t="s">
        <v>2090</v>
      </c>
      <c r="B201" s="11" t="s">
        <v>78</v>
      </c>
      <c r="C201" s="18">
        <v>45721.0</v>
      </c>
      <c r="D201" s="11" t="s">
        <v>104</v>
      </c>
      <c r="E201" s="11" t="s">
        <v>2092</v>
      </c>
      <c r="G201" s="11" t="s">
        <v>2094</v>
      </c>
      <c r="H201" s="11" t="s">
        <v>2093</v>
      </c>
      <c r="I201" s="11" t="b">
        <v>1</v>
      </c>
      <c r="J201" s="11" t="s">
        <v>95</v>
      </c>
      <c r="P201" s="11">
        <v>1359050.0</v>
      </c>
      <c r="Q201" s="11" t="b">
        <v>1</v>
      </c>
    </row>
    <row r="202">
      <c r="A202" s="11" t="s">
        <v>2100</v>
      </c>
      <c r="B202" s="11" t="s">
        <v>78</v>
      </c>
      <c r="C202" s="18">
        <v>45719.0</v>
      </c>
      <c r="D202" s="11" t="s">
        <v>85</v>
      </c>
      <c r="E202" s="11" t="s">
        <v>2103</v>
      </c>
      <c r="G202" s="11" t="s">
        <v>2107</v>
      </c>
      <c r="H202" s="11" t="s">
        <v>1016</v>
      </c>
      <c r="I202" s="11" t="b">
        <v>1</v>
      </c>
      <c r="J202" s="11" t="s">
        <v>95</v>
      </c>
      <c r="P202" s="11">
        <v>1356731.0</v>
      </c>
      <c r="Q202" s="11" t="b">
        <v>1</v>
      </c>
    </row>
    <row r="203">
      <c r="A203" s="11" t="s">
        <v>2111</v>
      </c>
      <c r="B203" s="11" t="s">
        <v>78</v>
      </c>
      <c r="C203" s="18">
        <v>45723.0</v>
      </c>
      <c r="D203" s="11" t="s">
        <v>992</v>
      </c>
      <c r="E203" s="11" t="s">
        <v>2112</v>
      </c>
      <c r="G203" s="11" t="s">
        <v>2115</v>
      </c>
      <c r="H203" s="11" t="s">
        <v>2113</v>
      </c>
      <c r="I203" s="11" t="b">
        <v>1</v>
      </c>
      <c r="J203" s="11" t="s">
        <v>95</v>
      </c>
      <c r="P203" s="11">
        <v>1361542.0</v>
      </c>
      <c r="Q203" s="11" t="b">
        <v>1</v>
      </c>
    </row>
    <row r="204">
      <c r="A204" s="11" t="s">
        <v>2121</v>
      </c>
      <c r="B204" s="11" t="s">
        <v>78</v>
      </c>
      <c r="C204" s="18">
        <v>45722.0</v>
      </c>
      <c r="D204" s="11" t="s">
        <v>513</v>
      </c>
      <c r="E204" s="11" t="s">
        <v>2125</v>
      </c>
      <c r="G204" s="11" t="s">
        <v>2129</v>
      </c>
      <c r="H204" s="11" t="s">
        <v>2126</v>
      </c>
      <c r="I204" s="11" t="b">
        <v>1</v>
      </c>
      <c r="J204" s="11" t="s">
        <v>95</v>
      </c>
      <c r="P204" s="11">
        <v>1361589.0</v>
      </c>
      <c r="Q204" s="11" t="b">
        <v>1</v>
      </c>
    </row>
    <row r="205">
      <c r="A205" s="11" t="s">
        <v>2134</v>
      </c>
      <c r="B205" s="11" t="s">
        <v>78</v>
      </c>
      <c r="C205" s="18">
        <v>45720.0</v>
      </c>
      <c r="D205" s="11" t="s">
        <v>513</v>
      </c>
      <c r="E205" s="11" t="s">
        <v>2136</v>
      </c>
      <c r="G205" s="11" t="s">
        <v>2141</v>
      </c>
      <c r="H205" s="11" t="s">
        <v>2137</v>
      </c>
      <c r="I205" s="11" t="b">
        <v>1</v>
      </c>
      <c r="J205" s="11" t="s">
        <v>95</v>
      </c>
      <c r="P205" s="11">
        <v>1356740.0</v>
      </c>
      <c r="Q205" s="11" t="b">
        <v>1</v>
      </c>
    </row>
    <row r="206">
      <c r="A206" s="11" t="s">
        <v>2148</v>
      </c>
      <c r="B206" s="11" t="s">
        <v>78</v>
      </c>
      <c r="C206" s="18">
        <v>45726.0</v>
      </c>
      <c r="D206" s="11" t="s">
        <v>992</v>
      </c>
      <c r="E206" s="11" t="s">
        <v>2151</v>
      </c>
      <c r="G206" s="11" t="s">
        <v>2154</v>
      </c>
      <c r="H206" s="11" t="s">
        <v>2113</v>
      </c>
      <c r="I206" s="11" t="b">
        <v>1</v>
      </c>
      <c r="J206" s="11" t="s">
        <v>95</v>
      </c>
      <c r="P206" s="11">
        <v>1369393.0</v>
      </c>
      <c r="Q206" s="11" t="b">
        <v>1</v>
      </c>
    </row>
    <row r="207">
      <c r="A207" s="11" t="s">
        <v>2157</v>
      </c>
      <c r="B207" s="11" t="s">
        <v>78</v>
      </c>
      <c r="C207" s="18">
        <v>45726.0</v>
      </c>
      <c r="D207" s="11" t="s">
        <v>168</v>
      </c>
      <c r="E207" s="11" t="s">
        <v>2161</v>
      </c>
      <c r="G207" s="11" t="s">
        <v>2164</v>
      </c>
      <c r="H207" s="11" t="s">
        <v>172</v>
      </c>
      <c r="I207" s="11" t="b">
        <v>1</v>
      </c>
      <c r="J207" s="11" t="s">
        <v>95</v>
      </c>
      <c r="P207" s="11">
        <v>1369407.0</v>
      </c>
      <c r="Q207" s="11" t="b">
        <v>1</v>
      </c>
    </row>
    <row r="208">
      <c r="A208" s="11" t="s">
        <v>2172</v>
      </c>
      <c r="B208" s="11" t="s">
        <v>78</v>
      </c>
      <c r="C208" s="18">
        <v>45724.0</v>
      </c>
      <c r="D208" s="11" t="s">
        <v>676</v>
      </c>
      <c r="E208" s="11" t="s">
        <v>2177</v>
      </c>
      <c r="G208" s="11" t="s">
        <v>2182</v>
      </c>
      <c r="H208" s="11" t="s">
        <v>2178</v>
      </c>
      <c r="I208" s="11" t="b">
        <v>1</v>
      </c>
      <c r="J208" s="11" t="s">
        <v>95</v>
      </c>
      <c r="P208" s="11">
        <v>1365046.0</v>
      </c>
      <c r="Q208" s="11" t="b">
        <v>1</v>
      </c>
    </row>
    <row r="209">
      <c r="A209" s="11" t="s">
        <v>2187</v>
      </c>
      <c r="B209" s="11" t="s">
        <v>78</v>
      </c>
      <c r="C209" s="18">
        <v>45724.0</v>
      </c>
      <c r="D209" s="11" t="s">
        <v>676</v>
      </c>
      <c r="E209" s="11" t="s">
        <v>2190</v>
      </c>
      <c r="G209" s="11" t="s">
        <v>2191</v>
      </c>
      <c r="H209" s="11" t="s">
        <v>2034</v>
      </c>
      <c r="I209" s="11" t="b">
        <v>1</v>
      </c>
      <c r="J209" s="11" t="s">
        <v>95</v>
      </c>
      <c r="P209" s="11">
        <v>1364937.0</v>
      </c>
      <c r="Q209" s="11" t="b">
        <v>1</v>
      </c>
    </row>
    <row r="210">
      <c r="A210" s="11" t="s">
        <v>2196</v>
      </c>
      <c r="B210" s="11" t="s">
        <v>78</v>
      </c>
      <c r="C210" s="18">
        <v>45723.0</v>
      </c>
      <c r="D210" s="11" t="s">
        <v>104</v>
      </c>
      <c r="E210" s="11" t="s">
        <v>2199</v>
      </c>
      <c r="G210" s="11" t="s">
        <v>2201</v>
      </c>
      <c r="H210" s="11" t="s">
        <v>110</v>
      </c>
      <c r="I210" s="11" t="b">
        <v>1</v>
      </c>
      <c r="J210" s="11" t="s">
        <v>95</v>
      </c>
      <c r="P210" s="11">
        <v>1361748.0</v>
      </c>
      <c r="Q210" s="11" t="b">
        <v>1</v>
      </c>
    </row>
    <row r="211">
      <c r="A211" s="11" t="s">
        <v>2206</v>
      </c>
      <c r="B211" s="11" t="s">
        <v>78</v>
      </c>
      <c r="C211" s="18">
        <v>45723.0</v>
      </c>
      <c r="D211" s="11" t="s">
        <v>596</v>
      </c>
      <c r="E211" s="11" t="s">
        <v>2209</v>
      </c>
      <c r="G211" s="11" t="s">
        <v>2212</v>
      </c>
      <c r="H211" s="11" t="s">
        <v>2211</v>
      </c>
      <c r="I211" s="11" t="b">
        <v>1</v>
      </c>
      <c r="J211" s="11" t="s">
        <v>95</v>
      </c>
      <c r="P211" s="11">
        <v>1361708.0</v>
      </c>
      <c r="Q211" s="11" t="b">
        <v>1</v>
      </c>
    </row>
    <row r="212">
      <c r="A212" s="11" t="s">
        <v>2216</v>
      </c>
      <c r="B212" s="11" t="s">
        <v>78</v>
      </c>
      <c r="C212" s="18">
        <v>45727.0</v>
      </c>
      <c r="D212" s="11" t="s">
        <v>708</v>
      </c>
      <c r="E212" s="11" t="s">
        <v>2220</v>
      </c>
      <c r="G212" s="11" t="s">
        <v>2225</v>
      </c>
      <c r="H212" s="11" t="s">
        <v>2222</v>
      </c>
      <c r="I212" s="11" t="b">
        <v>1</v>
      </c>
      <c r="J212" s="11" t="s">
        <v>95</v>
      </c>
      <c r="P212" s="11">
        <v>1372288.0</v>
      </c>
      <c r="Q212" s="11" t="b">
        <v>1</v>
      </c>
    </row>
    <row r="213">
      <c r="A213" s="11" t="s">
        <v>2229</v>
      </c>
      <c r="B213" s="11" t="s">
        <v>78</v>
      </c>
      <c r="C213" s="18">
        <v>45727.0</v>
      </c>
      <c r="D213" s="11" t="s">
        <v>168</v>
      </c>
      <c r="E213" s="11" t="s">
        <v>2232</v>
      </c>
      <c r="G213" s="11" t="s">
        <v>2237</v>
      </c>
      <c r="H213" s="11" t="s">
        <v>2233</v>
      </c>
      <c r="I213" s="11" t="b">
        <v>1</v>
      </c>
      <c r="J213" s="11" t="s">
        <v>95</v>
      </c>
      <c r="P213" s="11">
        <v>1371158.0</v>
      </c>
      <c r="Q213" s="11" t="b">
        <v>1</v>
      </c>
    </row>
    <row r="214">
      <c r="A214" s="11" t="s">
        <v>2240</v>
      </c>
      <c r="B214" s="11" t="s">
        <v>78</v>
      </c>
      <c r="C214" s="18">
        <v>45729.0</v>
      </c>
      <c r="D214" s="11" t="s">
        <v>817</v>
      </c>
      <c r="E214" s="11" t="s">
        <v>2243</v>
      </c>
      <c r="G214" s="11" t="s">
        <v>2246</v>
      </c>
      <c r="H214" s="11" t="s">
        <v>2244</v>
      </c>
      <c r="I214" s="11" t="b">
        <v>0</v>
      </c>
      <c r="J214" s="11" t="s">
        <v>95</v>
      </c>
      <c r="Q214" s="11" t="b">
        <v>1</v>
      </c>
    </row>
    <row r="215">
      <c r="A215" s="11" t="s">
        <v>2250</v>
      </c>
      <c r="B215" s="11" t="s">
        <v>78</v>
      </c>
      <c r="C215" s="18">
        <v>45726.0</v>
      </c>
      <c r="D215" s="11" t="s">
        <v>2255</v>
      </c>
      <c r="E215" s="11" t="s">
        <v>2256</v>
      </c>
      <c r="G215" s="11" t="s">
        <v>2259</v>
      </c>
      <c r="H215" s="11" t="s">
        <v>2257</v>
      </c>
      <c r="I215" s="11" t="b">
        <v>0</v>
      </c>
      <c r="J215" s="11" t="s">
        <v>95</v>
      </c>
      <c r="Q215" s="11" t="b">
        <v>1</v>
      </c>
    </row>
    <row r="216">
      <c r="A216" s="11" t="s">
        <v>2262</v>
      </c>
      <c r="B216" s="11" t="s">
        <v>78</v>
      </c>
      <c r="C216" s="18">
        <v>45722.0</v>
      </c>
      <c r="D216" s="11">
        <v>6.8893939E7</v>
      </c>
      <c r="E216" s="11" t="s">
        <v>2266</v>
      </c>
      <c r="G216" s="11" t="s">
        <v>2270</v>
      </c>
      <c r="H216" s="11" t="s">
        <v>2268</v>
      </c>
      <c r="I216" s="11" t="b">
        <v>0</v>
      </c>
      <c r="J216" s="11" t="s">
        <v>95</v>
      </c>
      <c r="Q216" s="11" t="b">
        <v>1</v>
      </c>
    </row>
    <row r="217">
      <c r="A217" s="11" t="s">
        <v>2273</v>
      </c>
      <c r="B217" s="11" t="s">
        <v>78</v>
      </c>
      <c r="C217" s="18">
        <v>45728.0</v>
      </c>
      <c r="D217" s="11" t="s">
        <v>237</v>
      </c>
      <c r="E217" s="11" t="s">
        <v>2276</v>
      </c>
      <c r="G217" s="11" t="s">
        <v>2280</v>
      </c>
      <c r="H217" s="11" t="s">
        <v>2277</v>
      </c>
      <c r="I217" s="11" t="b">
        <v>0</v>
      </c>
      <c r="J217" s="11" t="s">
        <v>95</v>
      </c>
      <c r="L217" s="11" t="s">
        <v>2284</v>
      </c>
      <c r="M217" s="11" t="s">
        <v>2285</v>
      </c>
      <c r="Q217" s="11" t="b">
        <v>1</v>
      </c>
    </row>
    <row r="218">
      <c r="A218" s="11" t="s">
        <v>2286</v>
      </c>
      <c r="B218" s="11" t="s">
        <v>78</v>
      </c>
      <c r="C218" s="18">
        <v>45728.0</v>
      </c>
      <c r="D218" s="11" t="s">
        <v>237</v>
      </c>
      <c r="E218" s="11" t="s">
        <v>2290</v>
      </c>
      <c r="G218" s="11" t="s">
        <v>2295</v>
      </c>
      <c r="H218" s="11" t="s">
        <v>2291</v>
      </c>
      <c r="I218" s="11" t="b">
        <v>0</v>
      </c>
      <c r="J218" s="11" t="s">
        <v>95</v>
      </c>
      <c r="Q218" s="11" t="b">
        <v>1</v>
      </c>
    </row>
    <row r="219">
      <c r="A219" s="11" t="s">
        <v>2298</v>
      </c>
      <c r="B219" s="11" t="s">
        <v>78</v>
      </c>
      <c r="C219" s="18">
        <v>45730.0</v>
      </c>
      <c r="D219" s="11" t="s">
        <v>2299</v>
      </c>
      <c r="E219" s="11" t="s">
        <v>2301</v>
      </c>
      <c r="G219" s="11" t="s">
        <v>2304</v>
      </c>
      <c r="H219" s="11" t="s">
        <v>2303</v>
      </c>
      <c r="I219" s="11" t="b">
        <v>1</v>
      </c>
      <c r="J219" s="11" t="s">
        <v>95</v>
      </c>
      <c r="P219" s="11">
        <v>1375143.0</v>
      </c>
      <c r="Q219" s="11" t="b">
        <v>1</v>
      </c>
    </row>
    <row r="220">
      <c r="A220" s="11" t="s">
        <v>2308</v>
      </c>
      <c r="B220" s="11" t="s">
        <v>78</v>
      </c>
      <c r="C220" s="18">
        <v>45728.0</v>
      </c>
      <c r="D220" s="11" t="s">
        <v>104</v>
      </c>
      <c r="E220" s="11" t="s">
        <v>2311</v>
      </c>
      <c r="G220" s="11" t="s">
        <v>2314</v>
      </c>
      <c r="H220" s="11" t="s">
        <v>110</v>
      </c>
      <c r="I220" s="11" t="b">
        <v>1</v>
      </c>
      <c r="J220" s="11" t="s">
        <v>95</v>
      </c>
      <c r="P220" s="11">
        <v>1375139.0</v>
      </c>
      <c r="Q220" s="11" t="b">
        <v>1</v>
      </c>
    </row>
    <row r="221">
      <c r="A221" s="11" t="s">
        <v>2319</v>
      </c>
      <c r="B221" s="11" t="s">
        <v>78</v>
      </c>
      <c r="C221" s="18">
        <v>45730.0</v>
      </c>
      <c r="D221" s="11" t="s">
        <v>992</v>
      </c>
      <c r="E221" s="11" t="s">
        <v>2321</v>
      </c>
      <c r="G221" s="11" t="s">
        <v>2324</v>
      </c>
      <c r="H221" s="11" t="s">
        <v>2322</v>
      </c>
      <c r="I221" s="11" t="b">
        <v>1</v>
      </c>
      <c r="J221" s="11" t="s">
        <v>95</v>
      </c>
      <c r="P221" s="11">
        <v>1374885.0</v>
      </c>
      <c r="Q221" s="11" t="b">
        <v>1</v>
      </c>
    </row>
    <row r="222">
      <c r="A222" s="11" t="s">
        <v>2328</v>
      </c>
      <c r="B222" s="11" t="s">
        <v>78</v>
      </c>
      <c r="C222" s="18">
        <v>45735.0</v>
      </c>
      <c r="D222" s="11" t="s">
        <v>1627</v>
      </c>
      <c r="E222" s="11" t="s">
        <v>2330</v>
      </c>
      <c r="G222" s="11" t="s">
        <v>2333</v>
      </c>
      <c r="H222" s="11" t="s">
        <v>2332</v>
      </c>
      <c r="I222" s="11" t="b">
        <v>1</v>
      </c>
      <c r="J222" s="11" t="s">
        <v>95</v>
      </c>
      <c r="P222" s="11">
        <v>1385455.0</v>
      </c>
      <c r="Q222" s="11" t="b">
        <v>1</v>
      </c>
    </row>
    <row r="223">
      <c r="A223" s="11" t="s">
        <v>2336</v>
      </c>
      <c r="B223" s="11" t="s">
        <v>78</v>
      </c>
      <c r="C223" s="18">
        <v>45730.0</v>
      </c>
      <c r="D223" s="11" t="s">
        <v>1251</v>
      </c>
      <c r="E223" s="11" t="s">
        <v>2339</v>
      </c>
      <c r="G223" s="11" t="s">
        <v>2342</v>
      </c>
      <c r="H223" s="11" t="s">
        <v>2340</v>
      </c>
      <c r="I223" s="11" t="b">
        <v>1</v>
      </c>
      <c r="J223" s="11" t="s">
        <v>95</v>
      </c>
      <c r="P223" s="11">
        <v>1375508.0</v>
      </c>
      <c r="Q223" s="11" t="b">
        <v>1</v>
      </c>
    </row>
    <row r="224">
      <c r="A224" s="11" t="s">
        <v>2347</v>
      </c>
      <c r="B224" s="11" t="s">
        <v>78</v>
      </c>
      <c r="C224" s="18">
        <v>45732.0</v>
      </c>
      <c r="D224" s="11" t="s">
        <v>2349</v>
      </c>
      <c r="E224" s="11" t="s">
        <v>2350</v>
      </c>
      <c r="G224" s="11" t="s">
        <v>2354</v>
      </c>
      <c r="H224" s="11" t="s">
        <v>2351</v>
      </c>
      <c r="I224" s="11" t="b">
        <v>1</v>
      </c>
      <c r="J224" s="11" t="s">
        <v>95</v>
      </c>
      <c r="P224" s="11">
        <v>1382407.0</v>
      </c>
      <c r="Q224" s="11" t="b">
        <v>1</v>
      </c>
    </row>
    <row r="225">
      <c r="A225" s="11" t="s">
        <v>2361</v>
      </c>
      <c r="B225" s="11" t="s">
        <v>78</v>
      </c>
      <c r="C225" s="18">
        <v>45731.0</v>
      </c>
      <c r="D225" s="11" t="s">
        <v>2349</v>
      </c>
      <c r="E225" s="11" t="s">
        <v>2364</v>
      </c>
      <c r="G225" s="11" t="s">
        <v>2367</v>
      </c>
      <c r="H225" s="11" t="s">
        <v>2365</v>
      </c>
      <c r="I225" s="11" t="b">
        <v>1</v>
      </c>
      <c r="J225" s="11" t="s">
        <v>95</v>
      </c>
      <c r="P225" s="11">
        <v>1382413.0</v>
      </c>
      <c r="Q225" s="11" t="b">
        <v>1</v>
      </c>
    </row>
    <row r="226">
      <c r="A226" s="11" t="s">
        <v>2370</v>
      </c>
      <c r="B226" s="11" t="s">
        <v>78</v>
      </c>
      <c r="C226" s="18">
        <v>45733.0</v>
      </c>
      <c r="D226" s="11" t="s">
        <v>104</v>
      </c>
      <c r="E226" s="11" t="s">
        <v>2371</v>
      </c>
      <c r="G226" s="11" t="s">
        <v>2373</v>
      </c>
      <c r="H226" s="11" t="s">
        <v>110</v>
      </c>
      <c r="I226" s="11" t="b">
        <v>1</v>
      </c>
      <c r="J226" s="11" t="s">
        <v>95</v>
      </c>
      <c r="P226" s="11">
        <v>1383810.0</v>
      </c>
      <c r="Q226" s="11" t="b">
        <v>1</v>
      </c>
    </row>
    <row r="227">
      <c r="A227" s="11" t="s">
        <v>2377</v>
      </c>
      <c r="B227" s="11" t="s">
        <v>78</v>
      </c>
      <c r="C227" s="18">
        <v>45734.0</v>
      </c>
      <c r="D227" s="11" t="s">
        <v>116</v>
      </c>
      <c r="E227" s="11" t="s">
        <v>2379</v>
      </c>
      <c r="G227" s="11" t="s">
        <v>2384</v>
      </c>
      <c r="H227" s="11" t="s">
        <v>2380</v>
      </c>
      <c r="I227" s="11" t="b">
        <v>1</v>
      </c>
      <c r="J227" s="11" t="s">
        <v>95</v>
      </c>
      <c r="P227" s="11">
        <v>1383811.0</v>
      </c>
      <c r="Q227" s="11" t="b">
        <v>1</v>
      </c>
    </row>
    <row r="228">
      <c r="A228" s="11" t="s">
        <v>2388</v>
      </c>
      <c r="B228" s="11" t="s">
        <v>78</v>
      </c>
      <c r="C228" s="18">
        <v>45731.0</v>
      </c>
      <c r="D228" s="11" t="s">
        <v>2349</v>
      </c>
      <c r="E228" s="11" t="s">
        <v>2389</v>
      </c>
      <c r="G228" s="11" t="s">
        <v>2394</v>
      </c>
      <c r="H228" s="11" t="s">
        <v>2390</v>
      </c>
      <c r="I228" s="11" t="b">
        <v>1</v>
      </c>
      <c r="J228" s="11" t="s">
        <v>95</v>
      </c>
      <c r="P228" s="11">
        <v>1382414.0</v>
      </c>
      <c r="Q228" s="11" t="b">
        <v>1</v>
      </c>
    </row>
    <row r="229">
      <c r="A229" s="11" t="s">
        <v>2396</v>
      </c>
      <c r="B229" s="11" t="s">
        <v>78</v>
      </c>
      <c r="C229" s="18">
        <v>45731.0</v>
      </c>
      <c r="D229" s="11" t="s">
        <v>2349</v>
      </c>
      <c r="E229" s="11" t="s">
        <v>2399</v>
      </c>
      <c r="G229" s="11" t="s">
        <v>2401</v>
      </c>
      <c r="H229" s="11" t="s">
        <v>2400</v>
      </c>
      <c r="I229" s="11" t="b">
        <v>1</v>
      </c>
      <c r="J229" s="11" t="s">
        <v>95</v>
      </c>
      <c r="P229" s="11">
        <v>1382419.0</v>
      </c>
      <c r="Q229" s="11" t="b">
        <v>1</v>
      </c>
    </row>
    <row r="230">
      <c r="A230" s="11" t="s">
        <v>2404</v>
      </c>
      <c r="B230" s="11" t="s">
        <v>78</v>
      </c>
      <c r="C230" s="18">
        <v>45716.0</v>
      </c>
      <c r="D230" s="11" t="s">
        <v>547</v>
      </c>
      <c r="E230" s="11" t="s">
        <v>2407</v>
      </c>
      <c r="G230" s="11" t="s">
        <v>2411</v>
      </c>
      <c r="H230" s="11" t="s">
        <v>2409</v>
      </c>
      <c r="I230" s="11" t="b">
        <v>1</v>
      </c>
      <c r="J230" s="11" t="s">
        <v>95</v>
      </c>
      <c r="P230" s="11">
        <v>1375894.0</v>
      </c>
      <c r="Q230" s="11" t="b">
        <v>1</v>
      </c>
    </row>
    <row r="231">
      <c r="A231" s="11" t="s">
        <v>2414</v>
      </c>
      <c r="B231" s="11" t="s">
        <v>78</v>
      </c>
      <c r="C231" s="18">
        <v>45728.0</v>
      </c>
      <c r="D231" s="11" t="s">
        <v>237</v>
      </c>
      <c r="E231" s="11" t="s">
        <v>2416</v>
      </c>
      <c r="G231" s="11" t="s">
        <v>2419</v>
      </c>
      <c r="H231" s="11" t="s">
        <v>2417</v>
      </c>
      <c r="I231" s="11" t="b">
        <v>0</v>
      </c>
      <c r="J231" s="11" t="s">
        <v>95</v>
      </c>
      <c r="Q231" s="11" t="b">
        <v>1</v>
      </c>
    </row>
    <row r="232">
      <c r="A232" s="11" t="s">
        <v>2422</v>
      </c>
      <c r="B232" s="11" t="s">
        <v>78</v>
      </c>
      <c r="C232" s="18">
        <v>45728.0</v>
      </c>
      <c r="D232" s="11" t="s">
        <v>237</v>
      </c>
      <c r="E232" s="11" t="s">
        <v>2424</v>
      </c>
      <c r="G232" s="11" t="s">
        <v>2427</v>
      </c>
      <c r="H232" s="11" t="s">
        <v>2426</v>
      </c>
      <c r="I232" s="11" t="b">
        <v>0</v>
      </c>
      <c r="J232" s="11" t="s">
        <v>95</v>
      </c>
      <c r="Q232" s="11" t="b">
        <v>1</v>
      </c>
    </row>
    <row r="233">
      <c r="A233" s="11" t="s">
        <v>2430</v>
      </c>
      <c r="B233" s="11" t="s">
        <v>78</v>
      </c>
      <c r="C233" s="18">
        <v>45728.0</v>
      </c>
      <c r="D233" s="11" t="s">
        <v>237</v>
      </c>
      <c r="E233" s="11" t="s">
        <v>2424</v>
      </c>
      <c r="G233" s="11" t="s">
        <v>2434</v>
      </c>
      <c r="H233" s="11" t="s">
        <v>2426</v>
      </c>
      <c r="I233" s="11" t="b">
        <v>0</v>
      </c>
      <c r="J233" s="11" t="s">
        <v>95</v>
      </c>
      <c r="L233" s="11" t="s">
        <v>2435</v>
      </c>
      <c r="Q233" s="11" t="b">
        <v>1</v>
      </c>
    </row>
    <row r="234">
      <c r="A234" s="11" t="s">
        <v>2437</v>
      </c>
      <c r="B234" s="11" t="s">
        <v>78</v>
      </c>
      <c r="C234" s="18">
        <v>45728.0</v>
      </c>
      <c r="D234" s="11" t="s">
        <v>237</v>
      </c>
      <c r="E234" s="11" t="s">
        <v>2424</v>
      </c>
      <c r="G234" s="11" t="s">
        <v>2442</v>
      </c>
      <c r="H234" s="11" t="s">
        <v>2426</v>
      </c>
      <c r="I234" s="11" t="b">
        <v>0</v>
      </c>
      <c r="J234" s="11" t="s">
        <v>95</v>
      </c>
      <c r="Q234" s="11" t="b">
        <v>1</v>
      </c>
    </row>
    <row r="235">
      <c r="A235" s="11" t="s">
        <v>2444</v>
      </c>
      <c r="B235" s="11" t="s">
        <v>78</v>
      </c>
      <c r="C235" s="18">
        <v>45731.0</v>
      </c>
      <c r="D235" s="11" t="s">
        <v>547</v>
      </c>
      <c r="E235" s="11" t="s">
        <v>2448</v>
      </c>
      <c r="G235" s="11" t="s">
        <v>2451</v>
      </c>
      <c r="H235" s="11" t="s">
        <v>2449</v>
      </c>
      <c r="I235" s="11" t="b">
        <v>1</v>
      </c>
      <c r="J235" s="11" t="s">
        <v>95</v>
      </c>
      <c r="P235" s="11">
        <v>1377278.0</v>
      </c>
      <c r="Q235" s="11" t="b">
        <v>1</v>
      </c>
    </row>
    <row r="236">
      <c r="A236" s="11" t="s">
        <v>2453</v>
      </c>
      <c r="B236" s="11" t="s">
        <v>78</v>
      </c>
      <c r="C236" s="18">
        <v>45740.0</v>
      </c>
      <c r="D236" s="11" t="s">
        <v>85</v>
      </c>
      <c r="E236" s="11" t="s">
        <v>2456</v>
      </c>
      <c r="G236" s="11" t="s">
        <v>2459</v>
      </c>
      <c r="H236" s="11" t="s">
        <v>2457</v>
      </c>
      <c r="I236" s="11" t="b">
        <v>1</v>
      </c>
      <c r="J236" s="11" t="s">
        <v>95</v>
      </c>
      <c r="P236" s="11">
        <v>1395164.0</v>
      </c>
      <c r="Q236" s="11" t="b">
        <v>1</v>
      </c>
    </row>
    <row r="237">
      <c r="A237" s="11" t="s">
        <v>2464</v>
      </c>
      <c r="B237" s="11" t="s">
        <v>78</v>
      </c>
      <c r="C237" s="18">
        <v>45738.0</v>
      </c>
      <c r="D237" s="11" t="s">
        <v>676</v>
      </c>
      <c r="E237" s="11" t="s">
        <v>2465</v>
      </c>
      <c r="G237" s="11" t="s">
        <v>2469</v>
      </c>
      <c r="H237" s="11" t="s">
        <v>2467</v>
      </c>
      <c r="I237" s="11" t="b">
        <v>1</v>
      </c>
      <c r="J237" s="11" t="s">
        <v>95</v>
      </c>
      <c r="P237" s="11">
        <v>1390798.0</v>
      </c>
      <c r="Q237" s="11" t="b">
        <v>1</v>
      </c>
    </row>
    <row r="238">
      <c r="A238" s="11" t="s">
        <v>2472</v>
      </c>
      <c r="B238" s="11" t="s">
        <v>78</v>
      </c>
      <c r="C238" s="18">
        <v>45735.0</v>
      </c>
      <c r="D238" s="11" t="s">
        <v>85</v>
      </c>
      <c r="E238" s="11" t="s">
        <v>2473</v>
      </c>
      <c r="G238" s="11" t="s">
        <v>2476</v>
      </c>
      <c r="H238" s="11" t="s">
        <v>2475</v>
      </c>
      <c r="I238" s="11" t="b">
        <v>1</v>
      </c>
      <c r="J238" s="11" t="s">
        <v>95</v>
      </c>
      <c r="P238" s="11">
        <v>1386529.0</v>
      </c>
      <c r="Q238" s="11" t="b">
        <v>1</v>
      </c>
    </row>
    <row r="239">
      <c r="A239" s="11" t="s">
        <v>2479</v>
      </c>
      <c r="B239" s="11" t="s">
        <v>78</v>
      </c>
      <c r="C239" s="18">
        <v>45736.0</v>
      </c>
      <c r="D239" s="11" t="s">
        <v>2480</v>
      </c>
      <c r="E239" s="11" t="s">
        <v>2482</v>
      </c>
      <c r="G239" s="11" t="s">
        <v>2486</v>
      </c>
      <c r="H239" s="11" t="s">
        <v>2484</v>
      </c>
      <c r="I239" s="11" t="b">
        <v>1</v>
      </c>
      <c r="J239" s="11" t="s">
        <v>95</v>
      </c>
      <c r="P239" s="11">
        <v>1386539.0</v>
      </c>
      <c r="Q239" s="11" t="b">
        <v>1</v>
      </c>
    </row>
    <row r="240">
      <c r="A240" s="11" t="s">
        <v>2490</v>
      </c>
      <c r="B240" s="11" t="s">
        <v>78</v>
      </c>
      <c r="C240" s="18">
        <v>45738.0</v>
      </c>
      <c r="D240" s="11" t="s">
        <v>104</v>
      </c>
      <c r="E240" s="11" t="s">
        <v>2491</v>
      </c>
      <c r="G240" s="11" t="s">
        <v>2495</v>
      </c>
      <c r="H240" s="11" t="s">
        <v>2493</v>
      </c>
      <c r="I240" s="11" t="b">
        <v>1</v>
      </c>
      <c r="J240" s="11" t="s">
        <v>95</v>
      </c>
      <c r="P240" s="11">
        <v>1390716.0</v>
      </c>
      <c r="Q240" s="11" t="b">
        <v>1</v>
      </c>
    </row>
    <row r="241">
      <c r="A241" s="11" t="s">
        <v>2498</v>
      </c>
      <c r="B241" s="11" t="s">
        <v>78</v>
      </c>
      <c r="C241" s="18">
        <v>45736.0</v>
      </c>
      <c r="D241" s="11" t="s">
        <v>104</v>
      </c>
      <c r="E241" s="11" t="s">
        <v>2499</v>
      </c>
      <c r="G241" s="11" t="s">
        <v>2502</v>
      </c>
      <c r="H241" s="11" t="s">
        <v>2500</v>
      </c>
      <c r="I241" s="11" t="b">
        <v>1</v>
      </c>
      <c r="J241" s="11" t="s">
        <v>95</v>
      </c>
      <c r="P241" s="11">
        <v>1386519.0</v>
      </c>
      <c r="Q241" s="11" t="b">
        <v>1</v>
      </c>
    </row>
    <row r="242">
      <c r="A242" s="11" t="s">
        <v>2505</v>
      </c>
      <c r="B242" s="11" t="s">
        <v>78</v>
      </c>
      <c r="C242" s="18">
        <v>45741.0</v>
      </c>
      <c r="D242" s="11" t="s">
        <v>237</v>
      </c>
      <c r="E242" s="11" t="s">
        <v>2508</v>
      </c>
      <c r="G242" s="11" t="s">
        <v>2513</v>
      </c>
      <c r="H242" s="11" t="s">
        <v>2510</v>
      </c>
      <c r="I242" s="11" t="b">
        <v>0</v>
      </c>
      <c r="J242" s="11" t="s">
        <v>95</v>
      </c>
      <c r="L242" s="11" t="s">
        <v>2514</v>
      </c>
      <c r="Q242" s="11" t="b">
        <v>1</v>
      </c>
    </row>
    <row r="243">
      <c r="A243" s="11" t="s">
        <v>2515</v>
      </c>
      <c r="B243" s="11" t="s">
        <v>78</v>
      </c>
      <c r="C243" s="18">
        <v>45741.0</v>
      </c>
      <c r="D243" s="11" t="s">
        <v>237</v>
      </c>
      <c r="E243" s="11" t="s">
        <v>2508</v>
      </c>
      <c r="G243" s="11" t="s">
        <v>2518</v>
      </c>
      <c r="H243" s="11" t="s">
        <v>2510</v>
      </c>
      <c r="I243" s="11" t="b">
        <v>0</v>
      </c>
      <c r="J243" s="11" t="s">
        <v>95</v>
      </c>
      <c r="Q243" s="11" t="b">
        <v>1</v>
      </c>
    </row>
    <row r="244">
      <c r="A244" s="11" t="s">
        <v>2520</v>
      </c>
      <c r="B244" s="11" t="s">
        <v>78</v>
      </c>
      <c r="C244" s="18">
        <v>45737.0</v>
      </c>
      <c r="D244" s="11" t="s">
        <v>513</v>
      </c>
      <c r="E244" s="11" t="s">
        <v>2521</v>
      </c>
      <c r="G244" s="11" t="s">
        <v>2525</v>
      </c>
      <c r="H244" s="11" t="s">
        <v>2523</v>
      </c>
      <c r="I244" s="11" t="b">
        <v>1</v>
      </c>
      <c r="J244" s="11" t="s">
        <v>95</v>
      </c>
      <c r="P244" s="11">
        <v>1388618.0</v>
      </c>
      <c r="Q244" s="11" t="b">
        <v>1</v>
      </c>
    </row>
    <row r="245">
      <c r="A245" s="11" t="s">
        <v>2528</v>
      </c>
      <c r="B245" s="11" t="s">
        <v>78</v>
      </c>
      <c r="C245" s="18">
        <v>45737.0</v>
      </c>
      <c r="D245" s="11" t="s">
        <v>992</v>
      </c>
      <c r="E245" s="11" t="s">
        <v>2530</v>
      </c>
      <c r="G245" s="11" t="s">
        <v>2533</v>
      </c>
      <c r="H245" s="11" t="s">
        <v>1989</v>
      </c>
      <c r="I245" s="11" t="b">
        <v>1</v>
      </c>
      <c r="J245" s="11" t="s">
        <v>95</v>
      </c>
      <c r="P245" s="11">
        <v>1388079.0</v>
      </c>
      <c r="Q245" s="11" t="b">
        <v>1</v>
      </c>
    </row>
    <row r="246">
      <c r="A246" s="11" t="s">
        <v>2538</v>
      </c>
      <c r="B246" s="11" t="s">
        <v>78</v>
      </c>
      <c r="C246" s="18">
        <v>45740.0</v>
      </c>
      <c r="D246" s="11" t="s">
        <v>992</v>
      </c>
      <c r="E246" s="11" t="s">
        <v>2541</v>
      </c>
      <c r="G246" s="11" t="s">
        <v>2544</v>
      </c>
      <c r="H246" s="11" t="s">
        <v>335</v>
      </c>
      <c r="I246" s="11" t="b">
        <v>1</v>
      </c>
      <c r="J246" s="11" t="s">
        <v>95</v>
      </c>
      <c r="P246" s="11">
        <v>1395132.0</v>
      </c>
      <c r="Q246" s="11" t="b">
        <v>1</v>
      </c>
    </row>
    <row r="247">
      <c r="A247" s="11" t="s">
        <v>2547</v>
      </c>
      <c r="B247" s="11" t="s">
        <v>78</v>
      </c>
      <c r="C247" s="18">
        <v>45742.0</v>
      </c>
      <c r="D247" s="11" t="s">
        <v>237</v>
      </c>
      <c r="E247" s="11" t="s">
        <v>2551</v>
      </c>
      <c r="G247" s="11" t="s">
        <v>2554</v>
      </c>
      <c r="H247" s="11" t="s">
        <v>2291</v>
      </c>
      <c r="I247" s="11" t="b">
        <v>0</v>
      </c>
      <c r="J247" s="11" t="s">
        <v>95</v>
      </c>
      <c r="L247" s="11" t="s">
        <v>2555</v>
      </c>
      <c r="M247" s="11" t="s">
        <v>2556</v>
      </c>
      <c r="Q247" s="11" t="b">
        <v>1</v>
      </c>
    </row>
    <row r="248">
      <c r="A248" s="11" t="s">
        <v>2558</v>
      </c>
      <c r="B248" s="11" t="s">
        <v>78</v>
      </c>
      <c r="C248" s="18">
        <v>45742.0</v>
      </c>
      <c r="D248" s="11" t="s">
        <v>237</v>
      </c>
      <c r="E248" s="11" t="s">
        <v>2551</v>
      </c>
      <c r="G248" s="11" t="s">
        <v>2561</v>
      </c>
      <c r="H248" s="11" t="s">
        <v>2291</v>
      </c>
      <c r="I248" s="11" t="b">
        <v>0</v>
      </c>
      <c r="J248" s="11" t="s">
        <v>95</v>
      </c>
      <c r="Q248" s="11" t="b">
        <v>1</v>
      </c>
    </row>
    <row r="249">
      <c r="A249" s="11" t="s">
        <v>2562</v>
      </c>
      <c r="B249" s="11" t="s">
        <v>78</v>
      </c>
      <c r="C249" s="18">
        <v>45722.0</v>
      </c>
      <c r="D249" s="11">
        <v>6.8893939E7</v>
      </c>
      <c r="E249" s="11" t="s">
        <v>2564</v>
      </c>
      <c r="G249" s="11" t="s">
        <v>2566</v>
      </c>
      <c r="H249" s="11" t="s">
        <v>2565</v>
      </c>
      <c r="I249" s="11" t="b">
        <v>0</v>
      </c>
      <c r="J249" s="11" t="s">
        <v>95</v>
      </c>
      <c r="Q249" s="11" t="b">
        <v>1</v>
      </c>
    </row>
    <row r="250">
      <c r="A250" s="11" t="s">
        <v>2568</v>
      </c>
      <c r="B250" s="11" t="s">
        <v>78</v>
      </c>
      <c r="C250" s="18">
        <v>45744.0</v>
      </c>
      <c r="D250" s="11" t="s">
        <v>254</v>
      </c>
      <c r="E250" s="11" t="s">
        <v>2571</v>
      </c>
      <c r="G250" s="11" t="s">
        <v>2573</v>
      </c>
      <c r="H250" s="11" t="s">
        <v>2572</v>
      </c>
      <c r="I250" s="11" t="b">
        <v>1</v>
      </c>
      <c r="J250" s="11" t="s">
        <v>95</v>
      </c>
      <c r="P250" s="11">
        <v>1401814.0</v>
      </c>
      <c r="Q250" s="11" t="b">
        <v>1</v>
      </c>
    </row>
    <row r="251">
      <c r="A251" s="11" t="s">
        <v>2576</v>
      </c>
      <c r="B251" s="11" t="s">
        <v>78</v>
      </c>
      <c r="C251" s="18">
        <v>45778.0</v>
      </c>
      <c r="D251" s="11" t="s">
        <v>2578</v>
      </c>
      <c r="E251" s="11" t="s">
        <v>2579</v>
      </c>
      <c r="G251" s="11" t="s">
        <v>2583</v>
      </c>
      <c r="H251" s="11" t="s">
        <v>2580</v>
      </c>
      <c r="I251" s="11" t="b">
        <v>1</v>
      </c>
      <c r="J251" s="11" t="s">
        <v>95</v>
      </c>
      <c r="P251" s="11">
        <v>1.4105995E7</v>
      </c>
      <c r="Q251" s="11" t="b">
        <v>1</v>
      </c>
    </row>
    <row r="252">
      <c r="A252" s="11" t="s">
        <v>2586</v>
      </c>
      <c r="B252" s="11" t="s">
        <v>78</v>
      </c>
      <c r="C252" s="18">
        <v>45749.0</v>
      </c>
      <c r="D252" s="11" t="s">
        <v>708</v>
      </c>
      <c r="E252" s="11" t="s">
        <v>2588</v>
      </c>
      <c r="G252" s="11" t="s">
        <v>2591</v>
      </c>
      <c r="H252" s="11" t="s">
        <v>2589</v>
      </c>
      <c r="I252" s="11" t="b">
        <v>1</v>
      </c>
      <c r="J252" s="11" t="s">
        <v>95</v>
      </c>
      <c r="P252" s="11">
        <v>1412230.0</v>
      </c>
      <c r="Q252" s="11" t="b">
        <v>1</v>
      </c>
    </row>
    <row r="253">
      <c r="A253" s="11" t="s">
        <v>2594</v>
      </c>
      <c r="B253" s="11" t="s">
        <v>78</v>
      </c>
      <c r="C253" s="18">
        <v>45749.0</v>
      </c>
      <c r="D253" s="11" t="s">
        <v>104</v>
      </c>
      <c r="E253" s="11" t="s">
        <v>2595</v>
      </c>
      <c r="G253" s="11" t="s">
        <v>2599</v>
      </c>
      <c r="H253" s="11" t="s">
        <v>2597</v>
      </c>
      <c r="I253" s="11" t="b">
        <v>1</v>
      </c>
      <c r="J253" s="11" t="s">
        <v>95</v>
      </c>
      <c r="P253" s="11">
        <v>142208.0</v>
      </c>
      <c r="Q253" s="11" t="b">
        <v>1</v>
      </c>
    </row>
    <row r="254">
      <c r="A254" s="11" t="s">
        <v>2603</v>
      </c>
      <c r="B254" s="11" t="s">
        <v>78</v>
      </c>
      <c r="C254" s="18">
        <v>45749.0</v>
      </c>
      <c r="D254" s="11" t="s">
        <v>1094</v>
      </c>
      <c r="E254" s="11" t="s">
        <v>2605</v>
      </c>
      <c r="G254" s="11" t="s">
        <v>2608</v>
      </c>
      <c r="H254" s="11" t="s">
        <v>2606</v>
      </c>
      <c r="I254" s="11" t="b">
        <v>1</v>
      </c>
      <c r="J254" s="11" t="s">
        <v>95</v>
      </c>
      <c r="P254" s="11">
        <v>1412222.0</v>
      </c>
      <c r="Q254" s="11" t="b">
        <v>1</v>
      </c>
    </row>
    <row r="255">
      <c r="A255" s="11" t="s">
        <v>2610</v>
      </c>
      <c r="B255" s="11" t="s">
        <v>78</v>
      </c>
      <c r="C255" s="18">
        <v>45749.0</v>
      </c>
      <c r="D255" s="11" t="s">
        <v>1627</v>
      </c>
      <c r="E255" s="11" t="s">
        <v>2612</v>
      </c>
      <c r="G255" s="11" t="s">
        <v>2615</v>
      </c>
      <c r="H255" s="11" t="s">
        <v>2613</v>
      </c>
      <c r="I255" s="11" t="b">
        <v>1</v>
      </c>
      <c r="J255" s="11" t="s">
        <v>95</v>
      </c>
      <c r="P255" s="11">
        <v>1412213.0</v>
      </c>
      <c r="Q255" s="11" t="b">
        <v>1</v>
      </c>
    </row>
    <row r="256">
      <c r="A256" s="11" t="s">
        <v>2618</v>
      </c>
      <c r="B256" s="11" t="s">
        <v>78</v>
      </c>
      <c r="C256" s="18">
        <v>45747.0</v>
      </c>
      <c r="D256" s="11" t="s">
        <v>104</v>
      </c>
      <c r="E256" s="11" t="s">
        <v>2621</v>
      </c>
      <c r="G256" s="11" t="s">
        <v>2635</v>
      </c>
      <c r="H256" s="11" t="s">
        <v>2632</v>
      </c>
      <c r="I256" s="11" t="b">
        <v>1</v>
      </c>
      <c r="J256" s="11" t="s">
        <v>95</v>
      </c>
      <c r="P256" s="11">
        <v>1409024.0</v>
      </c>
      <c r="Q256" s="11" t="b">
        <v>1</v>
      </c>
    </row>
    <row r="257">
      <c r="A257" s="11" t="s">
        <v>2639</v>
      </c>
      <c r="B257" s="11" t="s">
        <v>78</v>
      </c>
      <c r="C257" s="18">
        <v>45744.0</v>
      </c>
      <c r="D257" s="11" t="s">
        <v>85</v>
      </c>
      <c r="E257" s="11" t="s">
        <v>2641</v>
      </c>
      <c r="G257" s="11" t="s">
        <v>2650</v>
      </c>
      <c r="H257" s="11" t="s">
        <v>2647</v>
      </c>
      <c r="I257" s="11" t="b">
        <v>1</v>
      </c>
      <c r="J257" s="11" t="s">
        <v>95</v>
      </c>
      <c r="P257" s="11">
        <v>1402310.0</v>
      </c>
      <c r="Q257" s="11" t="b">
        <v>1</v>
      </c>
    </row>
    <row r="258">
      <c r="A258" s="11" t="s">
        <v>2653</v>
      </c>
      <c r="B258" s="11" t="s">
        <v>78</v>
      </c>
      <c r="C258" s="18">
        <v>45749.0</v>
      </c>
      <c r="D258" s="11" t="s">
        <v>85</v>
      </c>
      <c r="E258" s="11" t="s">
        <v>2655</v>
      </c>
      <c r="G258" s="11" t="s">
        <v>2657</v>
      </c>
      <c r="H258" s="11" t="s">
        <v>1016</v>
      </c>
      <c r="I258" s="11" t="b">
        <v>1</v>
      </c>
      <c r="J258" s="11" t="s">
        <v>95</v>
      </c>
      <c r="P258" s="11">
        <v>1412290.0</v>
      </c>
      <c r="Q258" s="11" t="b">
        <v>1</v>
      </c>
    </row>
    <row r="259">
      <c r="A259" s="11" t="s">
        <v>2661</v>
      </c>
      <c r="B259" s="11" t="s">
        <v>78</v>
      </c>
      <c r="C259" s="18">
        <v>45747.0</v>
      </c>
      <c r="D259" s="11" t="s">
        <v>992</v>
      </c>
      <c r="E259" s="11" t="s">
        <v>2664</v>
      </c>
      <c r="G259" s="11" t="s">
        <v>2667</v>
      </c>
      <c r="H259" s="11" t="s">
        <v>1989</v>
      </c>
      <c r="I259" s="11" t="b">
        <v>1</v>
      </c>
      <c r="J259" s="11" t="s">
        <v>95</v>
      </c>
      <c r="P259" s="11">
        <v>1409023.0</v>
      </c>
      <c r="Q259" s="11" t="b">
        <v>1</v>
      </c>
    </row>
    <row r="260">
      <c r="A260" s="11" t="s">
        <v>2674</v>
      </c>
      <c r="B260" s="11" t="s">
        <v>78</v>
      </c>
      <c r="C260" s="18">
        <v>45749.0</v>
      </c>
      <c r="D260" s="11" t="s">
        <v>168</v>
      </c>
      <c r="E260" s="11" t="s">
        <v>2680</v>
      </c>
      <c r="G260" s="11" t="s">
        <v>2683</v>
      </c>
      <c r="H260" s="11" t="s">
        <v>2681</v>
      </c>
      <c r="I260" s="11" t="b">
        <v>1</v>
      </c>
      <c r="J260" s="11" t="s">
        <v>95</v>
      </c>
      <c r="P260" s="11">
        <v>1412249.0</v>
      </c>
      <c r="Q260" s="11" t="b">
        <v>1</v>
      </c>
    </row>
    <row r="261">
      <c r="A261" s="11" t="s">
        <v>2687</v>
      </c>
      <c r="B261" s="11" t="s">
        <v>78</v>
      </c>
      <c r="C261" s="18">
        <v>45745.0</v>
      </c>
      <c r="D261" s="11" t="s">
        <v>168</v>
      </c>
      <c r="E261" s="11" t="s">
        <v>2688</v>
      </c>
      <c r="G261" s="11" t="s">
        <v>2691</v>
      </c>
      <c r="H261" s="11" t="s">
        <v>2689</v>
      </c>
      <c r="I261" s="11" t="b">
        <v>1</v>
      </c>
      <c r="J261" s="11" t="s">
        <v>95</v>
      </c>
      <c r="P261" s="11">
        <v>1404493.0</v>
      </c>
      <c r="Q261" s="11" t="b">
        <v>1</v>
      </c>
    </row>
    <row r="262">
      <c r="A262" s="11" t="s">
        <v>2694</v>
      </c>
      <c r="B262" s="11" t="s">
        <v>78</v>
      </c>
      <c r="C262" s="18">
        <v>45751.0</v>
      </c>
      <c r="D262" s="11" t="s">
        <v>676</v>
      </c>
      <c r="E262" s="11" t="s">
        <v>2696</v>
      </c>
      <c r="G262" s="11" t="s">
        <v>2697</v>
      </c>
      <c r="H262" s="11" t="s">
        <v>1959</v>
      </c>
      <c r="I262" s="11" t="b">
        <v>1</v>
      </c>
      <c r="J262" s="11" t="s">
        <v>95</v>
      </c>
      <c r="P262" s="11">
        <v>1419110.0</v>
      </c>
      <c r="Q262" s="11" t="b">
        <v>1</v>
      </c>
    </row>
    <row r="263">
      <c r="A263" s="11" t="s">
        <v>2701</v>
      </c>
      <c r="B263" s="11" t="s">
        <v>78</v>
      </c>
      <c r="C263" s="18">
        <v>45754.0</v>
      </c>
      <c r="D263" s="11" t="s">
        <v>992</v>
      </c>
      <c r="E263" s="11" t="s">
        <v>2704</v>
      </c>
      <c r="G263" s="11" t="s">
        <v>2707</v>
      </c>
      <c r="H263" s="11" t="s">
        <v>2705</v>
      </c>
      <c r="I263" s="11" t="b">
        <v>1</v>
      </c>
      <c r="J263" s="11" t="s">
        <v>95</v>
      </c>
      <c r="P263" s="11">
        <v>1421452.0</v>
      </c>
      <c r="Q263" s="11" t="b">
        <v>1</v>
      </c>
    </row>
    <row r="264">
      <c r="A264" s="11" t="s">
        <v>2710</v>
      </c>
      <c r="B264" s="11" t="s">
        <v>78</v>
      </c>
      <c r="C264" s="18">
        <v>45751.0</v>
      </c>
      <c r="D264" s="11" t="s">
        <v>513</v>
      </c>
      <c r="E264" s="11" t="s">
        <v>2713</v>
      </c>
      <c r="G264" s="11" t="s">
        <v>2715</v>
      </c>
      <c r="H264" s="11" t="s">
        <v>2126</v>
      </c>
      <c r="I264" s="11" t="b">
        <v>1</v>
      </c>
      <c r="J264" s="11" t="s">
        <v>95</v>
      </c>
      <c r="P264" s="11">
        <v>1415242.0</v>
      </c>
      <c r="Q264" s="11" t="b">
        <v>1</v>
      </c>
    </row>
    <row r="265">
      <c r="A265" s="11" t="s">
        <v>2718</v>
      </c>
      <c r="B265" s="11" t="s">
        <v>78</v>
      </c>
      <c r="C265" s="18">
        <v>45748.0</v>
      </c>
      <c r="D265" s="11">
        <v>6.8893939E7</v>
      </c>
      <c r="E265" s="11" t="s">
        <v>2720</v>
      </c>
      <c r="G265" s="11" t="s">
        <v>2723</v>
      </c>
      <c r="H265" s="11" t="s">
        <v>2721</v>
      </c>
      <c r="I265" s="11" t="b">
        <v>0</v>
      </c>
      <c r="J265" s="11" t="s">
        <v>95</v>
      </c>
      <c r="Q265" s="11" t="b">
        <v>1</v>
      </c>
    </row>
    <row r="266">
      <c r="A266" s="11" t="s">
        <v>2724</v>
      </c>
      <c r="B266" s="11" t="s">
        <v>78</v>
      </c>
      <c r="C266" s="18">
        <v>45751.0</v>
      </c>
      <c r="D266" s="11" t="s">
        <v>992</v>
      </c>
      <c r="E266" s="11" t="s">
        <v>2726</v>
      </c>
      <c r="G266" s="11" t="s">
        <v>2729</v>
      </c>
      <c r="H266" s="11" t="s">
        <v>2727</v>
      </c>
      <c r="I266" s="11" t="b">
        <v>1</v>
      </c>
      <c r="J266" s="11" t="s">
        <v>95</v>
      </c>
      <c r="P266" s="11">
        <v>1415253.0</v>
      </c>
      <c r="Q266" s="11" t="b">
        <v>1</v>
      </c>
    </row>
    <row r="267">
      <c r="A267" s="11" t="s">
        <v>2733</v>
      </c>
      <c r="B267" s="11" t="s">
        <v>78</v>
      </c>
      <c r="C267" s="18">
        <v>45758.0</v>
      </c>
      <c r="D267" s="11" t="s">
        <v>85</v>
      </c>
      <c r="E267" s="11" t="s">
        <v>2736</v>
      </c>
      <c r="G267" s="11" t="s">
        <v>2738</v>
      </c>
      <c r="H267" s="11" t="s">
        <v>1959</v>
      </c>
      <c r="I267" s="11" t="b">
        <v>1</v>
      </c>
      <c r="J267" s="11" t="s">
        <v>95</v>
      </c>
      <c r="P267" s="11">
        <v>1428734.0</v>
      </c>
      <c r="Q267" s="11" t="b">
        <v>1</v>
      </c>
    </row>
    <row r="268">
      <c r="A268" s="11">
        <v>5.361532E7</v>
      </c>
      <c r="B268" s="11" t="s">
        <v>78</v>
      </c>
      <c r="C268" s="18">
        <v>45759.0</v>
      </c>
      <c r="D268" s="11" t="s">
        <v>339</v>
      </c>
      <c r="E268" s="11" t="s">
        <v>2744</v>
      </c>
      <c r="G268" s="11" t="s">
        <v>2747</v>
      </c>
      <c r="H268" s="11" t="s">
        <v>2745</v>
      </c>
      <c r="I268" s="11" t="b">
        <v>1</v>
      </c>
      <c r="J268" s="11" t="s">
        <v>95</v>
      </c>
      <c r="P268" s="11">
        <v>1428731.0</v>
      </c>
      <c r="Q268" s="11" t="b">
        <v>1</v>
      </c>
    </row>
    <row r="269">
      <c r="A269" s="11" t="s">
        <v>2750</v>
      </c>
      <c r="B269" s="11" t="s">
        <v>78</v>
      </c>
      <c r="C269" s="18">
        <v>45756.0</v>
      </c>
      <c r="D269" s="11" t="s">
        <v>104</v>
      </c>
      <c r="E269" s="11" t="s">
        <v>2753</v>
      </c>
      <c r="G269" s="11" t="s">
        <v>2757</v>
      </c>
      <c r="H269" s="11" t="s">
        <v>2754</v>
      </c>
      <c r="I269" s="11" t="b">
        <v>1</v>
      </c>
      <c r="J269" s="11" t="s">
        <v>95</v>
      </c>
      <c r="P269" s="11">
        <v>1423894.0</v>
      </c>
      <c r="Q269" s="11" t="b">
        <v>1</v>
      </c>
    </row>
    <row r="270">
      <c r="A270" s="11" t="s">
        <v>2760</v>
      </c>
      <c r="B270" s="11" t="s">
        <v>78</v>
      </c>
      <c r="C270" s="18">
        <v>45757.0</v>
      </c>
      <c r="D270" s="11">
        <v>6.8893939E7</v>
      </c>
      <c r="E270" s="11" t="s">
        <v>2763</v>
      </c>
      <c r="G270" s="11" t="s">
        <v>2766</v>
      </c>
      <c r="H270" s="11" t="s">
        <v>2764</v>
      </c>
      <c r="I270" s="11" t="b">
        <v>0</v>
      </c>
      <c r="J270" s="11" t="s">
        <v>95</v>
      </c>
      <c r="Q270" s="11" t="b">
        <v>1</v>
      </c>
    </row>
    <row r="271">
      <c r="A271" s="11" t="s">
        <v>2769</v>
      </c>
      <c r="B271" s="11" t="s">
        <v>78</v>
      </c>
      <c r="C271" s="18">
        <v>45757.0</v>
      </c>
      <c r="D271" s="11" t="s">
        <v>237</v>
      </c>
      <c r="E271" s="11" t="s">
        <v>2772</v>
      </c>
      <c r="G271" s="11" t="s">
        <v>2773</v>
      </c>
      <c r="H271" s="11" t="s">
        <v>2291</v>
      </c>
      <c r="I271" s="11" t="b">
        <v>0</v>
      </c>
      <c r="J271" s="11" t="s">
        <v>95</v>
      </c>
      <c r="L271" s="11" t="s">
        <v>2777</v>
      </c>
      <c r="M271" s="11" t="s">
        <v>2778</v>
      </c>
      <c r="Q271" s="11" t="b">
        <v>1</v>
      </c>
    </row>
    <row r="272">
      <c r="A272" s="11" t="s">
        <v>2781</v>
      </c>
      <c r="B272" s="11" t="s">
        <v>78</v>
      </c>
      <c r="C272" s="18">
        <v>45757.0</v>
      </c>
      <c r="D272" s="11" t="s">
        <v>237</v>
      </c>
      <c r="E272" s="11" t="s">
        <v>2772</v>
      </c>
      <c r="G272" s="11" t="s">
        <v>2784</v>
      </c>
      <c r="H272" s="11" t="s">
        <v>2291</v>
      </c>
      <c r="I272" s="11" t="b">
        <v>0</v>
      </c>
      <c r="J272" s="11" t="s">
        <v>95</v>
      </c>
      <c r="Q272" s="11" t="b">
        <v>1</v>
      </c>
    </row>
    <row r="273">
      <c r="A273" s="11" t="s">
        <v>2785</v>
      </c>
      <c r="B273" s="11" t="s">
        <v>78</v>
      </c>
      <c r="C273" s="18">
        <v>45756.0</v>
      </c>
      <c r="D273" s="11" t="s">
        <v>237</v>
      </c>
      <c r="E273" s="11" t="s">
        <v>2788</v>
      </c>
      <c r="G273" s="11" t="s">
        <v>2791</v>
      </c>
      <c r="H273" s="11" t="s">
        <v>2291</v>
      </c>
      <c r="I273" s="11" t="b">
        <v>0</v>
      </c>
      <c r="J273" s="11" t="s">
        <v>95</v>
      </c>
      <c r="L273" s="11" t="s">
        <v>2794</v>
      </c>
      <c r="Q273" s="11" t="b">
        <v>1</v>
      </c>
    </row>
    <row r="274">
      <c r="A274" s="11" t="s">
        <v>2795</v>
      </c>
      <c r="B274" s="11" t="s">
        <v>78</v>
      </c>
      <c r="C274" s="18">
        <v>45756.0</v>
      </c>
      <c r="D274" s="11" t="s">
        <v>237</v>
      </c>
      <c r="E274" s="11" t="s">
        <v>2788</v>
      </c>
      <c r="G274" s="11" t="s">
        <v>2801</v>
      </c>
      <c r="H274" s="11" t="s">
        <v>2291</v>
      </c>
      <c r="I274" s="11" t="b">
        <v>0</v>
      </c>
      <c r="J274" s="11" t="s">
        <v>95</v>
      </c>
      <c r="Q274" s="11" t="b">
        <v>1</v>
      </c>
    </row>
    <row r="275">
      <c r="A275" s="11" t="s">
        <v>2804</v>
      </c>
      <c r="B275" s="11" t="s">
        <v>78</v>
      </c>
      <c r="C275" s="18">
        <v>45758.0</v>
      </c>
      <c r="D275" s="11" t="s">
        <v>2806</v>
      </c>
      <c r="E275" s="11" t="s">
        <v>2807</v>
      </c>
      <c r="G275" s="11" t="s">
        <v>2811</v>
      </c>
      <c r="H275" s="11" t="s">
        <v>2809</v>
      </c>
      <c r="I275" s="11" t="b">
        <v>1</v>
      </c>
      <c r="J275" s="11" t="s">
        <v>95</v>
      </c>
      <c r="P275" s="11">
        <v>1426721.0</v>
      </c>
      <c r="Q275" s="11" t="b">
        <v>1</v>
      </c>
    </row>
    <row r="276">
      <c r="A276" s="11" t="s">
        <v>2815</v>
      </c>
      <c r="B276" s="11" t="s">
        <v>78</v>
      </c>
      <c r="C276" s="18">
        <v>45758.0</v>
      </c>
      <c r="D276" s="11" t="s">
        <v>992</v>
      </c>
      <c r="E276" s="11" t="s">
        <v>2816</v>
      </c>
      <c r="G276" s="11" t="s">
        <v>2818</v>
      </c>
      <c r="H276" s="11" t="s">
        <v>2113</v>
      </c>
      <c r="I276" s="11" t="b">
        <v>1</v>
      </c>
      <c r="J276" s="11" t="s">
        <v>95</v>
      </c>
      <c r="P276" s="11">
        <v>1426717.0</v>
      </c>
      <c r="Q276" s="11" t="b">
        <v>1</v>
      </c>
    </row>
    <row r="277">
      <c r="A277" s="11" t="s">
        <v>2822</v>
      </c>
      <c r="B277" s="11" t="s">
        <v>78</v>
      </c>
      <c r="C277" s="18">
        <v>45759.0</v>
      </c>
      <c r="D277" s="11" t="s">
        <v>104</v>
      </c>
      <c r="E277" s="11" t="s">
        <v>2823</v>
      </c>
      <c r="G277" s="11" t="s">
        <v>2827</v>
      </c>
      <c r="H277" s="11" t="s">
        <v>2825</v>
      </c>
      <c r="I277" s="11" t="b">
        <v>1</v>
      </c>
      <c r="J277" s="11" t="s">
        <v>95</v>
      </c>
      <c r="P277" s="11">
        <v>1429114.0</v>
      </c>
      <c r="Q277" s="11" t="b">
        <v>1</v>
      </c>
    </row>
    <row r="278">
      <c r="A278" s="11" t="s">
        <v>2831</v>
      </c>
      <c r="B278" s="11" t="s">
        <v>78</v>
      </c>
      <c r="C278" s="18">
        <v>45767.0</v>
      </c>
      <c r="D278" s="11" t="s">
        <v>85</v>
      </c>
      <c r="E278" s="11" t="s">
        <v>2834</v>
      </c>
      <c r="G278" s="11" t="s">
        <v>2837</v>
      </c>
      <c r="H278" s="11" t="s">
        <v>2835</v>
      </c>
      <c r="I278" s="11" t="b">
        <v>1</v>
      </c>
      <c r="J278" s="11" t="s">
        <v>95</v>
      </c>
      <c r="P278" s="11">
        <v>1442387.0</v>
      </c>
      <c r="Q278" s="11" t="b">
        <v>1</v>
      </c>
    </row>
    <row r="279">
      <c r="A279" s="11" t="s">
        <v>2840</v>
      </c>
      <c r="B279" s="11" t="s">
        <v>78</v>
      </c>
      <c r="C279" s="18">
        <v>45764.0</v>
      </c>
      <c r="D279" s="11" t="s">
        <v>104</v>
      </c>
      <c r="E279" s="11" t="s">
        <v>2841</v>
      </c>
      <c r="G279" s="11" t="s">
        <v>2844</v>
      </c>
      <c r="H279" s="11" t="s">
        <v>110</v>
      </c>
      <c r="I279" s="11" t="b">
        <v>1</v>
      </c>
      <c r="J279" s="11" t="s">
        <v>95</v>
      </c>
      <c r="P279" s="11">
        <v>1437966.0</v>
      </c>
      <c r="Q279" s="11" t="b">
        <v>1</v>
      </c>
    </row>
    <row r="280">
      <c r="A280" s="11" t="s">
        <v>2848</v>
      </c>
      <c r="B280" s="11" t="s">
        <v>78</v>
      </c>
      <c r="C280" s="18">
        <v>45762.0</v>
      </c>
      <c r="D280" s="11" t="s">
        <v>2850</v>
      </c>
      <c r="E280" s="11" t="s">
        <v>2851</v>
      </c>
      <c r="G280" s="11" t="s">
        <v>2855</v>
      </c>
      <c r="H280" s="11" t="s">
        <v>2853</v>
      </c>
      <c r="I280" s="11" t="b">
        <v>1</v>
      </c>
      <c r="J280" s="11" t="s">
        <v>95</v>
      </c>
      <c r="P280" s="11">
        <v>1434664.0</v>
      </c>
      <c r="Q280" s="11" t="b">
        <v>1</v>
      </c>
    </row>
    <row r="281">
      <c r="A281" s="11" t="s">
        <v>2859</v>
      </c>
      <c r="B281" s="11" t="s">
        <v>78</v>
      </c>
      <c r="C281" s="18">
        <v>45768.0</v>
      </c>
      <c r="D281" s="11" t="s">
        <v>237</v>
      </c>
      <c r="E281" s="11" t="s">
        <v>2860</v>
      </c>
      <c r="G281" s="11" t="s">
        <v>2863</v>
      </c>
      <c r="H281" s="11" t="s">
        <v>1531</v>
      </c>
      <c r="I281" s="11" t="b">
        <v>0</v>
      </c>
      <c r="J281" s="11" t="s">
        <v>95</v>
      </c>
      <c r="Q281" s="11" t="b">
        <v>1</v>
      </c>
    </row>
    <row r="282">
      <c r="A282" s="11" t="s">
        <v>2865</v>
      </c>
      <c r="B282" s="11" t="s">
        <v>78</v>
      </c>
      <c r="C282" s="18">
        <v>45768.0</v>
      </c>
      <c r="D282" s="11" t="s">
        <v>237</v>
      </c>
      <c r="E282" s="11" t="s">
        <v>2866</v>
      </c>
      <c r="G282" s="11" t="s">
        <v>2869</v>
      </c>
      <c r="H282" s="11" t="s">
        <v>2867</v>
      </c>
      <c r="I282" s="11" t="b">
        <v>0</v>
      </c>
      <c r="J282" s="11" t="s">
        <v>95</v>
      </c>
      <c r="Q282" s="11" t="b">
        <v>1</v>
      </c>
    </row>
    <row r="283">
      <c r="A283" s="11" t="s">
        <v>2872</v>
      </c>
      <c r="B283" s="11" t="s">
        <v>78</v>
      </c>
      <c r="C283" s="18">
        <v>45765.0</v>
      </c>
      <c r="D283" s="11" t="s">
        <v>339</v>
      </c>
      <c r="E283" s="11" t="s">
        <v>2875</v>
      </c>
      <c r="G283" s="11" t="s">
        <v>2877</v>
      </c>
      <c r="H283" s="11" t="s">
        <v>2034</v>
      </c>
      <c r="I283" s="11" t="b">
        <v>1</v>
      </c>
      <c r="J283" s="11" t="s">
        <v>95</v>
      </c>
      <c r="P283" s="11">
        <v>1439317.0</v>
      </c>
      <c r="Q283" s="11" t="b">
        <v>1</v>
      </c>
    </row>
    <row r="284">
      <c r="A284" s="11" t="s">
        <v>2880</v>
      </c>
      <c r="B284" s="11" t="s">
        <v>78</v>
      </c>
      <c r="C284" s="18">
        <v>45765.0</v>
      </c>
      <c r="D284" s="11" t="s">
        <v>1105</v>
      </c>
      <c r="E284" s="11" t="s">
        <v>2883</v>
      </c>
      <c r="G284" s="11" t="s">
        <v>2886</v>
      </c>
      <c r="H284" s="11" t="s">
        <v>2885</v>
      </c>
      <c r="I284" s="11" t="b">
        <v>1</v>
      </c>
      <c r="J284" s="11" t="s">
        <v>95</v>
      </c>
      <c r="P284" s="11">
        <v>1438594.0</v>
      </c>
      <c r="Q284" s="11" t="b">
        <v>1</v>
      </c>
    </row>
    <row r="285">
      <c r="A285" s="11" t="s">
        <v>2889</v>
      </c>
      <c r="B285" s="11" t="s">
        <v>78</v>
      </c>
      <c r="C285" s="18">
        <v>45763.0</v>
      </c>
      <c r="D285" s="11" t="s">
        <v>85</v>
      </c>
      <c r="E285" s="11" t="s">
        <v>2891</v>
      </c>
      <c r="G285" s="11" t="s">
        <v>2894</v>
      </c>
      <c r="H285" s="11" t="s">
        <v>2892</v>
      </c>
      <c r="I285" s="11" t="b">
        <v>1</v>
      </c>
      <c r="J285" s="11" t="s">
        <v>95</v>
      </c>
      <c r="P285" s="18">
        <v>1453836.0</v>
      </c>
      <c r="Q285" s="11" t="b">
        <v>1</v>
      </c>
    </row>
    <row r="286">
      <c r="A286" s="11" t="s">
        <v>2896</v>
      </c>
      <c r="B286" s="11" t="s">
        <v>78</v>
      </c>
      <c r="C286" s="18">
        <v>45763.0</v>
      </c>
      <c r="D286" s="11" t="s">
        <v>2850</v>
      </c>
      <c r="E286" s="11" t="s">
        <v>2899</v>
      </c>
      <c r="G286" s="11" t="s">
        <v>2903</v>
      </c>
      <c r="H286" s="11" t="s">
        <v>2900</v>
      </c>
      <c r="I286" s="11" t="b">
        <v>1</v>
      </c>
      <c r="J286" s="11" t="s">
        <v>95</v>
      </c>
      <c r="P286" s="18">
        <v>1435831.0</v>
      </c>
      <c r="Q286" s="11" t="b">
        <v>1</v>
      </c>
    </row>
    <row r="287">
      <c r="A287" s="11" t="s">
        <v>2906</v>
      </c>
      <c r="B287" s="11" t="s">
        <v>78</v>
      </c>
      <c r="C287" s="18">
        <v>45765.0</v>
      </c>
      <c r="D287" s="11" t="s">
        <v>992</v>
      </c>
      <c r="E287" s="11" t="s">
        <v>2907</v>
      </c>
      <c r="G287" s="11" t="s">
        <v>2910</v>
      </c>
      <c r="H287" s="11" t="s">
        <v>2909</v>
      </c>
      <c r="I287" s="11" t="b">
        <v>1</v>
      </c>
      <c r="J287" s="11" t="s">
        <v>95</v>
      </c>
      <c r="P287" s="11">
        <v>1439240.0</v>
      </c>
      <c r="Q287" s="11" t="b">
        <v>1</v>
      </c>
    </row>
    <row r="288">
      <c r="A288" s="11" t="s">
        <v>2914</v>
      </c>
      <c r="B288" s="11" t="s">
        <v>78</v>
      </c>
      <c r="C288" s="18">
        <v>45761.0</v>
      </c>
      <c r="D288" s="11" t="s">
        <v>817</v>
      </c>
      <c r="E288" s="11" t="s">
        <v>2917</v>
      </c>
      <c r="G288" s="11" t="s">
        <v>2921</v>
      </c>
      <c r="H288" s="11" t="s">
        <v>2919</v>
      </c>
      <c r="I288" s="11" t="b">
        <v>0</v>
      </c>
      <c r="J288" s="11" t="s">
        <v>95</v>
      </c>
      <c r="Q288" s="11" t="b">
        <v>1</v>
      </c>
    </row>
    <row r="289">
      <c r="A289" s="11" t="s">
        <v>2923</v>
      </c>
      <c r="B289" s="11" t="s">
        <v>78</v>
      </c>
      <c r="C289" s="18">
        <v>45776.0</v>
      </c>
      <c r="D289" s="11" t="s">
        <v>104</v>
      </c>
      <c r="E289" s="11" t="s">
        <v>2926</v>
      </c>
      <c r="G289" s="11" t="s">
        <v>2929</v>
      </c>
      <c r="H289" s="11" t="s">
        <v>2928</v>
      </c>
      <c r="I289" s="11" t="b">
        <v>1</v>
      </c>
      <c r="J289" s="11" t="s">
        <v>2932</v>
      </c>
      <c r="P289" s="11">
        <v>1456393.0</v>
      </c>
      <c r="Q289" s="11" t="b">
        <v>1</v>
      </c>
    </row>
    <row r="290">
      <c r="A290" s="11" t="s">
        <v>2933</v>
      </c>
      <c r="B290" s="11" t="s">
        <v>78</v>
      </c>
      <c r="C290" s="18">
        <v>45779.0</v>
      </c>
      <c r="D290" s="11" t="s">
        <v>339</v>
      </c>
      <c r="E290" s="11" t="s">
        <v>2936</v>
      </c>
      <c r="G290" s="11" t="s">
        <v>2940</v>
      </c>
      <c r="H290" s="11" t="s">
        <v>2937</v>
      </c>
      <c r="I290" s="11" t="b">
        <v>1</v>
      </c>
      <c r="J290" s="11" t="s">
        <v>2932</v>
      </c>
      <c r="P290" s="11">
        <v>1462923.0</v>
      </c>
      <c r="Q290" s="11" t="b">
        <v>1</v>
      </c>
    </row>
    <row r="291">
      <c r="A291" s="11" t="s">
        <v>2944</v>
      </c>
      <c r="B291" s="11" t="s">
        <v>78</v>
      </c>
      <c r="C291" s="18">
        <v>45777.0</v>
      </c>
      <c r="D291" s="11" t="s">
        <v>1627</v>
      </c>
      <c r="E291" s="11" t="s">
        <v>2946</v>
      </c>
      <c r="G291" s="11" t="s">
        <v>2950</v>
      </c>
      <c r="H291" s="11" t="s">
        <v>2948</v>
      </c>
      <c r="I291" s="11" t="b">
        <v>1</v>
      </c>
      <c r="J291" s="11" t="s">
        <v>2932</v>
      </c>
      <c r="P291" s="11">
        <v>1457963.0</v>
      </c>
      <c r="Q291" s="11" t="b">
        <v>1</v>
      </c>
    </row>
    <row r="292">
      <c r="A292" s="11" t="s">
        <v>2953</v>
      </c>
      <c r="B292" s="11" t="s">
        <v>78</v>
      </c>
      <c r="C292" s="18">
        <v>45773.0</v>
      </c>
      <c r="D292" s="11" t="s">
        <v>104</v>
      </c>
      <c r="E292" s="11" t="s">
        <v>2955</v>
      </c>
      <c r="G292" s="11" t="s">
        <v>2957</v>
      </c>
      <c r="H292" s="11" t="s">
        <v>2956</v>
      </c>
      <c r="I292" s="11" t="b">
        <v>1</v>
      </c>
      <c r="J292" s="11" t="s">
        <v>2932</v>
      </c>
      <c r="P292" s="11">
        <v>1450976.0</v>
      </c>
      <c r="Q292" s="11" t="b">
        <v>1</v>
      </c>
    </row>
    <row r="293">
      <c r="A293" s="11" t="s">
        <v>2960</v>
      </c>
      <c r="B293" s="11" t="s">
        <v>78</v>
      </c>
      <c r="C293" s="18">
        <v>45777.0</v>
      </c>
      <c r="D293" s="11" t="s">
        <v>285</v>
      </c>
      <c r="E293" s="11" t="s">
        <v>2962</v>
      </c>
      <c r="G293" s="11" t="s">
        <v>2964</v>
      </c>
      <c r="H293" s="11" t="s">
        <v>2963</v>
      </c>
      <c r="I293" s="11" t="b">
        <v>1</v>
      </c>
      <c r="J293" s="11" t="s">
        <v>2932</v>
      </c>
      <c r="P293" s="11">
        <v>1457956.0</v>
      </c>
      <c r="Q293" s="11" t="b">
        <v>1</v>
      </c>
    </row>
    <row r="294">
      <c r="A294" s="11" t="s">
        <v>2967</v>
      </c>
      <c r="B294" s="11" t="s">
        <v>78</v>
      </c>
      <c r="C294" s="18">
        <v>45780.0</v>
      </c>
      <c r="D294" s="11" t="s">
        <v>104</v>
      </c>
      <c r="E294" s="11" t="s">
        <v>2971</v>
      </c>
      <c r="G294" s="11" t="s">
        <v>2975</v>
      </c>
      <c r="H294" s="11" t="s">
        <v>2973</v>
      </c>
      <c r="I294" s="11" t="b">
        <v>1</v>
      </c>
      <c r="J294" s="11" t="s">
        <v>2932</v>
      </c>
      <c r="P294" s="11">
        <v>1462914.0</v>
      </c>
      <c r="Q294" s="11" t="b">
        <v>1</v>
      </c>
    </row>
    <row r="295">
      <c r="A295" s="11" t="s">
        <v>2979</v>
      </c>
      <c r="B295" s="11" t="s">
        <v>78</v>
      </c>
      <c r="C295" s="18">
        <v>45778.0</v>
      </c>
      <c r="D295" s="11" t="s">
        <v>465</v>
      </c>
      <c r="E295" s="11" t="s">
        <v>2981</v>
      </c>
      <c r="G295" s="11" t="s">
        <v>2984</v>
      </c>
      <c r="H295" s="11" t="s">
        <v>2983</v>
      </c>
      <c r="I295" s="11" t="b">
        <v>1</v>
      </c>
      <c r="J295" s="11" t="s">
        <v>2932</v>
      </c>
      <c r="P295" s="11">
        <v>1459278.0</v>
      </c>
      <c r="Q295" s="11" t="b">
        <v>1</v>
      </c>
    </row>
    <row r="296">
      <c r="A296" s="11" t="s">
        <v>2989</v>
      </c>
      <c r="B296" s="11" t="s">
        <v>78</v>
      </c>
      <c r="C296" s="18">
        <v>45778.0</v>
      </c>
      <c r="D296" s="11" t="s">
        <v>274</v>
      </c>
      <c r="E296" s="11" t="s">
        <v>2991</v>
      </c>
      <c r="G296" s="11" t="s">
        <v>2994</v>
      </c>
      <c r="H296" s="11" t="s">
        <v>2993</v>
      </c>
      <c r="I296" s="11" t="b">
        <v>1</v>
      </c>
      <c r="J296" s="11" t="s">
        <v>2932</v>
      </c>
      <c r="P296" s="11">
        <v>1459283.0</v>
      </c>
      <c r="Q296" s="11" t="b">
        <v>1</v>
      </c>
    </row>
    <row r="297">
      <c r="A297" s="11" t="s">
        <v>2998</v>
      </c>
      <c r="B297" s="11" t="s">
        <v>78</v>
      </c>
      <c r="C297" s="18">
        <v>45771.0</v>
      </c>
      <c r="D297" s="11" t="s">
        <v>85</v>
      </c>
      <c r="E297" s="11" t="s">
        <v>3001</v>
      </c>
      <c r="G297" s="11" t="s">
        <v>3003</v>
      </c>
      <c r="H297" s="11" t="s">
        <v>3002</v>
      </c>
      <c r="I297" s="11" t="b">
        <v>1</v>
      </c>
      <c r="J297" s="11" t="s">
        <v>2932</v>
      </c>
      <c r="P297" s="11">
        <v>1449077.0</v>
      </c>
      <c r="Q297" s="11" t="b">
        <v>1</v>
      </c>
    </row>
    <row r="298">
      <c r="A298" s="11" t="s">
        <v>3008</v>
      </c>
      <c r="B298" s="11" t="s">
        <v>78</v>
      </c>
      <c r="C298" s="18">
        <v>45773.0</v>
      </c>
      <c r="D298" s="11" t="s">
        <v>85</v>
      </c>
      <c r="E298" s="11" t="s">
        <v>3009</v>
      </c>
      <c r="G298" s="11" t="s">
        <v>3012</v>
      </c>
      <c r="H298" s="11" t="s">
        <v>3011</v>
      </c>
      <c r="I298" s="11" t="b">
        <v>1</v>
      </c>
      <c r="J298" s="11" t="s">
        <v>2932</v>
      </c>
      <c r="P298" s="11">
        <v>1450974.0</v>
      </c>
      <c r="Q298" s="11" t="b">
        <v>1</v>
      </c>
    </row>
    <row r="299">
      <c r="A299" s="11" t="s">
        <v>3015</v>
      </c>
      <c r="B299" s="11" t="s">
        <v>78</v>
      </c>
      <c r="C299" s="18">
        <v>45771.0</v>
      </c>
      <c r="D299" s="11" t="s">
        <v>3016</v>
      </c>
      <c r="E299" s="11" t="s">
        <v>3017</v>
      </c>
      <c r="G299" s="11" t="s">
        <v>3020</v>
      </c>
      <c r="H299" s="11" t="s">
        <v>3018</v>
      </c>
      <c r="I299" s="11" t="b">
        <v>1</v>
      </c>
      <c r="J299" s="11" t="s">
        <v>2932</v>
      </c>
      <c r="P299" s="11">
        <v>1449075.0</v>
      </c>
      <c r="Q299" s="11" t="b">
        <v>1</v>
      </c>
    </row>
    <row r="300">
      <c r="A300" s="11" t="s">
        <v>3024</v>
      </c>
      <c r="B300" s="11" t="s">
        <v>78</v>
      </c>
      <c r="C300" s="18">
        <v>45777.0</v>
      </c>
      <c r="D300" s="11" t="s">
        <v>992</v>
      </c>
      <c r="E300" s="11" t="s">
        <v>3025</v>
      </c>
      <c r="G300" s="11" t="s">
        <v>3028</v>
      </c>
      <c r="H300" s="11" t="s">
        <v>3027</v>
      </c>
      <c r="I300" s="11" t="b">
        <v>1</v>
      </c>
      <c r="J300" s="11" t="s">
        <v>2932</v>
      </c>
      <c r="P300" s="11">
        <v>1457604.0</v>
      </c>
      <c r="Q300" s="11" t="b">
        <v>1</v>
      </c>
    </row>
    <row r="301">
      <c r="A301" s="11" t="s">
        <v>3031</v>
      </c>
      <c r="B301" s="11" t="s">
        <v>78</v>
      </c>
      <c r="C301" s="18">
        <v>45779.0</v>
      </c>
      <c r="D301" s="11" t="s">
        <v>992</v>
      </c>
      <c r="E301" s="11" t="s">
        <v>3032</v>
      </c>
      <c r="G301" s="11" t="s">
        <v>3034</v>
      </c>
      <c r="H301" s="11" t="s">
        <v>3027</v>
      </c>
      <c r="I301" s="11" t="b">
        <v>1</v>
      </c>
      <c r="J301" s="11" t="s">
        <v>2932</v>
      </c>
      <c r="P301" s="11">
        <v>1461211.0</v>
      </c>
      <c r="Q301" s="11" t="b">
        <v>1</v>
      </c>
    </row>
    <row r="302">
      <c r="A302" s="11" t="s">
        <v>3037</v>
      </c>
      <c r="B302" s="11" t="s">
        <v>78</v>
      </c>
      <c r="C302" s="18">
        <v>45782.0</v>
      </c>
      <c r="D302" s="11" t="s">
        <v>168</v>
      </c>
      <c r="E302" s="11" t="s">
        <v>3039</v>
      </c>
      <c r="G302" s="11" t="s">
        <v>3043</v>
      </c>
      <c r="H302" s="11" t="s">
        <v>3041</v>
      </c>
      <c r="I302" s="11" t="b">
        <v>1</v>
      </c>
      <c r="J302" s="11" t="s">
        <v>2932</v>
      </c>
      <c r="P302" s="11">
        <v>1467948.0</v>
      </c>
      <c r="Q302" s="11" t="b">
        <v>1</v>
      </c>
    </row>
    <row r="303">
      <c r="A303" s="11" t="s">
        <v>3049</v>
      </c>
      <c r="B303" s="11" t="s">
        <v>78</v>
      </c>
      <c r="C303" s="18">
        <v>45785.0</v>
      </c>
      <c r="D303" s="11" t="s">
        <v>3051</v>
      </c>
      <c r="E303" s="11" t="s">
        <v>3052</v>
      </c>
      <c r="G303" s="11" t="s">
        <v>3055</v>
      </c>
      <c r="H303" s="11" t="s">
        <v>3053</v>
      </c>
      <c r="I303" s="11" t="b">
        <v>1</v>
      </c>
      <c r="J303" s="11" t="s">
        <v>2932</v>
      </c>
      <c r="P303" s="11">
        <v>1472754.0</v>
      </c>
      <c r="Q303" s="11" t="b">
        <v>1</v>
      </c>
    </row>
    <row r="304">
      <c r="A304" s="11">
        <v>1.0133108E7</v>
      </c>
      <c r="B304" s="11" t="s">
        <v>78</v>
      </c>
      <c r="C304" s="18">
        <v>45791.0</v>
      </c>
      <c r="D304" s="11" t="s">
        <v>992</v>
      </c>
      <c r="E304" s="11" t="s">
        <v>3061</v>
      </c>
      <c r="G304" s="11" t="s">
        <v>3064</v>
      </c>
      <c r="H304" s="11" t="s">
        <v>3063</v>
      </c>
      <c r="I304" s="11" t="b">
        <v>1</v>
      </c>
      <c r="J304" s="11" t="s">
        <v>2932</v>
      </c>
      <c r="P304" s="11">
        <v>1374885.0</v>
      </c>
      <c r="Q304" s="11" t="b">
        <v>1</v>
      </c>
    </row>
    <row r="305">
      <c r="A305" s="11" t="s">
        <v>3066</v>
      </c>
      <c r="B305" s="11" t="s">
        <v>78</v>
      </c>
      <c r="C305" s="18">
        <v>45786.0</v>
      </c>
      <c r="D305" s="11" t="s">
        <v>992</v>
      </c>
      <c r="E305" s="11" t="s">
        <v>3067</v>
      </c>
      <c r="G305" s="11" t="s">
        <v>3070</v>
      </c>
      <c r="H305" s="11" t="s">
        <v>3069</v>
      </c>
      <c r="I305" s="11" t="b">
        <v>1</v>
      </c>
      <c r="J305" s="11" t="s">
        <v>2932</v>
      </c>
      <c r="P305" s="11">
        <v>1473582.0</v>
      </c>
      <c r="Q305" s="11" t="b">
        <v>1</v>
      </c>
    </row>
    <row r="306">
      <c r="A306" s="11" t="s">
        <v>3073</v>
      </c>
      <c r="B306" s="11" t="s">
        <v>78</v>
      </c>
      <c r="C306" s="18">
        <v>45784.0</v>
      </c>
      <c r="D306" s="11" t="s">
        <v>2299</v>
      </c>
      <c r="E306" s="11" t="s">
        <v>3074</v>
      </c>
      <c r="G306" s="11" t="s">
        <v>3076</v>
      </c>
      <c r="H306" s="11" t="s">
        <v>3075</v>
      </c>
      <c r="I306" s="11" t="b">
        <v>1</v>
      </c>
      <c r="J306" s="11" t="s">
        <v>2932</v>
      </c>
      <c r="P306" s="11">
        <v>1470896.0</v>
      </c>
      <c r="Q306" s="11" t="b">
        <v>1</v>
      </c>
    </row>
    <row r="307">
      <c r="A307" s="11" t="s">
        <v>3078</v>
      </c>
      <c r="B307" s="11" t="s">
        <v>78</v>
      </c>
      <c r="C307" s="18">
        <v>45784.0</v>
      </c>
      <c r="D307" s="11" t="s">
        <v>885</v>
      </c>
      <c r="E307" s="11" t="s">
        <v>3079</v>
      </c>
      <c r="G307" s="11" t="s">
        <v>3081</v>
      </c>
      <c r="H307" s="11" t="s">
        <v>3080</v>
      </c>
      <c r="I307" s="11" t="b">
        <v>1</v>
      </c>
      <c r="J307" s="11" t="s">
        <v>2932</v>
      </c>
      <c r="P307" s="11">
        <v>1470887.0</v>
      </c>
      <c r="Q307" s="11" t="b">
        <v>1</v>
      </c>
    </row>
    <row r="308">
      <c r="A308" s="11" t="s">
        <v>3084</v>
      </c>
      <c r="B308" s="11" t="s">
        <v>78</v>
      </c>
      <c r="C308" s="18">
        <v>45784.0</v>
      </c>
      <c r="D308" s="11" t="s">
        <v>708</v>
      </c>
      <c r="E308" s="11" t="s">
        <v>3087</v>
      </c>
      <c r="G308" s="11" t="s">
        <v>3091</v>
      </c>
      <c r="H308" s="11" t="s">
        <v>3088</v>
      </c>
      <c r="I308" s="11" t="b">
        <v>1</v>
      </c>
      <c r="J308" s="11" t="s">
        <v>2932</v>
      </c>
      <c r="P308" s="11">
        <v>1470922.0</v>
      </c>
      <c r="Q308" s="11" t="b">
        <v>1</v>
      </c>
    </row>
    <row r="309">
      <c r="A309" s="11" t="s">
        <v>3094</v>
      </c>
      <c r="B309" s="11" t="s">
        <v>78</v>
      </c>
      <c r="C309" s="18">
        <v>45786.0</v>
      </c>
      <c r="D309" s="11" t="s">
        <v>104</v>
      </c>
      <c r="E309" s="11" t="s">
        <v>3095</v>
      </c>
      <c r="G309" s="11" t="s">
        <v>3097</v>
      </c>
      <c r="H309" s="11" t="s">
        <v>110</v>
      </c>
      <c r="I309" s="11" t="b">
        <v>1</v>
      </c>
      <c r="J309" s="11" t="s">
        <v>2932</v>
      </c>
      <c r="P309" s="11">
        <v>1473598.0</v>
      </c>
      <c r="Q309" s="11" t="b">
        <v>1</v>
      </c>
    </row>
    <row r="310">
      <c r="A310" s="11" t="s">
        <v>3100</v>
      </c>
      <c r="B310" s="11" t="s">
        <v>78</v>
      </c>
      <c r="C310" s="18">
        <v>45787.0</v>
      </c>
      <c r="D310" s="11" t="s">
        <v>676</v>
      </c>
      <c r="E310" s="11" t="s">
        <v>3102</v>
      </c>
      <c r="G310" s="11" t="s">
        <v>3103</v>
      </c>
      <c r="H310" s="11" t="s">
        <v>1959</v>
      </c>
      <c r="I310" s="11" t="b">
        <v>1</v>
      </c>
      <c r="J310" s="11" t="s">
        <v>2932</v>
      </c>
      <c r="P310" s="11">
        <v>1476070.0</v>
      </c>
      <c r="Q310" s="11" t="b">
        <v>1</v>
      </c>
    </row>
    <row r="311">
      <c r="A311" s="11" t="s">
        <v>3107</v>
      </c>
      <c r="B311" s="11" t="s">
        <v>78</v>
      </c>
      <c r="C311" s="18">
        <v>45787.0</v>
      </c>
      <c r="D311" s="11" t="s">
        <v>168</v>
      </c>
      <c r="E311" s="11" t="s">
        <v>3109</v>
      </c>
      <c r="G311" s="11" t="s">
        <v>3112</v>
      </c>
      <c r="H311" s="11" t="s">
        <v>3110</v>
      </c>
      <c r="I311" s="11" t="b">
        <v>1</v>
      </c>
      <c r="J311" s="11" t="s">
        <v>2932</v>
      </c>
      <c r="P311" s="11">
        <v>1475835.0</v>
      </c>
      <c r="Q311" s="11" t="b">
        <v>1</v>
      </c>
    </row>
    <row r="312">
      <c r="A312" s="11" t="s">
        <v>3114</v>
      </c>
      <c r="B312" s="11" t="s">
        <v>78</v>
      </c>
      <c r="C312" s="18">
        <v>45785.0</v>
      </c>
      <c r="D312" s="11" t="s">
        <v>3117</v>
      </c>
      <c r="E312" s="11" t="s">
        <v>3118</v>
      </c>
      <c r="G312" s="11" t="s">
        <v>3121</v>
      </c>
      <c r="H312" s="11" t="s">
        <v>3119</v>
      </c>
      <c r="I312" s="11" t="b">
        <v>1</v>
      </c>
      <c r="J312" s="11" t="s">
        <v>2932</v>
      </c>
      <c r="P312" s="11">
        <v>1473552.0</v>
      </c>
      <c r="Q312" s="11" t="b">
        <v>1</v>
      </c>
    </row>
    <row r="313">
      <c r="A313" s="11" t="s">
        <v>3124</v>
      </c>
      <c r="B313" s="11" t="s">
        <v>78</v>
      </c>
      <c r="C313" s="18">
        <v>45785.0</v>
      </c>
      <c r="D313" s="11" t="s">
        <v>513</v>
      </c>
      <c r="E313" s="11" t="s">
        <v>3125</v>
      </c>
      <c r="G313" s="11" t="s">
        <v>3128</v>
      </c>
      <c r="H313" s="11" t="s">
        <v>3127</v>
      </c>
      <c r="I313" s="11" t="b">
        <v>1</v>
      </c>
      <c r="J313" s="11" t="s">
        <v>2932</v>
      </c>
      <c r="P313" s="11">
        <v>1473547.0</v>
      </c>
      <c r="Q313" s="11" t="b">
        <v>1</v>
      </c>
    </row>
    <row r="314">
      <c r="A314" s="11" t="s">
        <v>3132</v>
      </c>
      <c r="B314" s="11" t="s">
        <v>78</v>
      </c>
      <c r="C314" s="18">
        <v>45784.0</v>
      </c>
      <c r="D314" s="11" t="s">
        <v>237</v>
      </c>
      <c r="E314" s="11" t="s">
        <v>3134</v>
      </c>
      <c r="G314" s="11" t="s">
        <v>3137</v>
      </c>
      <c r="H314" s="11" t="s">
        <v>3135</v>
      </c>
      <c r="I314" s="11" t="b">
        <v>0</v>
      </c>
      <c r="J314" s="11" t="s">
        <v>2932</v>
      </c>
      <c r="Q314" s="11" t="b">
        <v>1</v>
      </c>
    </row>
    <row r="315">
      <c r="A315" s="11" t="s">
        <v>3140</v>
      </c>
      <c r="B315" s="11" t="s">
        <v>78</v>
      </c>
      <c r="C315" s="18">
        <v>45784.0</v>
      </c>
      <c r="D315" s="11" t="s">
        <v>237</v>
      </c>
      <c r="E315" s="11" t="s">
        <v>3142</v>
      </c>
      <c r="G315" s="11" t="s">
        <v>3144</v>
      </c>
      <c r="H315" s="11" t="s">
        <v>2867</v>
      </c>
      <c r="I315" s="11" t="b">
        <v>0</v>
      </c>
      <c r="J315" s="11" t="s">
        <v>2932</v>
      </c>
      <c r="Q315" s="11" t="b">
        <v>1</v>
      </c>
    </row>
    <row r="316">
      <c r="A316" s="11" t="s">
        <v>3147</v>
      </c>
      <c r="B316" s="11" t="s">
        <v>78</v>
      </c>
      <c r="C316" s="18">
        <v>45790.0</v>
      </c>
      <c r="D316" s="11" t="s">
        <v>817</v>
      </c>
      <c r="E316" s="11" t="s">
        <v>3150</v>
      </c>
      <c r="G316" s="11" t="s">
        <v>3153</v>
      </c>
      <c r="H316" s="11" t="s">
        <v>3151</v>
      </c>
      <c r="I316" s="11" t="b">
        <v>0</v>
      </c>
      <c r="J316" s="11" t="s">
        <v>2932</v>
      </c>
      <c r="Q316" s="11" t="b">
        <v>1</v>
      </c>
    </row>
    <row r="317">
      <c r="A317" s="11" t="s">
        <v>3154</v>
      </c>
      <c r="B317" s="11" t="s">
        <v>78</v>
      </c>
      <c r="C317" s="18">
        <v>45786.0</v>
      </c>
      <c r="D317" s="11">
        <v>6.8893939E7</v>
      </c>
      <c r="E317" s="11" t="s">
        <v>3156</v>
      </c>
      <c r="G317" s="11" t="s">
        <v>3159</v>
      </c>
      <c r="H317" s="11" t="s">
        <v>3158</v>
      </c>
      <c r="I317" s="11" t="b">
        <v>0</v>
      </c>
      <c r="J317" s="11" t="s">
        <v>2932</v>
      </c>
      <c r="Q317" s="11" t="b">
        <v>1</v>
      </c>
    </row>
    <row r="318">
      <c r="A318" s="11" t="s">
        <v>3161</v>
      </c>
      <c r="B318" s="11" t="s">
        <v>78</v>
      </c>
      <c r="C318" s="18">
        <v>45783.0</v>
      </c>
      <c r="D318" s="11" t="s">
        <v>3163</v>
      </c>
      <c r="E318" s="11" t="s">
        <v>3165</v>
      </c>
      <c r="G318" s="11" t="s">
        <v>3168</v>
      </c>
      <c r="H318" s="11" t="s">
        <v>3158</v>
      </c>
      <c r="I318" s="11" t="b">
        <v>0</v>
      </c>
      <c r="J318" s="11" t="s">
        <v>2932</v>
      </c>
      <c r="Q318" s="11" t="b">
        <v>1</v>
      </c>
    </row>
    <row r="319">
      <c r="A319" s="11" t="s">
        <v>3169</v>
      </c>
      <c r="B319" s="11" t="s">
        <v>78</v>
      </c>
      <c r="C319" s="18">
        <v>45796.0</v>
      </c>
      <c r="D319" s="11" t="s">
        <v>2549</v>
      </c>
      <c r="E319" s="11" t="s">
        <v>3171</v>
      </c>
      <c r="G319" s="11" t="s">
        <v>3174</v>
      </c>
      <c r="H319" s="11" t="s">
        <v>3172</v>
      </c>
      <c r="I319" s="11" t="b">
        <v>0</v>
      </c>
      <c r="J319" s="11" t="s">
        <v>2932</v>
      </c>
      <c r="Q319" s="11" t="b">
        <v>1</v>
      </c>
    </row>
    <row r="320">
      <c r="A320" s="11" t="s">
        <v>3176</v>
      </c>
      <c r="B320" s="11" t="s">
        <v>78</v>
      </c>
      <c r="C320" s="18">
        <v>45800.0</v>
      </c>
      <c r="D320" s="11" t="s">
        <v>3178</v>
      </c>
      <c r="E320" s="11" t="s">
        <v>3179</v>
      </c>
      <c r="G320" s="11" t="s">
        <v>3182</v>
      </c>
      <c r="H320" s="11" t="s">
        <v>3180</v>
      </c>
      <c r="I320" s="11" t="b">
        <v>0</v>
      </c>
      <c r="J320" s="11" t="s">
        <v>235</v>
      </c>
      <c r="Q320" s="11" t="b">
        <v>1</v>
      </c>
    </row>
    <row r="321">
      <c r="A321" s="11" t="s">
        <v>3185</v>
      </c>
      <c r="B321" s="11" t="s">
        <v>78</v>
      </c>
      <c r="C321" s="18">
        <v>45798.0</v>
      </c>
      <c r="D321" s="11" t="s">
        <v>104</v>
      </c>
      <c r="E321" s="11" t="s">
        <v>3186</v>
      </c>
      <c r="G321" s="11" t="s">
        <v>3189</v>
      </c>
      <c r="H321" s="11" t="s">
        <v>380</v>
      </c>
      <c r="I321" s="11" t="b">
        <v>1</v>
      </c>
      <c r="J321" s="11" t="s">
        <v>2932</v>
      </c>
      <c r="P321" s="11">
        <v>1493826.0</v>
      </c>
      <c r="Q321" s="11" t="b">
        <v>1</v>
      </c>
    </row>
    <row r="322">
      <c r="A322" s="11" t="s">
        <v>3191</v>
      </c>
      <c r="B322" s="11" t="s">
        <v>78</v>
      </c>
      <c r="C322" s="18">
        <v>45794.0</v>
      </c>
      <c r="D322" s="11" t="s">
        <v>676</v>
      </c>
      <c r="E322" s="11" t="s">
        <v>3192</v>
      </c>
      <c r="G322" s="11" t="s">
        <v>3196</v>
      </c>
      <c r="H322" s="11" t="s">
        <v>3193</v>
      </c>
      <c r="I322" s="11" t="b">
        <v>1</v>
      </c>
      <c r="J322" s="11" t="s">
        <v>2932</v>
      </c>
      <c r="P322" s="11">
        <v>1486312.0</v>
      </c>
      <c r="Q322" s="11" t="b">
        <v>1</v>
      </c>
    </row>
    <row r="323">
      <c r="A323" s="11" t="s">
        <v>3199</v>
      </c>
      <c r="B323" s="11" t="s">
        <v>78</v>
      </c>
      <c r="C323" s="18">
        <v>45793.0</v>
      </c>
      <c r="D323" s="11" t="s">
        <v>104</v>
      </c>
      <c r="E323" s="11" t="s">
        <v>3201</v>
      </c>
      <c r="G323" s="11" t="s">
        <v>3203</v>
      </c>
      <c r="H323" s="11" t="s">
        <v>380</v>
      </c>
      <c r="I323" s="11" t="b">
        <v>1</v>
      </c>
      <c r="J323" s="11" t="s">
        <v>2932</v>
      </c>
      <c r="P323" s="11">
        <v>1484763.0</v>
      </c>
      <c r="Q323" s="11" t="b">
        <v>1</v>
      </c>
    </row>
    <row r="324">
      <c r="A324" s="11" t="s">
        <v>3206</v>
      </c>
      <c r="B324" s="11" t="s">
        <v>78</v>
      </c>
      <c r="C324" s="18">
        <v>45796.0</v>
      </c>
      <c r="D324" s="11" t="s">
        <v>116</v>
      </c>
      <c r="E324" s="11" t="s">
        <v>3208</v>
      </c>
      <c r="G324" s="11" t="s">
        <v>3210</v>
      </c>
      <c r="H324" s="11" t="s">
        <v>3209</v>
      </c>
      <c r="I324" s="11" t="b">
        <v>1</v>
      </c>
      <c r="J324" s="11" t="s">
        <v>2932</v>
      </c>
      <c r="P324" s="11">
        <v>1491137.0</v>
      </c>
      <c r="Q324" s="11" t="b">
        <v>1</v>
      </c>
    </row>
    <row r="325">
      <c r="A325" s="11" t="s">
        <v>3213</v>
      </c>
      <c r="B325" s="11" t="s">
        <v>78</v>
      </c>
      <c r="C325" s="18">
        <v>45796.0</v>
      </c>
      <c r="D325" s="11" t="s">
        <v>85</v>
      </c>
      <c r="E325" s="11" t="s">
        <v>3216</v>
      </c>
      <c r="G325" s="11" t="s">
        <v>3219</v>
      </c>
      <c r="H325" s="11" t="s">
        <v>3217</v>
      </c>
      <c r="I325" s="11" t="b">
        <v>1</v>
      </c>
      <c r="J325" s="11" t="s">
        <v>2932</v>
      </c>
      <c r="P325" s="11">
        <v>1491127.0</v>
      </c>
      <c r="Q325" s="11" t="b">
        <v>1</v>
      </c>
    </row>
    <row r="326">
      <c r="A326" s="11" t="s">
        <v>3223</v>
      </c>
      <c r="B326" s="11" t="s">
        <v>78</v>
      </c>
      <c r="C326" s="18">
        <v>45791.0</v>
      </c>
      <c r="D326" s="11" t="s">
        <v>992</v>
      </c>
      <c r="E326" s="11" t="s">
        <v>3226</v>
      </c>
      <c r="G326" s="11" t="s">
        <v>3230</v>
      </c>
      <c r="H326" s="11" t="s">
        <v>3227</v>
      </c>
      <c r="I326" s="11" t="b">
        <v>1</v>
      </c>
      <c r="J326" s="11" t="s">
        <v>2932</v>
      </c>
      <c r="P326" s="11">
        <v>1482053.0</v>
      </c>
      <c r="Q326" s="11" t="b">
        <v>1</v>
      </c>
    </row>
    <row r="327">
      <c r="A327" s="11" t="s">
        <v>3232</v>
      </c>
      <c r="B327" s="11" t="s">
        <v>78</v>
      </c>
      <c r="C327" s="18">
        <v>45793.0</v>
      </c>
      <c r="D327" s="11" t="s">
        <v>992</v>
      </c>
      <c r="E327" s="11" t="s">
        <v>3234</v>
      </c>
      <c r="G327" s="11" t="s">
        <v>3237</v>
      </c>
      <c r="H327" s="11" t="s">
        <v>3235</v>
      </c>
      <c r="I327" s="11" t="b">
        <v>1</v>
      </c>
      <c r="J327" s="11" t="s">
        <v>2932</v>
      </c>
      <c r="P327" s="11">
        <v>1484725.0</v>
      </c>
      <c r="Q327" s="11" t="b">
        <v>1</v>
      </c>
    </row>
    <row r="328">
      <c r="A328" s="11" t="s">
        <v>3240</v>
      </c>
      <c r="B328" s="11" t="s">
        <v>78</v>
      </c>
      <c r="C328" s="18">
        <v>45798.0</v>
      </c>
      <c r="D328" s="11" t="s">
        <v>992</v>
      </c>
      <c r="E328" s="11" t="s">
        <v>3241</v>
      </c>
      <c r="G328" s="11" t="s">
        <v>3244</v>
      </c>
      <c r="H328" s="11" t="s">
        <v>3242</v>
      </c>
      <c r="I328" s="11" t="b">
        <v>1</v>
      </c>
      <c r="J328" s="11" t="s">
        <v>2932</v>
      </c>
      <c r="P328" s="11">
        <v>1493820.0</v>
      </c>
      <c r="Q328" s="11" t="b">
        <v>1</v>
      </c>
    </row>
    <row r="329">
      <c r="A329" s="11" t="s">
        <v>3246</v>
      </c>
      <c r="B329" s="11" t="s">
        <v>78</v>
      </c>
      <c r="C329" s="18">
        <v>45798.0</v>
      </c>
      <c r="D329" s="11" t="s">
        <v>513</v>
      </c>
      <c r="E329" s="11" t="s">
        <v>3249</v>
      </c>
      <c r="G329" s="11" t="s">
        <v>3253</v>
      </c>
      <c r="H329" s="11" t="s">
        <v>3250</v>
      </c>
      <c r="I329" s="11" t="b">
        <v>1</v>
      </c>
      <c r="J329" s="11" t="s">
        <v>2932</v>
      </c>
      <c r="P329" s="11">
        <v>1493832.0</v>
      </c>
      <c r="Q329" s="11" t="b">
        <v>1</v>
      </c>
    </row>
    <row r="330">
      <c r="A330" s="11" t="s">
        <v>3255</v>
      </c>
      <c r="B330" s="11" t="s">
        <v>78</v>
      </c>
      <c r="C330" s="18">
        <v>45797.0</v>
      </c>
      <c r="D330" s="11" t="s">
        <v>237</v>
      </c>
      <c r="E330" s="11" t="s">
        <v>3258</v>
      </c>
      <c r="G330" s="11" t="s">
        <v>3262</v>
      </c>
      <c r="H330" s="11" t="s">
        <v>3259</v>
      </c>
      <c r="I330" s="11" t="b">
        <v>0</v>
      </c>
      <c r="J330" s="11" t="s">
        <v>2932</v>
      </c>
      <c r="L330" s="11" t="s">
        <v>3263</v>
      </c>
      <c r="M330" s="11" t="s">
        <v>3265</v>
      </c>
      <c r="Q330" s="11" t="b">
        <v>1</v>
      </c>
    </row>
    <row r="331">
      <c r="A331" s="11" t="s">
        <v>3266</v>
      </c>
      <c r="B331" s="11" t="s">
        <v>78</v>
      </c>
      <c r="C331" s="18">
        <v>45797.0</v>
      </c>
      <c r="D331" s="11" t="s">
        <v>237</v>
      </c>
      <c r="E331" s="11" t="s">
        <v>3258</v>
      </c>
      <c r="G331" s="11" t="s">
        <v>3268</v>
      </c>
      <c r="H331" s="11" t="s">
        <v>3259</v>
      </c>
      <c r="I331" s="11" t="b">
        <v>0</v>
      </c>
      <c r="J331" s="11" t="s">
        <v>2932</v>
      </c>
      <c r="Q331" s="11" t="b">
        <v>1</v>
      </c>
    </row>
    <row r="332">
      <c r="A332" s="11" t="s">
        <v>3270</v>
      </c>
      <c r="B332" s="11" t="s">
        <v>78</v>
      </c>
      <c r="C332" s="18">
        <v>45790.0</v>
      </c>
      <c r="D332" s="11" t="s">
        <v>237</v>
      </c>
      <c r="E332" s="11" t="s">
        <v>3272</v>
      </c>
      <c r="G332" s="11" t="s">
        <v>3274</v>
      </c>
      <c r="H332" s="11" t="s">
        <v>3273</v>
      </c>
      <c r="I332" s="11" t="b">
        <v>0</v>
      </c>
      <c r="J332" s="11" t="s">
        <v>2932</v>
      </c>
      <c r="Q332" s="11" t="b">
        <v>1</v>
      </c>
    </row>
    <row r="333">
      <c r="A333" s="11" t="s">
        <v>3276</v>
      </c>
      <c r="B333" s="11" t="s">
        <v>78</v>
      </c>
      <c r="C333" s="18">
        <v>45790.0</v>
      </c>
      <c r="D333" s="11" t="s">
        <v>237</v>
      </c>
      <c r="E333" s="11" t="s">
        <v>3272</v>
      </c>
      <c r="G333" s="11" t="s">
        <v>3280</v>
      </c>
      <c r="H333" s="11" t="s">
        <v>3273</v>
      </c>
      <c r="I333" s="11" t="b">
        <v>0</v>
      </c>
      <c r="J333" s="11" t="s">
        <v>2932</v>
      </c>
      <c r="Q333" s="11" t="b">
        <v>1</v>
      </c>
    </row>
    <row r="334">
      <c r="A334" s="11" t="s">
        <v>3281</v>
      </c>
      <c r="B334" s="11" t="s">
        <v>78</v>
      </c>
      <c r="C334" s="18">
        <v>45800.0</v>
      </c>
      <c r="D334" s="11" t="s">
        <v>1706</v>
      </c>
      <c r="E334" s="11" t="s">
        <v>3285</v>
      </c>
      <c r="G334" s="11" t="s">
        <v>3287</v>
      </c>
      <c r="H334" s="11" t="s">
        <v>3286</v>
      </c>
      <c r="I334" s="11" t="b">
        <v>1</v>
      </c>
      <c r="J334" s="11" t="s">
        <v>2932</v>
      </c>
      <c r="P334" s="11">
        <v>1496796.0</v>
      </c>
      <c r="Q334" s="11" t="b">
        <v>1</v>
      </c>
    </row>
    <row r="335">
      <c r="A335" s="11" t="s">
        <v>3291</v>
      </c>
      <c r="B335" s="11" t="s">
        <v>78</v>
      </c>
      <c r="C335" s="18">
        <v>45799.0</v>
      </c>
      <c r="D335" s="11" t="s">
        <v>1460</v>
      </c>
      <c r="E335" s="11" t="s">
        <v>3293</v>
      </c>
      <c r="G335" s="11" t="s">
        <v>3296</v>
      </c>
      <c r="H335" s="11" t="s">
        <v>3294</v>
      </c>
      <c r="I335" s="11" t="b">
        <v>1</v>
      </c>
      <c r="J335" s="11" t="s">
        <v>2932</v>
      </c>
      <c r="P335" s="11">
        <v>1495475.0</v>
      </c>
      <c r="Q335" s="11" t="b">
        <v>1</v>
      </c>
    </row>
    <row r="336">
      <c r="A336" s="11" t="s">
        <v>3300</v>
      </c>
      <c r="B336" s="11" t="s">
        <v>78</v>
      </c>
      <c r="C336" s="18">
        <v>45805.0</v>
      </c>
      <c r="D336" s="11" t="s">
        <v>104</v>
      </c>
      <c r="E336" s="11" t="s">
        <v>3302</v>
      </c>
      <c r="G336" s="11" t="s">
        <v>3304</v>
      </c>
      <c r="H336" s="11" t="s">
        <v>380</v>
      </c>
      <c r="I336" s="11" t="b">
        <v>1</v>
      </c>
      <c r="J336" s="11" t="s">
        <v>2932</v>
      </c>
      <c r="P336" s="11">
        <v>1504802.0</v>
      </c>
      <c r="Q336" s="11" t="b">
        <v>1</v>
      </c>
    </row>
    <row r="337">
      <c r="A337" s="11" t="s">
        <v>3307</v>
      </c>
      <c r="B337" s="11" t="s">
        <v>78</v>
      </c>
      <c r="C337" s="18">
        <v>45801.0</v>
      </c>
      <c r="D337" s="11" t="s">
        <v>676</v>
      </c>
      <c r="E337" s="11" t="s">
        <v>3309</v>
      </c>
      <c r="G337" s="11" t="s">
        <v>3312</v>
      </c>
      <c r="H337" s="11" t="s">
        <v>3310</v>
      </c>
      <c r="I337" s="11" t="b">
        <v>1</v>
      </c>
      <c r="J337" s="11" t="s">
        <v>2932</v>
      </c>
      <c r="P337" s="11">
        <v>1498608.0</v>
      </c>
      <c r="Q337" s="11" t="b">
        <v>1</v>
      </c>
    </row>
    <row r="338">
      <c r="A338" s="11" t="s">
        <v>3316</v>
      </c>
      <c r="B338" s="11" t="s">
        <v>78</v>
      </c>
      <c r="C338" s="18">
        <v>45807.0</v>
      </c>
      <c r="D338" s="11" t="s">
        <v>1706</v>
      </c>
      <c r="E338" s="11" t="s">
        <v>3320</v>
      </c>
      <c r="G338" s="11" t="s">
        <v>3323</v>
      </c>
      <c r="H338" s="11" t="s">
        <v>3321</v>
      </c>
      <c r="I338" s="11" t="b">
        <v>1</v>
      </c>
      <c r="J338" s="11" t="s">
        <v>2932</v>
      </c>
      <c r="P338" s="11">
        <v>1506985.0</v>
      </c>
      <c r="Q338" s="11" t="b">
        <v>1</v>
      </c>
    </row>
    <row r="339">
      <c r="A339" s="11" t="s">
        <v>3327</v>
      </c>
      <c r="B339" s="11" t="s">
        <v>78</v>
      </c>
      <c r="C339" s="18">
        <v>45808.0</v>
      </c>
      <c r="D339" s="11" t="s">
        <v>676</v>
      </c>
      <c r="E339" s="11" t="s">
        <v>3331</v>
      </c>
      <c r="G339" s="11" t="s">
        <v>3334</v>
      </c>
      <c r="H339" s="11" t="s">
        <v>3193</v>
      </c>
      <c r="I339" s="11" t="b">
        <v>1</v>
      </c>
      <c r="J339" s="11" t="s">
        <v>2932</v>
      </c>
      <c r="P339" s="11">
        <v>1507590.0</v>
      </c>
      <c r="Q339" s="11" t="b">
        <v>1</v>
      </c>
    </row>
    <row r="340">
      <c r="A340" s="11" t="s">
        <v>3338</v>
      </c>
      <c r="B340" s="11" t="s">
        <v>78</v>
      </c>
      <c r="C340" s="18">
        <v>45803.0</v>
      </c>
      <c r="D340" s="11" t="s">
        <v>2549</v>
      </c>
      <c r="E340" s="11" t="s">
        <v>3340</v>
      </c>
      <c r="G340" s="11" t="s">
        <v>3345</v>
      </c>
      <c r="H340" s="11" t="s">
        <v>3344</v>
      </c>
      <c r="I340" s="11" t="b">
        <v>1</v>
      </c>
      <c r="J340" s="11" t="s">
        <v>2932</v>
      </c>
      <c r="P340" s="11">
        <v>1502102.0</v>
      </c>
      <c r="Q340" s="11" t="b">
        <v>1</v>
      </c>
    </row>
    <row r="341">
      <c r="A341" s="11" t="s">
        <v>3349</v>
      </c>
      <c r="B341" s="11" t="s">
        <v>78</v>
      </c>
      <c r="C341" s="18">
        <v>45805.0</v>
      </c>
      <c r="D341" s="11" t="s">
        <v>992</v>
      </c>
      <c r="E341" s="11" t="s">
        <v>3351</v>
      </c>
      <c r="G341" s="11" t="s">
        <v>3353</v>
      </c>
      <c r="H341" s="11" t="s">
        <v>3235</v>
      </c>
      <c r="I341" s="11" t="b">
        <v>1</v>
      </c>
      <c r="J341" s="11" t="s">
        <v>2932</v>
      </c>
      <c r="P341" s="11">
        <v>1504648.0</v>
      </c>
      <c r="Q341" s="11" t="b">
        <v>1</v>
      </c>
    </row>
    <row r="342">
      <c r="A342" s="11" t="s">
        <v>3357</v>
      </c>
      <c r="B342" s="11" t="s">
        <v>78</v>
      </c>
      <c r="C342" s="18">
        <v>45800.0</v>
      </c>
      <c r="D342" s="11" t="s">
        <v>3117</v>
      </c>
      <c r="E342" s="11" t="s">
        <v>3359</v>
      </c>
      <c r="G342" s="11" t="s">
        <v>3362</v>
      </c>
      <c r="H342" s="11" t="s">
        <v>3361</v>
      </c>
      <c r="I342" s="11" t="b">
        <v>1</v>
      </c>
      <c r="J342" s="11" t="s">
        <v>2932</v>
      </c>
      <c r="P342" s="11">
        <v>1496330.0</v>
      </c>
      <c r="Q342" s="11" t="b">
        <v>1</v>
      </c>
    </row>
    <row r="343">
      <c r="A343" s="11" t="s">
        <v>3365</v>
      </c>
      <c r="B343" s="11" t="s">
        <v>78</v>
      </c>
      <c r="C343" s="18">
        <v>45799.0</v>
      </c>
      <c r="D343" s="11">
        <v>6.8893939E7</v>
      </c>
      <c r="E343" s="11" t="s">
        <v>3367</v>
      </c>
      <c r="G343" s="11" t="s">
        <v>3368</v>
      </c>
      <c r="H343" s="11" t="s">
        <v>2764</v>
      </c>
      <c r="I343" s="11" t="b">
        <v>0</v>
      </c>
      <c r="J343" s="11" t="s">
        <v>2932</v>
      </c>
      <c r="Q343" s="11" t="b">
        <v>1</v>
      </c>
    </row>
    <row r="344">
      <c r="A344" s="11" t="s">
        <v>3371</v>
      </c>
      <c r="B344" s="11" t="s">
        <v>78</v>
      </c>
      <c r="C344" s="18">
        <v>45806.0</v>
      </c>
      <c r="D344" s="11" t="s">
        <v>168</v>
      </c>
      <c r="E344" s="11" t="s">
        <v>3373</v>
      </c>
      <c r="G344" s="11" t="s">
        <v>3375</v>
      </c>
      <c r="H344" s="11" t="s">
        <v>3374</v>
      </c>
      <c r="I344" s="11" t="b">
        <v>1</v>
      </c>
      <c r="J344" s="11" t="s">
        <v>2932</v>
      </c>
      <c r="P344" s="11">
        <v>1505723.0</v>
      </c>
      <c r="Q344" s="11" t="b">
        <v>1</v>
      </c>
    </row>
    <row r="345">
      <c r="A345" s="11" t="s">
        <v>3377</v>
      </c>
      <c r="B345" s="11" t="s">
        <v>78</v>
      </c>
      <c r="C345" s="18">
        <v>45804.0</v>
      </c>
      <c r="D345" s="11" t="s">
        <v>104</v>
      </c>
      <c r="E345" s="11" t="s">
        <v>3380</v>
      </c>
      <c r="G345" s="11" t="s">
        <v>3381</v>
      </c>
      <c r="H345" s="11" t="s">
        <v>286</v>
      </c>
      <c r="I345" s="11" t="b">
        <v>1</v>
      </c>
      <c r="J345" s="11" t="s">
        <v>2932</v>
      </c>
      <c r="P345" s="11">
        <v>1503141.0</v>
      </c>
      <c r="Q345" s="11" t="b">
        <v>1</v>
      </c>
    </row>
    <row r="346">
      <c r="A346" s="11" t="s">
        <v>3385</v>
      </c>
      <c r="B346" s="11" t="s">
        <v>78</v>
      </c>
      <c r="C346" s="18">
        <v>45812.0</v>
      </c>
      <c r="D346" s="11" t="s">
        <v>237</v>
      </c>
      <c r="E346" s="11" t="s">
        <v>3387</v>
      </c>
      <c r="G346" s="11" t="s">
        <v>3389</v>
      </c>
      <c r="H346" s="11" t="s">
        <v>2510</v>
      </c>
      <c r="I346" s="11" t="b">
        <v>0</v>
      </c>
      <c r="J346" s="11" t="s">
        <v>2932</v>
      </c>
      <c r="L346" s="11" t="s">
        <v>3391</v>
      </c>
      <c r="Q346" s="11" t="b">
        <v>1</v>
      </c>
    </row>
    <row r="347">
      <c r="A347" s="11" t="s">
        <v>3393</v>
      </c>
      <c r="B347" s="11" t="s">
        <v>78</v>
      </c>
      <c r="C347" s="18">
        <v>45812.0</v>
      </c>
      <c r="D347" s="11" t="s">
        <v>237</v>
      </c>
      <c r="E347" s="11" t="s">
        <v>3394</v>
      </c>
      <c r="G347" s="11" t="s">
        <v>3398</v>
      </c>
      <c r="H347" s="11" t="s">
        <v>3396</v>
      </c>
      <c r="I347" s="11" t="b">
        <v>0</v>
      </c>
      <c r="J347" s="11" t="s">
        <v>2932</v>
      </c>
      <c r="Q347" s="11" t="b">
        <v>1</v>
      </c>
    </row>
    <row r="348">
      <c r="A348" s="11" t="s">
        <v>3400</v>
      </c>
      <c r="B348" s="11" t="s">
        <v>78</v>
      </c>
      <c r="C348" s="18">
        <v>45814.0</v>
      </c>
      <c r="D348" s="11" t="s">
        <v>1627</v>
      </c>
      <c r="E348" s="11" t="s">
        <v>3402</v>
      </c>
      <c r="G348" s="11" t="s">
        <v>3405</v>
      </c>
      <c r="H348" s="11" t="s">
        <v>3403</v>
      </c>
      <c r="I348" s="11" t="b">
        <v>1</v>
      </c>
      <c r="J348" s="11" t="s">
        <v>2932</v>
      </c>
      <c r="P348" s="11">
        <v>1517677.0</v>
      </c>
      <c r="Q348" s="11" t="b">
        <v>1</v>
      </c>
    </row>
    <row r="349">
      <c r="A349" s="11" t="s">
        <v>3407</v>
      </c>
      <c r="B349" s="11" t="s">
        <v>78</v>
      </c>
      <c r="C349" s="18">
        <v>45815.0</v>
      </c>
      <c r="D349" s="11" t="s">
        <v>85</v>
      </c>
      <c r="E349" s="11" t="s">
        <v>3409</v>
      </c>
      <c r="G349" s="11" t="s">
        <v>3412</v>
      </c>
      <c r="H349" s="11" t="s">
        <v>3411</v>
      </c>
      <c r="I349" s="11" t="b">
        <v>1</v>
      </c>
      <c r="J349" s="11" t="s">
        <v>2932</v>
      </c>
      <c r="P349" s="11">
        <v>1517673.0</v>
      </c>
      <c r="Q349" s="11" t="b">
        <v>1</v>
      </c>
    </row>
    <row r="350">
      <c r="A350" s="11" t="s">
        <v>3416</v>
      </c>
      <c r="B350" s="11" t="s">
        <v>78</v>
      </c>
      <c r="C350" s="18">
        <v>45813.0</v>
      </c>
      <c r="D350" s="11" t="s">
        <v>85</v>
      </c>
      <c r="E350" s="11" t="s">
        <v>3419</v>
      </c>
      <c r="G350" s="11" t="s">
        <v>3422</v>
      </c>
      <c r="H350" s="11" t="s">
        <v>3420</v>
      </c>
      <c r="I350" s="11" t="b">
        <v>1</v>
      </c>
      <c r="J350" s="11" t="s">
        <v>2932</v>
      </c>
      <c r="P350" s="11">
        <v>1515315.0</v>
      </c>
      <c r="Q350" s="11" t="b">
        <v>1</v>
      </c>
    </row>
    <row r="351">
      <c r="A351" s="11" t="s">
        <v>3428</v>
      </c>
      <c r="B351" s="11" t="s">
        <v>78</v>
      </c>
      <c r="C351" s="18">
        <v>45811.0</v>
      </c>
      <c r="D351" s="11" t="s">
        <v>104</v>
      </c>
      <c r="E351" s="11" t="s">
        <v>3430</v>
      </c>
      <c r="G351" s="11" t="s">
        <v>3432</v>
      </c>
      <c r="H351" s="11" t="s">
        <v>110</v>
      </c>
      <c r="I351" s="11" t="b">
        <v>1</v>
      </c>
      <c r="J351" s="11" t="s">
        <v>2932</v>
      </c>
      <c r="P351" s="11">
        <v>1515316.0</v>
      </c>
      <c r="Q351" s="11" t="b">
        <v>1</v>
      </c>
    </row>
    <row r="352">
      <c r="A352" s="11" t="s">
        <v>3436</v>
      </c>
      <c r="B352" s="11" t="s">
        <v>78</v>
      </c>
      <c r="C352" s="18">
        <v>45811.0</v>
      </c>
      <c r="D352" s="11" t="s">
        <v>237</v>
      </c>
      <c r="E352" s="11" t="s">
        <v>3438</v>
      </c>
      <c r="G352" s="11" t="s">
        <v>3440</v>
      </c>
      <c r="H352" s="11" t="s">
        <v>2291</v>
      </c>
      <c r="I352" s="11" t="b">
        <v>0</v>
      </c>
      <c r="J352" s="11" t="s">
        <v>2932</v>
      </c>
      <c r="L352" s="11" t="s">
        <v>3443</v>
      </c>
      <c r="M352" s="11" t="s">
        <v>3444</v>
      </c>
      <c r="N352" s="11" t="s">
        <v>3445</v>
      </c>
      <c r="Q352" s="11" t="b">
        <v>1</v>
      </c>
    </row>
    <row r="353">
      <c r="A353" s="11" t="s">
        <v>3446</v>
      </c>
      <c r="B353" s="11" t="s">
        <v>78</v>
      </c>
      <c r="C353" s="18">
        <v>45811.0</v>
      </c>
      <c r="D353" s="11" t="s">
        <v>237</v>
      </c>
      <c r="E353" s="11" t="s">
        <v>3438</v>
      </c>
      <c r="G353" s="11" t="s">
        <v>3450</v>
      </c>
      <c r="H353" s="11" t="s">
        <v>2291</v>
      </c>
      <c r="I353" s="11" t="b">
        <v>0</v>
      </c>
      <c r="J353" s="11" t="s">
        <v>2932</v>
      </c>
      <c r="L353" s="11" t="s">
        <v>3451</v>
      </c>
      <c r="Q353" s="11" t="b">
        <v>1</v>
      </c>
    </row>
    <row r="354">
      <c r="A354" s="11" t="s">
        <v>3453</v>
      </c>
      <c r="B354" s="11" t="s">
        <v>78</v>
      </c>
      <c r="C354" s="18">
        <v>45812.0</v>
      </c>
      <c r="D354" s="11" t="s">
        <v>3455</v>
      </c>
      <c r="E354" s="11" t="s">
        <v>3456</v>
      </c>
      <c r="G354" s="11" t="s">
        <v>3461</v>
      </c>
      <c r="H354" s="11" t="s">
        <v>3458</v>
      </c>
      <c r="I354" s="11" t="b">
        <v>1</v>
      </c>
      <c r="J354" s="11" t="s">
        <v>2932</v>
      </c>
      <c r="P354" s="11">
        <v>1513934.0</v>
      </c>
      <c r="Q354" s="11" t="b">
        <v>1</v>
      </c>
    </row>
    <row r="355">
      <c r="A355" s="11" t="s">
        <v>3465</v>
      </c>
      <c r="B355" s="11" t="s">
        <v>78</v>
      </c>
      <c r="C355" s="18">
        <v>45810.0</v>
      </c>
      <c r="D355" s="11" t="s">
        <v>3466</v>
      </c>
      <c r="E355" s="11" t="s">
        <v>3468</v>
      </c>
      <c r="G355" s="11" t="s">
        <v>3471</v>
      </c>
      <c r="H355" s="11" t="s">
        <v>3469</v>
      </c>
      <c r="I355" s="11" t="b">
        <v>1</v>
      </c>
      <c r="J355" s="11" t="s">
        <v>2932</v>
      </c>
      <c r="P355" s="11">
        <v>1511563.0</v>
      </c>
      <c r="Q355" s="11" t="b">
        <v>1</v>
      </c>
    </row>
    <row r="356">
      <c r="A356" s="11" t="s">
        <v>3476</v>
      </c>
      <c r="B356" s="11" t="s">
        <v>78</v>
      </c>
      <c r="C356" s="18">
        <v>45810.0</v>
      </c>
      <c r="D356" s="11" t="s">
        <v>3478</v>
      </c>
      <c r="E356" s="11" t="s">
        <v>3480</v>
      </c>
      <c r="G356" s="11" t="s">
        <v>3483</v>
      </c>
      <c r="H356" s="11" t="s">
        <v>3482</v>
      </c>
      <c r="I356" s="11" t="b">
        <v>1</v>
      </c>
      <c r="J356" s="11" t="s">
        <v>2932</v>
      </c>
      <c r="P356" s="11">
        <v>1511566.0</v>
      </c>
      <c r="Q356" s="11" t="b">
        <v>1</v>
      </c>
    </row>
    <row r="357">
      <c r="A357" s="11" t="s">
        <v>3486</v>
      </c>
      <c r="B357" s="11" t="s">
        <v>78</v>
      </c>
      <c r="C357" s="18">
        <v>45812.0</v>
      </c>
      <c r="D357" s="11" t="s">
        <v>1627</v>
      </c>
      <c r="E357" s="11" t="s">
        <v>3487</v>
      </c>
      <c r="G357" s="11" t="s">
        <v>3491</v>
      </c>
      <c r="H357" s="11" t="s">
        <v>3490</v>
      </c>
      <c r="I357" s="11" t="b">
        <v>1</v>
      </c>
      <c r="J357" s="11" t="s">
        <v>2932</v>
      </c>
      <c r="P357" s="11">
        <v>1513939.0</v>
      </c>
      <c r="Q357" s="11" t="b">
        <v>1</v>
      </c>
    </row>
    <row r="358">
      <c r="A358" s="11" t="s">
        <v>3496</v>
      </c>
      <c r="B358" s="11" t="s">
        <v>78</v>
      </c>
      <c r="C358" s="18">
        <v>45824.0</v>
      </c>
      <c r="D358" s="11" t="s">
        <v>1706</v>
      </c>
      <c r="E358" s="11" t="s">
        <v>3497</v>
      </c>
      <c r="G358" s="11" t="s">
        <v>3500</v>
      </c>
      <c r="H358" s="11" t="s">
        <v>3498</v>
      </c>
      <c r="I358" s="11" t="b">
        <v>1</v>
      </c>
      <c r="J358" s="11" t="s">
        <v>2932</v>
      </c>
      <c r="P358" s="11">
        <v>1530954.0</v>
      </c>
      <c r="Q358" s="11" t="b">
        <v>1</v>
      </c>
    </row>
    <row r="359">
      <c r="A359" s="11" t="s">
        <v>3505</v>
      </c>
      <c r="B359" s="11" t="s">
        <v>78</v>
      </c>
      <c r="C359" s="18">
        <v>45823.0</v>
      </c>
      <c r="D359" s="11" t="s">
        <v>85</v>
      </c>
      <c r="E359" s="11" t="s">
        <v>3506</v>
      </c>
      <c r="G359" s="11" t="s">
        <v>3508</v>
      </c>
      <c r="H359" s="11" t="s">
        <v>1989</v>
      </c>
      <c r="I359" s="11" t="b">
        <v>1</v>
      </c>
      <c r="J359" s="11" t="s">
        <v>2932</v>
      </c>
      <c r="P359" s="11">
        <v>152988.0</v>
      </c>
      <c r="Q359" s="11" t="b">
        <v>1</v>
      </c>
    </row>
    <row r="360">
      <c r="A360" s="11" t="s">
        <v>3511</v>
      </c>
      <c r="B360" s="11" t="s">
        <v>78</v>
      </c>
      <c r="C360" s="18">
        <v>45822.0</v>
      </c>
      <c r="D360" s="11" t="s">
        <v>3512</v>
      </c>
      <c r="E360" s="11" t="s">
        <v>3515</v>
      </c>
      <c r="G360" s="11" t="s">
        <v>3519</v>
      </c>
      <c r="H360" s="11" t="s">
        <v>3516</v>
      </c>
      <c r="I360" s="11" t="b">
        <v>1</v>
      </c>
      <c r="J360" s="11" t="s">
        <v>2932</v>
      </c>
      <c r="P360" s="11">
        <v>1527666.0</v>
      </c>
      <c r="Q360" s="11" t="b">
        <v>1</v>
      </c>
    </row>
    <row r="361">
      <c r="A361" s="11" t="s">
        <v>3523</v>
      </c>
      <c r="B361" s="11" t="s">
        <v>78</v>
      </c>
      <c r="C361" s="18">
        <v>45820.0</v>
      </c>
      <c r="D361" s="11" t="s">
        <v>228</v>
      </c>
      <c r="E361" s="11" t="s">
        <v>3525</v>
      </c>
      <c r="G361" s="11" t="s">
        <v>3529</v>
      </c>
      <c r="H361" s="11" t="s">
        <v>3526</v>
      </c>
      <c r="I361" s="11" t="b">
        <v>1</v>
      </c>
      <c r="J361" s="11" t="s">
        <v>2932</v>
      </c>
      <c r="P361" s="11">
        <v>1526354.0</v>
      </c>
      <c r="Q361" s="11" t="b">
        <v>1</v>
      </c>
    </row>
    <row r="362">
      <c r="A362" s="11" t="s">
        <v>3532</v>
      </c>
      <c r="B362" s="11" t="s">
        <v>78</v>
      </c>
      <c r="C362" s="18">
        <v>45824.0</v>
      </c>
      <c r="D362" s="11" t="s">
        <v>3533</v>
      </c>
      <c r="E362" s="11" t="s">
        <v>3534</v>
      </c>
      <c r="G362" s="11" t="s">
        <v>3537</v>
      </c>
      <c r="H362" s="11" t="s">
        <v>3535</v>
      </c>
      <c r="I362" s="11" t="b">
        <v>1</v>
      </c>
      <c r="J362" s="11" t="s">
        <v>2932</v>
      </c>
      <c r="P362" s="11">
        <v>1530561.0</v>
      </c>
      <c r="Q362" s="11" t="b">
        <v>1</v>
      </c>
    </row>
    <row r="363">
      <c r="A363" s="11" t="s">
        <v>3542</v>
      </c>
      <c r="B363" s="11" t="s">
        <v>78</v>
      </c>
      <c r="C363" s="18">
        <v>45824.0</v>
      </c>
      <c r="D363" s="11" t="s">
        <v>274</v>
      </c>
      <c r="E363" s="11" t="s">
        <v>3544</v>
      </c>
      <c r="G363" s="11" t="s">
        <v>3548</v>
      </c>
      <c r="H363" s="11" t="s">
        <v>3546</v>
      </c>
      <c r="I363" s="11" t="b">
        <v>1</v>
      </c>
      <c r="J363" s="11" t="s">
        <v>2932</v>
      </c>
      <c r="P363" s="11">
        <v>1530946.0</v>
      </c>
      <c r="Q363" s="11" t="b">
        <v>1</v>
      </c>
    </row>
    <row r="364">
      <c r="A364" s="11" t="s">
        <v>3553</v>
      </c>
      <c r="B364" s="11" t="s">
        <v>78</v>
      </c>
      <c r="C364" s="18">
        <v>45820.0</v>
      </c>
      <c r="D364" s="11" t="s">
        <v>85</v>
      </c>
      <c r="E364" s="11" t="s">
        <v>3557</v>
      </c>
      <c r="G364" s="11" t="s">
        <v>3561</v>
      </c>
      <c r="H364" s="11" t="s">
        <v>3558</v>
      </c>
      <c r="I364" s="11" t="b">
        <v>1</v>
      </c>
      <c r="J364" s="11" t="s">
        <v>2932</v>
      </c>
      <c r="P364" s="11">
        <v>1524964.0</v>
      </c>
      <c r="Q364" s="11" t="b">
        <v>1</v>
      </c>
    </row>
    <row r="365">
      <c r="A365" s="11" t="s">
        <v>3564</v>
      </c>
      <c r="B365" s="11" t="s">
        <v>78</v>
      </c>
      <c r="C365" s="18">
        <v>45819.0</v>
      </c>
      <c r="D365" s="11" t="s">
        <v>85</v>
      </c>
      <c r="E365" s="11" t="s">
        <v>3565</v>
      </c>
      <c r="G365" s="11" t="s">
        <v>3567</v>
      </c>
      <c r="H365" s="11" t="s">
        <v>2892</v>
      </c>
      <c r="I365" s="11" t="b">
        <v>1</v>
      </c>
      <c r="J365" s="11" t="s">
        <v>2932</v>
      </c>
      <c r="P365" s="11">
        <v>1524135.0</v>
      </c>
      <c r="Q365" s="11" t="b">
        <v>1</v>
      </c>
    </row>
    <row r="366">
      <c r="A366" s="11" t="s">
        <v>3572</v>
      </c>
      <c r="B366" s="11" t="s">
        <v>78</v>
      </c>
      <c r="C366" s="18">
        <v>45820.0</v>
      </c>
      <c r="D366" s="11" t="s">
        <v>817</v>
      </c>
      <c r="E366" s="11" t="s">
        <v>3575</v>
      </c>
      <c r="G366" s="11" t="s">
        <v>3578</v>
      </c>
      <c r="H366" s="11" t="s">
        <v>3577</v>
      </c>
      <c r="I366" s="11" t="b">
        <v>0</v>
      </c>
      <c r="J366" s="11" t="s">
        <v>2932</v>
      </c>
      <c r="Q366" s="11" t="b">
        <v>1</v>
      </c>
    </row>
    <row r="367">
      <c r="A367" s="11" t="s">
        <v>3580</v>
      </c>
      <c r="B367" s="11" t="s">
        <v>78</v>
      </c>
      <c r="C367" s="18">
        <v>45824.0</v>
      </c>
      <c r="D367" s="11" t="s">
        <v>237</v>
      </c>
      <c r="E367" s="11" t="s">
        <v>3583</v>
      </c>
      <c r="G367" s="11" t="s">
        <v>3586</v>
      </c>
      <c r="H367" s="11" t="s">
        <v>3584</v>
      </c>
      <c r="I367" s="11" t="b">
        <v>0</v>
      </c>
      <c r="J367" s="11" t="s">
        <v>2932</v>
      </c>
      <c r="L367" s="11" t="s">
        <v>3589</v>
      </c>
      <c r="Q367" s="11" t="b">
        <v>1</v>
      </c>
    </row>
    <row r="368">
      <c r="A368" s="11" t="s">
        <v>3590</v>
      </c>
      <c r="B368" s="11" t="s">
        <v>78</v>
      </c>
      <c r="C368" s="18">
        <v>45824.0</v>
      </c>
      <c r="D368" s="11" t="s">
        <v>237</v>
      </c>
      <c r="E368" s="11" t="s">
        <v>3593</v>
      </c>
      <c r="G368" s="11" t="s">
        <v>3595</v>
      </c>
      <c r="H368" s="11" t="s">
        <v>2867</v>
      </c>
      <c r="I368" s="11" t="b">
        <v>0</v>
      </c>
      <c r="J368" s="11" t="s">
        <v>2932</v>
      </c>
      <c r="Q368" s="11" t="b">
        <v>1</v>
      </c>
    </row>
    <row r="369">
      <c r="A369" s="11" t="s">
        <v>3598</v>
      </c>
      <c r="B369" s="11" t="s">
        <v>78</v>
      </c>
      <c r="C369" s="18">
        <v>45824.0</v>
      </c>
      <c r="D369" s="11" t="s">
        <v>237</v>
      </c>
      <c r="E369" s="11" t="s">
        <v>3601</v>
      </c>
      <c r="G369" s="11" t="s">
        <v>3604</v>
      </c>
      <c r="H369" s="11" t="s">
        <v>3603</v>
      </c>
      <c r="I369" s="11" t="b">
        <v>0</v>
      </c>
      <c r="J369" s="11" t="s">
        <v>2932</v>
      </c>
      <c r="Q369" s="11" t="b">
        <v>1</v>
      </c>
    </row>
    <row r="370">
      <c r="A370" s="11" t="s">
        <v>3606</v>
      </c>
      <c r="B370" s="11" t="s">
        <v>78</v>
      </c>
      <c r="C370" s="18">
        <v>45824.0</v>
      </c>
      <c r="D370" s="11" t="s">
        <v>237</v>
      </c>
      <c r="E370" s="11" t="s">
        <v>3608</v>
      </c>
      <c r="G370" s="11" t="s">
        <v>3611</v>
      </c>
      <c r="H370" s="11" t="s">
        <v>3610</v>
      </c>
      <c r="I370" s="11" t="b">
        <v>0</v>
      </c>
      <c r="J370" s="11" t="s">
        <v>2932</v>
      </c>
      <c r="Q370" s="11" t="b">
        <v>1</v>
      </c>
    </row>
    <row r="371">
      <c r="A371" s="11" t="s">
        <v>3613</v>
      </c>
      <c r="B371" s="11" t="s">
        <v>78</v>
      </c>
      <c r="C371" s="18">
        <v>45818.0</v>
      </c>
      <c r="D371" s="11" t="s">
        <v>237</v>
      </c>
      <c r="E371" s="11" t="s">
        <v>3616</v>
      </c>
      <c r="G371" s="11" t="s">
        <v>3618</v>
      </c>
      <c r="H371" s="11" t="s">
        <v>2291</v>
      </c>
      <c r="I371" s="11" t="b">
        <v>0</v>
      </c>
      <c r="J371" s="11" t="s">
        <v>2932</v>
      </c>
      <c r="Q371" s="11" t="b">
        <v>1</v>
      </c>
    </row>
    <row r="372">
      <c r="A372" s="11" t="s">
        <v>3621</v>
      </c>
      <c r="B372" s="11" t="s">
        <v>78</v>
      </c>
      <c r="C372" s="18">
        <v>45818.0</v>
      </c>
      <c r="D372" s="11" t="s">
        <v>237</v>
      </c>
      <c r="E372" s="11" t="s">
        <v>3623</v>
      </c>
      <c r="G372" s="11" t="s">
        <v>3625</v>
      </c>
      <c r="H372" s="11" t="s">
        <v>3624</v>
      </c>
      <c r="I372" s="11" t="b">
        <v>0</v>
      </c>
      <c r="J372" s="11" t="s">
        <v>2932</v>
      </c>
      <c r="Q372" s="11" t="b">
        <v>1</v>
      </c>
    </row>
    <row r="373">
      <c r="A373" s="11" t="s">
        <v>3629</v>
      </c>
      <c r="B373" s="11" t="s">
        <v>78</v>
      </c>
      <c r="C373" s="18">
        <v>45810.0</v>
      </c>
      <c r="D373" s="11" t="s">
        <v>2549</v>
      </c>
      <c r="E373" s="11" t="s">
        <v>3632</v>
      </c>
      <c r="G373" s="11" t="s">
        <v>3635</v>
      </c>
      <c r="H373" s="11" t="s">
        <v>3634</v>
      </c>
      <c r="I373" s="11" t="b">
        <v>1</v>
      </c>
      <c r="J373" s="11" t="s">
        <v>2932</v>
      </c>
      <c r="P373" s="11">
        <v>1511603.0</v>
      </c>
      <c r="Q373" s="11" t="b">
        <v>1</v>
      </c>
    </row>
    <row r="374">
      <c r="A374" s="11" t="s">
        <v>3638</v>
      </c>
      <c r="B374" s="11" t="s">
        <v>78</v>
      </c>
      <c r="C374" s="18">
        <v>45817.0</v>
      </c>
      <c r="D374" s="11" t="s">
        <v>992</v>
      </c>
      <c r="E374" s="11" t="s">
        <v>3640</v>
      </c>
      <c r="G374" s="11" t="s">
        <v>3642</v>
      </c>
      <c r="H374" s="11" t="s">
        <v>3641</v>
      </c>
      <c r="I374" s="11" t="b">
        <v>1</v>
      </c>
      <c r="J374" s="11" t="s">
        <v>2932</v>
      </c>
      <c r="P374" s="11">
        <v>1521349.0</v>
      </c>
      <c r="Q374" s="11" t="b">
        <v>1</v>
      </c>
    </row>
    <row r="375">
      <c r="A375" s="11" t="s">
        <v>3646</v>
      </c>
      <c r="B375" s="11" t="s">
        <v>78</v>
      </c>
      <c r="C375" s="18">
        <v>45817.0</v>
      </c>
      <c r="D375" s="11" t="s">
        <v>2549</v>
      </c>
      <c r="E375" s="11" t="s">
        <v>3647</v>
      </c>
      <c r="G375" s="11" t="s">
        <v>3651</v>
      </c>
      <c r="H375" s="11" t="s">
        <v>3649</v>
      </c>
      <c r="I375" s="11" t="b">
        <v>1</v>
      </c>
      <c r="J375" s="11" t="s">
        <v>2932</v>
      </c>
      <c r="P375" s="11">
        <v>1521771.0</v>
      </c>
      <c r="Q375" s="11" t="b">
        <v>1</v>
      </c>
    </row>
    <row r="376">
      <c r="A376" s="11" t="s">
        <v>3654</v>
      </c>
      <c r="B376" s="11" t="s">
        <v>78</v>
      </c>
      <c r="C376" s="18">
        <v>45819.0</v>
      </c>
      <c r="D376" s="11" t="s">
        <v>1706</v>
      </c>
      <c r="E376" s="11" t="s">
        <v>3655</v>
      </c>
      <c r="G376" s="11" t="s">
        <v>3658</v>
      </c>
      <c r="H376" s="11" t="s">
        <v>3657</v>
      </c>
      <c r="I376" s="11" t="b">
        <v>1</v>
      </c>
      <c r="J376" s="11" t="s">
        <v>2932</v>
      </c>
      <c r="P376" s="11">
        <v>1524135.0</v>
      </c>
      <c r="Q376" s="11" t="b">
        <v>1</v>
      </c>
    </row>
    <row r="377">
      <c r="A377" s="11" t="s">
        <v>3660</v>
      </c>
      <c r="B377" s="11" t="s">
        <v>78</v>
      </c>
      <c r="C377" s="18">
        <v>45821.0</v>
      </c>
      <c r="D377" s="11" t="s">
        <v>992</v>
      </c>
      <c r="E377" s="11" t="s">
        <v>3661</v>
      </c>
      <c r="G377" s="11" t="s">
        <v>3664</v>
      </c>
      <c r="H377" s="11" t="s">
        <v>3662</v>
      </c>
      <c r="I377" s="11" t="b">
        <v>1</v>
      </c>
      <c r="J377" s="11" t="s">
        <v>2932</v>
      </c>
      <c r="P377" s="11">
        <v>1526415.0</v>
      </c>
      <c r="Q377" s="11" t="b">
        <v>1</v>
      </c>
    </row>
    <row r="378">
      <c r="A378" s="11" t="s">
        <v>3667</v>
      </c>
      <c r="B378" s="11" t="s">
        <v>78</v>
      </c>
      <c r="C378" s="18">
        <v>45822.0</v>
      </c>
      <c r="D378" s="11" t="s">
        <v>85</v>
      </c>
      <c r="E378" s="11" t="s">
        <v>3670</v>
      </c>
      <c r="G378" s="11" t="s">
        <v>3673</v>
      </c>
      <c r="H378" s="11" t="s">
        <v>3671</v>
      </c>
      <c r="I378" s="11" t="b">
        <v>1</v>
      </c>
      <c r="J378" s="11" t="s">
        <v>2932</v>
      </c>
      <c r="P378" s="11">
        <v>1527663.0</v>
      </c>
      <c r="Q378" s="11" t="b">
        <v>1</v>
      </c>
    </row>
    <row r="379">
      <c r="A379" s="11" t="s">
        <v>3678</v>
      </c>
      <c r="B379" s="11" t="s">
        <v>78</v>
      </c>
      <c r="C379" s="18">
        <v>45824.0</v>
      </c>
      <c r="D379" s="11" t="s">
        <v>2549</v>
      </c>
      <c r="E379" s="11" t="s">
        <v>3680</v>
      </c>
      <c r="G379" s="11" t="s">
        <v>3688</v>
      </c>
      <c r="H379" s="11" t="s">
        <v>3686</v>
      </c>
      <c r="I379" s="11" t="b">
        <v>1</v>
      </c>
      <c r="J379" s="11" t="s">
        <v>2932</v>
      </c>
      <c r="P379" s="11">
        <v>1530980.0</v>
      </c>
      <c r="Q379" s="11" t="b">
        <v>1</v>
      </c>
    </row>
    <row r="380">
      <c r="A380" s="11" t="s">
        <v>3693</v>
      </c>
      <c r="B380" s="11" t="s">
        <v>78</v>
      </c>
      <c r="C380" s="18">
        <v>45826.0</v>
      </c>
      <c r="D380" s="11" t="s">
        <v>992</v>
      </c>
      <c r="E380" s="11" t="s">
        <v>3697</v>
      </c>
      <c r="G380" s="11" t="s">
        <v>3699</v>
      </c>
      <c r="H380" s="11" t="s">
        <v>3641</v>
      </c>
      <c r="I380" s="11" t="b">
        <v>1</v>
      </c>
      <c r="J380" s="11" t="s">
        <v>2932</v>
      </c>
      <c r="P380" s="11">
        <v>1533058.0</v>
      </c>
      <c r="Q380" s="11" t="b">
        <v>1</v>
      </c>
    </row>
    <row r="381">
      <c r="A381" s="11" t="s">
        <v>3703</v>
      </c>
      <c r="B381" s="11" t="s">
        <v>78</v>
      </c>
      <c r="C381" s="18">
        <v>45812.0</v>
      </c>
      <c r="D381" s="11" t="s">
        <v>992</v>
      </c>
      <c r="E381" s="11" t="s">
        <v>3705</v>
      </c>
      <c r="G381" s="11" t="s">
        <v>3707</v>
      </c>
      <c r="H381" s="11" t="s">
        <v>3706</v>
      </c>
      <c r="I381" s="11" t="b">
        <v>1</v>
      </c>
      <c r="J381" s="11" t="s">
        <v>2932</v>
      </c>
      <c r="L381" s="11" t="s">
        <v>3708</v>
      </c>
      <c r="P381" s="11">
        <v>1526415.0</v>
      </c>
      <c r="Q381" s="11" t="b">
        <v>1</v>
      </c>
    </row>
    <row r="382">
      <c r="A382" s="11" t="s">
        <v>3709</v>
      </c>
      <c r="B382" s="11" t="s">
        <v>78</v>
      </c>
      <c r="C382" s="18">
        <v>45825.0</v>
      </c>
      <c r="D382" s="11" t="s">
        <v>237</v>
      </c>
      <c r="E382" s="11" t="s">
        <v>3712</v>
      </c>
      <c r="G382" s="11" t="s">
        <v>3716</v>
      </c>
      <c r="H382" s="11" t="s">
        <v>3713</v>
      </c>
      <c r="I382" s="11" t="b">
        <v>0</v>
      </c>
      <c r="J382" s="11" t="s">
        <v>2932</v>
      </c>
      <c r="L382" s="11" t="s">
        <v>3718</v>
      </c>
      <c r="Q382" s="11" t="b">
        <v>1</v>
      </c>
    </row>
    <row r="383">
      <c r="A383" s="11" t="s">
        <v>3719</v>
      </c>
      <c r="B383" s="11" t="s">
        <v>78</v>
      </c>
      <c r="C383" s="18">
        <v>45828.0</v>
      </c>
      <c r="D383" s="11" t="s">
        <v>992</v>
      </c>
      <c r="E383" s="11" t="s">
        <v>3722</v>
      </c>
      <c r="G383" s="11" t="s">
        <v>3727</v>
      </c>
      <c r="H383" s="11" t="s">
        <v>3723</v>
      </c>
      <c r="I383" s="11" t="b">
        <v>1</v>
      </c>
      <c r="J383" s="11" t="s">
        <v>2932</v>
      </c>
      <c r="P383" s="11">
        <v>1536605.0</v>
      </c>
      <c r="Q383" s="11" t="b">
        <v>1</v>
      </c>
    </row>
    <row r="384">
      <c r="A384" s="11" t="s">
        <v>3731</v>
      </c>
      <c r="B384" s="11" t="s">
        <v>78</v>
      </c>
      <c r="C384" s="18">
        <v>45828.0</v>
      </c>
      <c r="D384" s="11" t="s">
        <v>513</v>
      </c>
      <c r="E384" s="11" t="s">
        <v>3734</v>
      </c>
      <c r="G384" s="11" t="s">
        <v>3737</v>
      </c>
      <c r="H384" s="11" t="s">
        <v>3250</v>
      </c>
      <c r="I384" s="11" t="b">
        <v>1</v>
      </c>
      <c r="J384" s="11" t="s">
        <v>2932</v>
      </c>
      <c r="P384" s="11">
        <v>1536641.0</v>
      </c>
      <c r="Q384" s="11" t="b">
        <v>1</v>
      </c>
    </row>
    <row r="385">
      <c r="A385" s="11" t="s">
        <v>3741</v>
      </c>
      <c r="B385" s="11" t="s">
        <v>78</v>
      </c>
      <c r="C385" s="18">
        <v>45828.0</v>
      </c>
      <c r="D385" s="11" t="s">
        <v>3117</v>
      </c>
      <c r="E385" s="11" t="s">
        <v>3744</v>
      </c>
      <c r="G385" s="11" t="s">
        <v>3748</v>
      </c>
      <c r="H385" s="11" t="s">
        <v>3745</v>
      </c>
      <c r="I385" s="11" t="b">
        <v>1</v>
      </c>
      <c r="J385" s="11" t="s">
        <v>2932</v>
      </c>
      <c r="P385" s="11">
        <v>1536616.0</v>
      </c>
      <c r="Q385" s="11" t="b">
        <v>1</v>
      </c>
    </row>
    <row r="386">
      <c r="A386" s="11" t="s">
        <v>3755</v>
      </c>
      <c r="B386" s="11" t="s">
        <v>78</v>
      </c>
      <c r="C386" s="18">
        <v>45826.0</v>
      </c>
      <c r="D386" s="11" t="s">
        <v>85</v>
      </c>
      <c r="E386" s="11" t="s">
        <v>3759</v>
      </c>
      <c r="G386" s="11" t="s">
        <v>3763</v>
      </c>
      <c r="H386" s="11" t="s">
        <v>3760</v>
      </c>
      <c r="I386" s="11" t="b">
        <v>1</v>
      </c>
      <c r="J386" s="11" t="s">
        <v>2932</v>
      </c>
      <c r="P386" s="11">
        <v>1536651.0</v>
      </c>
      <c r="Q386" s="11" t="b">
        <v>1</v>
      </c>
    </row>
    <row r="387">
      <c r="A387" s="11" t="s">
        <v>3767</v>
      </c>
      <c r="B387" s="11" t="s">
        <v>78</v>
      </c>
      <c r="C387" s="18">
        <v>45826.0</v>
      </c>
      <c r="D387" s="11" t="s">
        <v>85</v>
      </c>
      <c r="E387" s="11" t="s">
        <v>3769</v>
      </c>
      <c r="G387" s="11" t="s">
        <v>3772</v>
      </c>
      <c r="H387" s="11" t="s">
        <v>3193</v>
      </c>
      <c r="I387" s="11" t="b">
        <v>1</v>
      </c>
      <c r="J387" s="11" t="s">
        <v>2932</v>
      </c>
      <c r="P387" s="11">
        <v>1536653.0</v>
      </c>
      <c r="Q387" s="11" t="b">
        <v>1</v>
      </c>
    </row>
    <row r="388">
      <c r="A388" s="11" t="s">
        <v>3778</v>
      </c>
      <c r="B388" s="11" t="s">
        <v>78</v>
      </c>
      <c r="C388" s="18">
        <v>45826.0</v>
      </c>
      <c r="D388" s="11" t="s">
        <v>104</v>
      </c>
      <c r="E388" s="11" t="s">
        <v>3781</v>
      </c>
      <c r="G388" s="11" t="s">
        <v>3784</v>
      </c>
      <c r="H388" s="11" t="s">
        <v>380</v>
      </c>
      <c r="I388" s="11" t="b">
        <v>1</v>
      </c>
      <c r="J388" s="11" t="s">
        <v>2932</v>
      </c>
      <c r="P388" s="11">
        <v>1533056.0</v>
      </c>
      <c r="Q388" s="11" t="b">
        <v>1</v>
      </c>
    </row>
    <row r="389">
      <c r="A389" s="11" t="s">
        <v>3789</v>
      </c>
      <c r="B389" s="11" t="s">
        <v>78</v>
      </c>
      <c r="C389" s="18">
        <v>45825.0</v>
      </c>
      <c r="D389" s="11" t="s">
        <v>168</v>
      </c>
      <c r="E389" s="11" t="s">
        <v>3791</v>
      </c>
      <c r="G389" s="11" t="s">
        <v>3795</v>
      </c>
      <c r="H389" s="11" t="s">
        <v>3793</v>
      </c>
      <c r="I389" s="11" t="b">
        <v>1</v>
      </c>
      <c r="J389" s="11" t="s">
        <v>2932</v>
      </c>
      <c r="P389" s="11">
        <v>1533692.0</v>
      </c>
      <c r="Q389" s="11" t="b">
        <v>1</v>
      </c>
    </row>
    <row r="390">
      <c r="A390" s="11" t="s">
        <v>3799</v>
      </c>
      <c r="B390" s="11" t="s">
        <v>78</v>
      </c>
      <c r="C390" s="18">
        <v>45831.0</v>
      </c>
      <c r="D390" s="11" t="s">
        <v>992</v>
      </c>
      <c r="E390" s="11" t="s">
        <v>3800</v>
      </c>
      <c r="G390" s="11" t="s">
        <v>3804</v>
      </c>
      <c r="H390" s="11" t="s">
        <v>3803</v>
      </c>
      <c r="I390" s="11" t="b">
        <v>1</v>
      </c>
      <c r="J390" s="11" t="s">
        <v>2932</v>
      </c>
      <c r="P390" s="11">
        <v>1541853.0</v>
      </c>
      <c r="Q390" s="11" t="b">
        <v>1</v>
      </c>
    </row>
    <row r="391">
      <c r="A391" s="11" t="s">
        <v>3809</v>
      </c>
      <c r="B391" s="11" t="s">
        <v>78</v>
      </c>
      <c r="C391" s="18">
        <v>45839.0</v>
      </c>
      <c r="D391" s="11" t="s">
        <v>237</v>
      </c>
      <c r="E391" s="11" t="s">
        <v>3810</v>
      </c>
      <c r="G391" s="11" t="s">
        <v>3812</v>
      </c>
      <c r="H391" s="11" t="s">
        <v>2510</v>
      </c>
      <c r="I391" s="11" t="b">
        <v>0</v>
      </c>
      <c r="J391" s="11" t="s">
        <v>2932</v>
      </c>
      <c r="L391" s="11" t="s">
        <v>3814</v>
      </c>
      <c r="Q391" s="11" t="b">
        <v>1</v>
      </c>
    </row>
    <row r="392">
      <c r="A392" s="11" t="s">
        <v>3816</v>
      </c>
      <c r="B392" s="11" t="s">
        <v>78</v>
      </c>
      <c r="C392" s="18">
        <v>45840.0</v>
      </c>
      <c r="D392" s="11" t="s">
        <v>237</v>
      </c>
      <c r="E392" s="11" t="s">
        <v>3818</v>
      </c>
      <c r="G392" s="11" t="s">
        <v>3821</v>
      </c>
      <c r="H392" s="11" t="s">
        <v>2291</v>
      </c>
      <c r="I392" s="11" t="b">
        <v>0</v>
      </c>
      <c r="J392" s="11" t="s">
        <v>2932</v>
      </c>
      <c r="L392" s="11" t="s">
        <v>3822</v>
      </c>
      <c r="M392" s="11" t="s">
        <v>3824</v>
      </c>
      <c r="Q392" s="11" t="b">
        <v>1</v>
      </c>
    </row>
    <row r="393">
      <c r="A393" s="11" t="s">
        <v>3825</v>
      </c>
      <c r="B393" s="11" t="s">
        <v>78</v>
      </c>
      <c r="C393" s="18">
        <v>45839.0</v>
      </c>
      <c r="D393" s="11" t="s">
        <v>817</v>
      </c>
      <c r="E393" s="11" t="s">
        <v>3828</v>
      </c>
      <c r="G393" s="11" t="s">
        <v>3831</v>
      </c>
      <c r="H393" s="11" t="s">
        <v>924</v>
      </c>
      <c r="I393" s="11" t="b">
        <v>0</v>
      </c>
      <c r="J393" s="11" t="s">
        <v>2932</v>
      </c>
      <c r="Q393" s="11" t="b">
        <v>1</v>
      </c>
    </row>
    <row r="394">
      <c r="A394" s="11" t="s">
        <v>3835</v>
      </c>
      <c r="B394" s="11" t="s">
        <v>78</v>
      </c>
      <c r="C394" s="18">
        <v>45841.0</v>
      </c>
      <c r="D394" s="11" t="s">
        <v>3836</v>
      </c>
      <c r="E394" s="11" t="s">
        <v>3837</v>
      </c>
      <c r="G394" s="11" t="s">
        <v>3843</v>
      </c>
      <c r="H394" s="11" t="s">
        <v>3839</v>
      </c>
      <c r="I394" s="11" t="b">
        <v>1</v>
      </c>
      <c r="J394" s="11" t="s">
        <v>2932</v>
      </c>
      <c r="P394" s="11">
        <v>1553930.0</v>
      </c>
      <c r="Q394" s="11" t="b">
        <v>1</v>
      </c>
    </row>
    <row r="395">
      <c r="A395" s="11" t="s">
        <v>3848</v>
      </c>
      <c r="B395" s="11" t="s">
        <v>78</v>
      </c>
      <c r="C395" s="18">
        <v>45843.0</v>
      </c>
      <c r="D395" s="11" t="s">
        <v>3512</v>
      </c>
      <c r="E395" s="11" t="s">
        <v>3851</v>
      </c>
      <c r="G395" s="11" t="s">
        <v>3859</v>
      </c>
      <c r="H395" s="11" t="s">
        <v>3854</v>
      </c>
      <c r="I395" s="11" t="b">
        <v>1</v>
      </c>
      <c r="J395" s="11" t="s">
        <v>2932</v>
      </c>
      <c r="P395" s="11">
        <v>1557342.0</v>
      </c>
      <c r="Q395" s="11" t="b">
        <v>1</v>
      </c>
    </row>
    <row r="396">
      <c r="A396" s="11">
        <v>7.9481929E7</v>
      </c>
      <c r="B396" s="11" t="s">
        <v>78</v>
      </c>
      <c r="C396" s="18">
        <v>45842.0</v>
      </c>
      <c r="D396" s="11" t="s">
        <v>85</v>
      </c>
      <c r="E396" s="11" t="s">
        <v>3870</v>
      </c>
      <c r="G396" s="11" t="s">
        <v>3877</v>
      </c>
      <c r="H396" s="11" t="s">
        <v>3872</v>
      </c>
      <c r="I396" s="11" t="b">
        <v>1</v>
      </c>
      <c r="J396" s="11" t="s">
        <v>2932</v>
      </c>
      <c r="P396" s="11">
        <v>1555654.0</v>
      </c>
      <c r="Q396" s="11" t="b">
        <v>1</v>
      </c>
    </row>
    <row r="397">
      <c r="A397" s="11" t="s">
        <v>3881</v>
      </c>
      <c r="B397" s="11" t="s">
        <v>78</v>
      </c>
      <c r="C397" s="18">
        <v>45829.0</v>
      </c>
      <c r="D397" s="11" t="s">
        <v>676</v>
      </c>
      <c r="E397" s="11" t="s">
        <v>3883</v>
      </c>
      <c r="G397" s="11" t="s">
        <v>3888</v>
      </c>
      <c r="H397" s="11" t="s">
        <v>3884</v>
      </c>
      <c r="I397" s="11" t="b">
        <v>1</v>
      </c>
      <c r="J397" s="11" t="s">
        <v>2932</v>
      </c>
      <c r="P397" s="11">
        <v>1538668.0</v>
      </c>
      <c r="Q397" s="11" t="b">
        <v>1</v>
      </c>
    </row>
    <row r="398">
      <c r="A398" s="11" t="s">
        <v>3891</v>
      </c>
      <c r="B398" s="11" t="s">
        <v>78</v>
      </c>
      <c r="C398" s="18">
        <v>45841.0</v>
      </c>
      <c r="D398" s="11" t="s">
        <v>1094</v>
      </c>
      <c r="E398" s="11" t="s">
        <v>3893</v>
      </c>
      <c r="G398" s="11" t="s">
        <v>3896</v>
      </c>
      <c r="H398" s="11" t="s">
        <v>3895</v>
      </c>
      <c r="I398" s="11" t="b">
        <v>1</v>
      </c>
      <c r="J398" s="11" t="s">
        <v>2932</v>
      </c>
      <c r="P398" s="11">
        <v>1554109.0</v>
      </c>
      <c r="Q398" s="11" t="b">
        <v>1</v>
      </c>
    </row>
    <row r="399">
      <c r="A399" s="11" t="s">
        <v>3901</v>
      </c>
      <c r="B399" s="11" t="s">
        <v>78</v>
      </c>
      <c r="C399" s="18">
        <v>45830.0</v>
      </c>
      <c r="D399" s="11" t="s">
        <v>85</v>
      </c>
      <c r="E399" s="11" t="s">
        <v>3905</v>
      </c>
      <c r="G399" s="11" t="s">
        <v>3909</v>
      </c>
      <c r="H399" s="11" t="s">
        <v>3906</v>
      </c>
      <c r="I399" s="11" t="b">
        <v>1</v>
      </c>
      <c r="J399" s="11" t="s">
        <v>2932</v>
      </c>
      <c r="P399" s="11">
        <v>1539977.0</v>
      </c>
      <c r="Q399" s="11" t="b">
        <v>1</v>
      </c>
    </row>
    <row r="400">
      <c r="A400" s="11" t="s">
        <v>3912</v>
      </c>
      <c r="B400" s="11" t="s">
        <v>78</v>
      </c>
      <c r="C400" s="18">
        <v>45833.0</v>
      </c>
      <c r="D400" s="11" t="s">
        <v>104</v>
      </c>
      <c r="E400" s="11" t="s">
        <v>3914</v>
      </c>
      <c r="G400" s="11" t="s">
        <v>3919</v>
      </c>
      <c r="H400" s="11" t="s">
        <v>3916</v>
      </c>
      <c r="I400" s="11" t="b">
        <v>1</v>
      </c>
      <c r="J400" s="11" t="s">
        <v>2932</v>
      </c>
      <c r="P400" s="11">
        <v>1544069.0</v>
      </c>
      <c r="Q400" s="11" t="b">
        <v>1</v>
      </c>
    </row>
    <row r="401">
      <c r="A401" s="11" t="s">
        <v>3923</v>
      </c>
      <c r="B401" s="11" t="s">
        <v>78</v>
      </c>
      <c r="C401" s="18">
        <v>45835.0</v>
      </c>
      <c r="D401" s="11" t="s">
        <v>104</v>
      </c>
      <c r="E401" s="11" t="s">
        <v>3924</v>
      </c>
      <c r="G401" s="11" t="s">
        <v>3927</v>
      </c>
      <c r="H401" s="11" t="s">
        <v>3926</v>
      </c>
      <c r="I401" s="11" t="b">
        <v>1</v>
      </c>
      <c r="J401" s="11" t="s">
        <v>2932</v>
      </c>
      <c r="P401" s="11">
        <v>1545699.0</v>
      </c>
      <c r="Q401" s="11" t="b">
        <v>1</v>
      </c>
    </row>
    <row r="402">
      <c r="A402" s="11" t="s">
        <v>3930</v>
      </c>
      <c r="B402" s="11" t="s">
        <v>78</v>
      </c>
      <c r="C402" s="18">
        <v>45844.0</v>
      </c>
      <c r="D402" s="11" t="s">
        <v>274</v>
      </c>
      <c r="E402" s="11" t="s">
        <v>3932</v>
      </c>
      <c r="G402" s="11" t="s">
        <v>3936</v>
      </c>
      <c r="H402" s="11" t="s">
        <v>3933</v>
      </c>
      <c r="I402" s="11" t="b">
        <v>1</v>
      </c>
      <c r="J402" s="11" t="s">
        <v>2932</v>
      </c>
      <c r="P402" s="11">
        <v>1559476.0</v>
      </c>
      <c r="Q402" s="11" t="b">
        <v>1</v>
      </c>
    </row>
    <row r="403">
      <c r="A403" s="11" t="s">
        <v>3939</v>
      </c>
      <c r="B403" s="11" t="s">
        <v>78</v>
      </c>
      <c r="C403" s="18">
        <v>45836.0</v>
      </c>
      <c r="D403" s="11" t="s">
        <v>274</v>
      </c>
      <c r="E403" s="11" t="s">
        <v>3941</v>
      </c>
      <c r="G403" s="11" t="s">
        <v>3944</v>
      </c>
      <c r="H403" s="11" t="s">
        <v>3942</v>
      </c>
      <c r="I403" s="11" t="b">
        <v>1</v>
      </c>
      <c r="J403" s="11" t="s">
        <v>2932</v>
      </c>
      <c r="P403" s="11">
        <v>1547713.0</v>
      </c>
      <c r="Q403" s="11" t="b">
        <v>1</v>
      </c>
    </row>
    <row r="404">
      <c r="A404" s="11" t="s">
        <v>3948</v>
      </c>
      <c r="B404" s="11" t="s">
        <v>78</v>
      </c>
      <c r="C404" s="18">
        <v>45849.0</v>
      </c>
      <c r="D404" s="11" t="s">
        <v>85</v>
      </c>
      <c r="E404" s="11" t="s">
        <v>3950</v>
      </c>
      <c r="G404" s="11" t="s">
        <v>3954</v>
      </c>
      <c r="H404" s="11" t="s">
        <v>3951</v>
      </c>
      <c r="I404" s="11" t="b">
        <v>1</v>
      </c>
      <c r="J404" s="11" t="s">
        <v>2932</v>
      </c>
      <c r="P404" s="11">
        <v>1566698.0</v>
      </c>
      <c r="Q404" s="11" t="b">
        <v>1</v>
      </c>
    </row>
    <row r="405">
      <c r="A405" s="11" t="s">
        <v>3958</v>
      </c>
      <c r="B405" s="11" t="s">
        <v>78</v>
      </c>
      <c r="C405" s="18">
        <v>45849.0</v>
      </c>
      <c r="D405" s="11" t="s">
        <v>104</v>
      </c>
      <c r="E405" s="11" t="s">
        <v>3960</v>
      </c>
      <c r="G405" s="11" t="s">
        <v>3963</v>
      </c>
      <c r="H405" s="11" t="s">
        <v>3961</v>
      </c>
      <c r="I405" s="11" t="b">
        <v>1</v>
      </c>
      <c r="J405" s="11" t="s">
        <v>2932</v>
      </c>
      <c r="P405" s="11">
        <v>1566691.0</v>
      </c>
      <c r="Q405" s="11" t="b">
        <v>1</v>
      </c>
    </row>
    <row r="406">
      <c r="A406" s="11" t="s">
        <v>3966</v>
      </c>
      <c r="B406" s="11" t="s">
        <v>78</v>
      </c>
      <c r="C406" s="18">
        <v>45847.0</v>
      </c>
      <c r="D406" s="11" t="s">
        <v>3478</v>
      </c>
      <c r="E406" s="11" t="s">
        <v>3970</v>
      </c>
      <c r="G406" s="11" t="s">
        <v>3975</v>
      </c>
      <c r="H406" s="11" t="s">
        <v>3971</v>
      </c>
      <c r="I406" s="11" t="b">
        <v>1</v>
      </c>
      <c r="J406" s="11" t="s">
        <v>2932</v>
      </c>
      <c r="P406" s="11">
        <v>1563925.0</v>
      </c>
      <c r="Q406" s="11" t="b">
        <v>1</v>
      </c>
    </row>
    <row r="407">
      <c r="A407" s="11" t="s">
        <v>3979</v>
      </c>
      <c r="B407" s="11" t="s">
        <v>78</v>
      </c>
      <c r="C407" s="18">
        <v>45847.0</v>
      </c>
      <c r="D407" s="11" t="s">
        <v>1094</v>
      </c>
      <c r="E407" s="11" t="s">
        <v>3983</v>
      </c>
      <c r="G407" s="11" t="s">
        <v>3987</v>
      </c>
      <c r="H407" s="11" t="s">
        <v>3984</v>
      </c>
      <c r="I407" s="11" t="b">
        <v>1</v>
      </c>
      <c r="J407" s="11" t="s">
        <v>2932</v>
      </c>
      <c r="P407" s="11">
        <v>1563928.0</v>
      </c>
      <c r="Q407" s="11" t="b">
        <v>1</v>
      </c>
    </row>
    <row r="408">
      <c r="A408" s="11" t="s">
        <v>3990</v>
      </c>
      <c r="B408" s="11" t="s">
        <v>78</v>
      </c>
      <c r="C408" s="18">
        <v>45845.0</v>
      </c>
      <c r="D408" s="11" t="s">
        <v>104</v>
      </c>
      <c r="E408" s="11" t="s">
        <v>3992</v>
      </c>
      <c r="G408" s="11" t="s">
        <v>3994</v>
      </c>
      <c r="H408" s="11" t="s">
        <v>3926</v>
      </c>
      <c r="I408" s="11" t="b">
        <v>1</v>
      </c>
      <c r="J408" s="11" t="s">
        <v>2932</v>
      </c>
      <c r="P408" s="11">
        <v>1560504.0</v>
      </c>
      <c r="Q408" s="11" t="b">
        <v>1</v>
      </c>
    </row>
    <row r="409">
      <c r="A409" s="11" t="s">
        <v>3998</v>
      </c>
      <c r="B409" s="11" t="s">
        <v>78</v>
      </c>
      <c r="C409" s="18">
        <v>45849.0</v>
      </c>
      <c r="D409" s="11" t="s">
        <v>168</v>
      </c>
      <c r="E409" s="11" t="s">
        <v>3999</v>
      </c>
      <c r="G409" s="11" t="s">
        <v>4002</v>
      </c>
      <c r="H409" s="11" t="s">
        <v>4001</v>
      </c>
      <c r="I409" s="11" t="b">
        <v>1</v>
      </c>
      <c r="J409" s="11" t="s">
        <v>2932</v>
      </c>
      <c r="P409" s="11">
        <v>1566319.0</v>
      </c>
      <c r="Q409" s="11" t="b">
        <v>1</v>
      </c>
    </row>
    <row r="410">
      <c r="A410" s="11" t="s">
        <v>4006</v>
      </c>
      <c r="B410" s="11" t="s">
        <v>78</v>
      </c>
      <c r="C410" s="18">
        <v>45832.0</v>
      </c>
      <c r="D410" s="11" t="s">
        <v>739</v>
      </c>
      <c r="E410" s="11" t="s">
        <v>4009</v>
      </c>
      <c r="G410" s="11" t="s">
        <v>4013</v>
      </c>
      <c r="H410" s="11" t="s">
        <v>4011</v>
      </c>
      <c r="I410" s="11" t="b">
        <v>1</v>
      </c>
      <c r="J410" s="11" t="s">
        <v>2932</v>
      </c>
      <c r="P410" s="11">
        <v>1543025.0</v>
      </c>
      <c r="Q410" s="11" t="b">
        <v>1</v>
      </c>
    </row>
    <row r="411">
      <c r="A411" s="11" t="s">
        <v>4016</v>
      </c>
      <c r="B411" s="11" t="s">
        <v>78</v>
      </c>
      <c r="C411" s="18">
        <v>45847.0</v>
      </c>
      <c r="D411" s="11" t="s">
        <v>793</v>
      </c>
      <c r="E411" s="11" t="s">
        <v>4020</v>
      </c>
      <c r="G411" s="11" t="s">
        <v>4025</v>
      </c>
      <c r="H411" s="11" t="s">
        <v>4022</v>
      </c>
      <c r="I411" s="11" t="b">
        <v>1</v>
      </c>
      <c r="J411" s="11" t="s">
        <v>2932</v>
      </c>
      <c r="P411" s="11">
        <v>1563483.0</v>
      </c>
      <c r="Q411" s="11" t="b">
        <v>1</v>
      </c>
    </row>
    <row r="412">
      <c r="A412" s="11" t="s">
        <v>4029</v>
      </c>
      <c r="B412" s="11" t="s">
        <v>78</v>
      </c>
      <c r="C412" s="18">
        <v>45847.0</v>
      </c>
      <c r="D412" s="11" t="s">
        <v>793</v>
      </c>
      <c r="E412" s="11" t="s">
        <v>4031</v>
      </c>
      <c r="G412" s="11" t="s">
        <v>4035</v>
      </c>
      <c r="H412" s="11" t="s">
        <v>4034</v>
      </c>
      <c r="I412" s="11" t="b">
        <v>1</v>
      </c>
      <c r="J412" s="11" t="s">
        <v>2932</v>
      </c>
      <c r="P412" s="11">
        <v>1563489.0</v>
      </c>
      <c r="Q412" s="11" t="b">
        <v>1</v>
      </c>
    </row>
    <row r="413">
      <c r="A413" s="11" t="s">
        <v>4055</v>
      </c>
      <c r="B413" s="11" t="s">
        <v>78</v>
      </c>
      <c r="C413" s="18">
        <v>45852.0</v>
      </c>
      <c r="D413" s="11" t="s">
        <v>992</v>
      </c>
      <c r="E413" s="11" t="s">
        <v>4057</v>
      </c>
      <c r="G413" s="11" t="s">
        <v>4059</v>
      </c>
      <c r="H413" s="11" t="s">
        <v>4058</v>
      </c>
      <c r="I413" s="11" t="b">
        <v>1</v>
      </c>
      <c r="J413" s="11" t="s">
        <v>2932</v>
      </c>
      <c r="P413" s="11">
        <v>1572561.0</v>
      </c>
      <c r="Q413" s="11" t="b">
        <v>1</v>
      </c>
    </row>
    <row r="414">
      <c r="A414" s="11" t="s">
        <v>4063</v>
      </c>
      <c r="B414" s="11" t="s">
        <v>78</v>
      </c>
      <c r="C414" s="18">
        <v>45840.0</v>
      </c>
      <c r="D414" s="11" t="s">
        <v>992</v>
      </c>
      <c r="E414" s="11" t="s">
        <v>4065</v>
      </c>
      <c r="G414" s="11" t="s">
        <v>4067</v>
      </c>
      <c r="H414" s="11" t="s">
        <v>4058</v>
      </c>
      <c r="I414" s="11" t="b">
        <v>1</v>
      </c>
      <c r="J414" s="11" t="s">
        <v>2932</v>
      </c>
      <c r="P414" s="11">
        <v>1553314.0</v>
      </c>
      <c r="Q414" s="11" t="b">
        <v>1</v>
      </c>
    </row>
    <row r="415">
      <c r="A415" s="11" t="s">
        <v>4070</v>
      </c>
      <c r="B415" s="11" t="s">
        <v>78</v>
      </c>
      <c r="C415" s="18">
        <v>45847.0</v>
      </c>
      <c r="D415" s="11" t="s">
        <v>992</v>
      </c>
      <c r="E415" s="11" t="s">
        <v>4073</v>
      </c>
      <c r="G415" s="11" t="s">
        <v>4076</v>
      </c>
      <c r="H415" s="11" t="s">
        <v>4074</v>
      </c>
      <c r="I415" s="11" t="b">
        <v>1</v>
      </c>
      <c r="J415" s="11" t="s">
        <v>2932</v>
      </c>
      <c r="P415" s="11">
        <v>1563495.0</v>
      </c>
      <c r="Q415" s="11" t="b">
        <v>1</v>
      </c>
    </row>
    <row r="416">
      <c r="A416" s="11" t="s">
        <v>4079</v>
      </c>
      <c r="B416" s="11" t="s">
        <v>78</v>
      </c>
      <c r="C416" s="18">
        <v>45849.0</v>
      </c>
      <c r="D416" s="11" t="s">
        <v>992</v>
      </c>
      <c r="E416" s="11" t="s">
        <v>4081</v>
      </c>
      <c r="G416" s="11" t="s">
        <v>4085</v>
      </c>
      <c r="H416" s="11" t="s">
        <v>4082</v>
      </c>
      <c r="I416" s="11" t="b">
        <v>1</v>
      </c>
      <c r="J416" s="11" t="s">
        <v>2932</v>
      </c>
      <c r="P416" s="11">
        <v>1566685.0</v>
      </c>
      <c r="Q416" s="11" t="b">
        <v>1</v>
      </c>
    </row>
    <row r="417">
      <c r="A417" s="11" t="s">
        <v>4088</v>
      </c>
      <c r="B417" s="11" t="s">
        <v>78</v>
      </c>
      <c r="C417" s="18">
        <v>45845.0</v>
      </c>
      <c r="D417" s="11" t="s">
        <v>992</v>
      </c>
      <c r="E417" s="11" t="s">
        <v>4090</v>
      </c>
      <c r="G417" s="11" t="s">
        <v>4094</v>
      </c>
      <c r="H417" s="11" t="s">
        <v>4091</v>
      </c>
      <c r="I417" s="11" t="b">
        <v>1</v>
      </c>
      <c r="J417" s="11" t="s">
        <v>2932</v>
      </c>
      <c r="P417" s="11">
        <v>1560599.0</v>
      </c>
      <c r="Q417" s="11" t="b">
        <v>1</v>
      </c>
    </row>
    <row r="418">
      <c r="A418" s="11" t="s">
        <v>4098</v>
      </c>
      <c r="B418" s="11" t="s">
        <v>78</v>
      </c>
      <c r="C418" s="18">
        <v>45835.0</v>
      </c>
      <c r="D418" s="11" t="s">
        <v>992</v>
      </c>
      <c r="E418" s="11" t="s">
        <v>4101</v>
      </c>
      <c r="G418" s="11" t="s">
        <v>4104</v>
      </c>
      <c r="H418" s="11" t="s">
        <v>4102</v>
      </c>
      <c r="I418" s="11" t="b">
        <v>1</v>
      </c>
      <c r="J418" s="11" t="s">
        <v>2932</v>
      </c>
      <c r="P418" s="11">
        <v>1545677.0</v>
      </c>
      <c r="Q418" s="11" t="b">
        <v>1</v>
      </c>
    </row>
    <row r="419">
      <c r="A419" s="11" t="s">
        <v>4107</v>
      </c>
      <c r="B419" s="11" t="s">
        <v>78</v>
      </c>
      <c r="C419" s="18">
        <v>45845.0</v>
      </c>
      <c r="D419" s="11" t="s">
        <v>2549</v>
      </c>
      <c r="E419" s="11" t="s">
        <v>4110</v>
      </c>
      <c r="G419" s="11" t="s">
        <v>4113</v>
      </c>
      <c r="H419" s="11" t="s">
        <v>4111</v>
      </c>
      <c r="I419" s="11" t="b">
        <v>1</v>
      </c>
      <c r="J419" s="11" t="s">
        <v>2932</v>
      </c>
      <c r="P419" s="11">
        <v>1560980.0</v>
      </c>
      <c r="Q419" s="11" t="b">
        <v>1</v>
      </c>
    </row>
    <row r="420">
      <c r="A420" s="11" t="s">
        <v>4118</v>
      </c>
      <c r="B420" s="11" t="s">
        <v>78</v>
      </c>
      <c r="C420" s="18">
        <v>45838.0</v>
      </c>
      <c r="D420" s="11" t="s">
        <v>2549</v>
      </c>
      <c r="E420" s="11" t="s">
        <v>4120</v>
      </c>
      <c r="G420" s="11" t="s">
        <v>4122</v>
      </c>
      <c r="H420" s="11" t="s">
        <v>4121</v>
      </c>
      <c r="I420" s="11" t="b">
        <v>1</v>
      </c>
      <c r="J420" s="11" t="s">
        <v>2932</v>
      </c>
      <c r="P420" s="11">
        <v>1551069.0</v>
      </c>
      <c r="Q420" s="11" t="b">
        <v>1</v>
      </c>
    </row>
    <row r="421">
      <c r="A421" s="11" t="s">
        <v>4127</v>
      </c>
      <c r="B421" s="11" t="s">
        <v>78</v>
      </c>
      <c r="C421" s="18">
        <v>45852.0</v>
      </c>
      <c r="D421" s="11" t="s">
        <v>2549</v>
      </c>
      <c r="E421" s="11" t="s">
        <v>4132</v>
      </c>
      <c r="G421" s="11" t="s">
        <v>4135</v>
      </c>
      <c r="H421" s="11" t="s">
        <v>4111</v>
      </c>
      <c r="I421" s="11" t="b">
        <v>1</v>
      </c>
      <c r="J421" s="11" t="s">
        <v>2932</v>
      </c>
      <c r="P421" s="11">
        <v>1572561.0</v>
      </c>
      <c r="Q421" s="11" t="b">
        <v>1</v>
      </c>
    </row>
    <row r="422">
      <c r="A422" s="11" t="s">
        <v>4138</v>
      </c>
      <c r="B422" s="11" t="s">
        <v>78</v>
      </c>
      <c r="C422" s="18">
        <v>45829.0</v>
      </c>
      <c r="D422" s="11" t="s">
        <v>2549</v>
      </c>
      <c r="E422" s="11" t="s">
        <v>4140</v>
      </c>
      <c r="G422" s="11" t="s">
        <v>4143</v>
      </c>
      <c r="H422" s="11" t="s">
        <v>4111</v>
      </c>
      <c r="I422" s="11" t="b">
        <v>1</v>
      </c>
      <c r="J422" s="11" t="s">
        <v>2932</v>
      </c>
      <c r="P422" s="11">
        <v>1541873.0</v>
      </c>
      <c r="Q422" s="11" t="b">
        <v>1</v>
      </c>
    </row>
    <row r="423">
      <c r="A423" s="11" t="s">
        <v>4146</v>
      </c>
      <c r="B423" s="11" t="s">
        <v>78</v>
      </c>
      <c r="C423" s="18">
        <v>45856.0</v>
      </c>
      <c r="D423" s="11" t="s">
        <v>992</v>
      </c>
      <c r="E423" s="11" t="s">
        <v>4148</v>
      </c>
      <c r="G423" s="11" t="s">
        <v>4153</v>
      </c>
      <c r="H423" s="11" t="s">
        <v>4149</v>
      </c>
      <c r="I423" s="11" t="b">
        <v>1</v>
      </c>
      <c r="J423" s="11" t="s">
        <v>2932</v>
      </c>
      <c r="P423" s="11">
        <v>1578509.0</v>
      </c>
      <c r="Q423" s="11" t="b">
        <v>1</v>
      </c>
    </row>
    <row r="424">
      <c r="A424" s="11" t="s">
        <v>4156</v>
      </c>
      <c r="B424" s="11" t="s">
        <v>78</v>
      </c>
      <c r="C424" s="18">
        <v>45855.0</v>
      </c>
      <c r="D424" s="11" t="s">
        <v>3117</v>
      </c>
      <c r="E424" s="11" t="s">
        <v>4158</v>
      </c>
      <c r="G424" s="11" t="s">
        <v>4161</v>
      </c>
      <c r="H424" s="11" t="s">
        <v>2809</v>
      </c>
      <c r="I424" s="11" t="b">
        <v>1</v>
      </c>
      <c r="J424" s="11" t="s">
        <v>2932</v>
      </c>
      <c r="L424" s="11" t="s">
        <v>4166</v>
      </c>
      <c r="P424" s="11">
        <v>1578531.0</v>
      </c>
      <c r="Q424" s="11" t="b">
        <v>1</v>
      </c>
    </row>
    <row r="425">
      <c r="A425" s="11" t="s">
        <v>4167</v>
      </c>
      <c r="B425" s="11" t="s">
        <v>78</v>
      </c>
      <c r="C425" s="18">
        <v>45855.0</v>
      </c>
      <c r="D425" s="11" t="s">
        <v>237</v>
      </c>
      <c r="E425" s="11" t="s">
        <v>4170</v>
      </c>
      <c r="G425" s="11" t="s">
        <v>4173</v>
      </c>
      <c r="H425" s="11" t="s">
        <v>2510</v>
      </c>
      <c r="I425" s="11" t="b">
        <v>0</v>
      </c>
      <c r="J425" s="11" t="s">
        <v>2932</v>
      </c>
      <c r="L425" s="11" t="s">
        <v>4175</v>
      </c>
      <c r="M425" s="11" t="s">
        <v>4176</v>
      </c>
      <c r="N425" s="11" t="s">
        <v>4177</v>
      </c>
      <c r="Q425" s="11" t="b">
        <v>1</v>
      </c>
    </row>
    <row r="426">
      <c r="A426" s="11" t="s">
        <v>4179</v>
      </c>
      <c r="B426" s="11" t="s">
        <v>78</v>
      </c>
      <c r="C426" s="18">
        <v>45853.0</v>
      </c>
      <c r="D426" s="11" t="s">
        <v>237</v>
      </c>
      <c r="E426" s="11" t="s">
        <v>4182</v>
      </c>
      <c r="G426" s="11" t="s">
        <v>4184</v>
      </c>
      <c r="H426" s="11" t="s">
        <v>2291</v>
      </c>
      <c r="I426" s="11" t="b">
        <v>0</v>
      </c>
      <c r="J426" s="11" t="s">
        <v>2932</v>
      </c>
      <c r="L426" s="11" t="s">
        <v>4186</v>
      </c>
      <c r="M426" s="11" t="s">
        <v>4188</v>
      </c>
      <c r="N426" s="11" t="s">
        <v>4189</v>
      </c>
      <c r="Q426" s="11" t="b">
        <v>1</v>
      </c>
    </row>
    <row r="427">
      <c r="A427" s="11" t="s">
        <v>4191</v>
      </c>
      <c r="B427" s="11" t="s">
        <v>78</v>
      </c>
      <c r="C427" s="18">
        <v>45855.0</v>
      </c>
      <c r="D427" s="11" t="s">
        <v>237</v>
      </c>
      <c r="E427" s="11" t="s">
        <v>4193</v>
      </c>
      <c r="G427" s="11" t="s">
        <v>4197</v>
      </c>
      <c r="H427" s="11" t="s">
        <v>4194</v>
      </c>
      <c r="I427" s="11" t="b">
        <v>0</v>
      </c>
      <c r="J427" s="11" t="s">
        <v>2932</v>
      </c>
      <c r="Q427" s="11" t="b">
        <v>1</v>
      </c>
    </row>
    <row r="428">
      <c r="A428" s="11" t="s">
        <v>4198</v>
      </c>
      <c r="B428" s="11" t="s">
        <v>78</v>
      </c>
      <c r="C428" s="18">
        <v>45855.0</v>
      </c>
      <c r="D428" s="11" t="s">
        <v>237</v>
      </c>
      <c r="E428" s="11" t="s">
        <v>4200</v>
      </c>
      <c r="G428" s="11" t="s">
        <v>4204</v>
      </c>
      <c r="H428" s="11" t="s">
        <v>4202</v>
      </c>
      <c r="I428" s="11" t="b">
        <v>0</v>
      </c>
      <c r="J428" s="11" t="s">
        <v>2932</v>
      </c>
      <c r="Q428" s="11" t="b">
        <v>1</v>
      </c>
    </row>
    <row r="429">
      <c r="A429" s="11" t="s">
        <v>4206</v>
      </c>
      <c r="B429" s="11" t="s">
        <v>78</v>
      </c>
      <c r="C429" s="18">
        <v>45856.0</v>
      </c>
      <c r="D429" s="11" t="s">
        <v>339</v>
      </c>
      <c r="E429" s="11" t="s">
        <v>4208</v>
      </c>
      <c r="G429" s="11" t="s">
        <v>4212</v>
      </c>
      <c r="H429" s="11" t="s">
        <v>4209</v>
      </c>
      <c r="I429" s="11" t="b">
        <v>1</v>
      </c>
      <c r="J429" s="11" t="s">
        <v>2932</v>
      </c>
      <c r="P429" s="11">
        <v>1582492.0</v>
      </c>
      <c r="Q429" s="11" t="b">
        <v>1</v>
      </c>
    </row>
    <row r="430">
      <c r="A430" s="11" t="s">
        <v>4216</v>
      </c>
      <c r="B430" s="11" t="s">
        <v>78</v>
      </c>
      <c r="C430" s="18">
        <v>45854.0</v>
      </c>
      <c r="D430" s="11" t="s">
        <v>104</v>
      </c>
      <c r="E430" s="11" t="s">
        <v>4219</v>
      </c>
      <c r="G430" s="11" t="s">
        <v>4222</v>
      </c>
      <c r="H430" s="11" t="s">
        <v>4220</v>
      </c>
      <c r="I430" s="11" t="b">
        <v>1</v>
      </c>
      <c r="J430" s="11" t="s">
        <v>2932</v>
      </c>
      <c r="P430" s="11">
        <v>1575747.0</v>
      </c>
      <c r="Q430" s="11" t="b">
        <v>1</v>
      </c>
    </row>
    <row r="431">
      <c r="A431" s="11" t="s">
        <v>4225</v>
      </c>
      <c r="B431" s="11" t="s">
        <v>78</v>
      </c>
      <c r="C431" s="18">
        <v>45859.0</v>
      </c>
      <c r="D431" s="11" t="s">
        <v>992</v>
      </c>
      <c r="E431" s="11" t="s">
        <v>4227</v>
      </c>
      <c r="G431" s="11" t="s">
        <v>4231</v>
      </c>
      <c r="H431" s="11" t="s">
        <v>4229</v>
      </c>
      <c r="I431" s="11" t="b">
        <v>1</v>
      </c>
      <c r="J431" s="11" t="s">
        <v>2932</v>
      </c>
      <c r="P431" s="11">
        <v>1584319.0</v>
      </c>
      <c r="Q431" s="11" t="b">
        <v>1</v>
      </c>
    </row>
    <row r="432">
      <c r="A432" s="11" t="s">
        <v>4234</v>
      </c>
      <c r="B432" s="11" t="s">
        <v>78</v>
      </c>
      <c r="C432" s="18">
        <v>45854.0</v>
      </c>
      <c r="D432" s="11" t="s">
        <v>992</v>
      </c>
      <c r="E432" s="11" t="s">
        <v>4237</v>
      </c>
      <c r="G432" s="11" t="s">
        <v>4241</v>
      </c>
      <c r="H432" s="11" t="s">
        <v>4238</v>
      </c>
      <c r="I432" s="11" t="b">
        <v>1</v>
      </c>
      <c r="J432" s="11" t="s">
        <v>2932</v>
      </c>
      <c r="P432" s="11">
        <v>1575741.0</v>
      </c>
      <c r="Q432" s="11" t="b">
        <v>1</v>
      </c>
    </row>
    <row r="433">
      <c r="A433" s="11" t="s">
        <v>4244</v>
      </c>
      <c r="B433" s="11" t="s">
        <v>78</v>
      </c>
      <c r="C433" s="18">
        <v>45860.0</v>
      </c>
      <c r="D433" s="11" t="s">
        <v>2549</v>
      </c>
      <c r="E433" s="11" t="s">
        <v>4247</v>
      </c>
      <c r="G433" s="11" t="s">
        <v>4250</v>
      </c>
      <c r="H433" s="11" t="s">
        <v>4248</v>
      </c>
      <c r="I433" s="11" t="b">
        <v>1</v>
      </c>
      <c r="J433" s="11" t="s">
        <v>2932</v>
      </c>
      <c r="P433" s="11">
        <v>1585730.0</v>
      </c>
      <c r="Q433" s="11" t="b">
        <v>1</v>
      </c>
    </row>
    <row r="434">
      <c r="A434" s="11" t="s">
        <v>4255</v>
      </c>
      <c r="B434" s="11" t="s">
        <v>78</v>
      </c>
      <c r="C434" s="18">
        <v>45861.0</v>
      </c>
      <c r="D434" s="11" t="s">
        <v>104</v>
      </c>
      <c r="E434" s="11" t="s">
        <v>4256</v>
      </c>
      <c r="G434" s="11" t="s">
        <v>4261</v>
      </c>
      <c r="H434" s="11" t="s">
        <v>4258</v>
      </c>
      <c r="I434" s="11" t="b">
        <v>1</v>
      </c>
      <c r="J434" s="11" t="s">
        <v>2932</v>
      </c>
      <c r="P434" s="11">
        <v>1587332.0</v>
      </c>
      <c r="Q434" s="11" t="b">
        <v>1</v>
      </c>
    </row>
    <row r="435">
      <c r="A435" s="11" t="s">
        <v>4265</v>
      </c>
      <c r="B435" s="11" t="s">
        <v>78</v>
      </c>
      <c r="C435" s="18">
        <v>45854.0</v>
      </c>
      <c r="D435" s="11" t="s">
        <v>513</v>
      </c>
      <c r="E435" s="11" t="s">
        <v>4267</v>
      </c>
      <c r="G435" s="11" t="s">
        <v>4271</v>
      </c>
      <c r="H435" s="11" t="s">
        <v>4269</v>
      </c>
      <c r="I435" s="11" t="b">
        <v>1</v>
      </c>
      <c r="J435" s="11" t="s">
        <v>2932</v>
      </c>
      <c r="P435" s="11">
        <v>1577607.0</v>
      </c>
      <c r="Q435" s="11" t="b">
        <v>1</v>
      </c>
    </row>
    <row r="436">
      <c r="A436" s="11" t="s">
        <v>4275</v>
      </c>
      <c r="B436" s="11" t="s">
        <v>78</v>
      </c>
      <c r="C436" s="18">
        <v>45857.0</v>
      </c>
      <c r="D436" s="11" t="s">
        <v>104</v>
      </c>
      <c r="E436" s="11" t="s">
        <v>4277</v>
      </c>
      <c r="G436" s="11" t="s">
        <v>4280</v>
      </c>
      <c r="H436" s="11" t="s">
        <v>110</v>
      </c>
      <c r="I436" s="11" t="b">
        <v>1</v>
      </c>
      <c r="J436" s="11" t="s">
        <v>2932</v>
      </c>
      <c r="P436" s="11">
        <v>1582521.0</v>
      </c>
      <c r="Q436" s="11" t="b">
        <v>1</v>
      </c>
    </row>
    <row r="437">
      <c r="A437" s="11" t="s">
        <v>4285</v>
      </c>
      <c r="B437" s="11" t="s">
        <v>78</v>
      </c>
      <c r="C437" s="18">
        <v>45862.0</v>
      </c>
      <c r="D437" s="11" t="s">
        <v>676</v>
      </c>
      <c r="E437" s="11" t="s">
        <v>4288</v>
      </c>
      <c r="G437" s="11" t="s">
        <v>4289</v>
      </c>
      <c r="H437" s="11" t="s">
        <v>1016</v>
      </c>
      <c r="I437" s="11" t="b">
        <v>1</v>
      </c>
      <c r="J437" s="11" t="s">
        <v>2932</v>
      </c>
      <c r="P437" s="11">
        <v>1589219.0</v>
      </c>
      <c r="Q437" s="11" t="b">
        <v>1</v>
      </c>
    </row>
    <row r="438">
      <c r="A438" s="11" t="s">
        <v>4291</v>
      </c>
      <c r="B438" s="11" t="s">
        <v>78</v>
      </c>
      <c r="C438" s="18">
        <v>45870.0</v>
      </c>
      <c r="D438" s="11" t="s">
        <v>85</v>
      </c>
      <c r="E438" s="11" t="s">
        <v>4292</v>
      </c>
      <c r="G438" s="11" t="s">
        <v>4293</v>
      </c>
      <c r="H438" s="11" t="s">
        <v>3193</v>
      </c>
      <c r="I438" s="11" t="b">
        <v>1</v>
      </c>
      <c r="J438" s="11" t="s">
        <v>2932</v>
      </c>
      <c r="P438" s="11">
        <v>1602149.0</v>
      </c>
      <c r="Q438" s="11" t="b">
        <v>1</v>
      </c>
    </row>
    <row r="439">
      <c r="A439" s="11" t="s">
        <v>4295</v>
      </c>
      <c r="B439" s="11" t="s">
        <v>78</v>
      </c>
      <c r="C439" s="18">
        <v>45868.0</v>
      </c>
      <c r="D439" s="11" t="s">
        <v>104</v>
      </c>
      <c r="E439" s="11" t="s">
        <v>4298</v>
      </c>
      <c r="G439" s="11" t="s">
        <v>4299</v>
      </c>
      <c r="H439" s="11" t="s">
        <v>380</v>
      </c>
      <c r="I439" s="11" t="b">
        <v>1</v>
      </c>
      <c r="J439" s="11" t="s">
        <v>2932</v>
      </c>
      <c r="P439" s="11">
        <v>1598854.0</v>
      </c>
      <c r="Q439" s="11" t="b">
        <v>1</v>
      </c>
    </row>
    <row r="440">
      <c r="A440" s="11" t="s">
        <v>4302</v>
      </c>
      <c r="B440" s="11" t="s">
        <v>78</v>
      </c>
      <c r="C440" s="18">
        <v>45864.0</v>
      </c>
      <c r="D440" s="11" t="s">
        <v>85</v>
      </c>
      <c r="E440" s="11" t="s">
        <v>4304</v>
      </c>
      <c r="G440" s="11" t="s">
        <v>4305</v>
      </c>
      <c r="H440" s="11" t="s">
        <v>286</v>
      </c>
      <c r="I440" s="11" t="b">
        <v>1</v>
      </c>
      <c r="J440" s="11" t="s">
        <v>2932</v>
      </c>
      <c r="P440" s="11">
        <v>1592773.0</v>
      </c>
      <c r="Q440" s="11" t="b">
        <v>1</v>
      </c>
    </row>
    <row r="441">
      <c r="A441" s="11" t="s">
        <v>4309</v>
      </c>
      <c r="B441" s="11" t="s">
        <v>78</v>
      </c>
      <c r="C441" s="18">
        <v>45863.0</v>
      </c>
      <c r="D441" s="11" t="s">
        <v>992</v>
      </c>
      <c r="E441" s="11" t="s">
        <v>4310</v>
      </c>
      <c r="G441" s="11" t="s">
        <v>4313</v>
      </c>
      <c r="H441" s="11" t="s">
        <v>3641</v>
      </c>
      <c r="I441" s="11" t="b">
        <v>1</v>
      </c>
      <c r="J441" s="11" t="s">
        <v>2932</v>
      </c>
      <c r="P441" s="11">
        <v>1590963.0</v>
      </c>
      <c r="Q441" s="11" t="b">
        <v>1</v>
      </c>
    </row>
    <row r="442">
      <c r="A442" s="11" t="s">
        <v>4316</v>
      </c>
      <c r="B442" s="11" t="s">
        <v>78</v>
      </c>
      <c r="C442" s="18">
        <v>45897.0</v>
      </c>
      <c r="D442" s="11" t="s">
        <v>992</v>
      </c>
      <c r="E442" s="11" t="s">
        <v>4318</v>
      </c>
      <c r="G442" s="11" t="s">
        <v>4321</v>
      </c>
      <c r="H442" s="11" t="s">
        <v>3641</v>
      </c>
      <c r="I442" s="11" t="b">
        <v>1</v>
      </c>
      <c r="J442" s="11" t="s">
        <v>2932</v>
      </c>
      <c r="P442" s="11">
        <v>1596115.0</v>
      </c>
      <c r="Q442" s="11" t="b">
        <v>1</v>
      </c>
    </row>
    <row r="443">
      <c r="A443" s="11" t="s">
        <v>4324</v>
      </c>
      <c r="B443" s="11" t="s">
        <v>78</v>
      </c>
      <c r="C443" s="18">
        <v>45866.0</v>
      </c>
      <c r="D443" s="11" t="s">
        <v>2549</v>
      </c>
      <c r="E443" s="11" t="s">
        <v>4327</v>
      </c>
      <c r="G443" s="11" t="s">
        <v>4330</v>
      </c>
      <c r="H443" s="11" t="s">
        <v>4328</v>
      </c>
      <c r="I443" s="11" t="b">
        <v>1</v>
      </c>
      <c r="J443" s="11" t="s">
        <v>2932</v>
      </c>
      <c r="P443" s="11">
        <v>1596262.0</v>
      </c>
      <c r="Q443" s="11" t="b">
        <v>1</v>
      </c>
    </row>
    <row r="444">
      <c r="A444" s="11" t="s">
        <v>4334</v>
      </c>
      <c r="B444" s="11" t="s">
        <v>78</v>
      </c>
      <c r="C444" s="18">
        <v>45868.0</v>
      </c>
      <c r="D444" s="11" t="s">
        <v>992</v>
      </c>
      <c r="E444" s="11" t="s">
        <v>4337</v>
      </c>
      <c r="G444" s="11" t="s">
        <v>4339</v>
      </c>
      <c r="H444" s="11" t="s">
        <v>4338</v>
      </c>
      <c r="I444" s="11" t="b">
        <v>1</v>
      </c>
      <c r="J444" s="11" t="s">
        <v>2932</v>
      </c>
      <c r="P444" s="11">
        <v>1598855.0</v>
      </c>
      <c r="Q444" s="11" t="b">
        <v>1</v>
      </c>
    </row>
    <row r="445">
      <c r="A445" s="11" t="s">
        <v>4343</v>
      </c>
      <c r="B445" s="11" t="s">
        <v>78</v>
      </c>
      <c r="C445" s="18">
        <v>45870.0</v>
      </c>
      <c r="D445" s="11" t="s">
        <v>477</v>
      </c>
      <c r="E445" s="11" t="s">
        <v>4345</v>
      </c>
      <c r="G445" s="11" t="s">
        <v>4348</v>
      </c>
      <c r="H445" s="11" t="s">
        <v>4347</v>
      </c>
      <c r="I445" s="11" t="b">
        <v>1</v>
      </c>
      <c r="J445" s="11" t="s">
        <v>2932</v>
      </c>
      <c r="P445" s="11">
        <v>1601872.0</v>
      </c>
      <c r="Q445" s="11" t="b">
        <v>1</v>
      </c>
    </row>
    <row r="446">
      <c r="A446" s="11" t="s">
        <v>4351</v>
      </c>
      <c r="B446" s="11" t="s">
        <v>78</v>
      </c>
      <c r="C446" s="18">
        <v>45867.0</v>
      </c>
      <c r="D446" s="11" t="s">
        <v>237</v>
      </c>
      <c r="E446" s="11" t="s">
        <v>4352</v>
      </c>
      <c r="G446" s="11" t="s">
        <v>4354</v>
      </c>
      <c r="H446" s="11" t="s">
        <v>2291</v>
      </c>
      <c r="I446" s="11" t="b">
        <v>0</v>
      </c>
      <c r="J446" s="11" t="s">
        <v>2932</v>
      </c>
      <c r="Q446" s="11" t="b">
        <v>1</v>
      </c>
    </row>
    <row r="447">
      <c r="A447" s="11" t="s">
        <v>4359</v>
      </c>
      <c r="B447" s="11" t="s">
        <v>78</v>
      </c>
      <c r="C447" s="18">
        <v>45866.0</v>
      </c>
      <c r="D447" s="11" t="s">
        <v>237</v>
      </c>
      <c r="E447" s="11" t="s">
        <v>4362</v>
      </c>
      <c r="G447" s="11" t="s">
        <v>4364</v>
      </c>
      <c r="H447" s="11" t="s">
        <v>2510</v>
      </c>
      <c r="I447" s="11" t="b">
        <v>0</v>
      </c>
      <c r="J447" s="11" t="s">
        <v>2932</v>
      </c>
      <c r="L447" s="11" t="s">
        <v>4365</v>
      </c>
      <c r="Q447" s="11" t="b">
        <v>1</v>
      </c>
    </row>
    <row r="448">
      <c r="A448" s="11" t="s">
        <v>4366</v>
      </c>
      <c r="B448" s="11" t="s">
        <v>78</v>
      </c>
      <c r="C448" s="18">
        <v>45867.0</v>
      </c>
      <c r="D448" s="11" t="s">
        <v>237</v>
      </c>
      <c r="E448" s="11" t="s">
        <v>4352</v>
      </c>
      <c r="G448" s="11" t="s">
        <v>4368</v>
      </c>
      <c r="H448" s="11" t="s">
        <v>2291</v>
      </c>
      <c r="I448" s="11" t="b">
        <v>0</v>
      </c>
      <c r="J448" s="11" t="s">
        <v>2932</v>
      </c>
      <c r="L448" s="11" t="s">
        <v>4369</v>
      </c>
      <c r="M448" s="11" t="s">
        <v>4370</v>
      </c>
      <c r="Q448" s="11" t="b">
        <v>1</v>
      </c>
    </row>
    <row r="449">
      <c r="A449" s="11" t="s">
        <v>4371</v>
      </c>
      <c r="B449" s="11" t="s">
        <v>78</v>
      </c>
      <c r="C449" s="18">
        <v>45869.0</v>
      </c>
      <c r="D449" s="11" t="s">
        <v>168</v>
      </c>
      <c r="E449" s="11" t="s">
        <v>4374</v>
      </c>
      <c r="G449" s="11" t="s">
        <v>4377</v>
      </c>
      <c r="H449" s="11" t="s">
        <v>4375</v>
      </c>
      <c r="I449" s="11" t="b">
        <v>1</v>
      </c>
      <c r="J449" s="11" t="s">
        <v>2932</v>
      </c>
      <c r="L449" s="11" t="s">
        <v>4380</v>
      </c>
      <c r="P449" s="11">
        <v>1600383.0</v>
      </c>
      <c r="Q449" s="11" t="b">
        <v>1</v>
      </c>
    </row>
    <row r="450">
      <c r="A450" s="11" t="s">
        <v>4382</v>
      </c>
      <c r="B450" s="11" t="s">
        <v>78</v>
      </c>
      <c r="C450" s="18">
        <v>45874.0</v>
      </c>
      <c r="D450" s="11" t="s">
        <v>1706</v>
      </c>
      <c r="E450" s="11" t="s">
        <v>4383</v>
      </c>
      <c r="G450" s="11" t="s">
        <v>4387</v>
      </c>
      <c r="H450" s="11" t="s">
        <v>4384</v>
      </c>
      <c r="I450" s="11" t="b">
        <v>1</v>
      </c>
      <c r="J450" s="11" t="s">
        <v>2932</v>
      </c>
      <c r="P450" s="11">
        <v>1609466.0</v>
      </c>
      <c r="Q450" s="11" t="b">
        <v>1</v>
      </c>
    </row>
    <row r="451">
      <c r="A451" s="11" t="s">
        <v>4391</v>
      </c>
      <c r="B451" s="11" t="s">
        <v>78</v>
      </c>
      <c r="C451" s="18">
        <v>45873.0</v>
      </c>
      <c r="D451" s="11" t="s">
        <v>104</v>
      </c>
      <c r="E451" s="11" t="s">
        <v>4393</v>
      </c>
      <c r="G451" s="11" t="s">
        <v>4397</v>
      </c>
      <c r="H451" s="11" t="s">
        <v>380</v>
      </c>
      <c r="I451" s="11" t="b">
        <v>1</v>
      </c>
      <c r="J451" s="11" t="s">
        <v>2932</v>
      </c>
      <c r="P451" s="11">
        <v>1608225.0</v>
      </c>
      <c r="Q451" s="11" t="b">
        <v>1</v>
      </c>
    </row>
    <row r="452">
      <c r="A452" s="11" t="s">
        <v>4400</v>
      </c>
      <c r="B452" s="11" t="s">
        <v>78</v>
      </c>
      <c r="C452" s="18">
        <v>45878.0</v>
      </c>
      <c r="D452" s="11" t="s">
        <v>85</v>
      </c>
      <c r="E452" s="11" t="s">
        <v>4401</v>
      </c>
      <c r="G452" s="11" t="s">
        <v>4405</v>
      </c>
      <c r="H452" s="11" t="s">
        <v>4402</v>
      </c>
      <c r="I452" s="11" t="b">
        <v>1</v>
      </c>
      <c r="J452" s="11" t="s">
        <v>2932</v>
      </c>
      <c r="P452" s="11">
        <v>1615393.0</v>
      </c>
      <c r="Q452" s="11" t="b">
        <v>1</v>
      </c>
    </row>
    <row r="453">
      <c r="A453" s="11" t="s">
        <v>4409</v>
      </c>
      <c r="B453" s="11" t="s">
        <v>78</v>
      </c>
      <c r="C453" s="18">
        <v>45874.0</v>
      </c>
      <c r="D453" s="11" t="s">
        <v>116</v>
      </c>
      <c r="E453" s="11" t="s">
        <v>4411</v>
      </c>
      <c r="G453" s="11" t="s">
        <v>4414</v>
      </c>
      <c r="H453" s="11" t="s">
        <v>4412</v>
      </c>
      <c r="I453" s="11" t="b">
        <v>1</v>
      </c>
      <c r="J453" s="11" t="s">
        <v>2932</v>
      </c>
      <c r="P453" s="11">
        <v>1609466.0</v>
      </c>
      <c r="Q453" s="11" t="b">
        <v>1</v>
      </c>
    </row>
    <row r="454">
      <c r="A454" s="11" t="s">
        <v>4415</v>
      </c>
      <c r="B454" s="11" t="s">
        <v>78</v>
      </c>
      <c r="C454" s="18">
        <v>45875.0</v>
      </c>
      <c r="D454" s="11" t="s">
        <v>85</v>
      </c>
      <c r="E454" s="11" t="s">
        <v>4417</v>
      </c>
      <c r="G454" s="11" t="s">
        <v>4418</v>
      </c>
      <c r="H454" s="11" t="s">
        <v>3250</v>
      </c>
      <c r="I454" s="11" t="b">
        <v>1</v>
      </c>
      <c r="J454" s="11" t="s">
        <v>2932</v>
      </c>
      <c r="P454" s="11">
        <v>1610848.0</v>
      </c>
      <c r="Q454" s="11" t="b">
        <v>1</v>
      </c>
    </row>
    <row r="455">
      <c r="A455" s="11" t="s">
        <v>4421</v>
      </c>
      <c r="B455" s="11" t="s">
        <v>78</v>
      </c>
      <c r="C455" s="18">
        <v>45881.0</v>
      </c>
      <c r="D455" s="11" t="s">
        <v>1706</v>
      </c>
      <c r="E455" s="11" t="s">
        <v>4423</v>
      </c>
      <c r="G455" s="11" t="s">
        <v>4426</v>
      </c>
      <c r="H455" s="11" t="s">
        <v>4425</v>
      </c>
      <c r="I455" s="11" t="b">
        <v>1</v>
      </c>
      <c r="J455" s="11" t="s">
        <v>2932</v>
      </c>
      <c r="P455" s="11">
        <v>1620488.0</v>
      </c>
      <c r="Q455" s="11" t="b">
        <v>1</v>
      </c>
    </row>
    <row r="456">
      <c r="A456" s="11" t="s">
        <v>4431</v>
      </c>
      <c r="B456" s="11" t="s">
        <v>78</v>
      </c>
      <c r="C456" s="18">
        <v>45882.0</v>
      </c>
      <c r="D456" s="11" t="s">
        <v>596</v>
      </c>
      <c r="E456" s="11" t="s">
        <v>4434</v>
      </c>
      <c r="G456" s="11" t="s">
        <v>4437</v>
      </c>
      <c r="H456" s="11" t="s">
        <v>4436</v>
      </c>
      <c r="I456" s="11" t="b">
        <v>1</v>
      </c>
      <c r="J456" s="11" t="s">
        <v>2932</v>
      </c>
      <c r="P456" s="11">
        <v>1621685.0</v>
      </c>
      <c r="Q456" s="11" t="b">
        <v>1</v>
      </c>
    </row>
    <row r="457">
      <c r="A457" s="11" t="s">
        <v>4440</v>
      </c>
      <c r="B457" s="11" t="s">
        <v>78</v>
      </c>
      <c r="C457" s="18">
        <v>45882.0</v>
      </c>
      <c r="D457" s="11" t="s">
        <v>104</v>
      </c>
      <c r="E457" s="11" t="s">
        <v>4442</v>
      </c>
      <c r="G457" s="11" t="s">
        <v>4445</v>
      </c>
      <c r="H457" s="11" t="s">
        <v>4444</v>
      </c>
      <c r="I457" s="11" t="b">
        <v>1</v>
      </c>
      <c r="J457" s="11" t="s">
        <v>2932</v>
      </c>
      <c r="P457" s="11">
        <v>1621225.0</v>
      </c>
      <c r="Q457" s="11" t="b">
        <v>1</v>
      </c>
    </row>
    <row r="458">
      <c r="A458" s="11" t="s">
        <v>4449</v>
      </c>
      <c r="B458" s="11" t="s">
        <v>78</v>
      </c>
      <c r="C458" s="18">
        <v>45882.0</v>
      </c>
      <c r="D458" s="11" t="s">
        <v>85</v>
      </c>
      <c r="E458" s="11" t="s">
        <v>4451</v>
      </c>
      <c r="G458" s="11" t="s">
        <v>4454</v>
      </c>
      <c r="H458" s="11" t="s">
        <v>4453</v>
      </c>
      <c r="I458" s="11" t="b">
        <v>1</v>
      </c>
      <c r="J458" s="11" t="s">
        <v>2932</v>
      </c>
      <c r="P458" s="11">
        <v>1621690.0</v>
      </c>
      <c r="Q458" s="11" t="b">
        <v>1</v>
      </c>
    </row>
    <row r="459">
      <c r="A459" s="11" t="s">
        <v>4458</v>
      </c>
      <c r="B459" s="11" t="s">
        <v>78</v>
      </c>
      <c r="C459" s="18">
        <v>45882.0</v>
      </c>
      <c r="D459" s="11" t="s">
        <v>1706</v>
      </c>
      <c r="E459" s="11" t="s">
        <v>4459</v>
      </c>
      <c r="G459" s="11" t="s">
        <v>4463</v>
      </c>
      <c r="H459" s="11" t="s">
        <v>4461</v>
      </c>
      <c r="I459" s="11" t="b">
        <v>1</v>
      </c>
      <c r="J459" s="11" t="s">
        <v>2932</v>
      </c>
      <c r="P459" s="11">
        <v>1621689.0</v>
      </c>
      <c r="Q459" s="11" t="b">
        <v>1</v>
      </c>
    </row>
    <row r="460">
      <c r="A460" s="11" t="s">
        <v>4465</v>
      </c>
      <c r="B460" s="11" t="s">
        <v>78</v>
      </c>
      <c r="C460" s="18">
        <v>45873.0</v>
      </c>
      <c r="D460" s="11" t="s">
        <v>2549</v>
      </c>
      <c r="E460" s="11" t="s">
        <v>4467</v>
      </c>
      <c r="G460" s="11" t="s">
        <v>4470</v>
      </c>
      <c r="H460" s="11" t="s">
        <v>4468</v>
      </c>
      <c r="I460" s="11" t="b">
        <v>1</v>
      </c>
      <c r="J460" s="11" t="s">
        <v>2932</v>
      </c>
      <c r="P460" s="11">
        <v>1608216.0</v>
      </c>
      <c r="Q460" s="11" t="b">
        <v>1</v>
      </c>
    </row>
    <row r="461">
      <c r="A461" s="11" t="s">
        <v>4476</v>
      </c>
      <c r="B461" s="11" t="s">
        <v>78</v>
      </c>
      <c r="C461" s="18">
        <v>45872.0</v>
      </c>
      <c r="D461" s="11" t="s">
        <v>992</v>
      </c>
      <c r="E461" s="11" t="s">
        <v>4477</v>
      </c>
      <c r="G461" s="11" t="s">
        <v>4482</v>
      </c>
      <c r="H461" s="11" t="s">
        <v>4338</v>
      </c>
      <c r="I461" s="11" t="b">
        <v>1</v>
      </c>
      <c r="J461" s="11" t="s">
        <v>2932</v>
      </c>
      <c r="P461" s="11">
        <v>1608218.0</v>
      </c>
      <c r="Q461" s="11" t="b">
        <v>1</v>
      </c>
    </row>
    <row r="462">
      <c r="A462" s="11" t="s">
        <v>4484</v>
      </c>
      <c r="B462" s="11" t="s">
        <v>78</v>
      </c>
      <c r="C462" s="18">
        <v>45872.0</v>
      </c>
      <c r="D462" s="11" t="s">
        <v>992</v>
      </c>
      <c r="E462" s="11" t="s">
        <v>4477</v>
      </c>
      <c r="G462" s="11" t="s">
        <v>4486</v>
      </c>
      <c r="H462" s="11" t="s">
        <v>4338</v>
      </c>
      <c r="I462" s="11" t="b">
        <v>1</v>
      </c>
      <c r="J462" s="11" t="s">
        <v>2932</v>
      </c>
      <c r="P462" s="11">
        <v>1608220.0</v>
      </c>
      <c r="Q462" s="11" t="b">
        <v>1</v>
      </c>
    </row>
    <row r="463">
      <c r="A463" s="11" t="s">
        <v>4493</v>
      </c>
      <c r="B463" s="11" t="s">
        <v>78</v>
      </c>
      <c r="C463" s="18">
        <v>45873.0</v>
      </c>
      <c r="D463" s="11" t="s">
        <v>2549</v>
      </c>
      <c r="E463" s="11" t="s">
        <v>4497</v>
      </c>
      <c r="G463" s="11" t="s">
        <v>4500</v>
      </c>
      <c r="H463" s="11" t="s">
        <v>4498</v>
      </c>
      <c r="I463" s="11" t="b">
        <v>1</v>
      </c>
      <c r="J463" s="11" t="s">
        <v>2932</v>
      </c>
      <c r="P463" s="11">
        <v>1608224.0</v>
      </c>
      <c r="Q463" s="11" t="b">
        <v>1</v>
      </c>
    </row>
    <row r="464">
      <c r="A464" s="11" t="s">
        <v>4504</v>
      </c>
      <c r="B464" s="11" t="s">
        <v>78</v>
      </c>
      <c r="C464" s="18">
        <v>45873.0</v>
      </c>
      <c r="D464" s="11" t="s">
        <v>2549</v>
      </c>
      <c r="E464" s="11" t="s">
        <v>4507</v>
      </c>
      <c r="G464" s="11" t="s">
        <v>4513</v>
      </c>
      <c r="H464" s="11" t="s">
        <v>4509</v>
      </c>
      <c r="I464" s="11" t="b">
        <v>1</v>
      </c>
      <c r="J464" s="11" t="s">
        <v>2932</v>
      </c>
      <c r="P464" s="11">
        <v>1608204.0</v>
      </c>
      <c r="Q464" s="11" t="b">
        <v>1</v>
      </c>
    </row>
    <row r="465">
      <c r="A465" s="11" t="s">
        <v>4517</v>
      </c>
      <c r="B465" s="11" t="s">
        <v>78</v>
      </c>
      <c r="C465" s="18">
        <v>45874.0</v>
      </c>
      <c r="D465" s="11" t="s">
        <v>4518</v>
      </c>
      <c r="E465" s="11" t="s">
        <v>4520</v>
      </c>
      <c r="G465" s="11" t="s">
        <v>4522</v>
      </c>
      <c r="H465" s="11" t="s">
        <v>4521</v>
      </c>
      <c r="I465" s="11" t="b">
        <v>1</v>
      </c>
      <c r="J465" s="11" t="s">
        <v>2932</v>
      </c>
      <c r="P465" s="11">
        <v>1609458.0</v>
      </c>
      <c r="Q465" s="11" t="b">
        <v>1</v>
      </c>
    </row>
    <row r="466">
      <c r="A466" s="11" t="s">
        <v>4526</v>
      </c>
      <c r="B466" s="11" t="s">
        <v>78</v>
      </c>
      <c r="C466" s="18">
        <v>45880.0</v>
      </c>
      <c r="D466" s="11" t="s">
        <v>2549</v>
      </c>
      <c r="E466" s="11" t="s">
        <v>4529</v>
      </c>
      <c r="G466" s="11" t="s">
        <v>4532</v>
      </c>
      <c r="H466" s="11" t="s">
        <v>4530</v>
      </c>
      <c r="I466" s="11" t="b">
        <v>1</v>
      </c>
      <c r="J466" s="11" t="s">
        <v>2932</v>
      </c>
      <c r="P466" s="11">
        <v>1619094.0</v>
      </c>
      <c r="Q466" s="11" t="b">
        <v>1</v>
      </c>
    </row>
    <row r="467">
      <c r="A467" s="11" t="s">
        <v>4534</v>
      </c>
      <c r="B467" s="11" t="s">
        <v>78</v>
      </c>
      <c r="C467" s="18">
        <v>45870.0</v>
      </c>
      <c r="D467" s="11" t="s">
        <v>992</v>
      </c>
      <c r="E467" s="11" t="s">
        <v>4537</v>
      </c>
      <c r="G467" s="11" t="s">
        <v>4539</v>
      </c>
      <c r="H467" s="11" t="s">
        <v>4538</v>
      </c>
      <c r="I467" s="11" t="b">
        <v>1</v>
      </c>
      <c r="J467" s="11" t="s">
        <v>2932</v>
      </c>
      <c r="P467" s="11">
        <v>1601873.0</v>
      </c>
      <c r="Q467" s="11" t="b">
        <v>1</v>
      </c>
    </row>
    <row r="468">
      <c r="A468" s="11" t="s">
        <v>4542</v>
      </c>
      <c r="B468" s="11" t="s">
        <v>78</v>
      </c>
      <c r="C468" s="18">
        <v>45877.0</v>
      </c>
      <c r="D468" s="11" t="s">
        <v>4544</v>
      </c>
      <c r="E468" s="11" t="s">
        <v>4545</v>
      </c>
      <c r="G468" s="11" t="s">
        <v>4547</v>
      </c>
      <c r="H468" s="11" t="s">
        <v>4546</v>
      </c>
      <c r="I468" s="11" t="b">
        <v>1</v>
      </c>
      <c r="J468" s="11" t="s">
        <v>2932</v>
      </c>
      <c r="P468" s="11">
        <v>1613657.0</v>
      </c>
      <c r="Q468" s="11" t="b">
        <v>1</v>
      </c>
    </row>
    <row r="469">
      <c r="A469" s="11" t="s">
        <v>4551</v>
      </c>
      <c r="B469" s="11" t="s">
        <v>78</v>
      </c>
      <c r="C469" s="18">
        <v>45882.0</v>
      </c>
      <c r="D469" s="11" t="s">
        <v>992</v>
      </c>
      <c r="E469" s="11" t="s">
        <v>4553</v>
      </c>
      <c r="G469" s="11" t="s">
        <v>4555</v>
      </c>
      <c r="H469" s="11" t="s">
        <v>3706</v>
      </c>
      <c r="I469" s="11" t="b">
        <v>1</v>
      </c>
      <c r="J469" s="11" t="s">
        <v>2932</v>
      </c>
      <c r="P469" s="11">
        <v>1621312.0</v>
      </c>
      <c r="Q469" s="11" t="b">
        <v>1</v>
      </c>
    </row>
    <row r="470">
      <c r="A470" s="11" t="s">
        <v>4558</v>
      </c>
      <c r="B470" s="11" t="s">
        <v>78</v>
      </c>
      <c r="C470" s="18">
        <v>45882.0</v>
      </c>
      <c r="D470" s="11" t="s">
        <v>817</v>
      </c>
      <c r="E470" s="11" t="s">
        <v>4559</v>
      </c>
      <c r="G470" s="11" t="s">
        <v>4562</v>
      </c>
      <c r="H470" s="11" t="s">
        <v>4561</v>
      </c>
      <c r="I470" s="11" t="b">
        <v>0</v>
      </c>
      <c r="J470" s="11" t="s">
        <v>2932</v>
      </c>
      <c r="Q470" s="11" t="b">
        <v>1</v>
      </c>
    </row>
    <row r="471">
      <c r="A471" s="11" t="s">
        <v>4564</v>
      </c>
      <c r="B471" s="11" t="s">
        <v>78</v>
      </c>
      <c r="C471" s="18">
        <v>45881.0</v>
      </c>
      <c r="D471" s="11" t="s">
        <v>237</v>
      </c>
      <c r="E471" s="11" t="s">
        <v>4567</v>
      </c>
      <c r="G471" s="11" t="s">
        <v>4569</v>
      </c>
      <c r="H471" s="11" t="s">
        <v>2510</v>
      </c>
      <c r="I471" s="11" t="b">
        <v>0</v>
      </c>
      <c r="J471" s="11" t="s">
        <v>2932</v>
      </c>
      <c r="L471" s="11" t="s">
        <v>4570</v>
      </c>
      <c r="M471" s="11" t="s">
        <v>4572</v>
      </c>
      <c r="Q471" s="11" t="b">
        <v>1</v>
      </c>
    </row>
    <row r="472">
      <c r="A472" s="11" t="s">
        <v>4574</v>
      </c>
      <c r="B472" s="11" t="s">
        <v>78</v>
      </c>
      <c r="C472" s="18">
        <v>45883.0</v>
      </c>
      <c r="D472" s="11" t="s">
        <v>4575</v>
      </c>
      <c r="E472" s="11" t="s">
        <v>4577</v>
      </c>
      <c r="G472" s="11" t="s">
        <v>4579</v>
      </c>
      <c r="H472" s="11" t="s">
        <v>4578</v>
      </c>
      <c r="I472" s="11" t="b">
        <v>1</v>
      </c>
      <c r="J472" s="11" t="s">
        <v>2932</v>
      </c>
      <c r="P472" s="11">
        <v>1623079.0</v>
      </c>
      <c r="Q472" s="11" t="b">
        <v>1</v>
      </c>
    </row>
    <row r="473">
      <c r="A473" s="11" t="s">
        <v>4584</v>
      </c>
      <c r="B473" s="11" t="s">
        <v>78</v>
      </c>
      <c r="C473" s="18">
        <v>45877.0</v>
      </c>
      <c r="D473" s="11" t="s">
        <v>992</v>
      </c>
      <c r="E473" s="11" t="s">
        <v>4585</v>
      </c>
      <c r="G473" s="11" t="s">
        <v>4587</v>
      </c>
      <c r="H473" s="11" t="s">
        <v>3227</v>
      </c>
      <c r="I473" s="11" t="b">
        <v>1</v>
      </c>
      <c r="J473" s="11" t="s">
        <v>2932</v>
      </c>
      <c r="P473" s="11">
        <v>1613716.0</v>
      </c>
      <c r="Q473" s="11" t="b">
        <v>1</v>
      </c>
    </row>
    <row r="474">
      <c r="A474" s="11" t="s">
        <v>4591</v>
      </c>
      <c r="B474" s="11" t="s">
        <v>78</v>
      </c>
      <c r="C474" s="18">
        <v>45883.0</v>
      </c>
      <c r="D474" s="11" t="s">
        <v>116</v>
      </c>
      <c r="E474" s="11" t="s">
        <v>4594</v>
      </c>
      <c r="G474" s="11" t="s">
        <v>4596</v>
      </c>
      <c r="H474" s="11" t="s">
        <v>4595</v>
      </c>
      <c r="I474" s="11" t="b">
        <v>1</v>
      </c>
      <c r="J474" s="11" t="s">
        <v>2932</v>
      </c>
      <c r="P474" s="11">
        <v>1623074.0</v>
      </c>
      <c r="Q474" s="11" t="b">
        <v>1</v>
      </c>
    </row>
    <row r="475">
      <c r="A475" s="11" t="s">
        <v>4600</v>
      </c>
      <c r="B475" s="11" t="s">
        <v>78</v>
      </c>
      <c r="C475" s="18">
        <v>45884.0</v>
      </c>
      <c r="D475" s="11" t="s">
        <v>992</v>
      </c>
      <c r="E475" s="11" t="s">
        <v>4603</v>
      </c>
      <c r="G475" s="11" t="s">
        <v>4606</v>
      </c>
      <c r="H475" s="11" t="s">
        <v>3227</v>
      </c>
      <c r="I475" s="11" t="b">
        <v>1</v>
      </c>
      <c r="J475" s="11" t="s">
        <v>2932</v>
      </c>
      <c r="P475" s="11">
        <v>1624253.0</v>
      </c>
      <c r="Q475" s="11" t="b">
        <v>1</v>
      </c>
    </row>
    <row r="476">
      <c r="A476" s="11" t="s">
        <v>4610</v>
      </c>
      <c r="B476" s="11" t="s">
        <v>78</v>
      </c>
      <c r="C476" s="18">
        <v>45884.0</v>
      </c>
      <c r="D476" s="11" t="s">
        <v>513</v>
      </c>
      <c r="E476" s="11" t="s">
        <v>4612</v>
      </c>
      <c r="G476" s="11" t="s">
        <v>4615</v>
      </c>
      <c r="H476" s="11" t="s">
        <v>3250</v>
      </c>
      <c r="I476" s="11" t="b">
        <v>1</v>
      </c>
      <c r="J476" s="11" t="s">
        <v>2932</v>
      </c>
      <c r="P476" s="11">
        <v>1624227.0</v>
      </c>
      <c r="Q476" s="11" t="b">
        <v>1</v>
      </c>
    </row>
    <row r="477">
      <c r="A477" s="11" t="s">
        <v>4618</v>
      </c>
      <c r="B477" s="11" t="s">
        <v>78</v>
      </c>
      <c r="C477" s="18">
        <v>45884.0</v>
      </c>
      <c r="D477" s="11" t="s">
        <v>3117</v>
      </c>
      <c r="E477" s="11" t="s">
        <v>4621</v>
      </c>
      <c r="G477" s="11" t="s">
        <v>4624</v>
      </c>
      <c r="H477" s="11" t="s">
        <v>531</v>
      </c>
      <c r="I477" s="11" t="b">
        <v>1</v>
      </c>
      <c r="J477" s="11" t="s">
        <v>2932</v>
      </c>
      <c r="P477" s="11">
        <v>1624239.0</v>
      </c>
      <c r="Q477" s="11" t="b">
        <v>1</v>
      </c>
    </row>
    <row r="478">
      <c r="A478" s="11" t="s">
        <v>4627</v>
      </c>
      <c r="B478" s="11" t="s">
        <v>78</v>
      </c>
      <c r="C478" s="18">
        <v>45881.0</v>
      </c>
      <c r="D478" s="11" t="s">
        <v>237</v>
      </c>
      <c r="E478" s="11" t="s">
        <v>4628</v>
      </c>
      <c r="G478" s="11" t="s">
        <v>4630</v>
      </c>
      <c r="H478" s="11" t="s">
        <v>2291</v>
      </c>
      <c r="I478" s="11" t="b">
        <v>0</v>
      </c>
      <c r="J478" s="11" t="s">
        <v>2932</v>
      </c>
      <c r="L478" s="11" t="s">
        <v>4632</v>
      </c>
      <c r="Q478" s="11" t="b">
        <v>1</v>
      </c>
    </row>
    <row r="479">
      <c r="A479" s="11" t="s">
        <v>4633</v>
      </c>
      <c r="B479" s="11" t="s">
        <v>78</v>
      </c>
      <c r="C479" s="18">
        <v>45887.0</v>
      </c>
      <c r="D479" s="11" t="s">
        <v>992</v>
      </c>
      <c r="E479" s="11" t="s">
        <v>4641</v>
      </c>
      <c r="G479" s="11" t="s">
        <v>4644</v>
      </c>
      <c r="H479" s="11" t="s">
        <v>4642</v>
      </c>
      <c r="I479" s="11" t="b">
        <v>1</v>
      </c>
      <c r="J479" s="11" t="s">
        <v>2932</v>
      </c>
      <c r="P479" s="11">
        <v>1630924.0</v>
      </c>
      <c r="Q479" s="11" t="b">
        <v>1</v>
      </c>
    </row>
    <row r="480">
      <c r="A480" s="11" t="s">
        <v>4646</v>
      </c>
      <c r="B480" s="11" t="s">
        <v>78</v>
      </c>
      <c r="C480" s="18">
        <v>45889.0</v>
      </c>
      <c r="D480" s="11" t="s">
        <v>992</v>
      </c>
      <c r="E480" s="11" t="s">
        <v>4648</v>
      </c>
      <c r="G480" s="11" t="s">
        <v>4651</v>
      </c>
      <c r="H480" s="11" t="s">
        <v>4649</v>
      </c>
      <c r="I480" s="11" t="b">
        <v>1</v>
      </c>
      <c r="J480" s="11" t="s">
        <v>2932</v>
      </c>
      <c r="P480" s="11">
        <v>1634370.0</v>
      </c>
      <c r="Q480" s="11" t="b">
        <v>1</v>
      </c>
    </row>
    <row r="481">
      <c r="A481" s="11" t="s">
        <v>4654</v>
      </c>
      <c r="B481" s="11" t="s">
        <v>78</v>
      </c>
      <c r="C481" s="18">
        <v>45891.0</v>
      </c>
      <c r="D481" s="11" t="s">
        <v>4656</v>
      </c>
      <c r="E481" s="11" t="s">
        <v>4658</v>
      </c>
      <c r="G481" s="11" t="s">
        <v>4661</v>
      </c>
      <c r="H481" s="11" t="s">
        <v>4660</v>
      </c>
      <c r="I481" s="11" t="b">
        <v>1</v>
      </c>
      <c r="J481" s="11" t="s">
        <v>2932</v>
      </c>
      <c r="P481" s="11">
        <v>1637437.0</v>
      </c>
      <c r="Q481" s="11" t="b">
        <v>1</v>
      </c>
    </row>
    <row r="482">
      <c r="A482" s="11" t="s">
        <v>4664</v>
      </c>
      <c r="B482" s="11" t="s">
        <v>78</v>
      </c>
      <c r="C482" s="18">
        <v>45891.0</v>
      </c>
      <c r="D482" s="11" t="s">
        <v>992</v>
      </c>
      <c r="E482" s="11" t="s">
        <v>4667</v>
      </c>
      <c r="G482" s="11" t="s">
        <v>4669</v>
      </c>
      <c r="H482" s="11" t="s">
        <v>4668</v>
      </c>
      <c r="I482" s="11" t="b">
        <v>1</v>
      </c>
      <c r="J482" s="11" t="s">
        <v>2932</v>
      </c>
      <c r="P482" s="11">
        <v>1637442.0</v>
      </c>
      <c r="Q482" s="11" t="b">
        <v>1</v>
      </c>
    </row>
    <row r="483">
      <c r="A483" s="11" t="s">
        <v>4673</v>
      </c>
      <c r="B483" s="11" t="s">
        <v>78</v>
      </c>
      <c r="C483" s="18">
        <v>45894.0</v>
      </c>
      <c r="D483" s="11" t="s">
        <v>2549</v>
      </c>
      <c r="E483" s="11" t="s">
        <v>4675</v>
      </c>
      <c r="G483" s="11" t="s">
        <v>4678</v>
      </c>
      <c r="H483" s="11" t="s">
        <v>4677</v>
      </c>
      <c r="I483" s="11" t="b">
        <v>1</v>
      </c>
      <c r="J483" s="11" t="s">
        <v>2932</v>
      </c>
      <c r="P483" s="11">
        <v>1643709.0</v>
      </c>
      <c r="Q483" s="11" t="b">
        <v>1</v>
      </c>
    </row>
    <row r="484">
      <c r="A484" s="11" t="s">
        <v>4681</v>
      </c>
      <c r="B484" s="11" t="s">
        <v>78</v>
      </c>
      <c r="C484" s="18">
        <v>45894.0</v>
      </c>
      <c r="D484" s="11" t="s">
        <v>992</v>
      </c>
      <c r="E484" s="11" t="s">
        <v>4683</v>
      </c>
      <c r="G484" s="11" t="s">
        <v>4684</v>
      </c>
      <c r="H484" s="11" t="s">
        <v>4642</v>
      </c>
      <c r="I484" s="11" t="b">
        <v>1</v>
      </c>
      <c r="J484" s="11" t="s">
        <v>2932</v>
      </c>
      <c r="P484" s="11">
        <v>1643712.0</v>
      </c>
      <c r="Q484" s="11" t="b">
        <v>1</v>
      </c>
    </row>
    <row r="485">
      <c r="A485" s="11" t="s">
        <v>4687</v>
      </c>
      <c r="B485" s="11" t="s">
        <v>78</v>
      </c>
      <c r="C485" s="18">
        <v>45885.0</v>
      </c>
      <c r="D485" s="11" t="s">
        <v>85</v>
      </c>
      <c r="E485" s="11" t="s">
        <v>4689</v>
      </c>
      <c r="G485" s="11" t="s">
        <v>4691</v>
      </c>
      <c r="H485" s="11" t="s">
        <v>4209</v>
      </c>
      <c r="I485" s="11" t="b">
        <v>1</v>
      </c>
      <c r="J485" s="11" t="s">
        <v>2932</v>
      </c>
      <c r="P485" s="11">
        <v>1626813.0</v>
      </c>
      <c r="Q485" s="11" t="b">
        <v>1</v>
      </c>
    </row>
    <row r="486">
      <c r="A486" s="11" t="s">
        <v>4694</v>
      </c>
      <c r="B486" s="11" t="s">
        <v>78</v>
      </c>
      <c r="C486" s="18">
        <v>45891.0</v>
      </c>
      <c r="D486" s="11" t="s">
        <v>104</v>
      </c>
      <c r="E486" s="11" t="s">
        <v>4696</v>
      </c>
      <c r="G486" s="11" t="s">
        <v>4698</v>
      </c>
      <c r="H486" s="11" t="s">
        <v>4697</v>
      </c>
      <c r="I486" s="11" t="b">
        <v>1</v>
      </c>
      <c r="J486" s="11" t="s">
        <v>2932</v>
      </c>
      <c r="P486" s="11">
        <v>1637971.0</v>
      </c>
      <c r="Q486" s="11" t="b">
        <v>1</v>
      </c>
    </row>
    <row r="487">
      <c r="A487" s="11" t="s">
        <v>4701</v>
      </c>
      <c r="B487" s="11" t="s">
        <v>78</v>
      </c>
      <c r="C487" s="18">
        <v>45891.0</v>
      </c>
      <c r="D487" s="11" t="s">
        <v>85</v>
      </c>
      <c r="E487" s="11" t="s">
        <v>4703</v>
      </c>
      <c r="G487" s="11" t="s">
        <v>4705</v>
      </c>
      <c r="H487" s="11" t="s">
        <v>4209</v>
      </c>
      <c r="I487" s="11" t="b">
        <v>1</v>
      </c>
      <c r="J487" s="11" t="s">
        <v>2932</v>
      </c>
      <c r="P487" s="11">
        <v>1637868.0</v>
      </c>
      <c r="Q487" s="11" t="b">
        <v>1</v>
      </c>
    </row>
    <row r="488">
      <c r="A488" s="11" t="s">
        <v>4708</v>
      </c>
      <c r="B488" s="11" t="s">
        <v>78</v>
      </c>
      <c r="C488" s="18">
        <v>45887.0</v>
      </c>
      <c r="D488" s="11" t="s">
        <v>2549</v>
      </c>
      <c r="E488" s="11" t="s">
        <v>4709</v>
      </c>
      <c r="G488" s="11" t="s">
        <v>4713</v>
      </c>
      <c r="H488" s="11" t="s">
        <v>4710</v>
      </c>
      <c r="I488" s="11" t="b">
        <v>1</v>
      </c>
      <c r="J488" s="11" t="s">
        <v>2932</v>
      </c>
      <c r="P488" s="11">
        <v>1630941.0</v>
      </c>
      <c r="Q488" s="11" t="b">
        <v>1</v>
      </c>
    </row>
    <row r="489">
      <c r="A489" s="11" t="s">
        <v>4716</v>
      </c>
      <c r="B489" s="11" t="s">
        <v>78</v>
      </c>
      <c r="C489" s="18">
        <v>45887.0</v>
      </c>
      <c r="D489" s="11" t="s">
        <v>104</v>
      </c>
      <c r="E489" s="11" t="s">
        <v>4717</v>
      </c>
      <c r="G489" s="11" t="s">
        <v>4720</v>
      </c>
      <c r="H489" s="11" t="s">
        <v>4718</v>
      </c>
      <c r="I489" s="11" t="b">
        <v>1</v>
      </c>
      <c r="J489" s="11" t="s">
        <v>2932</v>
      </c>
      <c r="P489" s="11">
        <v>1630921.0</v>
      </c>
      <c r="Q489" s="11" t="b">
        <v>1</v>
      </c>
    </row>
    <row r="490">
      <c r="A490" s="11" t="s">
        <v>4723</v>
      </c>
      <c r="B490" s="11" t="s">
        <v>78</v>
      </c>
      <c r="C490" s="18">
        <v>45886.0</v>
      </c>
      <c r="D490" s="11" t="s">
        <v>85</v>
      </c>
      <c r="E490" s="11" t="s">
        <v>4726</v>
      </c>
      <c r="G490" s="11" t="s">
        <v>4728</v>
      </c>
      <c r="H490" s="11" t="s">
        <v>4727</v>
      </c>
      <c r="I490" s="11" t="b">
        <v>1</v>
      </c>
      <c r="J490" s="11" t="s">
        <v>2932</v>
      </c>
      <c r="P490" s="11">
        <v>1629460.0</v>
      </c>
      <c r="Q490" s="11" t="b">
        <v>1</v>
      </c>
    </row>
    <row r="491">
      <c r="A491" s="11" t="s">
        <v>4733</v>
      </c>
      <c r="B491" s="11" t="s">
        <v>78</v>
      </c>
      <c r="C491" s="18">
        <v>45889.0</v>
      </c>
      <c r="D491" s="11" t="s">
        <v>4915</v>
      </c>
      <c r="E491" s="11" t="s">
        <v>4736</v>
      </c>
      <c r="G491" s="11" t="s">
        <v>4745</v>
      </c>
      <c r="H491" s="11" t="s">
        <v>4738</v>
      </c>
      <c r="I491" s="11" t="b">
        <v>0</v>
      </c>
      <c r="J491" s="11" t="s">
        <v>2932</v>
      </c>
      <c r="L491" s="11" t="s">
        <v>4747</v>
      </c>
      <c r="Q491" s="11" t="b">
        <v>1</v>
      </c>
    </row>
    <row r="492">
      <c r="A492" s="11" t="s">
        <v>4749</v>
      </c>
      <c r="B492" s="11" t="s">
        <v>78</v>
      </c>
      <c r="C492" s="18">
        <v>45895.0</v>
      </c>
      <c r="D492" s="11" t="s">
        <v>237</v>
      </c>
      <c r="E492" s="11" t="s">
        <v>4750</v>
      </c>
      <c r="G492" s="11" t="s">
        <v>4753</v>
      </c>
      <c r="H492" s="11" t="s">
        <v>2291</v>
      </c>
      <c r="I492" s="11" t="b">
        <v>0</v>
      </c>
      <c r="J492" s="11" t="s">
        <v>2932</v>
      </c>
      <c r="L492" s="11" t="s">
        <v>4754</v>
      </c>
      <c r="Q492" s="11" t="b">
        <v>1</v>
      </c>
    </row>
    <row r="493">
      <c r="A493" s="11" t="s">
        <v>4756</v>
      </c>
      <c r="B493" s="11" t="s">
        <v>78</v>
      </c>
      <c r="C493" s="18">
        <v>45895.0</v>
      </c>
      <c r="D493" s="11" t="s">
        <v>237</v>
      </c>
      <c r="E493" s="11" t="s">
        <v>4750</v>
      </c>
      <c r="G493" s="11" t="s">
        <v>4759</v>
      </c>
      <c r="H493" s="11" t="s">
        <v>2291</v>
      </c>
      <c r="I493" s="11" t="b">
        <v>0</v>
      </c>
      <c r="J493" s="11" t="s">
        <v>2932</v>
      </c>
      <c r="L493" s="11" t="s">
        <v>4760</v>
      </c>
      <c r="Q493" s="11" t="b">
        <v>1</v>
      </c>
    </row>
    <row r="494">
      <c r="A494" s="11" t="s">
        <v>4762</v>
      </c>
      <c r="B494" s="11" t="s">
        <v>78</v>
      </c>
      <c r="C494" s="18">
        <v>45895.0</v>
      </c>
      <c r="D494" s="11" t="s">
        <v>4915</v>
      </c>
      <c r="E494" s="11" t="s">
        <v>4763</v>
      </c>
      <c r="G494" s="11" t="s">
        <v>4766</v>
      </c>
      <c r="H494" s="11" t="s">
        <v>4764</v>
      </c>
      <c r="I494" s="11" t="b">
        <v>0</v>
      </c>
      <c r="J494" s="11" t="s">
        <v>2932</v>
      </c>
      <c r="Q494" s="11" t="b">
        <v>1</v>
      </c>
    </row>
    <row r="495">
      <c r="A495" s="11" t="s">
        <v>4767</v>
      </c>
      <c r="B495" s="11" t="s">
        <v>78</v>
      </c>
      <c r="C495" s="18">
        <v>45897.0</v>
      </c>
      <c r="D495" s="11" t="s">
        <v>237</v>
      </c>
      <c r="E495" s="11" t="s">
        <v>4769</v>
      </c>
      <c r="G495" s="11" t="s">
        <v>4771</v>
      </c>
      <c r="H495" s="11" t="s">
        <v>2510</v>
      </c>
      <c r="I495" s="11" t="b">
        <v>0</v>
      </c>
      <c r="J495" s="11" t="s">
        <v>2932</v>
      </c>
      <c r="Q495" s="11" t="b">
        <v>1</v>
      </c>
    </row>
    <row r="496">
      <c r="A496" s="11" t="s">
        <v>4773</v>
      </c>
      <c r="B496" s="11" t="s">
        <v>78</v>
      </c>
      <c r="C496" s="18">
        <v>45901.0</v>
      </c>
      <c r="D496" s="11" t="s">
        <v>104</v>
      </c>
      <c r="E496" s="11" t="s">
        <v>4774</v>
      </c>
      <c r="G496" s="11" t="s">
        <v>4776</v>
      </c>
      <c r="H496" s="11" t="s">
        <v>380</v>
      </c>
      <c r="I496" s="11" t="b">
        <v>1</v>
      </c>
      <c r="J496" s="11" t="s">
        <v>2932</v>
      </c>
      <c r="P496" s="11">
        <v>1656214.0</v>
      </c>
      <c r="Q496" s="11" t="b">
        <v>1</v>
      </c>
    </row>
    <row r="497">
      <c r="A497" s="11" t="s">
        <v>4779</v>
      </c>
      <c r="B497" s="11" t="s">
        <v>78</v>
      </c>
      <c r="C497" s="18">
        <v>45907.0</v>
      </c>
      <c r="D497" s="11" t="s">
        <v>465</v>
      </c>
      <c r="E497" s="11" t="s">
        <v>4780</v>
      </c>
      <c r="G497" s="11" t="s">
        <v>4784</v>
      </c>
      <c r="H497" s="11" t="s">
        <v>4782</v>
      </c>
      <c r="I497" s="11" t="b">
        <v>1</v>
      </c>
      <c r="J497" s="11" t="s">
        <v>2932</v>
      </c>
      <c r="P497" s="11">
        <v>1667505.0</v>
      </c>
      <c r="Q497" s="11" t="b">
        <v>1</v>
      </c>
    </row>
    <row r="498">
      <c r="A498" s="11" t="s">
        <v>4787</v>
      </c>
      <c r="B498" s="11" t="s">
        <v>78</v>
      </c>
      <c r="C498" s="18">
        <v>45905.0</v>
      </c>
      <c r="D498" s="11" t="s">
        <v>104</v>
      </c>
      <c r="E498" s="11" t="s">
        <v>4788</v>
      </c>
      <c r="G498" s="11" t="s">
        <v>4791</v>
      </c>
      <c r="H498" s="11" t="s">
        <v>380</v>
      </c>
      <c r="I498" s="11" t="b">
        <v>1</v>
      </c>
      <c r="J498" s="11" t="s">
        <v>2932</v>
      </c>
      <c r="P498" s="11">
        <v>1663641.0</v>
      </c>
      <c r="Q498" s="11" t="b">
        <v>1</v>
      </c>
    </row>
    <row r="499">
      <c r="A499" s="11" t="s">
        <v>4793</v>
      </c>
      <c r="B499" s="11" t="s">
        <v>78</v>
      </c>
      <c r="C499" s="18">
        <v>45906.0</v>
      </c>
      <c r="D499" s="11" t="s">
        <v>465</v>
      </c>
      <c r="E499" s="11" t="s">
        <v>4796</v>
      </c>
      <c r="G499" s="11" t="s">
        <v>4798</v>
      </c>
      <c r="H499" s="11" t="s">
        <v>4797</v>
      </c>
      <c r="I499" s="11" t="b">
        <v>1</v>
      </c>
      <c r="J499" s="11" t="s">
        <v>2932</v>
      </c>
      <c r="P499" s="11">
        <v>1664936.0</v>
      </c>
      <c r="Q499" s="11" t="b">
        <v>1</v>
      </c>
    </row>
    <row r="500">
      <c r="A500" s="11" t="s">
        <v>4801</v>
      </c>
      <c r="B500" s="11" t="s">
        <v>78</v>
      </c>
      <c r="C500" s="18">
        <v>45899.0</v>
      </c>
      <c r="D500" s="11" t="s">
        <v>85</v>
      </c>
      <c r="E500" s="11" t="s">
        <v>4804</v>
      </c>
      <c r="G500" s="11" t="s">
        <v>4806</v>
      </c>
      <c r="H500" s="11" t="s">
        <v>2835</v>
      </c>
      <c r="I500" s="11" t="b">
        <v>1</v>
      </c>
      <c r="J500" s="11" t="s">
        <v>2932</v>
      </c>
      <c r="P500" s="11">
        <v>1650286.0</v>
      </c>
      <c r="Q500" s="11" t="b">
        <v>1</v>
      </c>
    </row>
    <row r="501">
      <c r="A501" s="11" t="s">
        <v>4809</v>
      </c>
      <c r="B501" s="11" t="s">
        <v>78</v>
      </c>
      <c r="C501" s="18">
        <v>45901.0</v>
      </c>
      <c r="D501" s="11" t="s">
        <v>1105</v>
      </c>
      <c r="E501" s="11" t="s">
        <v>4810</v>
      </c>
      <c r="G501" s="11" t="s">
        <v>4813</v>
      </c>
      <c r="H501" s="11" t="s">
        <v>4812</v>
      </c>
      <c r="I501" s="11" t="b">
        <v>1</v>
      </c>
      <c r="J501" s="11" t="s">
        <v>2932</v>
      </c>
      <c r="L501" s="11" t="s">
        <v>4816</v>
      </c>
      <c r="P501" s="11">
        <v>1662433.0</v>
      </c>
      <c r="Q501" s="11" t="b">
        <v>1</v>
      </c>
    </row>
    <row r="502">
      <c r="A502" s="11" t="s">
        <v>4818</v>
      </c>
      <c r="B502" s="11" t="s">
        <v>78</v>
      </c>
      <c r="C502" s="18">
        <v>45910.0</v>
      </c>
      <c r="D502" s="11" t="s">
        <v>4819</v>
      </c>
      <c r="E502" s="11" t="s">
        <v>4821</v>
      </c>
      <c r="G502" s="11" t="s">
        <v>4824</v>
      </c>
      <c r="H502" s="11" t="s">
        <v>4823</v>
      </c>
      <c r="I502" s="11" t="b">
        <v>1</v>
      </c>
      <c r="J502" s="11" t="s">
        <v>2932</v>
      </c>
      <c r="P502" s="11">
        <v>1672846.0</v>
      </c>
      <c r="Q502" s="11" t="b">
        <v>1</v>
      </c>
    </row>
    <row r="503">
      <c r="A503" s="11" t="s">
        <v>4826</v>
      </c>
      <c r="B503" s="11" t="s">
        <v>78</v>
      </c>
      <c r="C503" s="18">
        <v>45909.0</v>
      </c>
      <c r="D503" s="11" t="s">
        <v>739</v>
      </c>
      <c r="E503" s="11" t="s">
        <v>4829</v>
      </c>
      <c r="G503" s="11" t="s">
        <v>4831</v>
      </c>
      <c r="H503" s="11" t="s">
        <v>4011</v>
      </c>
      <c r="I503" s="11" t="b">
        <v>1</v>
      </c>
      <c r="J503" s="11" t="s">
        <v>2932</v>
      </c>
      <c r="P503" s="11">
        <v>1670804.0</v>
      </c>
      <c r="Q503" s="11" t="b">
        <v>1</v>
      </c>
    </row>
    <row r="504">
      <c r="A504" s="11" t="s">
        <v>4833</v>
      </c>
      <c r="B504" s="11" t="s">
        <v>78</v>
      </c>
      <c r="C504" s="18">
        <v>45901.0</v>
      </c>
      <c r="D504" s="11" t="s">
        <v>992</v>
      </c>
      <c r="E504" s="11" t="s">
        <v>4835</v>
      </c>
      <c r="G504" s="11" t="s">
        <v>4836</v>
      </c>
      <c r="H504" s="11" t="s">
        <v>3235</v>
      </c>
      <c r="I504" s="11" t="b">
        <v>1</v>
      </c>
      <c r="J504" s="11" t="s">
        <v>2932</v>
      </c>
      <c r="P504" s="11">
        <v>1656187.0</v>
      </c>
      <c r="Q504" s="11" t="b">
        <v>1</v>
      </c>
    </row>
    <row r="505">
      <c r="A505" s="11" t="s">
        <v>4840</v>
      </c>
      <c r="B505" s="11" t="s">
        <v>78</v>
      </c>
      <c r="C505" s="18">
        <v>45901.0</v>
      </c>
      <c r="D505" s="11" t="s">
        <v>2549</v>
      </c>
      <c r="E505" s="11" t="s">
        <v>4841</v>
      </c>
      <c r="G505" s="11" t="s">
        <v>4843</v>
      </c>
      <c r="H505" s="11" t="s">
        <v>4842</v>
      </c>
      <c r="I505" s="11" t="b">
        <v>1</v>
      </c>
      <c r="J505" s="11" t="s">
        <v>2932</v>
      </c>
      <c r="P505" s="11">
        <v>1656207.0</v>
      </c>
      <c r="Q505" s="11" t="b">
        <v>1</v>
      </c>
    </row>
    <row r="506">
      <c r="A506" s="11" t="s">
        <v>4846</v>
      </c>
      <c r="B506" s="11" t="s">
        <v>78</v>
      </c>
      <c r="C506" s="18">
        <v>45905.0</v>
      </c>
      <c r="D506" s="11" t="s">
        <v>992</v>
      </c>
      <c r="E506" s="11" t="s">
        <v>4847</v>
      </c>
      <c r="G506" s="11" t="s">
        <v>4850</v>
      </c>
      <c r="H506" s="11" t="s">
        <v>3235</v>
      </c>
      <c r="I506" s="11" t="b">
        <v>1</v>
      </c>
      <c r="J506" s="11" t="s">
        <v>2932</v>
      </c>
      <c r="P506" s="11">
        <v>1662422.0</v>
      </c>
      <c r="Q506" s="11" t="b">
        <v>1</v>
      </c>
    </row>
    <row r="507">
      <c r="A507" s="11" t="s">
        <v>4853</v>
      </c>
      <c r="B507" s="11" t="s">
        <v>78</v>
      </c>
      <c r="C507" s="18">
        <v>45905.0</v>
      </c>
      <c r="D507" s="11" t="s">
        <v>4854</v>
      </c>
      <c r="E507" s="11" t="s">
        <v>4855</v>
      </c>
      <c r="G507" s="11" t="s">
        <v>4858</v>
      </c>
      <c r="H507" s="11" t="s">
        <v>4857</v>
      </c>
      <c r="I507" s="11" t="b">
        <v>1</v>
      </c>
      <c r="J507" s="11" t="s">
        <v>2932</v>
      </c>
      <c r="P507" s="11">
        <v>1662632.0</v>
      </c>
      <c r="Q507" s="11" t="b">
        <v>1</v>
      </c>
    </row>
    <row r="508">
      <c r="A508" s="11" t="s">
        <v>4861</v>
      </c>
      <c r="B508" s="11" t="s">
        <v>78</v>
      </c>
      <c r="C508" s="18">
        <v>45908.0</v>
      </c>
      <c r="D508" s="11" t="s">
        <v>2549</v>
      </c>
      <c r="E508" s="11" t="s">
        <v>4862</v>
      </c>
      <c r="G508" s="11" t="s">
        <v>4866</v>
      </c>
      <c r="H508" s="11" t="s">
        <v>4863</v>
      </c>
      <c r="I508" s="11" t="b">
        <v>1</v>
      </c>
      <c r="J508" s="11" t="s">
        <v>2932</v>
      </c>
      <c r="P508" s="11">
        <v>1669254.0</v>
      </c>
      <c r="Q508" s="11" t="b">
        <v>1</v>
      </c>
    </row>
    <row r="509">
      <c r="A509" s="11" t="s">
        <v>4868</v>
      </c>
      <c r="B509" s="11" t="s">
        <v>78</v>
      </c>
      <c r="C509" s="18">
        <v>45905.0</v>
      </c>
      <c r="D509" s="11" t="s">
        <v>513</v>
      </c>
      <c r="E509" s="11" t="s">
        <v>4871</v>
      </c>
      <c r="G509" s="11" t="s">
        <v>4873</v>
      </c>
      <c r="H509" s="11" t="s">
        <v>3250</v>
      </c>
      <c r="I509" s="11" t="b">
        <v>1</v>
      </c>
      <c r="J509" s="11" t="s">
        <v>2932</v>
      </c>
      <c r="P509" s="11">
        <v>1662426.0</v>
      </c>
      <c r="Q509" s="11" t="b">
        <v>1</v>
      </c>
    </row>
    <row r="510">
      <c r="A510" s="11" t="s">
        <v>4876</v>
      </c>
      <c r="B510" s="11" t="s">
        <v>78</v>
      </c>
      <c r="C510" s="18">
        <v>45905.0</v>
      </c>
      <c r="D510" s="11" t="s">
        <v>168</v>
      </c>
      <c r="E510" s="11" t="s">
        <v>4879</v>
      </c>
      <c r="G510" s="11" t="s">
        <v>4881</v>
      </c>
      <c r="H510" s="11" t="s">
        <v>4880</v>
      </c>
      <c r="I510" s="11" t="b">
        <v>1</v>
      </c>
      <c r="J510" s="11" t="s">
        <v>2932</v>
      </c>
      <c r="P510" s="11">
        <v>1662885.0</v>
      </c>
      <c r="Q510" s="11" t="b">
        <v>1</v>
      </c>
    </row>
    <row r="511">
      <c r="A511" s="11" t="s">
        <v>4885</v>
      </c>
      <c r="B511" s="11" t="s">
        <v>78</v>
      </c>
      <c r="C511" s="18">
        <v>45909.0</v>
      </c>
      <c r="D511" s="11" t="s">
        <v>237</v>
      </c>
      <c r="E511" s="11" t="s">
        <v>4887</v>
      </c>
      <c r="G511" s="11" t="s">
        <v>4888</v>
      </c>
      <c r="H511" s="11" t="s">
        <v>2510</v>
      </c>
      <c r="I511" s="11" t="b">
        <v>0</v>
      </c>
      <c r="J511" s="11" t="s">
        <v>2932</v>
      </c>
      <c r="Q511" s="11" t="b">
        <v>1</v>
      </c>
    </row>
    <row r="512">
      <c r="A512" s="11" t="s">
        <v>4890</v>
      </c>
      <c r="B512" s="11" t="s">
        <v>78</v>
      </c>
      <c r="C512" s="18">
        <v>45912.0</v>
      </c>
      <c r="D512" s="11" t="s">
        <v>992</v>
      </c>
      <c r="E512" s="11" t="s">
        <v>4891</v>
      </c>
      <c r="G512" s="11" t="s">
        <v>4894</v>
      </c>
      <c r="H512" s="11" t="s">
        <v>3235</v>
      </c>
      <c r="I512" s="11" t="b">
        <v>1</v>
      </c>
      <c r="J512" s="11" t="s">
        <v>2932</v>
      </c>
      <c r="P512" s="11">
        <v>1676530.0</v>
      </c>
      <c r="Q512" s="11" t="b">
        <v>1</v>
      </c>
    </row>
    <row r="513">
      <c r="A513" s="11" t="s">
        <v>4897</v>
      </c>
      <c r="B513" s="11" t="s">
        <v>78</v>
      </c>
      <c r="C513" s="18">
        <v>45915.0</v>
      </c>
      <c r="D513" s="11" t="s">
        <v>992</v>
      </c>
      <c r="E513" s="11" t="s">
        <v>4900</v>
      </c>
      <c r="G513" s="11" t="s">
        <v>4902</v>
      </c>
      <c r="H513" s="11" t="s">
        <v>3235</v>
      </c>
      <c r="I513" s="11" t="b">
        <v>1</v>
      </c>
      <c r="J513" s="11" t="s">
        <v>2932</v>
      </c>
      <c r="P513" s="11">
        <v>1683172.0</v>
      </c>
      <c r="Q513" s="11" t="b">
        <v>1</v>
      </c>
    </row>
    <row r="514">
      <c r="A514" s="11" t="s">
        <v>4904</v>
      </c>
      <c r="B514" s="11" t="s">
        <v>78</v>
      </c>
      <c r="C514" s="18">
        <v>45915.0</v>
      </c>
      <c r="D514" s="11" t="s">
        <v>2549</v>
      </c>
      <c r="E514" s="11" t="s">
        <v>4907</v>
      </c>
      <c r="G514" s="11" t="s">
        <v>4910</v>
      </c>
      <c r="H514" s="11" t="s">
        <v>4908</v>
      </c>
      <c r="I514" s="11" t="b">
        <v>1</v>
      </c>
      <c r="J514" s="11" t="s">
        <v>2932</v>
      </c>
      <c r="P514" s="11">
        <v>1683698.0</v>
      </c>
      <c r="Q514" s="11" t="b">
        <v>1</v>
      </c>
    </row>
    <row r="515">
      <c r="A515" s="11" t="s">
        <v>4913</v>
      </c>
      <c r="B515" s="11" t="s">
        <v>78</v>
      </c>
      <c r="C515" s="18">
        <v>45915.0</v>
      </c>
      <c r="D515" s="11" t="s">
        <v>4915</v>
      </c>
      <c r="E515" s="11" t="s">
        <v>4916</v>
      </c>
      <c r="G515" s="11" t="s">
        <v>4919</v>
      </c>
      <c r="H515" s="11" t="s">
        <v>4917</v>
      </c>
      <c r="I515" s="11" t="b">
        <v>0</v>
      </c>
      <c r="J515" s="11" t="s">
        <v>2932</v>
      </c>
      <c r="L515" s="11" t="s">
        <v>4920</v>
      </c>
      <c r="Q515" s="11" t="b">
        <v>1</v>
      </c>
    </row>
    <row r="516">
      <c r="A516" s="11" t="s">
        <v>4921</v>
      </c>
      <c r="B516" s="11" t="s">
        <v>78</v>
      </c>
      <c r="C516" s="18">
        <v>45912.0</v>
      </c>
      <c r="D516" s="11" t="s">
        <v>817</v>
      </c>
      <c r="E516" s="11" t="s">
        <v>4923</v>
      </c>
      <c r="G516" s="11" t="s">
        <v>4925</v>
      </c>
      <c r="H516" s="11" t="s">
        <v>2244</v>
      </c>
      <c r="I516" s="11" t="b">
        <v>0</v>
      </c>
      <c r="J516" s="11" t="s">
        <v>2932</v>
      </c>
      <c r="Q516" s="11" t="b">
        <v>1</v>
      </c>
    </row>
    <row r="517">
      <c r="A517" s="11" t="s">
        <v>4928</v>
      </c>
      <c r="B517" s="11" t="s">
        <v>78</v>
      </c>
      <c r="C517" s="18">
        <v>45909.0</v>
      </c>
      <c r="D517" s="11" t="s">
        <v>237</v>
      </c>
      <c r="E517" s="11" t="s">
        <v>4929</v>
      </c>
      <c r="G517" s="11" t="s">
        <v>4931</v>
      </c>
      <c r="H517" s="11" t="s">
        <v>2277</v>
      </c>
      <c r="I517" s="11" t="b">
        <v>0</v>
      </c>
      <c r="J517" s="11" t="s">
        <v>2932</v>
      </c>
      <c r="L517" s="11" t="s">
        <v>4934</v>
      </c>
      <c r="Q517" s="11" t="b">
        <v>1</v>
      </c>
    </row>
    <row r="518">
      <c r="A518" s="11">
        <v>7.8795677E7</v>
      </c>
      <c r="B518" s="11" t="s">
        <v>78</v>
      </c>
      <c r="C518" s="18">
        <v>45919.0</v>
      </c>
      <c r="D518" s="11" t="s">
        <v>4935</v>
      </c>
      <c r="E518" s="11" t="s">
        <v>4937</v>
      </c>
      <c r="G518" s="11" t="s">
        <v>4940</v>
      </c>
      <c r="H518" s="11" t="s">
        <v>4939</v>
      </c>
      <c r="I518" s="11" t="b">
        <v>1</v>
      </c>
      <c r="J518" s="11" t="s">
        <v>2932</v>
      </c>
      <c r="P518" s="11">
        <v>1688712.0</v>
      </c>
      <c r="Q518" s="11" t="b">
        <v>1</v>
      </c>
    </row>
    <row r="519">
      <c r="A519" s="11" t="s">
        <v>4944</v>
      </c>
      <c r="B519" s="11" t="s">
        <v>78</v>
      </c>
      <c r="C519" s="18">
        <v>45912.0</v>
      </c>
      <c r="D519" s="11" t="s">
        <v>85</v>
      </c>
      <c r="E519" s="11" t="s">
        <v>4947</v>
      </c>
      <c r="G519" s="11" t="s">
        <v>4950</v>
      </c>
      <c r="H519" s="11" t="s">
        <v>4948</v>
      </c>
      <c r="I519" s="11" t="b">
        <v>1</v>
      </c>
      <c r="J519" s="11" t="s">
        <v>2932</v>
      </c>
      <c r="P519" s="11">
        <v>1676526.0</v>
      </c>
      <c r="Q519" s="11" t="b">
        <v>1</v>
      </c>
    </row>
    <row r="520">
      <c r="A520" s="11" t="s">
        <v>4953</v>
      </c>
      <c r="B520" s="11" t="s">
        <v>78</v>
      </c>
      <c r="C520" s="18">
        <v>45925.0</v>
      </c>
      <c r="D520" s="11" t="s">
        <v>104</v>
      </c>
      <c r="E520" s="11" t="s">
        <v>4954</v>
      </c>
      <c r="G520" s="11" t="s">
        <v>4958</v>
      </c>
      <c r="H520" s="11" t="s">
        <v>4956</v>
      </c>
      <c r="I520" s="11" t="b">
        <v>1</v>
      </c>
      <c r="J520" s="11" t="s">
        <v>2932</v>
      </c>
      <c r="P520" s="11">
        <v>1702297.0</v>
      </c>
      <c r="Q520" s="11" t="b">
        <v>1</v>
      </c>
    </row>
    <row r="521">
      <c r="A521" s="11" t="s">
        <v>4962</v>
      </c>
      <c r="B521" s="11" t="s">
        <v>78</v>
      </c>
      <c r="C521" s="18">
        <v>45915.0</v>
      </c>
      <c r="D521" s="11" t="s">
        <v>104</v>
      </c>
      <c r="E521" s="11" t="s">
        <v>4963</v>
      </c>
      <c r="G521" s="11" t="s">
        <v>4967</v>
      </c>
      <c r="H521" s="11" t="s">
        <v>4965</v>
      </c>
      <c r="I521" s="11" t="b">
        <v>1</v>
      </c>
      <c r="J521" s="11" t="s">
        <v>2932</v>
      </c>
      <c r="P521" s="11">
        <v>1683176.0</v>
      </c>
      <c r="Q521" s="11" t="b">
        <v>1</v>
      </c>
    </row>
    <row r="522">
      <c r="A522" s="11" t="s">
        <v>4971</v>
      </c>
      <c r="B522" s="11" t="s">
        <v>78</v>
      </c>
      <c r="C522" s="18">
        <v>45912.0</v>
      </c>
      <c r="D522" s="11" t="s">
        <v>1094</v>
      </c>
      <c r="E522" s="11" t="s">
        <v>4972</v>
      </c>
      <c r="G522" s="11" t="s">
        <v>4975</v>
      </c>
      <c r="H522" s="11" t="s">
        <v>4973</v>
      </c>
      <c r="I522" s="11" t="b">
        <v>1</v>
      </c>
      <c r="J522" s="11" t="s">
        <v>2932</v>
      </c>
      <c r="P522" s="11">
        <v>1676522.0</v>
      </c>
      <c r="Q522" s="11" t="b">
        <v>1</v>
      </c>
    </row>
    <row r="523">
      <c r="A523" s="11" t="s">
        <v>4978</v>
      </c>
      <c r="B523" s="11" t="s">
        <v>78</v>
      </c>
      <c r="C523" s="18">
        <v>45911.0</v>
      </c>
      <c r="D523" s="11" t="s">
        <v>104</v>
      </c>
      <c r="E523" s="11" t="s">
        <v>4980</v>
      </c>
      <c r="G523" s="11" t="s">
        <v>4982</v>
      </c>
      <c r="H523" s="11" t="s">
        <v>4981</v>
      </c>
      <c r="I523" s="11" t="b">
        <v>1</v>
      </c>
      <c r="J523" s="11" t="s">
        <v>2932</v>
      </c>
      <c r="P523" s="11">
        <v>1674493.0</v>
      </c>
      <c r="Q523" s="11" t="b">
        <v>1</v>
      </c>
    </row>
    <row r="524">
      <c r="A524" s="11" t="s">
        <v>4984</v>
      </c>
      <c r="B524" s="11" t="s">
        <v>78</v>
      </c>
      <c r="C524" s="18">
        <v>45920.0</v>
      </c>
      <c r="D524" s="11" t="s">
        <v>85</v>
      </c>
      <c r="E524" s="11" t="s">
        <v>4986</v>
      </c>
      <c r="G524" s="11" t="s">
        <v>4989</v>
      </c>
      <c r="H524" s="11" t="s">
        <v>4987</v>
      </c>
      <c r="I524" s="11" t="b">
        <v>1</v>
      </c>
      <c r="J524" s="11" t="s">
        <v>2932</v>
      </c>
      <c r="P524" s="11">
        <v>1693204.0</v>
      </c>
      <c r="Q524" s="11" t="b">
        <v>1</v>
      </c>
    </row>
    <row r="525">
      <c r="A525" s="11" t="s">
        <v>4991</v>
      </c>
      <c r="B525" s="11" t="s">
        <v>78</v>
      </c>
      <c r="C525" s="18">
        <v>45919.0</v>
      </c>
      <c r="D525" s="11" t="s">
        <v>104</v>
      </c>
      <c r="E525" s="11" t="s">
        <v>4994</v>
      </c>
      <c r="G525" s="11" t="s">
        <v>4996</v>
      </c>
      <c r="H525" s="11" t="s">
        <v>4727</v>
      </c>
      <c r="I525" s="11" t="b">
        <v>1</v>
      </c>
      <c r="J525" s="11" t="s">
        <v>2932</v>
      </c>
      <c r="P525" s="11">
        <v>1690906.0</v>
      </c>
      <c r="Q525" s="11" t="b">
        <v>1</v>
      </c>
    </row>
    <row r="526">
      <c r="A526" s="11" t="s">
        <v>4999</v>
      </c>
      <c r="B526" s="11" t="s">
        <v>78</v>
      </c>
      <c r="C526" s="18">
        <v>45924.0</v>
      </c>
      <c r="D526" s="11" t="s">
        <v>5002</v>
      </c>
      <c r="E526" s="11" t="s">
        <v>5003</v>
      </c>
      <c r="G526" s="11" t="s">
        <v>5006</v>
      </c>
      <c r="H526" s="11" t="s">
        <v>5004</v>
      </c>
      <c r="I526" s="11" t="b">
        <v>1</v>
      </c>
      <c r="J526" s="11" t="s">
        <v>2932</v>
      </c>
      <c r="P526" s="11">
        <v>1700658.0</v>
      </c>
      <c r="Q526" s="11" t="b">
        <v>1</v>
      </c>
    </row>
    <row r="527">
      <c r="A527" s="11" t="s">
        <v>5009</v>
      </c>
      <c r="B527" s="11" t="s">
        <v>78</v>
      </c>
      <c r="C527" s="18">
        <v>45926.0</v>
      </c>
      <c r="D527" s="11" t="s">
        <v>5002</v>
      </c>
      <c r="E527" s="11" t="s">
        <v>5010</v>
      </c>
      <c r="G527" s="11" t="s">
        <v>5013</v>
      </c>
      <c r="H527" s="11" t="s">
        <v>5011</v>
      </c>
      <c r="I527" s="11" t="b">
        <v>1</v>
      </c>
      <c r="J527" s="11" t="s">
        <v>2932</v>
      </c>
      <c r="P527" s="11">
        <v>1703260.0</v>
      </c>
      <c r="Q527" s="11" t="b">
        <v>1</v>
      </c>
    </row>
    <row r="528">
      <c r="A528" s="11" t="s">
        <v>5015</v>
      </c>
      <c r="B528" s="11" t="s">
        <v>78</v>
      </c>
      <c r="C528" s="18">
        <v>45925.0</v>
      </c>
      <c r="D528" s="11" t="s">
        <v>513</v>
      </c>
      <c r="E528" s="11" t="s">
        <v>5018</v>
      </c>
      <c r="G528" s="11" t="s">
        <v>5020</v>
      </c>
      <c r="H528" s="11" t="s">
        <v>5019</v>
      </c>
      <c r="I528" s="11" t="b">
        <v>1</v>
      </c>
      <c r="J528" s="11" t="s">
        <v>2932</v>
      </c>
      <c r="P528" s="11">
        <v>1703225.0</v>
      </c>
      <c r="Q528" s="11" t="b">
        <v>1</v>
      </c>
    </row>
    <row r="529">
      <c r="A529" s="11" t="s">
        <v>5023</v>
      </c>
      <c r="B529" s="11" t="s">
        <v>78</v>
      </c>
      <c r="C529" s="18">
        <v>45925.0</v>
      </c>
      <c r="D529" s="11" t="s">
        <v>3117</v>
      </c>
      <c r="E529" s="11" t="s">
        <v>5025</v>
      </c>
      <c r="G529" s="11" t="s">
        <v>5027</v>
      </c>
      <c r="H529" s="11" t="s">
        <v>5026</v>
      </c>
      <c r="I529" s="11" t="b">
        <v>1</v>
      </c>
      <c r="J529" s="11" t="s">
        <v>2932</v>
      </c>
      <c r="P529" s="11">
        <v>1703081.0</v>
      </c>
      <c r="Q529" s="11" t="b">
        <v>1</v>
      </c>
    </row>
    <row r="530">
      <c r="A530" s="11" t="s">
        <v>5030</v>
      </c>
      <c r="B530" s="11" t="s">
        <v>78</v>
      </c>
      <c r="C530" s="18">
        <v>45923.0</v>
      </c>
      <c r="D530" s="11" t="s">
        <v>237</v>
      </c>
      <c r="E530" s="11" t="s">
        <v>5032</v>
      </c>
      <c r="G530" s="11" t="s">
        <v>5034</v>
      </c>
      <c r="H530" s="11" t="s">
        <v>5033</v>
      </c>
      <c r="I530" s="11" t="b">
        <v>0</v>
      </c>
      <c r="J530" s="11" t="s">
        <v>2932</v>
      </c>
      <c r="Q530" s="11" t="b">
        <v>1</v>
      </c>
    </row>
    <row r="531">
      <c r="A531" s="11" t="s">
        <v>5036</v>
      </c>
      <c r="B531" s="11" t="s">
        <v>78</v>
      </c>
      <c r="C531" s="18">
        <v>45923.0</v>
      </c>
      <c r="D531" s="11" t="s">
        <v>237</v>
      </c>
      <c r="E531" s="11" t="s">
        <v>5038</v>
      </c>
      <c r="G531" s="11" t="s">
        <v>5039</v>
      </c>
      <c r="H531" s="11" t="s">
        <v>2291</v>
      </c>
      <c r="I531" s="11" t="b">
        <v>0</v>
      </c>
      <c r="J531" s="11" t="s">
        <v>2932</v>
      </c>
      <c r="L531" s="11" t="s">
        <v>5041</v>
      </c>
      <c r="M531" s="11" t="s">
        <v>5043</v>
      </c>
      <c r="Q531" s="11" t="b">
        <v>1</v>
      </c>
    </row>
    <row r="532">
      <c r="A532" s="11" t="s">
        <v>5045</v>
      </c>
      <c r="B532" s="11" t="s">
        <v>78</v>
      </c>
      <c r="C532" s="18">
        <v>45924.0</v>
      </c>
      <c r="D532" s="11" t="s">
        <v>237</v>
      </c>
      <c r="E532" s="11" t="s">
        <v>5046</v>
      </c>
      <c r="G532" s="11" t="s">
        <v>5049</v>
      </c>
      <c r="H532" s="11" t="s">
        <v>2510</v>
      </c>
      <c r="I532" s="11" t="b">
        <v>0</v>
      </c>
      <c r="J532" s="11" t="s">
        <v>2932</v>
      </c>
      <c r="L532" s="11" t="s">
        <v>5050</v>
      </c>
      <c r="M532" s="11" t="s">
        <v>5052</v>
      </c>
      <c r="Q532" s="11" t="b">
        <v>1</v>
      </c>
    </row>
    <row r="533">
      <c r="A533" s="11" t="s">
        <v>5053</v>
      </c>
      <c r="B533" s="11" t="s">
        <v>78</v>
      </c>
      <c r="C533" s="18">
        <v>45918.0</v>
      </c>
      <c r="D533" s="11" t="s">
        <v>739</v>
      </c>
      <c r="E533" s="11" t="s">
        <v>5054</v>
      </c>
      <c r="G533" s="11" t="s">
        <v>5058</v>
      </c>
      <c r="H533" s="11" t="s">
        <v>5057</v>
      </c>
      <c r="I533" s="11" t="b">
        <v>1</v>
      </c>
      <c r="J533" s="11" t="s">
        <v>2932</v>
      </c>
      <c r="P533" s="11">
        <v>1688745.0</v>
      </c>
      <c r="Q533" s="11" t="b">
        <v>1</v>
      </c>
    </row>
    <row r="534">
      <c r="A534" s="11" t="s">
        <v>5061</v>
      </c>
      <c r="B534" s="11" t="s">
        <v>78</v>
      </c>
      <c r="C534" s="18">
        <v>45918.0</v>
      </c>
      <c r="D534" s="11" t="s">
        <v>739</v>
      </c>
      <c r="E534" s="11" t="s">
        <v>5063</v>
      </c>
      <c r="G534" s="11" t="s">
        <v>5065</v>
      </c>
      <c r="H534" s="11" t="s">
        <v>5064</v>
      </c>
      <c r="I534" s="11" t="b">
        <v>1</v>
      </c>
      <c r="J534" s="11" t="s">
        <v>2932</v>
      </c>
      <c r="P534" s="11">
        <v>1688765.0</v>
      </c>
      <c r="Q534" s="11" t="b">
        <v>1</v>
      </c>
    </row>
    <row r="535">
      <c r="A535" s="11" t="s">
        <v>5068</v>
      </c>
      <c r="B535" s="11" t="s">
        <v>78</v>
      </c>
      <c r="C535" s="18">
        <v>45919.0</v>
      </c>
      <c r="D535" s="11" t="s">
        <v>992</v>
      </c>
      <c r="E535" s="11" t="s">
        <v>5071</v>
      </c>
      <c r="G535" s="11" t="s">
        <v>5074</v>
      </c>
      <c r="H535" s="11" t="s">
        <v>4668</v>
      </c>
      <c r="I535" s="11" t="b">
        <v>1</v>
      </c>
      <c r="J535" s="11" t="s">
        <v>2932</v>
      </c>
      <c r="P535" s="11">
        <v>1690603.0</v>
      </c>
      <c r="Q535" s="11" t="b">
        <v>1</v>
      </c>
    </row>
    <row r="536">
      <c r="A536" s="11" t="s">
        <v>5078</v>
      </c>
      <c r="B536" s="11" t="s">
        <v>78</v>
      </c>
      <c r="C536" s="18">
        <v>45922.0</v>
      </c>
      <c r="D536" s="11" t="s">
        <v>2549</v>
      </c>
      <c r="E536" s="11" t="s">
        <v>5080</v>
      </c>
      <c r="G536" s="11" t="s">
        <v>5084</v>
      </c>
      <c r="H536" s="11" t="s">
        <v>5081</v>
      </c>
      <c r="I536" s="11" t="b">
        <v>1</v>
      </c>
      <c r="J536" s="11" t="s">
        <v>2932</v>
      </c>
      <c r="P536" s="11">
        <v>1697735.0</v>
      </c>
      <c r="Q536" s="11" t="b">
        <v>1</v>
      </c>
    </row>
    <row r="537">
      <c r="A537" s="11" t="s">
        <v>5086</v>
      </c>
      <c r="B537" s="11" t="s">
        <v>78</v>
      </c>
      <c r="C537" s="18">
        <v>45924.0</v>
      </c>
      <c r="D537" s="11" t="s">
        <v>992</v>
      </c>
      <c r="E537" s="11" t="s">
        <v>5087</v>
      </c>
      <c r="G537" s="11" t="s">
        <v>5088</v>
      </c>
      <c r="H537" s="11" t="s">
        <v>4668</v>
      </c>
      <c r="I537" s="11" t="b">
        <v>1</v>
      </c>
      <c r="J537" s="11" t="s">
        <v>2932</v>
      </c>
      <c r="P537" s="11">
        <v>1700608.0</v>
      </c>
      <c r="Q537" s="11" t="b">
        <v>1</v>
      </c>
    </row>
    <row r="538">
      <c r="A538" s="11" t="s">
        <v>5090</v>
      </c>
      <c r="B538" s="11" t="s">
        <v>78</v>
      </c>
      <c r="C538" s="18">
        <v>45926.0</v>
      </c>
      <c r="D538" s="11" t="s">
        <v>992</v>
      </c>
      <c r="E538" s="11" t="s">
        <v>5091</v>
      </c>
      <c r="G538" s="11" t="s">
        <v>5092</v>
      </c>
      <c r="H538" s="11" t="s">
        <v>4668</v>
      </c>
      <c r="I538" s="11" t="b">
        <v>1</v>
      </c>
      <c r="J538" s="11" t="s">
        <v>2932</v>
      </c>
      <c r="P538" s="11">
        <v>1703081.0</v>
      </c>
      <c r="Q538" s="11" t="b">
        <v>1</v>
      </c>
    </row>
    <row r="539">
      <c r="A539" s="11" t="s">
        <v>5094</v>
      </c>
      <c r="B539" s="11" t="s">
        <v>78</v>
      </c>
      <c r="C539" s="18">
        <v>45929.0</v>
      </c>
      <c r="D539" s="11" t="s">
        <v>2549</v>
      </c>
      <c r="E539" s="11" t="s">
        <v>5095</v>
      </c>
      <c r="G539" s="11" t="s">
        <v>5100</v>
      </c>
      <c r="H539" s="11" t="s">
        <v>5097</v>
      </c>
      <c r="I539" s="11" t="b">
        <v>1</v>
      </c>
      <c r="J539" s="11" t="s">
        <v>2932</v>
      </c>
      <c r="P539" s="11">
        <v>1710895.0</v>
      </c>
      <c r="Q539" s="11" t="b">
        <v>1</v>
      </c>
    </row>
    <row r="540">
      <c r="A540" s="11" t="s">
        <v>5103</v>
      </c>
      <c r="B540" s="11" t="s">
        <v>78</v>
      </c>
      <c r="C540" s="18">
        <v>45927.0</v>
      </c>
      <c r="D540" s="11" t="s">
        <v>85</v>
      </c>
      <c r="E540" s="11" t="s">
        <v>5104</v>
      </c>
      <c r="G540" s="11" t="s">
        <v>5107</v>
      </c>
      <c r="H540" s="11" t="s">
        <v>3193</v>
      </c>
      <c r="I540" s="11" t="b">
        <v>1</v>
      </c>
      <c r="J540" s="11" t="s">
        <v>2932</v>
      </c>
      <c r="P540" s="11">
        <v>1705553.0</v>
      </c>
      <c r="Q540" s="11" t="b">
        <v>1</v>
      </c>
    </row>
    <row r="541">
      <c r="A541" s="11" t="s">
        <v>5110</v>
      </c>
      <c r="B541" s="11" t="s">
        <v>78</v>
      </c>
      <c r="C541" s="18">
        <v>45930.0</v>
      </c>
      <c r="D541" s="11" t="s">
        <v>104</v>
      </c>
      <c r="E541" s="11" t="s">
        <v>5111</v>
      </c>
      <c r="G541" s="11" t="s">
        <v>5114</v>
      </c>
      <c r="H541" s="11" t="s">
        <v>380</v>
      </c>
      <c r="I541" s="11" t="b">
        <v>1</v>
      </c>
      <c r="J541" s="11" t="s">
        <v>2932</v>
      </c>
      <c r="P541" s="11">
        <v>1712317.0</v>
      </c>
      <c r="Q541" s="11" t="b">
        <v>1</v>
      </c>
    </row>
    <row r="542">
      <c r="A542" s="11" t="s">
        <v>5117</v>
      </c>
      <c r="B542" s="11" t="s">
        <v>78</v>
      </c>
      <c r="C542" s="18">
        <v>45937.0</v>
      </c>
      <c r="D542" s="11" t="s">
        <v>5118</v>
      </c>
      <c r="E542" s="11" t="s">
        <v>5119</v>
      </c>
      <c r="G542" s="11" t="s">
        <v>5123</v>
      </c>
      <c r="H542" s="11" t="s">
        <v>5121</v>
      </c>
      <c r="I542" s="11" t="b">
        <v>1</v>
      </c>
      <c r="J542" s="11" t="s">
        <v>2932</v>
      </c>
      <c r="P542" s="11">
        <v>1725995.0</v>
      </c>
      <c r="Q542" s="11" t="b">
        <v>1</v>
      </c>
    </row>
    <row r="543">
      <c r="A543" s="11" t="s">
        <v>5126</v>
      </c>
      <c r="B543" s="11" t="s">
        <v>78</v>
      </c>
      <c r="C543" s="18">
        <v>45935.0</v>
      </c>
      <c r="D543" s="11" t="s">
        <v>274</v>
      </c>
      <c r="E543" s="11" t="s">
        <v>5128</v>
      </c>
      <c r="G543" s="11" t="s">
        <v>5131</v>
      </c>
      <c r="H543" s="11" t="s">
        <v>380</v>
      </c>
      <c r="I543" s="11" t="b">
        <v>1</v>
      </c>
      <c r="J543" s="11" t="s">
        <v>2932</v>
      </c>
      <c r="P543" s="11">
        <v>1722647.0</v>
      </c>
      <c r="Q543" s="11" t="b">
        <v>1</v>
      </c>
    </row>
    <row r="544">
      <c r="A544" s="11" t="s">
        <v>5134</v>
      </c>
      <c r="B544" s="11" t="s">
        <v>78</v>
      </c>
      <c r="C544" s="18">
        <v>45933.0</v>
      </c>
      <c r="D544" s="11" t="s">
        <v>85</v>
      </c>
      <c r="E544" s="11" t="s">
        <v>5136</v>
      </c>
      <c r="G544" s="11" t="s">
        <v>5141</v>
      </c>
      <c r="H544" s="11" t="s">
        <v>5139</v>
      </c>
      <c r="I544" s="11" t="b">
        <v>1</v>
      </c>
      <c r="J544" s="11" t="s">
        <v>2932</v>
      </c>
      <c r="P544" s="11">
        <v>1718199.0</v>
      </c>
      <c r="Q544" s="11" t="b">
        <v>1</v>
      </c>
    </row>
    <row r="545">
      <c r="A545" s="11" t="s">
        <v>5144</v>
      </c>
      <c r="B545" s="11" t="s">
        <v>78</v>
      </c>
      <c r="C545" s="18">
        <v>45934.0</v>
      </c>
      <c r="D545" s="11" t="s">
        <v>676</v>
      </c>
      <c r="E545" s="11" t="s">
        <v>5147</v>
      </c>
      <c r="G545" s="11" t="s">
        <v>5149</v>
      </c>
      <c r="H545" s="11" t="s">
        <v>5148</v>
      </c>
      <c r="I545" s="11" t="b">
        <v>1</v>
      </c>
      <c r="J545" s="11" t="s">
        <v>2932</v>
      </c>
      <c r="P545" s="11">
        <v>1718199.0</v>
      </c>
      <c r="Q545" s="11" t="b">
        <v>1</v>
      </c>
    </row>
    <row r="546">
      <c r="A546" s="11" t="s">
        <v>5152</v>
      </c>
      <c r="B546" s="11" t="s">
        <v>78</v>
      </c>
      <c r="C546" s="18">
        <v>45935.0</v>
      </c>
      <c r="D546" s="11" t="s">
        <v>85</v>
      </c>
      <c r="E546" s="11" t="s">
        <v>5155</v>
      </c>
      <c r="G546" s="11" t="s">
        <v>5157</v>
      </c>
      <c r="H546" s="11" t="s">
        <v>902</v>
      </c>
      <c r="I546" s="11" t="b">
        <v>1</v>
      </c>
      <c r="J546" s="11" t="s">
        <v>2932</v>
      </c>
      <c r="P546" s="11">
        <v>1722658.0</v>
      </c>
      <c r="Q546" s="11" t="b">
        <v>1</v>
      </c>
    </row>
    <row r="547">
      <c r="A547" s="11" t="s">
        <v>5161</v>
      </c>
      <c r="B547" s="11" t="s">
        <v>78</v>
      </c>
      <c r="C547" s="18">
        <v>45933.0</v>
      </c>
      <c r="D547" s="11" t="s">
        <v>992</v>
      </c>
      <c r="E547" s="11" t="s">
        <v>5162</v>
      </c>
      <c r="G547" s="11" t="s">
        <v>5165</v>
      </c>
      <c r="H547" s="11" t="s">
        <v>3235</v>
      </c>
      <c r="I547" s="11" t="b">
        <v>1</v>
      </c>
      <c r="J547" s="11" t="s">
        <v>2932</v>
      </c>
      <c r="P547" s="11">
        <v>1716811.0</v>
      </c>
      <c r="Q547" s="11" t="b">
        <v>1</v>
      </c>
    </row>
    <row r="548">
      <c r="A548" s="11" t="s">
        <v>5168</v>
      </c>
      <c r="B548" s="11" t="s">
        <v>78</v>
      </c>
      <c r="C548" s="18">
        <v>45935.0</v>
      </c>
      <c r="D548" s="11" t="s">
        <v>992</v>
      </c>
      <c r="E548" s="11" t="s">
        <v>5169</v>
      </c>
      <c r="G548" s="11" t="s">
        <v>5172</v>
      </c>
      <c r="H548" s="11" t="s">
        <v>3235</v>
      </c>
      <c r="I548" s="11" t="b">
        <v>1</v>
      </c>
      <c r="J548" s="11" t="s">
        <v>2932</v>
      </c>
      <c r="P548" s="11">
        <v>1724413.0</v>
      </c>
      <c r="Q548" s="11" t="b">
        <v>1</v>
      </c>
    </row>
    <row r="549">
      <c r="A549" s="11" t="s">
        <v>5175</v>
      </c>
      <c r="B549" s="11" t="s">
        <v>78</v>
      </c>
      <c r="C549" s="18">
        <v>45936.0</v>
      </c>
      <c r="D549" s="11" t="s">
        <v>2549</v>
      </c>
      <c r="E549" s="11" t="s">
        <v>5176</v>
      </c>
      <c r="G549" s="11" t="s">
        <v>5180</v>
      </c>
      <c r="H549" s="11" t="s">
        <v>5177</v>
      </c>
      <c r="I549" s="11" t="b">
        <v>1</v>
      </c>
      <c r="J549" s="11" t="s">
        <v>2932</v>
      </c>
      <c r="P549" s="11">
        <v>1724411.0</v>
      </c>
      <c r="Q549" s="11" t="b">
        <v>1</v>
      </c>
    </row>
    <row r="550">
      <c r="A550" s="11" t="s">
        <v>5182</v>
      </c>
      <c r="B550" s="11" t="s">
        <v>78</v>
      </c>
      <c r="C550" s="18">
        <v>45937.0</v>
      </c>
      <c r="D550" s="11" t="s">
        <v>237</v>
      </c>
      <c r="E550" s="11" t="s">
        <v>5185</v>
      </c>
      <c r="G550" s="11" t="s">
        <v>5187</v>
      </c>
      <c r="H550" s="11" t="s">
        <v>3259</v>
      </c>
      <c r="I550" s="11" t="b">
        <v>0</v>
      </c>
      <c r="J550" s="11" t="s">
        <v>2932</v>
      </c>
      <c r="L550" s="11" t="s">
        <v>5189</v>
      </c>
      <c r="M550" s="11" t="s">
        <v>5190</v>
      </c>
      <c r="Q550" s="11" t="b">
        <v>1</v>
      </c>
    </row>
    <row r="551">
      <c r="A551" s="11" t="s">
        <v>5192</v>
      </c>
      <c r="B551" s="11" t="s">
        <v>78</v>
      </c>
      <c r="C551" s="18">
        <v>45933.0</v>
      </c>
      <c r="D551" s="11" t="s">
        <v>4915</v>
      </c>
      <c r="E551" s="11" t="s">
        <v>5196</v>
      </c>
      <c r="G551" s="11" t="s">
        <v>5198</v>
      </c>
      <c r="H551" s="11" t="s">
        <v>4917</v>
      </c>
      <c r="I551" s="11" t="b">
        <v>0</v>
      </c>
      <c r="J551" s="11" t="s">
        <v>2932</v>
      </c>
      <c r="Q551" s="11" t="b">
        <v>1</v>
      </c>
    </row>
    <row r="552">
      <c r="A552" s="11" t="s">
        <v>5199</v>
      </c>
      <c r="B552" s="11" t="s">
        <v>78</v>
      </c>
      <c r="C552" s="18">
        <v>45938.0</v>
      </c>
      <c r="D552" s="11" t="s">
        <v>85</v>
      </c>
      <c r="E552" s="11" t="s">
        <v>5202</v>
      </c>
      <c r="G552" s="11" t="s">
        <v>5204</v>
      </c>
      <c r="H552" s="11" t="s">
        <v>5203</v>
      </c>
      <c r="I552" s="11" t="b">
        <v>1</v>
      </c>
      <c r="J552" s="11" t="s">
        <v>2932</v>
      </c>
      <c r="P552" s="11">
        <v>1731192.0</v>
      </c>
      <c r="Q552" s="11" t="b">
        <v>1</v>
      </c>
    </row>
    <row r="553">
      <c r="A553" s="11" t="s">
        <v>5207</v>
      </c>
      <c r="B553" s="11" t="s">
        <v>78</v>
      </c>
      <c r="C553" s="12">
        <v>45941.0</v>
      </c>
      <c r="D553" s="11" t="s">
        <v>104</v>
      </c>
      <c r="E553" s="11" t="s">
        <v>5209</v>
      </c>
      <c r="G553" s="11" t="s">
        <v>5211</v>
      </c>
      <c r="H553" s="11" t="s">
        <v>5210</v>
      </c>
      <c r="I553" s="11" t="b">
        <v>1</v>
      </c>
      <c r="J553" s="11" t="s">
        <v>2932</v>
      </c>
      <c r="P553" s="11">
        <v>1731985.0</v>
      </c>
      <c r="Q553" s="11" t="b">
        <v>1</v>
      </c>
    </row>
    <row r="554">
      <c r="A554" s="11" t="s">
        <v>5215</v>
      </c>
      <c r="B554" s="11" t="s">
        <v>78</v>
      </c>
      <c r="C554" s="18">
        <v>45939.0</v>
      </c>
      <c r="D554" s="11" t="s">
        <v>104</v>
      </c>
      <c r="E554" s="11" t="s">
        <v>5217</v>
      </c>
      <c r="G554" s="11" t="s">
        <v>5219</v>
      </c>
      <c r="H554" s="11" t="s">
        <v>5218</v>
      </c>
      <c r="I554" s="11" t="b">
        <v>1</v>
      </c>
      <c r="J554" s="11" t="s">
        <v>2932</v>
      </c>
      <c r="P554" s="11">
        <v>1729017.0</v>
      </c>
      <c r="Q554" s="11" t="b">
        <v>1</v>
      </c>
    </row>
    <row r="555">
      <c r="A555" s="11" t="s">
        <v>5222</v>
      </c>
      <c r="B555" s="11" t="s">
        <v>78</v>
      </c>
      <c r="C555" s="12">
        <v>45945.0</v>
      </c>
      <c r="D555" s="11" t="s">
        <v>3478</v>
      </c>
      <c r="E555" s="11" t="s">
        <v>5225</v>
      </c>
      <c r="G555" s="11" t="s">
        <v>5227</v>
      </c>
      <c r="H555" s="11" t="s">
        <v>5226</v>
      </c>
      <c r="I555" s="11" t="b">
        <v>1</v>
      </c>
      <c r="J555" s="11" t="s">
        <v>2932</v>
      </c>
      <c r="P555" s="11">
        <v>1740781.0</v>
      </c>
      <c r="Q555" s="11" t="b">
        <v>1</v>
      </c>
    </row>
    <row r="556">
      <c r="A556" s="11" t="s">
        <v>5230</v>
      </c>
      <c r="B556" s="11" t="s">
        <v>78</v>
      </c>
      <c r="C556" s="12">
        <v>45945.0</v>
      </c>
      <c r="D556" s="11" t="s">
        <v>116</v>
      </c>
      <c r="E556" s="11" t="s">
        <v>5232</v>
      </c>
      <c r="G556" s="11" t="s">
        <v>5235</v>
      </c>
      <c r="H556" s="11" t="s">
        <v>5234</v>
      </c>
      <c r="I556" s="11" t="b">
        <v>1</v>
      </c>
      <c r="J556" s="11" t="s">
        <v>2932</v>
      </c>
      <c r="P556" s="11">
        <v>1740806.0</v>
      </c>
      <c r="Q556" s="11" t="b">
        <v>1</v>
      </c>
    </row>
    <row r="557">
      <c r="A557" s="11" t="s">
        <v>5239</v>
      </c>
      <c r="B557" s="11" t="s">
        <v>78</v>
      </c>
      <c r="C557" s="12">
        <v>45945.0</v>
      </c>
      <c r="D557" s="11" t="s">
        <v>5242</v>
      </c>
      <c r="E557" s="11" t="s">
        <v>5243</v>
      </c>
      <c r="G557" s="11" t="s">
        <v>5246</v>
      </c>
      <c r="H557" s="11" t="s">
        <v>5244</v>
      </c>
      <c r="I557" s="11" t="b">
        <v>1</v>
      </c>
      <c r="J557" s="11" t="s">
        <v>2932</v>
      </c>
      <c r="P557" s="11">
        <v>1740796.0</v>
      </c>
      <c r="Q557" s="11" t="b">
        <v>1</v>
      </c>
    </row>
    <row r="558">
      <c r="A558" s="11" t="s">
        <v>5249</v>
      </c>
      <c r="B558" s="11" t="s">
        <v>78</v>
      </c>
      <c r="C558" s="12">
        <v>45945.0</v>
      </c>
      <c r="D558" s="11" t="s">
        <v>104</v>
      </c>
      <c r="E558" s="11" t="s">
        <v>5250</v>
      </c>
      <c r="G558" s="11" t="s">
        <v>5253</v>
      </c>
      <c r="H558" s="11" t="s">
        <v>5251</v>
      </c>
      <c r="I558" s="11" t="b">
        <v>1</v>
      </c>
      <c r="J558" s="11" t="s">
        <v>2932</v>
      </c>
      <c r="P558" s="11">
        <v>1740788.0</v>
      </c>
      <c r="Q558" s="11" t="b">
        <v>1</v>
      </c>
    </row>
    <row r="559">
      <c r="A559" s="11" t="s">
        <v>5256</v>
      </c>
      <c r="B559" s="11" t="s">
        <v>78</v>
      </c>
      <c r="C559" s="12">
        <v>45940.0</v>
      </c>
      <c r="D559" s="11" t="s">
        <v>116</v>
      </c>
      <c r="E559" s="11" t="s">
        <v>5258</v>
      </c>
      <c r="G559" s="11" t="s">
        <v>5262</v>
      </c>
      <c r="H559" s="11" t="s">
        <v>5259</v>
      </c>
      <c r="I559" s="11" t="b">
        <v>1</v>
      </c>
      <c r="J559" s="11" t="s">
        <v>2932</v>
      </c>
      <c r="P559" s="11">
        <v>1731198.0</v>
      </c>
      <c r="Q559" s="11" t="b">
        <v>1</v>
      </c>
    </row>
    <row r="560">
      <c r="A560" s="11" t="s">
        <v>5264</v>
      </c>
      <c r="B560" s="11" t="s">
        <v>78</v>
      </c>
      <c r="C560" s="18">
        <v>45938.0</v>
      </c>
      <c r="D560" s="11" t="s">
        <v>4819</v>
      </c>
      <c r="E560" s="11" t="s">
        <v>5267</v>
      </c>
      <c r="G560" s="11" t="s">
        <v>5269</v>
      </c>
      <c r="H560" s="11" t="s">
        <v>5268</v>
      </c>
      <c r="I560" s="11" t="b">
        <v>1</v>
      </c>
      <c r="J560" s="11" t="s">
        <v>2932</v>
      </c>
      <c r="P560" s="11">
        <v>1727940.0</v>
      </c>
      <c r="Q560" s="11" t="b">
        <v>1</v>
      </c>
    </row>
    <row r="561">
      <c r="A561" s="11" t="s">
        <v>5272</v>
      </c>
      <c r="B561" s="11" t="s">
        <v>78</v>
      </c>
      <c r="C561" s="12">
        <v>45940.0</v>
      </c>
      <c r="D561" s="11" t="s">
        <v>85</v>
      </c>
      <c r="E561" s="11" t="s">
        <v>5275</v>
      </c>
      <c r="G561" s="11" t="s">
        <v>5277</v>
      </c>
      <c r="H561" s="11" t="s">
        <v>5276</v>
      </c>
      <c r="I561" s="11" t="b">
        <v>1</v>
      </c>
      <c r="J561" s="11" t="s">
        <v>2932</v>
      </c>
      <c r="P561" s="11">
        <v>1731211.0</v>
      </c>
      <c r="Q561" s="11" t="b">
        <v>1</v>
      </c>
    </row>
    <row r="562">
      <c r="A562" s="11" t="s">
        <v>5281</v>
      </c>
      <c r="B562" s="11" t="s">
        <v>78</v>
      </c>
      <c r="C562" s="12">
        <v>45944.0</v>
      </c>
      <c r="D562" s="11" t="s">
        <v>817</v>
      </c>
      <c r="E562" s="11" t="s">
        <v>5283</v>
      </c>
      <c r="G562" s="11" t="s">
        <v>5285</v>
      </c>
      <c r="H562" s="11" t="s">
        <v>4561</v>
      </c>
      <c r="I562" s="11" t="b">
        <v>0</v>
      </c>
      <c r="J562" s="11" t="s">
        <v>2932</v>
      </c>
      <c r="Q562" s="11" t="b">
        <v>1</v>
      </c>
    </row>
    <row r="563">
      <c r="A563" s="11" t="s">
        <v>5287</v>
      </c>
      <c r="B563" s="11" t="s">
        <v>78</v>
      </c>
      <c r="C563" s="18">
        <v>45939.0</v>
      </c>
      <c r="D563" s="11" t="s">
        <v>992</v>
      </c>
      <c r="E563" s="11" t="s">
        <v>5288</v>
      </c>
      <c r="G563" s="11" t="s">
        <v>5291</v>
      </c>
      <c r="H563" s="11" t="s">
        <v>5289</v>
      </c>
      <c r="I563" s="11" t="b">
        <v>1</v>
      </c>
      <c r="J563" s="11" t="s">
        <v>2932</v>
      </c>
      <c r="P563" s="11">
        <v>1729020.0</v>
      </c>
      <c r="Q563" s="11" t="b">
        <v>1</v>
      </c>
    </row>
    <row r="564">
      <c r="A564" s="11" t="s">
        <v>5296</v>
      </c>
      <c r="B564" s="11" t="s">
        <v>78</v>
      </c>
      <c r="C564" s="12">
        <v>45942.0</v>
      </c>
      <c r="D564" s="11" t="s">
        <v>5297</v>
      </c>
      <c r="E564" s="11" t="s">
        <v>5299</v>
      </c>
      <c r="G564" s="11" t="s">
        <v>5301</v>
      </c>
      <c r="H564" s="11" t="s">
        <v>5300</v>
      </c>
      <c r="I564" s="11" t="b">
        <v>1</v>
      </c>
      <c r="J564" s="11" t="s">
        <v>2932</v>
      </c>
      <c r="P564" s="11">
        <v>1735108.0</v>
      </c>
      <c r="Q564" s="11" t="b">
        <v>1</v>
      </c>
    </row>
    <row r="565">
      <c r="A565" s="11" t="s">
        <v>5305</v>
      </c>
      <c r="B565" s="11" t="s">
        <v>78</v>
      </c>
      <c r="C565" s="12">
        <v>45943.0</v>
      </c>
      <c r="D565" s="11" t="s">
        <v>5306</v>
      </c>
      <c r="E565" s="11" t="s">
        <v>5308</v>
      </c>
      <c r="G565" s="11" t="s">
        <v>5310</v>
      </c>
      <c r="H565" s="11" t="s">
        <v>5309</v>
      </c>
      <c r="I565" s="11" t="b">
        <v>1</v>
      </c>
      <c r="J565" s="11" t="s">
        <v>2932</v>
      </c>
      <c r="P565" s="11">
        <v>1737624.0</v>
      </c>
      <c r="Q565" s="11" t="b">
        <v>1</v>
      </c>
    </row>
    <row r="566">
      <c r="A566" s="11" t="s">
        <v>5313</v>
      </c>
      <c r="B566" s="11" t="s">
        <v>78</v>
      </c>
      <c r="C566" s="12">
        <v>45943.0</v>
      </c>
      <c r="D566" s="11" t="s">
        <v>2549</v>
      </c>
      <c r="E566" s="11" t="s">
        <v>5314</v>
      </c>
      <c r="G566" s="11" t="s">
        <v>5317</v>
      </c>
      <c r="H566" s="11" t="s">
        <v>5315</v>
      </c>
      <c r="I566" s="11" t="b">
        <v>1</v>
      </c>
      <c r="J566" s="11" t="s">
        <v>2932</v>
      </c>
      <c r="P566" s="11">
        <v>1737616.0</v>
      </c>
      <c r="Q566" s="11" t="b">
        <v>1</v>
      </c>
    </row>
    <row r="567">
      <c r="A567" s="11" t="s">
        <v>5319</v>
      </c>
      <c r="B567" s="11" t="s">
        <v>78</v>
      </c>
      <c r="C567" s="12">
        <v>45945.0</v>
      </c>
      <c r="D567" s="11" t="s">
        <v>992</v>
      </c>
      <c r="E567" s="11" t="s">
        <v>5322</v>
      </c>
      <c r="G567" s="11" t="s">
        <v>5324</v>
      </c>
      <c r="H567" s="11" t="s">
        <v>5323</v>
      </c>
      <c r="I567" s="11" t="b">
        <v>1</v>
      </c>
      <c r="J567" s="11" t="s">
        <v>2932</v>
      </c>
      <c r="P567" s="11">
        <v>1740638.0</v>
      </c>
      <c r="Q567" s="11" t="b">
        <v>1</v>
      </c>
    </row>
    <row r="568">
      <c r="A568" s="11" t="s">
        <v>5327</v>
      </c>
      <c r="B568" s="11" t="s">
        <v>78</v>
      </c>
      <c r="C568" s="12">
        <v>45945.0</v>
      </c>
      <c r="D568" s="11" t="s">
        <v>237</v>
      </c>
      <c r="E568" s="11" t="s">
        <v>5329</v>
      </c>
      <c r="G568" s="11" t="s">
        <v>5331</v>
      </c>
      <c r="H568" s="11" t="s">
        <v>2510</v>
      </c>
      <c r="I568" s="11" t="b">
        <v>0</v>
      </c>
      <c r="J568" s="11" t="s">
        <v>2932</v>
      </c>
      <c r="L568" s="11" t="s">
        <v>5333</v>
      </c>
      <c r="M568" s="11" t="s">
        <v>5335</v>
      </c>
      <c r="Q568" s="11" t="b">
        <v>1</v>
      </c>
    </row>
    <row r="569">
      <c r="A569" s="11" t="s">
        <v>5336</v>
      </c>
      <c r="B569" s="11" t="s">
        <v>78</v>
      </c>
      <c r="C569" s="12">
        <v>45948.0</v>
      </c>
      <c r="D569" s="11" t="s">
        <v>1251</v>
      </c>
      <c r="E569" s="11" t="s">
        <v>5339</v>
      </c>
      <c r="G569" s="11" t="s">
        <v>5341</v>
      </c>
      <c r="H569" s="11" t="s">
        <v>3193</v>
      </c>
      <c r="I569" s="11" t="b">
        <v>1</v>
      </c>
      <c r="J569" s="11" t="s">
        <v>2932</v>
      </c>
      <c r="P569" s="11">
        <v>1746276.0</v>
      </c>
      <c r="Q569" s="11" t="b">
        <v>1</v>
      </c>
    </row>
    <row r="570">
      <c r="A570" s="11" t="s">
        <v>5343</v>
      </c>
      <c r="B570" s="11" t="s">
        <v>78</v>
      </c>
      <c r="C570" s="12">
        <v>45948.0</v>
      </c>
      <c r="D570" s="11" t="s">
        <v>5345</v>
      </c>
      <c r="E570" s="11" t="s">
        <v>5346</v>
      </c>
      <c r="G570" s="11" t="s">
        <v>5348</v>
      </c>
      <c r="H570" s="11" t="s">
        <v>5347</v>
      </c>
      <c r="I570" s="11" t="b">
        <v>1</v>
      </c>
      <c r="J570" s="11" t="s">
        <v>2932</v>
      </c>
      <c r="P570" s="11">
        <v>1746265.0</v>
      </c>
      <c r="Q570" s="11" t="b">
        <v>1</v>
      </c>
    </row>
    <row r="571">
      <c r="A571" s="11" t="s">
        <v>5351</v>
      </c>
      <c r="B571" s="11" t="s">
        <v>78</v>
      </c>
      <c r="C571" s="12">
        <v>45946.0</v>
      </c>
      <c r="D571" s="11" t="s">
        <v>513</v>
      </c>
      <c r="E571" s="11" t="s">
        <v>5353</v>
      </c>
      <c r="G571" s="11" t="s">
        <v>5354</v>
      </c>
      <c r="H571" s="11" t="s">
        <v>3250</v>
      </c>
      <c r="I571" s="11" t="b">
        <v>1</v>
      </c>
      <c r="J571" s="11" t="s">
        <v>2932</v>
      </c>
      <c r="P571" s="11">
        <v>1745289.0</v>
      </c>
      <c r="Q571" s="11" t="b">
        <v>1</v>
      </c>
    </row>
    <row r="572">
      <c r="A572" s="11" t="s">
        <v>5357</v>
      </c>
      <c r="B572" s="11" t="s">
        <v>78</v>
      </c>
      <c r="C572" s="12">
        <v>45948.0</v>
      </c>
      <c r="D572" s="11" t="s">
        <v>5242</v>
      </c>
      <c r="E572" s="11" t="s">
        <v>5359</v>
      </c>
      <c r="G572" s="11" t="s">
        <v>5361</v>
      </c>
      <c r="H572" s="11" t="s">
        <v>5360</v>
      </c>
      <c r="I572" s="11" t="b">
        <v>1</v>
      </c>
      <c r="J572" s="11" t="s">
        <v>2932</v>
      </c>
      <c r="P572" s="11">
        <v>1746288.0</v>
      </c>
      <c r="Q572" s="11" t="b">
        <v>1</v>
      </c>
    </row>
    <row r="573">
      <c r="A573" s="11" t="s">
        <v>5364</v>
      </c>
      <c r="B573" s="11" t="s">
        <v>78</v>
      </c>
      <c r="C573" s="18">
        <v>45939.0</v>
      </c>
      <c r="D573" s="11" t="s">
        <v>237</v>
      </c>
      <c r="E573" s="11" t="s">
        <v>5365</v>
      </c>
      <c r="G573" s="11" t="s">
        <v>5367</v>
      </c>
      <c r="H573" s="11" t="s">
        <v>2867</v>
      </c>
      <c r="I573" s="11" t="b">
        <v>0</v>
      </c>
      <c r="J573" s="11" t="s">
        <v>2932</v>
      </c>
      <c r="L573" s="11" t="s">
        <v>5368</v>
      </c>
      <c r="M573" s="11" t="s">
        <v>5370</v>
      </c>
      <c r="Q573" s="11" t="b">
        <v>1</v>
      </c>
    </row>
    <row r="574">
      <c r="A574" s="11" t="s">
        <v>5371</v>
      </c>
      <c r="B574" s="11" t="s">
        <v>78</v>
      </c>
      <c r="C574" s="12">
        <v>45954.0</v>
      </c>
      <c r="D574" s="11" t="s">
        <v>4915</v>
      </c>
      <c r="E574" s="11" t="s">
        <v>5372</v>
      </c>
      <c r="G574" s="11" t="s">
        <v>5375</v>
      </c>
      <c r="H574" s="11" t="s">
        <v>5373</v>
      </c>
      <c r="I574" s="11" t="b">
        <v>0</v>
      </c>
      <c r="J574" s="11" t="s">
        <v>2932</v>
      </c>
      <c r="Q574" s="11" t="b">
        <v>1</v>
      </c>
    </row>
    <row r="575">
      <c r="A575" s="11" t="s">
        <v>5377</v>
      </c>
      <c r="B575" s="11" t="s">
        <v>78</v>
      </c>
      <c r="C575" s="12">
        <v>45950.0</v>
      </c>
      <c r="D575" s="11" t="s">
        <v>237</v>
      </c>
      <c r="E575" s="11" t="s">
        <v>5378</v>
      </c>
      <c r="G575" s="11" t="s">
        <v>5380</v>
      </c>
      <c r="H575" s="11" t="s">
        <v>2291</v>
      </c>
      <c r="I575" s="11" t="b">
        <v>0</v>
      </c>
      <c r="J575" s="11" t="s">
        <v>2932</v>
      </c>
      <c r="L575" s="11" t="s">
        <v>5381</v>
      </c>
      <c r="M575" s="11" t="s">
        <v>5383</v>
      </c>
      <c r="Q575" s="11" t="b">
        <v>1</v>
      </c>
    </row>
    <row r="576">
      <c r="A576" s="11" t="s">
        <v>5384</v>
      </c>
      <c r="B576" s="11" t="s">
        <v>78</v>
      </c>
      <c r="C576" s="12">
        <v>45952.0</v>
      </c>
      <c r="D576" s="11" t="s">
        <v>237</v>
      </c>
      <c r="E576" s="11" t="s">
        <v>5385</v>
      </c>
      <c r="G576" s="11" t="s">
        <v>5388</v>
      </c>
      <c r="H576" s="11" t="s">
        <v>2510</v>
      </c>
      <c r="I576" s="11" t="b">
        <v>0</v>
      </c>
      <c r="J576" s="11" t="s">
        <v>2932</v>
      </c>
      <c r="L576" s="11" t="s">
        <v>5390</v>
      </c>
      <c r="Q576" s="11" t="b">
        <v>1</v>
      </c>
    </row>
    <row r="577">
      <c r="A577" s="11" t="s">
        <v>5391</v>
      </c>
      <c r="B577" s="11" t="s">
        <v>78</v>
      </c>
      <c r="C577" s="12">
        <v>45954.0</v>
      </c>
      <c r="D577" s="11" t="s">
        <v>104</v>
      </c>
      <c r="E577" s="11" t="s">
        <v>5393</v>
      </c>
      <c r="G577" s="11" t="s">
        <v>5395</v>
      </c>
      <c r="H577" s="11" t="s">
        <v>5394</v>
      </c>
      <c r="I577" s="11" t="b">
        <v>1</v>
      </c>
      <c r="J577" s="11" t="s">
        <v>2932</v>
      </c>
      <c r="P577" s="11">
        <v>1757511.0</v>
      </c>
      <c r="Q577" s="11" t="b">
        <v>1</v>
      </c>
    </row>
    <row r="578">
      <c r="A578" s="11" t="s">
        <v>5398</v>
      </c>
      <c r="B578" s="11" t="s">
        <v>78</v>
      </c>
      <c r="C578" s="12">
        <v>45954.0</v>
      </c>
      <c r="D578" s="11" t="s">
        <v>85</v>
      </c>
      <c r="E578" s="11" t="s">
        <v>5400</v>
      </c>
      <c r="G578" s="11" t="s">
        <v>5403</v>
      </c>
      <c r="H578" s="11" t="s">
        <v>5401</v>
      </c>
      <c r="I578" s="11" t="b">
        <v>1</v>
      </c>
      <c r="J578" s="11" t="s">
        <v>2932</v>
      </c>
      <c r="P578" s="11">
        <v>1757518.0</v>
      </c>
      <c r="Q578" s="11" t="b">
        <v>1</v>
      </c>
    </row>
    <row r="579">
      <c r="A579" s="11" t="s">
        <v>5406</v>
      </c>
      <c r="B579" s="11" t="s">
        <v>78</v>
      </c>
      <c r="C579" s="12">
        <v>45947.0</v>
      </c>
      <c r="D579" s="11" t="s">
        <v>992</v>
      </c>
      <c r="E579" s="11" t="s">
        <v>5407</v>
      </c>
      <c r="G579" s="11" t="s">
        <v>5410</v>
      </c>
      <c r="H579" s="11" t="s">
        <v>5408</v>
      </c>
      <c r="I579" s="11" t="b">
        <v>1</v>
      </c>
      <c r="J579" s="11" t="s">
        <v>2932</v>
      </c>
      <c r="P579" s="11">
        <v>1744685.0</v>
      </c>
      <c r="Q579" s="11" t="b">
        <v>1</v>
      </c>
    </row>
    <row r="580">
      <c r="A580" s="11" t="s">
        <v>5413</v>
      </c>
      <c r="B580" s="11" t="s">
        <v>78</v>
      </c>
      <c r="C580" s="12">
        <v>45949.0</v>
      </c>
      <c r="D580" s="11" t="s">
        <v>2549</v>
      </c>
      <c r="E580" s="11" t="s">
        <v>5416</v>
      </c>
      <c r="G580" s="11" t="s">
        <v>5419</v>
      </c>
      <c r="H580" s="11" t="s">
        <v>5417</v>
      </c>
      <c r="I580" s="11" t="b">
        <v>1</v>
      </c>
      <c r="J580" s="11" t="s">
        <v>2932</v>
      </c>
      <c r="P580" s="11">
        <v>1749165.0</v>
      </c>
      <c r="Q580" s="11" t="b">
        <v>1</v>
      </c>
    </row>
    <row r="581">
      <c r="A581" s="11" t="s">
        <v>5422</v>
      </c>
      <c r="B581" s="11" t="s">
        <v>78</v>
      </c>
      <c r="C581" s="12">
        <v>45950.0</v>
      </c>
      <c r="D581" s="11" t="s">
        <v>992</v>
      </c>
      <c r="E581" s="11" t="s">
        <v>5424</v>
      </c>
      <c r="G581" s="11" t="s">
        <v>5425</v>
      </c>
      <c r="H581" s="11" t="s">
        <v>5408</v>
      </c>
      <c r="I581" s="11" t="b">
        <v>1</v>
      </c>
      <c r="J581" s="11" t="s">
        <v>2932</v>
      </c>
      <c r="P581" s="11">
        <v>1750359.0</v>
      </c>
      <c r="Q581" s="11" t="b">
        <v>1</v>
      </c>
    </row>
    <row r="582">
      <c r="A582" s="11" t="s">
        <v>5429</v>
      </c>
      <c r="B582" s="11" t="s">
        <v>78</v>
      </c>
      <c r="C582" s="12">
        <v>45954.0</v>
      </c>
      <c r="D582" s="11" t="s">
        <v>992</v>
      </c>
      <c r="E582" s="11" t="s">
        <v>5432</v>
      </c>
      <c r="G582" s="11" t="s">
        <v>5435</v>
      </c>
      <c r="H582" s="11" t="s">
        <v>5433</v>
      </c>
      <c r="I582" s="11" t="b">
        <v>1</v>
      </c>
      <c r="J582" s="11" t="s">
        <v>2932</v>
      </c>
      <c r="P582" s="11">
        <v>1756230.0</v>
      </c>
      <c r="Q582" s="11" t="b">
        <v>1</v>
      </c>
    </row>
    <row r="583">
      <c r="A583" s="11" t="s">
        <v>5438</v>
      </c>
      <c r="B583" s="11" t="s">
        <v>78</v>
      </c>
      <c r="C583" s="12">
        <v>45956.0</v>
      </c>
      <c r="D583" s="11">
        <v>1.4150716E7</v>
      </c>
      <c r="E583" s="11" t="s">
        <v>5443</v>
      </c>
      <c r="G583" s="11" t="s">
        <v>5447</v>
      </c>
      <c r="H583" s="11" t="s">
        <v>5445</v>
      </c>
      <c r="I583" s="11" t="b">
        <v>1</v>
      </c>
      <c r="J583" s="11" t="s">
        <v>2932</v>
      </c>
      <c r="P583" s="11">
        <v>1761972.0</v>
      </c>
      <c r="Q583" s="11" t="b">
        <v>1</v>
      </c>
    </row>
    <row r="584">
      <c r="A584" s="11" t="s">
        <v>1857</v>
      </c>
      <c r="B584" s="11" t="s">
        <v>78</v>
      </c>
      <c r="C584" s="18">
        <v>45932.0</v>
      </c>
      <c r="H584" s="11" t="s">
        <v>2638</v>
      </c>
      <c r="J584" s="11" t="s">
        <v>187</v>
      </c>
      <c r="K584" s="11" t="s">
        <v>225</v>
      </c>
      <c r="O584" s="11">
        <v>3136.22</v>
      </c>
      <c r="Q584" s="11" t="b">
        <v>1</v>
      </c>
    </row>
    <row r="585">
      <c r="A585" s="11" t="s">
        <v>1859</v>
      </c>
      <c r="B585" s="11" t="s">
        <v>78</v>
      </c>
      <c r="C585" s="18">
        <v>45932.0</v>
      </c>
      <c r="H585" s="11" t="s">
        <v>2638</v>
      </c>
      <c r="J585" s="11" t="s">
        <v>187</v>
      </c>
      <c r="K585" s="11" t="s">
        <v>113</v>
      </c>
      <c r="O585" s="11">
        <v>1517.65</v>
      </c>
      <c r="Q585" s="11" t="b">
        <v>1</v>
      </c>
    </row>
    <row r="586">
      <c r="A586" s="11" t="s">
        <v>1861</v>
      </c>
      <c r="B586" s="11" t="s">
        <v>78</v>
      </c>
      <c r="C586" s="18">
        <v>45932.0</v>
      </c>
      <c r="H586" s="11" t="s">
        <v>2638</v>
      </c>
      <c r="J586" s="11" t="s">
        <v>187</v>
      </c>
      <c r="K586" s="11" t="s">
        <v>3739</v>
      </c>
      <c r="O586" s="11">
        <v>1851.79</v>
      </c>
      <c r="Q586" s="11" t="b">
        <v>1</v>
      </c>
    </row>
    <row r="587">
      <c r="A587" s="11" t="s">
        <v>1863</v>
      </c>
      <c r="B587" s="11" t="s">
        <v>78</v>
      </c>
      <c r="C587" s="18">
        <v>45931.0</v>
      </c>
      <c r="D587" s="11" t="s">
        <v>5465</v>
      </c>
      <c r="H587" s="11" t="s">
        <v>5466</v>
      </c>
      <c r="J587" s="11" t="s">
        <v>235</v>
      </c>
      <c r="O587" s="11">
        <v>50.0</v>
      </c>
      <c r="Q587" s="11" t="b">
        <v>1</v>
      </c>
    </row>
    <row r="588">
      <c r="A588" s="11" t="s">
        <v>1865</v>
      </c>
      <c r="B588" s="11" t="s">
        <v>78</v>
      </c>
      <c r="C588" s="18">
        <v>45932.0</v>
      </c>
      <c r="D588" s="11" t="s">
        <v>5472</v>
      </c>
      <c r="H588" s="11" t="s">
        <v>5473</v>
      </c>
      <c r="J588" s="11" t="s">
        <v>187</v>
      </c>
      <c r="O588" s="11">
        <v>95.57</v>
      </c>
      <c r="Q588" s="11" t="b">
        <v>1</v>
      </c>
    </row>
    <row r="589">
      <c r="A589" s="11" t="s">
        <v>1871</v>
      </c>
      <c r="B589" s="11" t="s">
        <v>78</v>
      </c>
      <c r="C589" s="18">
        <v>45936.0</v>
      </c>
      <c r="D589" s="11" t="s">
        <v>582</v>
      </c>
      <c r="H589" s="11" t="s">
        <v>5478</v>
      </c>
      <c r="J589" s="11" t="s">
        <v>235</v>
      </c>
      <c r="O589" s="11">
        <v>4250.0</v>
      </c>
      <c r="Q589" s="11" t="b">
        <v>1</v>
      </c>
    </row>
    <row r="590">
      <c r="A590" s="11" t="s">
        <v>1873</v>
      </c>
      <c r="B590" s="11" t="s">
        <v>78</v>
      </c>
      <c r="C590" s="18">
        <v>45937.0</v>
      </c>
      <c r="D590" s="11" t="s">
        <v>237</v>
      </c>
      <c r="H590" s="11" t="s">
        <v>5484</v>
      </c>
      <c r="J590" s="11" t="s">
        <v>187</v>
      </c>
      <c r="O590" s="11">
        <v>36.91</v>
      </c>
      <c r="Q590" s="11" t="b">
        <v>1</v>
      </c>
    </row>
    <row r="591">
      <c r="A591" s="11" t="s">
        <v>1877</v>
      </c>
      <c r="B591" s="11" t="s">
        <v>78</v>
      </c>
      <c r="C591" s="18">
        <v>45937.0</v>
      </c>
      <c r="D591" s="11" t="s">
        <v>237</v>
      </c>
      <c r="H591" s="11" t="s">
        <v>5489</v>
      </c>
      <c r="J591" s="11" t="s">
        <v>187</v>
      </c>
      <c r="O591" s="11">
        <v>2509.63</v>
      </c>
      <c r="Q591" s="11" t="b">
        <v>1</v>
      </c>
    </row>
    <row r="592">
      <c r="A592" s="11" t="s">
        <v>1880</v>
      </c>
      <c r="B592" s="11" t="s">
        <v>78</v>
      </c>
      <c r="C592" s="18">
        <v>45937.0</v>
      </c>
      <c r="D592" s="11" t="s">
        <v>237</v>
      </c>
      <c r="H592" s="11" t="s">
        <v>5492</v>
      </c>
      <c r="J592" s="11" t="s">
        <v>187</v>
      </c>
      <c r="O592" s="11">
        <v>12957.17</v>
      </c>
      <c r="Q592" s="11" t="b">
        <v>1</v>
      </c>
    </row>
    <row r="593">
      <c r="A593" s="11" t="s">
        <v>1882</v>
      </c>
      <c r="B593" s="11" t="s">
        <v>78</v>
      </c>
      <c r="C593" s="18">
        <v>45938.0</v>
      </c>
      <c r="D593" s="11" t="s">
        <v>5496</v>
      </c>
      <c r="H593" s="11" t="s">
        <v>5497</v>
      </c>
      <c r="J593" s="11" t="s">
        <v>235</v>
      </c>
      <c r="O593" s="11">
        <v>2308.5</v>
      </c>
      <c r="Q593" s="11" t="b">
        <v>1</v>
      </c>
    </row>
    <row r="594">
      <c r="A594" s="11" t="s">
        <v>1886</v>
      </c>
      <c r="B594" s="11" t="s">
        <v>78</v>
      </c>
      <c r="C594" s="18">
        <v>45937.0</v>
      </c>
      <c r="D594" s="11" t="s">
        <v>237</v>
      </c>
      <c r="H594" s="11" t="s">
        <v>5501</v>
      </c>
      <c r="J594" s="11" t="s">
        <v>187</v>
      </c>
      <c r="O594" s="11">
        <v>1049.75</v>
      </c>
      <c r="Q594" s="11" t="b">
        <v>1</v>
      </c>
    </row>
    <row r="595">
      <c r="A595" s="11" t="s">
        <v>1889</v>
      </c>
      <c r="B595" s="11" t="s">
        <v>78</v>
      </c>
      <c r="C595" s="18">
        <v>45939.0</v>
      </c>
      <c r="D595" s="11" t="s">
        <v>4510</v>
      </c>
      <c r="H595" s="11" t="s">
        <v>5505</v>
      </c>
      <c r="J595" s="11" t="s">
        <v>187</v>
      </c>
      <c r="O595" s="11">
        <v>829.44</v>
      </c>
      <c r="Q595" s="11" t="b">
        <v>1</v>
      </c>
    </row>
    <row r="596">
      <c r="A596" s="11" t="s">
        <v>1892</v>
      </c>
      <c r="B596" s="11" t="s">
        <v>78</v>
      </c>
      <c r="C596" s="18">
        <v>45937.0</v>
      </c>
      <c r="D596" s="11" t="s">
        <v>176</v>
      </c>
      <c r="H596" s="11" t="s">
        <v>1440</v>
      </c>
      <c r="J596" s="11" t="s">
        <v>187</v>
      </c>
      <c r="O596" s="11">
        <v>500.0</v>
      </c>
      <c r="Q596" s="11" t="b">
        <v>1</v>
      </c>
    </row>
    <row r="597">
      <c r="A597" s="11" t="s">
        <v>1895</v>
      </c>
      <c r="B597" s="11" t="s">
        <v>78</v>
      </c>
      <c r="C597" s="18">
        <v>45937.0</v>
      </c>
      <c r="D597" s="11">
        <v>3.6037127E7</v>
      </c>
      <c r="H597" s="11" t="s">
        <v>2162</v>
      </c>
      <c r="J597" s="11" t="s">
        <v>187</v>
      </c>
      <c r="O597" s="11">
        <v>120.0</v>
      </c>
      <c r="Q597" s="11" t="b">
        <v>1</v>
      </c>
    </row>
    <row r="598">
      <c r="A598" s="11" t="s">
        <v>1897</v>
      </c>
      <c r="B598" s="11" t="s">
        <v>78</v>
      </c>
      <c r="C598" s="18">
        <v>45937.0</v>
      </c>
      <c r="D598" s="11" t="s">
        <v>2509</v>
      </c>
      <c r="H598" s="11" t="s">
        <v>2638</v>
      </c>
      <c r="J598" s="11" t="s">
        <v>187</v>
      </c>
      <c r="O598" s="11">
        <v>104.4</v>
      </c>
      <c r="Q598" s="11" t="b">
        <v>1</v>
      </c>
    </row>
    <row r="599">
      <c r="A599" s="11" t="s">
        <v>1901</v>
      </c>
      <c r="B599" s="11" t="s">
        <v>78</v>
      </c>
      <c r="C599" s="18">
        <v>45937.0</v>
      </c>
      <c r="D599" s="11" t="s">
        <v>1676</v>
      </c>
      <c r="H599" s="11" t="s">
        <v>2802</v>
      </c>
      <c r="J599" s="11" t="s">
        <v>187</v>
      </c>
      <c r="O599" s="11">
        <v>1381.2</v>
      </c>
      <c r="Q599" s="11" t="b">
        <v>1</v>
      </c>
    </row>
    <row r="600">
      <c r="A600" s="11" t="s">
        <v>1905</v>
      </c>
      <c r="B600" s="11" t="s">
        <v>78</v>
      </c>
      <c r="C600" s="18">
        <v>45938.0</v>
      </c>
      <c r="D600" s="11" t="s">
        <v>2535</v>
      </c>
      <c r="H600" s="11" t="s">
        <v>2638</v>
      </c>
      <c r="J600" s="11" t="s">
        <v>187</v>
      </c>
      <c r="O600" s="11">
        <v>59.97</v>
      </c>
      <c r="Q600" s="11" t="b">
        <v>1</v>
      </c>
    </row>
    <row r="601">
      <c r="A601" s="11" t="s">
        <v>1908</v>
      </c>
      <c r="B601" s="11" t="s">
        <v>78</v>
      </c>
      <c r="C601" s="18">
        <v>45937.0</v>
      </c>
      <c r="D601" s="11" t="s">
        <v>415</v>
      </c>
      <c r="H601" s="11" t="s">
        <v>5524</v>
      </c>
      <c r="J601" s="11" t="s">
        <v>187</v>
      </c>
      <c r="O601" s="11">
        <v>99.0</v>
      </c>
      <c r="Q601" s="11" t="b">
        <v>1</v>
      </c>
    </row>
    <row r="602">
      <c r="A602" s="11" t="s">
        <v>1911</v>
      </c>
      <c r="B602" s="11" t="s">
        <v>78</v>
      </c>
      <c r="C602" s="12">
        <v>45940.0</v>
      </c>
      <c r="H602" s="11" t="s">
        <v>783</v>
      </c>
      <c r="J602" s="11" t="s">
        <v>187</v>
      </c>
      <c r="K602" s="11" t="s">
        <v>113</v>
      </c>
      <c r="O602" s="11">
        <v>480.0</v>
      </c>
      <c r="Q602" s="11" t="b">
        <v>1</v>
      </c>
    </row>
    <row r="603">
      <c r="A603" s="11" t="s">
        <v>1915</v>
      </c>
      <c r="B603" s="11" t="s">
        <v>78</v>
      </c>
      <c r="C603" s="12">
        <v>45945.0</v>
      </c>
      <c r="D603" s="11" t="s">
        <v>5533</v>
      </c>
      <c r="H603" s="11" t="s">
        <v>5534</v>
      </c>
      <c r="J603" s="11" t="s">
        <v>235</v>
      </c>
      <c r="O603" s="11">
        <v>72.5</v>
      </c>
      <c r="Q603" s="11" t="b">
        <v>1</v>
      </c>
    </row>
    <row r="604">
      <c r="A604" s="11" t="s">
        <v>1919</v>
      </c>
      <c r="B604" s="11" t="s">
        <v>78</v>
      </c>
      <c r="C604" s="12">
        <v>45943.0</v>
      </c>
      <c r="D604" s="11" t="s">
        <v>547</v>
      </c>
      <c r="H604" s="11" t="s">
        <v>973</v>
      </c>
      <c r="J604" s="11" t="s">
        <v>187</v>
      </c>
      <c r="O604" s="11">
        <v>1045.0</v>
      </c>
      <c r="Q604" s="11" t="b">
        <v>1</v>
      </c>
    </row>
    <row r="605">
      <c r="A605" s="11" t="s">
        <v>1921</v>
      </c>
      <c r="B605" s="11" t="s">
        <v>78</v>
      </c>
      <c r="C605" s="12">
        <v>45943.0</v>
      </c>
      <c r="D605" s="11" t="s">
        <v>547</v>
      </c>
      <c r="H605" s="11" t="s">
        <v>964</v>
      </c>
      <c r="J605" s="11" t="s">
        <v>187</v>
      </c>
      <c r="O605" s="11">
        <v>625.0</v>
      </c>
      <c r="Q605" s="11" t="b">
        <v>1</v>
      </c>
    </row>
    <row r="606">
      <c r="A606" s="11" t="s">
        <v>1923</v>
      </c>
      <c r="B606" s="11" t="s">
        <v>78</v>
      </c>
      <c r="C606" s="12">
        <v>45943.0</v>
      </c>
      <c r="D606" s="11" t="s">
        <v>547</v>
      </c>
      <c r="H606" s="11" t="s">
        <v>955</v>
      </c>
      <c r="J606" s="11" t="s">
        <v>187</v>
      </c>
      <c r="O606" s="11">
        <v>375.0</v>
      </c>
      <c r="Q606" s="11" t="b">
        <v>1</v>
      </c>
    </row>
    <row r="607">
      <c r="A607" s="11" t="s">
        <v>1926</v>
      </c>
      <c r="B607" s="11" t="s">
        <v>78</v>
      </c>
      <c r="C607" s="12">
        <v>45943.0</v>
      </c>
      <c r="D607" s="11" t="s">
        <v>192</v>
      </c>
      <c r="H607" s="11" t="s">
        <v>195</v>
      </c>
      <c r="J607" s="11" t="s">
        <v>187</v>
      </c>
      <c r="O607" s="11">
        <v>2500.0</v>
      </c>
      <c r="Q607" s="11" t="b">
        <v>1</v>
      </c>
    </row>
    <row r="608">
      <c r="A608" s="11" t="s">
        <v>1929</v>
      </c>
      <c r="B608" s="11" t="s">
        <v>78</v>
      </c>
      <c r="C608" s="12">
        <v>45943.0</v>
      </c>
      <c r="D608" s="11" t="s">
        <v>1217</v>
      </c>
      <c r="H608" s="11" t="s">
        <v>1218</v>
      </c>
      <c r="J608" s="11" t="s">
        <v>187</v>
      </c>
      <c r="O608" s="11">
        <v>131.9</v>
      </c>
      <c r="Q608" s="11" t="b">
        <v>1</v>
      </c>
    </row>
    <row r="609">
      <c r="A609" s="11" t="s">
        <v>1931</v>
      </c>
      <c r="B609" s="11" t="s">
        <v>78</v>
      </c>
      <c r="C609" s="12">
        <v>45943.0</v>
      </c>
      <c r="D609" s="11" t="s">
        <v>415</v>
      </c>
      <c r="H609" s="11" t="s">
        <v>5552</v>
      </c>
      <c r="J609" s="11" t="s">
        <v>187</v>
      </c>
      <c r="O609" s="11">
        <v>253.0</v>
      </c>
      <c r="Q609" s="11" t="b">
        <v>1</v>
      </c>
    </row>
    <row r="610">
      <c r="A610" s="11" t="s">
        <v>1934</v>
      </c>
      <c r="B610" s="11" t="s">
        <v>78</v>
      </c>
      <c r="C610" s="12">
        <v>45943.0</v>
      </c>
      <c r="D610" s="11" t="s">
        <v>1046</v>
      </c>
      <c r="H610" s="11" t="s">
        <v>2638</v>
      </c>
      <c r="J610" s="11" t="s">
        <v>187</v>
      </c>
      <c r="O610" s="11">
        <v>877.04</v>
      </c>
      <c r="Q610" s="11" t="b">
        <v>1</v>
      </c>
    </row>
    <row r="611">
      <c r="A611" s="11" t="s">
        <v>1939</v>
      </c>
      <c r="B611" s="11" t="s">
        <v>78</v>
      </c>
      <c r="C611" s="12">
        <v>45943.0</v>
      </c>
      <c r="D611" s="11" t="s">
        <v>404</v>
      </c>
      <c r="H611" s="11" t="s">
        <v>5569</v>
      </c>
      <c r="J611" s="11" t="s">
        <v>187</v>
      </c>
      <c r="O611" s="11">
        <v>1178.55</v>
      </c>
      <c r="Q611" s="11" t="b">
        <v>1</v>
      </c>
    </row>
    <row r="612">
      <c r="A612" s="11">
        <v>1551.0</v>
      </c>
      <c r="B612" s="11" t="s">
        <v>78</v>
      </c>
      <c r="C612" s="12">
        <v>45947.0</v>
      </c>
      <c r="D612" s="11" t="s">
        <v>1046</v>
      </c>
      <c r="H612" s="11" t="s">
        <v>1557</v>
      </c>
      <c r="J612" s="11" t="s">
        <v>187</v>
      </c>
      <c r="O612" s="11">
        <v>7597.32</v>
      </c>
      <c r="Q612" s="11" t="b">
        <v>1</v>
      </c>
    </row>
    <row r="613">
      <c r="A613" s="11">
        <v>1552.0</v>
      </c>
      <c r="B613" s="11" t="s">
        <v>78</v>
      </c>
      <c r="C613" s="12">
        <v>45943.0</v>
      </c>
      <c r="D613" s="11" t="s">
        <v>1046</v>
      </c>
      <c r="H613" s="11" t="s">
        <v>2638</v>
      </c>
      <c r="J613" s="11" t="s">
        <v>187</v>
      </c>
      <c r="O613" s="11">
        <v>558.41</v>
      </c>
      <c r="Q613" s="11" t="b">
        <v>1</v>
      </c>
    </row>
    <row r="614">
      <c r="A614" s="11" t="s">
        <v>1947</v>
      </c>
      <c r="B614" s="11" t="s">
        <v>78</v>
      </c>
      <c r="C614" s="12">
        <v>45949.0</v>
      </c>
      <c r="H614" s="11" t="s">
        <v>783</v>
      </c>
      <c r="J614" s="11" t="s">
        <v>187</v>
      </c>
      <c r="K614" s="11" t="s">
        <v>126</v>
      </c>
      <c r="O614" s="11">
        <v>500.0</v>
      </c>
      <c r="Q614" s="11" t="b">
        <v>1</v>
      </c>
    </row>
    <row r="615">
      <c r="A615" s="11" t="s">
        <v>1951</v>
      </c>
      <c r="B615" s="11" t="s">
        <v>78</v>
      </c>
      <c r="C615" s="12">
        <v>45950.0</v>
      </c>
      <c r="D615" s="11" t="s">
        <v>4544</v>
      </c>
      <c r="H615" s="11" t="s">
        <v>5592</v>
      </c>
      <c r="J615" s="11" t="s">
        <v>235</v>
      </c>
      <c r="O615" s="11">
        <v>80.0</v>
      </c>
      <c r="Q615" s="11" t="b">
        <v>1</v>
      </c>
    </row>
    <row r="616">
      <c r="A616" s="11" t="s">
        <v>1954</v>
      </c>
      <c r="B616" s="11" t="s">
        <v>78</v>
      </c>
      <c r="C616" s="12">
        <v>45950.0</v>
      </c>
      <c r="D616" s="11" t="s">
        <v>237</v>
      </c>
      <c r="H616" s="11" t="s">
        <v>5599</v>
      </c>
      <c r="J616" s="11" t="s">
        <v>187</v>
      </c>
      <c r="O616" s="11">
        <v>1521.94</v>
      </c>
      <c r="Q616" s="11" t="b">
        <v>1</v>
      </c>
    </row>
    <row r="617">
      <c r="A617" s="11" t="s">
        <v>1956</v>
      </c>
      <c r="B617" s="11" t="s">
        <v>78</v>
      </c>
      <c r="C617" s="12">
        <v>45950.0</v>
      </c>
      <c r="D617" s="11" t="s">
        <v>237</v>
      </c>
      <c r="H617" s="11" t="s">
        <v>5607</v>
      </c>
      <c r="J617" s="11" t="s">
        <v>187</v>
      </c>
      <c r="O617" s="11">
        <v>4749.09</v>
      </c>
      <c r="Q617" s="11" t="b">
        <v>1</v>
      </c>
    </row>
    <row r="618">
      <c r="A618" s="11" t="s">
        <v>1962</v>
      </c>
      <c r="B618" s="11" t="s">
        <v>78</v>
      </c>
      <c r="C618" s="12">
        <v>45950.0</v>
      </c>
      <c r="D618" s="11" t="s">
        <v>237</v>
      </c>
      <c r="H618" s="11" t="s">
        <v>5615</v>
      </c>
      <c r="J618" s="11" t="s">
        <v>187</v>
      </c>
      <c r="O618" s="11">
        <v>1030.77</v>
      </c>
      <c r="Q618" s="11" t="b">
        <v>1</v>
      </c>
    </row>
    <row r="619">
      <c r="A619" s="11" t="s">
        <v>1966</v>
      </c>
      <c r="B619" s="11" t="s">
        <v>78</v>
      </c>
      <c r="C619" s="12">
        <v>45950.0</v>
      </c>
      <c r="D619" s="11" t="s">
        <v>451</v>
      </c>
      <c r="H619" s="11" t="s">
        <v>5628</v>
      </c>
      <c r="J619" s="11" t="s">
        <v>187</v>
      </c>
      <c r="O619" s="11">
        <v>1196.41</v>
      </c>
      <c r="Q619" s="11" t="b">
        <v>1</v>
      </c>
    </row>
    <row r="620">
      <c r="A620" s="11" t="s">
        <v>1970</v>
      </c>
      <c r="B620" s="11" t="s">
        <v>78</v>
      </c>
      <c r="C620" s="12">
        <v>45950.0</v>
      </c>
      <c r="D620" s="11" t="s">
        <v>415</v>
      </c>
      <c r="H620" s="11" t="s">
        <v>5636</v>
      </c>
      <c r="J620" s="11" t="s">
        <v>187</v>
      </c>
      <c r="O620" s="11">
        <v>317.34</v>
      </c>
      <c r="Q620" s="11" t="b">
        <v>1</v>
      </c>
    </row>
    <row r="621">
      <c r="A621" s="11" t="s">
        <v>1975</v>
      </c>
      <c r="B621" s="11" t="s">
        <v>78</v>
      </c>
      <c r="C621" s="12">
        <v>45950.0</v>
      </c>
      <c r="D621" s="11" t="s">
        <v>1567</v>
      </c>
      <c r="H621" s="11" t="s">
        <v>5636</v>
      </c>
      <c r="J621" s="11" t="s">
        <v>187</v>
      </c>
      <c r="O621" s="11">
        <v>371.54</v>
      </c>
      <c r="Q621" s="11" t="b">
        <v>1</v>
      </c>
    </row>
    <row r="622">
      <c r="A622" s="11" t="s">
        <v>1979</v>
      </c>
      <c r="B622" s="11" t="s">
        <v>78</v>
      </c>
      <c r="C622" s="12">
        <v>45950.0</v>
      </c>
      <c r="D622" s="11" t="s">
        <v>404</v>
      </c>
      <c r="H622" s="11" t="s">
        <v>5660</v>
      </c>
      <c r="J622" s="11" t="s">
        <v>187</v>
      </c>
      <c r="O622" s="11">
        <v>45.7</v>
      </c>
      <c r="Q622" s="11" t="b">
        <v>1</v>
      </c>
    </row>
    <row r="623">
      <c r="A623" s="11">
        <v>1566.0</v>
      </c>
      <c r="B623" s="11" t="s">
        <v>78</v>
      </c>
      <c r="C623" s="12">
        <v>45950.0</v>
      </c>
      <c r="D623" s="11" t="s">
        <v>415</v>
      </c>
      <c r="H623" s="18">
        <v>45931.0</v>
      </c>
      <c r="J623" s="11" t="s">
        <v>187</v>
      </c>
      <c r="O623" s="11">
        <v>190.34</v>
      </c>
      <c r="Q623" s="11" t="b">
        <v>1</v>
      </c>
    </row>
    <row r="624">
      <c r="A624" s="11">
        <v>1567.0</v>
      </c>
      <c r="B624" s="11" t="s">
        <v>78</v>
      </c>
      <c r="C624" s="12">
        <v>45950.0</v>
      </c>
      <c r="D624" s="11" t="s">
        <v>1567</v>
      </c>
      <c r="H624" s="18">
        <v>45717.0</v>
      </c>
      <c r="J624" s="11" t="s">
        <v>187</v>
      </c>
      <c r="O624" s="11">
        <v>52.36</v>
      </c>
      <c r="Q624" s="11" t="b">
        <v>1</v>
      </c>
    </row>
    <row r="625">
      <c r="A625" s="11" t="s">
        <v>1988</v>
      </c>
      <c r="B625" s="11" t="s">
        <v>78</v>
      </c>
      <c r="C625" s="12">
        <v>45958.0</v>
      </c>
      <c r="D625" s="11" t="s">
        <v>5465</v>
      </c>
      <c r="H625" s="11" t="s">
        <v>5708</v>
      </c>
      <c r="J625" s="11" t="s">
        <v>187</v>
      </c>
      <c r="O625" s="11">
        <v>700.0</v>
      </c>
      <c r="Q625" s="11" t="b">
        <v>1</v>
      </c>
    </row>
    <row r="626">
      <c r="A626" s="11" t="s">
        <v>1992</v>
      </c>
      <c r="B626" s="11" t="s">
        <v>78</v>
      </c>
      <c r="C626" s="12">
        <v>45958.0</v>
      </c>
      <c r="D626" s="11" t="s">
        <v>237</v>
      </c>
      <c r="H626" s="11" t="s">
        <v>5719</v>
      </c>
      <c r="J626" s="11" t="s">
        <v>187</v>
      </c>
      <c r="O626" s="11">
        <v>285.6</v>
      </c>
      <c r="Q626" s="11" t="b">
        <v>1</v>
      </c>
    </row>
    <row r="627">
      <c r="A627" s="11">
        <v>1569.0</v>
      </c>
      <c r="B627" s="11" t="s">
        <v>78</v>
      </c>
      <c r="H627" s="11" t="s">
        <v>681</v>
      </c>
      <c r="J627" s="11" t="s">
        <v>187</v>
      </c>
      <c r="K627" s="11" t="s">
        <v>685</v>
      </c>
      <c r="O627" s="11">
        <v>3498.0</v>
      </c>
      <c r="Q627" s="11" t="b">
        <v>1</v>
      </c>
    </row>
    <row r="628">
      <c r="A628" s="11">
        <v>1570.0</v>
      </c>
      <c r="B628" s="11" t="s">
        <v>78</v>
      </c>
      <c r="H628" s="11" t="s">
        <v>687</v>
      </c>
      <c r="J628" s="11" t="s">
        <v>187</v>
      </c>
      <c r="K628" s="11" t="s">
        <v>3675</v>
      </c>
      <c r="O628" s="11">
        <v>292.0</v>
      </c>
      <c r="Q628" s="11" t="b">
        <v>1</v>
      </c>
    </row>
    <row r="629">
      <c r="A629" s="11">
        <v>1571.0</v>
      </c>
      <c r="B629" s="11" t="s">
        <v>78</v>
      </c>
      <c r="H629" s="11" t="s">
        <v>687</v>
      </c>
      <c r="J629" s="11" t="s">
        <v>187</v>
      </c>
      <c r="K629" s="11" t="s">
        <v>704</v>
      </c>
      <c r="O629" s="11">
        <v>292.0</v>
      </c>
      <c r="Q629" s="11" t="b">
        <v>1</v>
      </c>
    </row>
    <row r="630">
      <c r="A630" s="11">
        <v>1572.0</v>
      </c>
      <c r="B630" s="11" t="s">
        <v>78</v>
      </c>
      <c r="C630" s="12">
        <v>45958.0</v>
      </c>
      <c r="D630" s="11" t="s">
        <v>415</v>
      </c>
      <c r="H630" s="11" t="s">
        <v>1015</v>
      </c>
      <c r="J630" s="11" t="s">
        <v>187</v>
      </c>
      <c r="O630" s="11">
        <v>22.0</v>
      </c>
      <c r="Q630" s="11" t="b">
        <v>1</v>
      </c>
    </row>
    <row r="631">
      <c r="A631" s="11">
        <v>1573.0</v>
      </c>
      <c r="B631" s="11" t="s">
        <v>78</v>
      </c>
      <c r="C631" s="12">
        <v>45958.0</v>
      </c>
      <c r="D631" s="11" t="s">
        <v>415</v>
      </c>
      <c r="H631" s="11" t="s">
        <v>1022</v>
      </c>
      <c r="J631" s="11" t="s">
        <v>187</v>
      </c>
      <c r="O631" s="11">
        <v>10.0</v>
      </c>
      <c r="Q631" s="11" t="b">
        <v>1</v>
      </c>
    </row>
    <row r="632">
      <c r="A632" s="11">
        <v>1574.0</v>
      </c>
      <c r="B632" s="11" t="s">
        <v>78</v>
      </c>
      <c r="C632" s="12">
        <v>45958.0</v>
      </c>
      <c r="D632" s="11" t="s">
        <v>629</v>
      </c>
      <c r="H632" s="11" t="s">
        <v>633</v>
      </c>
      <c r="J632" s="11" t="s">
        <v>187</v>
      </c>
      <c r="O632" s="11">
        <v>2430.62</v>
      </c>
      <c r="Q632" s="11" t="b">
        <v>1</v>
      </c>
    </row>
    <row r="633">
      <c r="A633" s="11">
        <v>1575.0</v>
      </c>
      <c r="B633" s="11" t="s">
        <v>78</v>
      </c>
      <c r="H633" s="11" t="s">
        <v>2638</v>
      </c>
      <c r="J633" s="11" t="s">
        <v>187</v>
      </c>
      <c r="K633" s="11" t="s">
        <v>225</v>
      </c>
      <c r="O633" s="11">
        <v>1.0</v>
      </c>
      <c r="Q633" s="11" t="b">
        <v>1</v>
      </c>
    </row>
    <row r="634">
      <c r="A634" s="11">
        <v>1576.0</v>
      </c>
      <c r="B634" s="11" t="s">
        <v>78</v>
      </c>
      <c r="H634" s="11" t="s">
        <v>2638</v>
      </c>
      <c r="J634" s="11" t="s">
        <v>187</v>
      </c>
      <c r="K634" s="11" t="s">
        <v>113</v>
      </c>
      <c r="O634" s="11">
        <v>1.0</v>
      </c>
      <c r="Q634" s="11" t="b">
        <v>1</v>
      </c>
    </row>
    <row r="635">
      <c r="A635" s="11">
        <v>1577.0</v>
      </c>
      <c r="B635" s="11" t="s">
        <v>78</v>
      </c>
      <c r="H635" s="11" t="s">
        <v>2638</v>
      </c>
      <c r="J635" s="11" t="s">
        <v>187</v>
      </c>
      <c r="K635" s="11" t="s">
        <v>2055</v>
      </c>
      <c r="O635" s="11">
        <v>1.0</v>
      </c>
      <c r="Q635" s="11" t="b">
        <v>1</v>
      </c>
    </row>
    <row r="636">
      <c r="A636" s="11">
        <v>1578.0</v>
      </c>
      <c r="B636" s="11" t="s">
        <v>78</v>
      </c>
      <c r="H636" s="11" t="s">
        <v>2638</v>
      </c>
      <c r="J636" s="11" t="s">
        <v>187</v>
      </c>
      <c r="K636" s="11" t="s">
        <v>3739</v>
      </c>
      <c r="O636" s="11">
        <v>1.0</v>
      </c>
      <c r="Q636" s="11" t="b">
        <v>1</v>
      </c>
    </row>
    <row r="637">
      <c r="A637" s="11">
        <v>1.71608141E8</v>
      </c>
      <c r="B637" s="11" t="s">
        <v>78</v>
      </c>
      <c r="C637" s="12">
        <v>45958.0</v>
      </c>
      <c r="D637" s="11" t="s">
        <v>451</v>
      </c>
      <c r="H637" s="11" t="s">
        <v>5801</v>
      </c>
      <c r="J637" s="11" t="s">
        <v>187</v>
      </c>
      <c r="O637" s="11">
        <v>82.03</v>
      </c>
      <c r="Q637" s="11" t="b">
        <v>1</v>
      </c>
    </row>
    <row r="638">
      <c r="A638" s="11" t="s">
        <v>2038</v>
      </c>
      <c r="B638" s="11" t="s">
        <v>78</v>
      </c>
      <c r="C638" s="12">
        <v>45958.0</v>
      </c>
      <c r="D638" s="11" t="s">
        <v>237</v>
      </c>
      <c r="H638" s="11" t="s">
        <v>5805</v>
      </c>
      <c r="J638" s="11" t="s">
        <v>187</v>
      </c>
      <c r="O638" s="11">
        <v>3195.9</v>
      </c>
      <c r="Q638" s="11" t="b">
        <v>1</v>
      </c>
    </row>
    <row r="639">
      <c r="A639" s="11" t="s">
        <v>2043</v>
      </c>
      <c r="B639" s="11" t="s">
        <v>78</v>
      </c>
      <c r="D639" s="11" t="s">
        <v>237</v>
      </c>
      <c r="H639" s="11" t="s">
        <v>5808</v>
      </c>
      <c r="J639" s="11" t="s">
        <v>5814</v>
      </c>
      <c r="O639" s="11">
        <v>1176.13</v>
      </c>
      <c r="Q639" s="11" t="b">
        <v>1</v>
      </c>
    </row>
    <row r="640">
      <c r="A640" s="11" t="s">
        <v>2047</v>
      </c>
      <c r="B640" s="11" t="s">
        <v>78</v>
      </c>
      <c r="C640" s="12">
        <v>45960.0</v>
      </c>
      <c r="H640" s="11" t="s">
        <v>783</v>
      </c>
      <c r="J640" s="11" t="s">
        <v>187</v>
      </c>
      <c r="K640" s="11" t="s">
        <v>225</v>
      </c>
      <c r="O640" s="11">
        <v>500.0</v>
      </c>
      <c r="Q640" s="11" t="b">
        <v>1</v>
      </c>
    </row>
    <row r="641">
      <c r="A641" s="11">
        <v>1587.0</v>
      </c>
      <c r="B641" s="11" t="s">
        <v>78</v>
      </c>
      <c r="D641" s="11" t="s">
        <v>176</v>
      </c>
      <c r="H641" s="11" t="s">
        <v>1440</v>
      </c>
      <c r="J641" s="11" t="s">
        <v>187</v>
      </c>
      <c r="O641" s="11">
        <v>550.0</v>
      </c>
      <c r="Q641" s="11" t="b">
        <v>1</v>
      </c>
    </row>
    <row r="642">
      <c r="A642" s="11">
        <v>1588.0</v>
      </c>
      <c r="B642" s="11" t="s">
        <v>78</v>
      </c>
      <c r="D642" s="11">
        <v>3.6037127E7</v>
      </c>
      <c r="H642" s="11" t="s">
        <v>2162</v>
      </c>
      <c r="J642" s="11" t="s">
        <v>187</v>
      </c>
      <c r="O642" s="11">
        <v>120.0</v>
      </c>
      <c r="Q642" s="11" t="b">
        <v>1</v>
      </c>
    </row>
    <row r="643">
      <c r="A643" s="11">
        <v>1589.0</v>
      </c>
      <c r="B643" s="11" t="s">
        <v>78</v>
      </c>
      <c r="D643" s="11" t="s">
        <v>2509</v>
      </c>
      <c r="H643" s="11" t="s">
        <v>2638</v>
      </c>
      <c r="J643" s="11" t="s">
        <v>187</v>
      </c>
      <c r="O643" s="11">
        <v>130.5</v>
      </c>
      <c r="Q643" s="11" t="b">
        <v>1</v>
      </c>
    </row>
    <row r="644">
      <c r="A644" s="11">
        <v>1590.0</v>
      </c>
      <c r="B644" s="11" t="s">
        <v>78</v>
      </c>
      <c r="D644" s="11" t="s">
        <v>1676</v>
      </c>
      <c r="H644" s="11" t="s">
        <v>2802</v>
      </c>
      <c r="J644" s="11" t="s">
        <v>187</v>
      </c>
      <c r="O644" s="11">
        <v>1.0</v>
      </c>
      <c r="Q644" s="11" t="b">
        <v>1</v>
      </c>
    </row>
    <row r="645">
      <c r="A645" s="11">
        <v>1591.0</v>
      </c>
      <c r="B645" s="11" t="s">
        <v>78</v>
      </c>
      <c r="D645" s="11" t="s">
        <v>2535</v>
      </c>
      <c r="H645" s="11" t="s">
        <v>2638</v>
      </c>
      <c r="J645" s="11" t="s">
        <v>187</v>
      </c>
      <c r="O645" s="11">
        <v>70.0</v>
      </c>
      <c r="Q645" s="11" t="b">
        <v>1</v>
      </c>
    </row>
    <row r="646">
      <c r="A646" s="11" t="s">
        <v>5840</v>
      </c>
      <c r="B646" s="11" t="s">
        <v>78</v>
      </c>
      <c r="C646" s="12">
        <v>45960.0</v>
      </c>
      <c r="D646" s="11" t="s">
        <v>5118</v>
      </c>
      <c r="E646" s="11" t="s">
        <v>5843</v>
      </c>
      <c r="G646" s="11" t="s">
        <v>5846</v>
      </c>
      <c r="H646" s="11" t="s">
        <v>5845</v>
      </c>
      <c r="I646" s="11" t="b">
        <v>1</v>
      </c>
      <c r="J646" s="11" t="s">
        <v>2932</v>
      </c>
      <c r="P646" s="11">
        <v>1768079.0</v>
      </c>
      <c r="Q646" s="11" t="b">
        <v>1</v>
      </c>
    </row>
    <row r="647">
      <c r="A647" s="11" t="s">
        <v>5851</v>
      </c>
      <c r="B647" s="11" t="s">
        <v>78</v>
      </c>
      <c r="C647" s="12">
        <v>45960.0</v>
      </c>
      <c r="D647" s="11" t="s">
        <v>739</v>
      </c>
      <c r="E647" s="11" t="s">
        <v>5853</v>
      </c>
      <c r="G647" s="11" t="s">
        <v>5857</v>
      </c>
      <c r="H647" s="11" t="s">
        <v>5854</v>
      </c>
      <c r="I647" s="11" t="b">
        <v>1</v>
      </c>
      <c r="J647" s="11" t="s">
        <v>2932</v>
      </c>
      <c r="P647" s="11">
        <v>1768080.0</v>
      </c>
      <c r="Q647" s="11" t="b">
        <v>1</v>
      </c>
    </row>
    <row r="648">
      <c r="A648" s="11" t="s">
        <v>5860</v>
      </c>
      <c r="B648" s="11" t="s">
        <v>78</v>
      </c>
      <c r="C648" s="12">
        <v>45959.0</v>
      </c>
      <c r="D648" s="11" t="s">
        <v>5118</v>
      </c>
      <c r="E648" s="11" t="s">
        <v>5861</v>
      </c>
      <c r="G648" s="11" t="s">
        <v>5864</v>
      </c>
      <c r="H648" s="11" t="s">
        <v>5862</v>
      </c>
      <c r="I648" s="11" t="b">
        <v>1</v>
      </c>
      <c r="J648" s="11" t="s">
        <v>2932</v>
      </c>
      <c r="P648" s="11">
        <v>1766691.0</v>
      </c>
      <c r="Q648" s="11" t="b">
        <v>1</v>
      </c>
    </row>
    <row r="649">
      <c r="A649" s="11" t="s">
        <v>5867</v>
      </c>
      <c r="B649" s="11" t="s">
        <v>78</v>
      </c>
      <c r="C649" s="12">
        <v>45961.0</v>
      </c>
      <c r="D649" s="11" t="s">
        <v>104</v>
      </c>
      <c r="E649" s="11" t="s">
        <v>5870</v>
      </c>
      <c r="G649" s="11" t="s">
        <v>5873</v>
      </c>
      <c r="H649" s="11" t="s">
        <v>5871</v>
      </c>
      <c r="I649" s="11" t="b">
        <v>1</v>
      </c>
      <c r="J649" s="11" t="s">
        <v>2932</v>
      </c>
      <c r="P649" s="11">
        <v>1769857.0</v>
      </c>
      <c r="Q649" s="11" t="b">
        <v>1</v>
      </c>
    </row>
    <row r="650">
      <c r="A650" s="11" t="s">
        <v>5877</v>
      </c>
      <c r="B650" s="11" t="s">
        <v>78</v>
      </c>
      <c r="C650" s="18">
        <v>45962.0</v>
      </c>
      <c r="D650" s="11" t="s">
        <v>1105</v>
      </c>
      <c r="E650" s="11" t="s">
        <v>5878</v>
      </c>
      <c r="G650" s="11" t="s">
        <v>5882</v>
      </c>
      <c r="H650" s="11" t="s">
        <v>5880</v>
      </c>
      <c r="I650" s="11" t="b">
        <v>1</v>
      </c>
      <c r="J650" s="11" t="s">
        <v>2932</v>
      </c>
      <c r="P650" s="11">
        <v>1771263.0</v>
      </c>
      <c r="Q650" s="11" t="b">
        <v>1</v>
      </c>
    </row>
    <row r="651">
      <c r="A651" s="11" t="s">
        <v>5886</v>
      </c>
      <c r="B651" s="11" t="s">
        <v>78</v>
      </c>
      <c r="C651" s="12">
        <v>45961.0</v>
      </c>
      <c r="D651" s="11" t="s">
        <v>85</v>
      </c>
      <c r="E651" s="11" t="s">
        <v>5888</v>
      </c>
      <c r="G651" s="11" t="s">
        <v>5892</v>
      </c>
      <c r="H651" s="11" t="s">
        <v>4209</v>
      </c>
      <c r="I651" s="11" t="b">
        <v>1</v>
      </c>
      <c r="J651" s="11" t="s">
        <v>2932</v>
      </c>
      <c r="P651" s="11">
        <v>1769866.0</v>
      </c>
      <c r="Q651" s="11" t="b">
        <v>1</v>
      </c>
    </row>
    <row r="652">
      <c r="A652" s="11" t="s">
        <v>5895</v>
      </c>
      <c r="B652" s="11" t="s">
        <v>78</v>
      </c>
      <c r="C652" s="12">
        <v>45959.0</v>
      </c>
      <c r="D652" s="11" t="s">
        <v>739</v>
      </c>
      <c r="E652" s="11" t="s">
        <v>5897</v>
      </c>
      <c r="G652" s="11" t="s">
        <v>5900</v>
      </c>
      <c r="H652" s="11" t="s">
        <v>5898</v>
      </c>
      <c r="I652" s="11" t="b">
        <v>1</v>
      </c>
      <c r="J652" s="11" t="s">
        <v>2932</v>
      </c>
      <c r="P652" s="11">
        <v>1766688.0</v>
      </c>
      <c r="Q652" s="11" t="b">
        <v>1</v>
      </c>
    </row>
    <row r="653">
      <c r="A653" s="11" t="s">
        <v>5903</v>
      </c>
      <c r="B653" s="11" t="s">
        <v>78</v>
      </c>
      <c r="C653" s="12">
        <v>45958.0</v>
      </c>
      <c r="D653" s="11" t="s">
        <v>2549</v>
      </c>
      <c r="E653" s="11" t="s">
        <v>5905</v>
      </c>
      <c r="G653" s="11" t="s">
        <v>5909</v>
      </c>
      <c r="H653" s="11" t="s">
        <v>5907</v>
      </c>
      <c r="I653" s="11" t="b">
        <v>1</v>
      </c>
      <c r="J653" s="11" t="s">
        <v>2932</v>
      </c>
      <c r="P653" s="11">
        <v>1765492.0</v>
      </c>
      <c r="Q653" s="11" t="b">
        <v>1</v>
      </c>
    </row>
    <row r="654">
      <c r="A654" s="11" t="s">
        <v>5913</v>
      </c>
      <c r="B654" s="11" t="s">
        <v>78</v>
      </c>
      <c r="C654" s="12">
        <v>45961.0</v>
      </c>
      <c r="D654" s="11" t="s">
        <v>992</v>
      </c>
      <c r="E654" s="11" t="s">
        <v>5915</v>
      </c>
      <c r="G654" s="11" t="s">
        <v>5918</v>
      </c>
      <c r="H654" s="11" t="s">
        <v>5917</v>
      </c>
      <c r="I654" s="11" t="b">
        <v>1</v>
      </c>
      <c r="J654" s="11" t="s">
        <v>2932</v>
      </c>
      <c r="P654" s="11">
        <v>1768825.0</v>
      </c>
      <c r="Q654" s="11" t="b">
        <v>1</v>
      </c>
    </row>
    <row r="655">
      <c r="A655" s="11" t="s">
        <v>5922</v>
      </c>
      <c r="B655" s="11" t="s">
        <v>78</v>
      </c>
      <c r="C655" s="18">
        <v>45962.0</v>
      </c>
      <c r="D655" s="11" t="s">
        <v>5924</v>
      </c>
      <c r="E655" s="11" t="s">
        <v>5925</v>
      </c>
      <c r="G655" s="11" t="s">
        <v>5929</v>
      </c>
      <c r="H655" s="11" t="s">
        <v>5927</v>
      </c>
      <c r="I655" s="11" t="b">
        <v>1</v>
      </c>
      <c r="J655" s="11" t="s">
        <v>2932</v>
      </c>
      <c r="P655" s="11">
        <v>1771531.0</v>
      </c>
      <c r="Q655" s="11" t="b">
        <v>1</v>
      </c>
    </row>
    <row r="656">
      <c r="A656" s="11" t="s">
        <v>5933</v>
      </c>
      <c r="B656" s="11" t="s">
        <v>78</v>
      </c>
      <c r="C656" s="18">
        <v>45963.0</v>
      </c>
      <c r="D656" s="11" t="s">
        <v>2549</v>
      </c>
      <c r="E656" s="11" t="s">
        <v>5934</v>
      </c>
      <c r="G656" s="11" t="s">
        <v>5937</v>
      </c>
      <c r="H656" s="11" t="s">
        <v>5936</v>
      </c>
      <c r="I656" s="11" t="b">
        <v>1</v>
      </c>
      <c r="J656" s="11" t="s">
        <v>2932</v>
      </c>
      <c r="P656" s="11">
        <v>1774353.0</v>
      </c>
      <c r="Q656" s="11" t="b">
        <v>1</v>
      </c>
    </row>
    <row r="657">
      <c r="A657" s="11" t="s">
        <v>2074</v>
      </c>
      <c r="B657" s="11" t="s">
        <v>78</v>
      </c>
      <c r="D657" s="11" t="s">
        <v>547</v>
      </c>
      <c r="H657" s="11" t="s">
        <v>973</v>
      </c>
      <c r="J657" s="11" t="s">
        <v>187</v>
      </c>
      <c r="O657" s="11">
        <v>1045.0</v>
      </c>
      <c r="Q657" s="11" t="b">
        <v>1</v>
      </c>
    </row>
    <row r="658">
      <c r="A658" s="11">
        <v>1592.0</v>
      </c>
      <c r="B658" s="11" t="s">
        <v>78</v>
      </c>
      <c r="D658" s="11" t="s">
        <v>547</v>
      </c>
      <c r="H658" s="11" t="s">
        <v>964</v>
      </c>
      <c r="J658" s="11" t="s">
        <v>187</v>
      </c>
      <c r="O658" s="11">
        <v>625.0</v>
      </c>
      <c r="Q658" s="11" t="b">
        <v>1</v>
      </c>
    </row>
    <row r="659">
      <c r="A659" s="11">
        <v>1593.0</v>
      </c>
      <c r="B659" s="11" t="s">
        <v>78</v>
      </c>
      <c r="D659" s="11" t="s">
        <v>547</v>
      </c>
      <c r="H659" s="11" t="s">
        <v>955</v>
      </c>
      <c r="J659" s="11" t="s">
        <v>187</v>
      </c>
      <c r="O659" s="11">
        <v>375.0</v>
      </c>
      <c r="Q659" s="11" t="b">
        <v>1</v>
      </c>
    </row>
    <row r="660">
      <c r="A660" s="11">
        <v>1594.0</v>
      </c>
      <c r="B660" s="11" t="s">
        <v>78</v>
      </c>
      <c r="D660" s="11" t="s">
        <v>192</v>
      </c>
      <c r="H660" s="11" t="s">
        <v>195</v>
      </c>
      <c r="J660" s="11" t="s">
        <v>187</v>
      </c>
      <c r="O660" s="11">
        <v>2500.0</v>
      </c>
      <c r="Q660" s="11" t="b">
        <v>1</v>
      </c>
    </row>
    <row r="661">
      <c r="A661" s="11">
        <v>1595.0</v>
      </c>
      <c r="B661" s="11" t="s">
        <v>78</v>
      </c>
      <c r="D661" s="11" t="s">
        <v>1217</v>
      </c>
      <c r="H661" s="11" t="s">
        <v>1218</v>
      </c>
      <c r="J661" s="11" t="s">
        <v>235</v>
      </c>
      <c r="O661" s="11">
        <v>119.0</v>
      </c>
      <c r="Q661" s="11" t="b">
        <v>1</v>
      </c>
    </row>
    <row r="662">
      <c r="A662" s="11">
        <v>1596.0</v>
      </c>
      <c r="B662" s="11" t="s">
        <v>78</v>
      </c>
      <c r="D662" s="11" t="s">
        <v>415</v>
      </c>
      <c r="H662" s="11" t="s">
        <v>5961</v>
      </c>
      <c r="J662" s="11" t="s">
        <v>187</v>
      </c>
      <c r="O662" s="11">
        <v>253.0</v>
      </c>
      <c r="Q662" s="11" t="b">
        <v>1</v>
      </c>
    </row>
    <row r="663">
      <c r="A663" s="11" t="s">
        <v>2096</v>
      </c>
      <c r="B663" s="11" t="s">
        <v>78</v>
      </c>
      <c r="D663" s="11" t="s">
        <v>5965</v>
      </c>
      <c r="H663" s="11" t="s">
        <v>5966</v>
      </c>
      <c r="J663" s="11" t="s">
        <v>213</v>
      </c>
      <c r="O663" s="11">
        <v>7546.84</v>
      </c>
      <c r="Q663" s="11" t="b">
        <v>1</v>
      </c>
    </row>
    <row r="664">
      <c r="A664" s="11" t="s">
        <v>2102</v>
      </c>
      <c r="B664" s="11" t="s">
        <v>78</v>
      </c>
      <c r="C664" s="18">
        <v>45966.0</v>
      </c>
      <c r="D664" s="11" t="s">
        <v>547</v>
      </c>
      <c r="H664" s="11" t="s">
        <v>5970</v>
      </c>
      <c r="J664" s="11" t="s">
        <v>235</v>
      </c>
      <c r="O664" s="11">
        <v>565.74</v>
      </c>
      <c r="Q664" s="11" t="b">
        <v>1</v>
      </c>
    </row>
    <row r="665">
      <c r="A665" s="11" t="s">
        <v>5973</v>
      </c>
      <c r="B665" s="11" t="s">
        <v>78</v>
      </c>
      <c r="C665" s="18">
        <v>45965.0</v>
      </c>
      <c r="D665" s="11" t="s">
        <v>237</v>
      </c>
      <c r="E665" s="11" t="s">
        <v>5974</v>
      </c>
      <c r="G665" s="11" t="s">
        <v>5975</v>
      </c>
      <c r="H665" s="11" t="s">
        <v>2291</v>
      </c>
      <c r="I665" s="11" t="b">
        <v>0</v>
      </c>
      <c r="J665" s="11" t="s">
        <v>2932</v>
      </c>
      <c r="L665" s="11" t="s">
        <v>5977</v>
      </c>
      <c r="Q665" s="11" t="b">
        <v>1</v>
      </c>
    </row>
    <row r="666">
      <c r="A666" s="11" t="s">
        <v>5978</v>
      </c>
      <c r="B666" s="11" t="s">
        <v>78</v>
      </c>
      <c r="C666" s="18">
        <v>45965.0</v>
      </c>
      <c r="D666" s="11" t="s">
        <v>237</v>
      </c>
      <c r="E666" s="11" t="s">
        <v>5981</v>
      </c>
      <c r="G666" s="11" t="s">
        <v>5984</v>
      </c>
      <c r="H666" s="11" t="s">
        <v>5982</v>
      </c>
      <c r="I666" s="11" t="b">
        <v>0</v>
      </c>
      <c r="J666" s="11" t="s">
        <v>2932</v>
      </c>
      <c r="Q666" s="11" t="b">
        <v>1</v>
      </c>
    </row>
    <row r="667">
      <c r="A667" s="11" t="s">
        <v>5985</v>
      </c>
      <c r="B667" s="11" t="s">
        <v>78</v>
      </c>
      <c r="C667" s="18">
        <v>45966.0</v>
      </c>
      <c r="D667" s="11" t="s">
        <v>237</v>
      </c>
      <c r="E667" s="11" t="s">
        <v>5987</v>
      </c>
      <c r="G667" s="11" t="s">
        <v>5988</v>
      </c>
      <c r="H667" s="11" t="s">
        <v>2510</v>
      </c>
      <c r="I667" s="11" t="b">
        <v>0</v>
      </c>
      <c r="J667" s="11" t="s">
        <v>2932</v>
      </c>
      <c r="Q667" s="11" t="b">
        <v>1</v>
      </c>
    </row>
    <row r="668">
      <c r="A668" s="11" t="s">
        <v>2105</v>
      </c>
      <c r="B668" s="11" t="s">
        <v>78</v>
      </c>
      <c r="D668" s="11" t="s">
        <v>1567</v>
      </c>
      <c r="H668" s="11" t="s">
        <v>59</v>
      </c>
      <c r="J668" s="11" t="s">
        <v>5814</v>
      </c>
      <c r="O668" s="11">
        <v>536.03</v>
      </c>
      <c r="Q668" s="11" t="b">
        <v>1</v>
      </c>
    </row>
    <row r="669">
      <c r="A669" s="11">
        <v>1603.0</v>
      </c>
      <c r="B669" s="11" t="s">
        <v>78</v>
      </c>
      <c r="D669" s="11" t="s">
        <v>1046</v>
      </c>
      <c r="H669" s="11" t="s">
        <v>2638</v>
      </c>
      <c r="J669" s="11" t="s">
        <v>187</v>
      </c>
      <c r="O669" s="11">
        <v>1.0</v>
      </c>
      <c r="Q669" s="11" t="b">
        <v>1</v>
      </c>
    </row>
    <row r="670">
      <c r="A670" s="11" t="s">
        <v>5998</v>
      </c>
      <c r="B670" s="11" t="s">
        <v>78</v>
      </c>
      <c r="C670" s="18">
        <v>45966.0</v>
      </c>
      <c r="D670" s="11" t="s">
        <v>992</v>
      </c>
      <c r="E670" s="11" t="s">
        <v>5999</v>
      </c>
      <c r="G670" s="11" t="s">
        <v>6002</v>
      </c>
      <c r="H670" s="11" t="s">
        <v>6001</v>
      </c>
      <c r="I670" s="11" t="b">
        <v>1</v>
      </c>
      <c r="J670" s="11" t="s">
        <v>2932</v>
      </c>
      <c r="P670" s="11">
        <v>1779403.0</v>
      </c>
      <c r="Q670" s="11" t="b">
        <v>1</v>
      </c>
    </row>
    <row r="671">
      <c r="A671" s="11" t="s">
        <v>6006</v>
      </c>
      <c r="B671" s="11" t="s">
        <v>78</v>
      </c>
      <c r="C671" s="18">
        <v>45962.0</v>
      </c>
      <c r="D671" s="11" t="s">
        <v>1913</v>
      </c>
      <c r="E671" s="11" t="s">
        <v>6009</v>
      </c>
      <c r="G671" s="11" t="s">
        <v>6013</v>
      </c>
      <c r="H671" s="11" t="s">
        <v>6010</v>
      </c>
      <c r="I671" s="11" t="b">
        <v>1</v>
      </c>
      <c r="J671" s="11" t="s">
        <v>2932</v>
      </c>
      <c r="P671" s="11">
        <v>1771255.0</v>
      </c>
      <c r="Q671" s="11" t="b">
        <v>1</v>
      </c>
    </row>
    <row r="672">
      <c r="A672" s="11" t="s">
        <v>6016</v>
      </c>
      <c r="B672" s="11" t="s">
        <v>78</v>
      </c>
      <c r="C672" s="18">
        <v>45968.0</v>
      </c>
      <c r="D672" s="11" t="s">
        <v>992</v>
      </c>
      <c r="E672" s="11" t="s">
        <v>6018</v>
      </c>
      <c r="G672" s="11" t="s">
        <v>6020</v>
      </c>
      <c r="H672" s="11" t="s">
        <v>6019</v>
      </c>
      <c r="I672" s="11" t="b">
        <v>1</v>
      </c>
      <c r="J672" s="11" t="s">
        <v>2932</v>
      </c>
      <c r="P672" s="11">
        <v>1782369.0</v>
      </c>
      <c r="Q672" s="11" t="b">
        <v>1</v>
      </c>
    </row>
    <row r="673">
      <c r="A673" s="11" t="s">
        <v>6026</v>
      </c>
      <c r="B673" s="11" t="s">
        <v>78</v>
      </c>
      <c r="C673" s="18">
        <v>45968.0</v>
      </c>
      <c r="D673" s="11" t="s">
        <v>104</v>
      </c>
      <c r="E673" s="11" t="s">
        <v>6030</v>
      </c>
      <c r="G673" s="11" t="s">
        <v>6032</v>
      </c>
      <c r="H673" s="11" t="s">
        <v>6031</v>
      </c>
      <c r="I673" s="11" t="b">
        <v>1</v>
      </c>
      <c r="J673" s="11" t="s">
        <v>2932</v>
      </c>
      <c r="L673" s="11" t="s">
        <v>6036</v>
      </c>
      <c r="P673" s="11">
        <v>1782584.0</v>
      </c>
      <c r="Q673" s="11" t="b">
        <v>1</v>
      </c>
    </row>
    <row r="674">
      <c r="A674" s="11" t="s">
        <v>6039</v>
      </c>
      <c r="B674" s="11" t="s">
        <v>78</v>
      </c>
      <c r="C674" s="18">
        <v>45968.0</v>
      </c>
      <c r="D674" s="11" t="s">
        <v>85</v>
      </c>
      <c r="E674" s="11" t="s">
        <v>6041</v>
      </c>
      <c r="G674" s="11" t="s">
        <v>6042</v>
      </c>
      <c r="H674" s="11" t="s">
        <v>4209</v>
      </c>
      <c r="I674" s="11" t="b">
        <v>1</v>
      </c>
      <c r="J674" s="11" t="s">
        <v>2932</v>
      </c>
      <c r="P674" s="11">
        <v>1782869.0</v>
      </c>
      <c r="Q674" s="11" t="b">
        <v>1</v>
      </c>
    </row>
    <row r="675">
      <c r="A675" s="11" t="s">
        <v>6045</v>
      </c>
      <c r="B675" s="11" t="s">
        <v>78</v>
      </c>
      <c r="C675" s="18">
        <v>45968.0</v>
      </c>
      <c r="D675" s="11" t="s">
        <v>85</v>
      </c>
      <c r="E675" s="11" t="s">
        <v>6047</v>
      </c>
      <c r="G675" s="11" t="s">
        <v>6050</v>
      </c>
      <c r="H675" s="11" t="s">
        <v>6048</v>
      </c>
      <c r="I675" s="11" t="b">
        <v>1</v>
      </c>
      <c r="J675" s="11" t="s">
        <v>2932</v>
      </c>
      <c r="P675" s="11">
        <v>1782844.0</v>
      </c>
      <c r="Q675" s="11" t="b">
        <v>1</v>
      </c>
    </row>
    <row r="676">
      <c r="A676" s="11" t="s">
        <v>6053</v>
      </c>
      <c r="B676" s="11" t="s">
        <v>78</v>
      </c>
      <c r="C676" s="18">
        <v>45966.0</v>
      </c>
      <c r="D676" s="11" t="s">
        <v>104</v>
      </c>
      <c r="E676" s="11" t="s">
        <v>6054</v>
      </c>
      <c r="G676" s="11" t="s">
        <v>6057</v>
      </c>
      <c r="H676" s="11" t="s">
        <v>6056</v>
      </c>
      <c r="I676" s="11" t="b">
        <v>1</v>
      </c>
      <c r="J676" s="11" t="s">
        <v>2932</v>
      </c>
      <c r="P676" s="11">
        <v>1779185.0</v>
      </c>
      <c r="Q676" s="11" t="b">
        <v>1</v>
      </c>
    </row>
    <row r="677">
      <c r="A677" s="11" t="s">
        <v>2116</v>
      </c>
      <c r="B677" s="11" t="s">
        <v>78</v>
      </c>
      <c r="C677" s="18">
        <v>45968.0</v>
      </c>
      <c r="H677" s="11" t="s">
        <v>783</v>
      </c>
      <c r="J677" s="11" t="s">
        <v>187</v>
      </c>
      <c r="K677" s="11" t="s">
        <v>126</v>
      </c>
      <c r="O677" s="11">
        <v>200.0</v>
      </c>
      <c r="Q677" s="11" t="b">
        <v>1</v>
      </c>
    </row>
    <row r="678">
      <c r="A678" s="11" t="s">
        <v>2120</v>
      </c>
      <c r="B678" s="11" t="s">
        <v>78</v>
      </c>
      <c r="D678" s="11" t="s">
        <v>237</v>
      </c>
      <c r="H678" s="11" t="s">
        <v>6065</v>
      </c>
      <c r="J678" s="11" t="s">
        <v>5814</v>
      </c>
      <c r="O678" s="11">
        <v>10.0</v>
      </c>
      <c r="Q678" s="11" t="b">
        <v>1</v>
      </c>
    </row>
    <row r="679">
      <c r="A679" s="11" t="s">
        <v>2124</v>
      </c>
      <c r="B679" s="11" t="s">
        <v>78</v>
      </c>
      <c r="D679" s="11" t="s">
        <v>237</v>
      </c>
      <c r="H679" s="11" t="s">
        <v>6069</v>
      </c>
      <c r="J679" s="11" t="s">
        <v>5814</v>
      </c>
      <c r="O679" s="11">
        <v>1315.0</v>
      </c>
      <c r="Q679" s="11" t="b">
        <v>1</v>
      </c>
    </row>
    <row r="680">
      <c r="A680" s="11" t="s">
        <v>2128</v>
      </c>
      <c r="B680" s="11" t="s">
        <v>78</v>
      </c>
      <c r="D680" s="11" t="s">
        <v>237</v>
      </c>
      <c r="H680" s="11" t="s">
        <v>6072</v>
      </c>
      <c r="J680" s="11" t="s">
        <v>5814</v>
      </c>
      <c r="O680" s="11">
        <v>670.17</v>
      </c>
      <c r="Q680" s="11" t="b">
        <v>1</v>
      </c>
    </row>
    <row r="681">
      <c r="A681" s="11" t="s">
        <v>6074</v>
      </c>
      <c r="B681" s="11" t="s">
        <v>78</v>
      </c>
      <c r="C681" s="18">
        <v>45969.0</v>
      </c>
      <c r="D681" s="11" t="s">
        <v>104</v>
      </c>
      <c r="E681" s="11" t="s">
        <v>6075</v>
      </c>
      <c r="G681" s="11" t="s">
        <v>6077</v>
      </c>
      <c r="H681" s="11" t="s">
        <v>6076</v>
      </c>
      <c r="I681" s="11" t="b">
        <v>1</v>
      </c>
      <c r="J681" s="11" t="s">
        <v>2932</v>
      </c>
      <c r="P681" s="11">
        <v>1786196.0</v>
      </c>
      <c r="Q681" s="11" t="b">
        <v>1</v>
      </c>
    </row>
    <row r="682">
      <c r="A682" s="11" t="s">
        <v>6079</v>
      </c>
      <c r="B682" s="11" t="s">
        <v>78</v>
      </c>
      <c r="C682" s="18">
        <v>45970.0</v>
      </c>
      <c r="D682" s="11" t="s">
        <v>85</v>
      </c>
      <c r="E682" s="11" t="s">
        <v>6081</v>
      </c>
      <c r="G682" s="11" t="s">
        <v>6083</v>
      </c>
      <c r="H682" s="11" t="s">
        <v>6082</v>
      </c>
      <c r="I682" s="11" t="b">
        <v>1</v>
      </c>
      <c r="J682" s="11" t="s">
        <v>2932</v>
      </c>
      <c r="P682" s="11">
        <v>1786289.0</v>
      </c>
      <c r="Q682" s="11" t="b">
        <v>1</v>
      </c>
    </row>
    <row r="683">
      <c r="A683" s="11">
        <v>1608.0</v>
      </c>
      <c r="B683" s="11" t="s">
        <v>78</v>
      </c>
      <c r="D683" s="11" t="s">
        <v>1046</v>
      </c>
      <c r="H683" s="11" t="s">
        <v>1557</v>
      </c>
      <c r="J683" s="11" t="s">
        <v>187</v>
      </c>
      <c r="O683" s="11">
        <v>1.0</v>
      </c>
      <c r="Q683" s="11" t="b">
        <v>1</v>
      </c>
    </row>
    <row r="684">
      <c r="A684" s="11">
        <v>1609.0</v>
      </c>
      <c r="B684" s="11" t="s">
        <v>78</v>
      </c>
      <c r="D684" s="11" t="s">
        <v>1046</v>
      </c>
      <c r="H684" s="11" t="s">
        <v>2638</v>
      </c>
      <c r="J684" s="11" t="s">
        <v>187</v>
      </c>
      <c r="O684" s="11">
        <v>1.0</v>
      </c>
      <c r="Q684" s="11" t="b">
        <v>1</v>
      </c>
    </row>
    <row r="685">
      <c r="A685" s="11" t="s">
        <v>2139</v>
      </c>
      <c r="B685" s="11" t="s">
        <v>78</v>
      </c>
      <c r="C685" s="12">
        <v>45972.0</v>
      </c>
      <c r="H685" s="11" t="s">
        <v>6085</v>
      </c>
      <c r="J685" s="11" t="s">
        <v>187</v>
      </c>
      <c r="K685" s="11" t="s">
        <v>113</v>
      </c>
      <c r="O685" s="11">
        <v>480.0</v>
      </c>
      <c r="Q685" s="11" t="b">
        <v>1</v>
      </c>
    </row>
    <row r="686">
      <c r="A686" s="11" t="s">
        <v>6086</v>
      </c>
      <c r="B686" s="11" t="s">
        <v>78</v>
      </c>
      <c r="C686" s="12">
        <v>45973.0</v>
      </c>
      <c r="D686" s="11" t="s">
        <v>817</v>
      </c>
      <c r="E686" s="11" t="s">
        <v>6087</v>
      </c>
      <c r="G686" s="11" t="s">
        <v>6088</v>
      </c>
      <c r="H686" s="11" t="s">
        <v>968</v>
      </c>
      <c r="I686" s="11" t="b">
        <v>0</v>
      </c>
      <c r="J686" s="11" t="s">
        <v>2932</v>
      </c>
      <c r="Q686" s="11" t="b">
        <v>1</v>
      </c>
    </row>
    <row r="687">
      <c r="A687" s="11" t="s">
        <v>6089</v>
      </c>
      <c r="B687" s="11" t="s">
        <v>78</v>
      </c>
      <c r="C687" s="12">
        <v>45940.0</v>
      </c>
      <c r="D687" s="11" t="s">
        <v>2549</v>
      </c>
      <c r="E687" s="11" t="s">
        <v>6090</v>
      </c>
      <c r="G687" s="11" t="s">
        <v>6092</v>
      </c>
      <c r="H687" s="11" t="s">
        <v>6091</v>
      </c>
      <c r="I687" s="11" t="b">
        <v>1</v>
      </c>
      <c r="J687" s="11" t="s">
        <v>2932</v>
      </c>
      <c r="P687" s="11">
        <v>1789742.0</v>
      </c>
      <c r="Q687" s="11" t="b">
        <v>1</v>
      </c>
    </row>
    <row r="688">
      <c r="A688" s="11" t="s">
        <v>6094</v>
      </c>
      <c r="B688" s="11" t="s">
        <v>78</v>
      </c>
      <c r="C688" s="12">
        <v>45971.0</v>
      </c>
      <c r="D688" s="11" t="s">
        <v>5924</v>
      </c>
      <c r="E688" s="11" t="s">
        <v>6095</v>
      </c>
      <c r="G688" s="11" t="s">
        <v>6097</v>
      </c>
      <c r="H688" s="11" t="s">
        <v>6096</v>
      </c>
      <c r="I688" s="11" t="b">
        <v>1</v>
      </c>
      <c r="J688" s="11" t="s">
        <v>2932</v>
      </c>
      <c r="P688" s="11">
        <v>1789744.0</v>
      </c>
      <c r="Q688" s="11" t="b">
        <v>1</v>
      </c>
    </row>
    <row r="689">
      <c r="A689" s="11" t="s">
        <v>6099</v>
      </c>
      <c r="B689" s="11" t="s">
        <v>78</v>
      </c>
      <c r="C689" s="12">
        <v>45972.0</v>
      </c>
      <c r="D689" s="11" t="s">
        <v>6100</v>
      </c>
      <c r="E689" s="11" t="s">
        <v>6101</v>
      </c>
      <c r="G689" s="11" t="s">
        <v>6103</v>
      </c>
      <c r="H689" s="11" t="s">
        <v>6102</v>
      </c>
      <c r="I689" s="11" t="b">
        <v>1</v>
      </c>
      <c r="J689" s="11" t="s">
        <v>2932</v>
      </c>
      <c r="P689" s="11">
        <v>1791699.0</v>
      </c>
      <c r="Q689" s="11" t="b">
        <v>1</v>
      </c>
    </row>
    <row r="690">
      <c r="A690" s="11" t="s">
        <v>6105</v>
      </c>
      <c r="B690" s="11" t="s">
        <v>78</v>
      </c>
      <c r="C690" s="12">
        <v>45972.0</v>
      </c>
      <c r="D690" s="11" t="s">
        <v>5924</v>
      </c>
      <c r="E690" s="11" t="s">
        <v>6106</v>
      </c>
      <c r="G690" s="11" t="s">
        <v>6108</v>
      </c>
      <c r="H690" s="11" t="s">
        <v>6107</v>
      </c>
      <c r="I690" s="11" t="b">
        <v>1</v>
      </c>
      <c r="J690" s="11" t="s">
        <v>2932</v>
      </c>
      <c r="P690" s="11">
        <v>1791722.0</v>
      </c>
      <c r="Q690" s="11" t="b">
        <v>1</v>
      </c>
    </row>
    <row r="691">
      <c r="A691" s="11" t="s">
        <v>6110</v>
      </c>
      <c r="B691" s="11" t="s">
        <v>78</v>
      </c>
      <c r="C691" s="12">
        <v>45954.0</v>
      </c>
      <c r="D691" s="11" t="s">
        <v>237</v>
      </c>
      <c r="E691" s="11" t="s">
        <v>6113</v>
      </c>
      <c r="G691" s="11" t="s">
        <v>6114</v>
      </c>
      <c r="H691" s="11" t="s">
        <v>2510</v>
      </c>
      <c r="I691" s="11" t="b">
        <v>0</v>
      </c>
      <c r="J691" s="11" t="s">
        <v>2932</v>
      </c>
      <c r="L691" s="11" t="s">
        <v>6115</v>
      </c>
      <c r="M691" s="11" t="s">
        <v>6116</v>
      </c>
      <c r="Q691" s="11" t="b">
        <v>1</v>
      </c>
    </row>
    <row r="692">
      <c r="A692" s="11" t="s">
        <v>6117</v>
      </c>
      <c r="B692" s="11" t="s">
        <v>78</v>
      </c>
      <c r="C692" s="12">
        <v>45973.0</v>
      </c>
      <c r="D692" s="11" t="s">
        <v>992</v>
      </c>
      <c r="E692" s="11" t="s">
        <v>6118</v>
      </c>
      <c r="G692" s="11" t="s">
        <v>6120</v>
      </c>
      <c r="H692" s="11" t="s">
        <v>6119</v>
      </c>
      <c r="I692" s="11" t="b">
        <v>1</v>
      </c>
      <c r="J692" s="11" t="s">
        <v>2932</v>
      </c>
      <c r="P692" s="11">
        <v>1792834.0</v>
      </c>
      <c r="Q692" s="11" t="b">
        <v>1</v>
      </c>
    </row>
    <row r="693">
      <c r="A693" s="11" t="s">
        <v>6122</v>
      </c>
      <c r="B693" s="11" t="s">
        <v>78</v>
      </c>
      <c r="C693" s="12">
        <v>45972.0</v>
      </c>
      <c r="D693" s="11" t="s">
        <v>513</v>
      </c>
      <c r="E693" s="11" t="s">
        <v>6123</v>
      </c>
      <c r="G693" s="11" t="s">
        <v>6125</v>
      </c>
      <c r="H693" s="11" t="s">
        <v>6124</v>
      </c>
      <c r="I693" s="11" t="b">
        <v>1</v>
      </c>
      <c r="J693" s="11" t="s">
        <v>2932</v>
      </c>
      <c r="P693" s="11">
        <v>1792993.0</v>
      </c>
      <c r="Q693" s="11" t="b">
        <v>1</v>
      </c>
    </row>
    <row r="694">
      <c r="A694" s="11" t="s">
        <v>6127</v>
      </c>
      <c r="B694" s="11" t="s">
        <v>78</v>
      </c>
      <c r="C694" s="12">
        <v>45974.0</v>
      </c>
      <c r="D694" s="11" t="s">
        <v>2622</v>
      </c>
      <c r="E694" s="11" t="s">
        <v>6128</v>
      </c>
      <c r="G694" s="11" t="s">
        <v>6130</v>
      </c>
      <c r="H694" s="11" t="s">
        <v>6129</v>
      </c>
      <c r="I694" s="11" t="b">
        <v>1</v>
      </c>
      <c r="J694" s="11" t="s">
        <v>2932</v>
      </c>
      <c r="P694" s="11">
        <v>1794664.0</v>
      </c>
      <c r="Q694" s="11" t="b">
        <v>1</v>
      </c>
    </row>
    <row r="695">
      <c r="A695" s="11" t="s">
        <v>6132</v>
      </c>
      <c r="B695" s="11" t="s">
        <v>78</v>
      </c>
      <c r="C695" s="12">
        <v>45973.0</v>
      </c>
      <c r="D695" s="11" t="s">
        <v>3478</v>
      </c>
      <c r="E695" s="11" t="s">
        <v>6133</v>
      </c>
      <c r="G695" s="11" t="s">
        <v>6135</v>
      </c>
      <c r="H695" s="11" t="s">
        <v>6134</v>
      </c>
      <c r="I695" s="11" t="b">
        <v>1</v>
      </c>
      <c r="J695" s="11" t="s">
        <v>2932</v>
      </c>
      <c r="P695" s="11">
        <v>1793280.0</v>
      </c>
      <c r="Q695" s="11" t="b">
        <v>1</v>
      </c>
    </row>
    <row r="696">
      <c r="A696" s="11" t="s">
        <v>6137</v>
      </c>
      <c r="B696" s="11" t="s">
        <v>78</v>
      </c>
      <c r="C696" s="12">
        <v>45975.0</v>
      </c>
      <c r="D696" s="11" t="s">
        <v>104</v>
      </c>
      <c r="E696" s="11" t="s">
        <v>6138</v>
      </c>
      <c r="G696" s="11" t="s">
        <v>6140</v>
      </c>
      <c r="H696" s="11" t="s">
        <v>6139</v>
      </c>
      <c r="I696" s="11" t="b">
        <v>1</v>
      </c>
      <c r="J696" s="11" t="s">
        <v>2932</v>
      </c>
      <c r="P696" s="11">
        <v>1796660.0</v>
      </c>
      <c r="Q696" s="11" t="b">
        <v>1</v>
      </c>
    </row>
    <row r="697">
      <c r="A697" s="11" t="s">
        <v>6142</v>
      </c>
      <c r="B697" s="11" t="s">
        <v>78</v>
      </c>
      <c r="C697" s="12">
        <v>45975.0</v>
      </c>
      <c r="D697" s="11" t="s">
        <v>85</v>
      </c>
      <c r="E697" s="11" t="s">
        <v>6143</v>
      </c>
      <c r="G697" s="11" t="s">
        <v>6145</v>
      </c>
      <c r="H697" s="11" t="s">
        <v>6144</v>
      </c>
      <c r="I697" s="11" t="b">
        <v>1</v>
      </c>
      <c r="J697" s="11" t="s">
        <v>2932</v>
      </c>
      <c r="P697" s="11">
        <v>1796644.0</v>
      </c>
      <c r="Q697" s="11" t="b">
        <v>1</v>
      </c>
    </row>
    <row r="698">
      <c r="A698" s="11" t="s">
        <v>6147</v>
      </c>
      <c r="B698" s="11" t="s">
        <v>78</v>
      </c>
      <c r="C698" s="12">
        <v>45975.0</v>
      </c>
      <c r="D698" s="11" t="s">
        <v>992</v>
      </c>
      <c r="E698" s="11" t="s">
        <v>6148</v>
      </c>
      <c r="G698" s="11" t="s">
        <v>6149</v>
      </c>
      <c r="H698" s="11" t="s">
        <v>5408</v>
      </c>
      <c r="I698" s="11" t="b">
        <v>1</v>
      </c>
      <c r="J698" s="11" t="s">
        <v>2932</v>
      </c>
      <c r="P698" s="11">
        <v>1796663.0</v>
      </c>
      <c r="Q698" s="11" t="b">
        <v>1</v>
      </c>
    </row>
    <row r="699">
      <c r="A699" s="11" t="s">
        <v>6151</v>
      </c>
      <c r="B699" s="11" t="s">
        <v>78</v>
      </c>
      <c r="C699" s="12">
        <v>45975.0</v>
      </c>
      <c r="D699" s="11" t="s">
        <v>3117</v>
      </c>
      <c r="E699" s="11" t="s">
        <v>6152</v>
      </c>
      <c r="G699" s="11" t="s">
        <v>6154</v>
      </c>
      <c r="H699" s="11" t="s">
        <v>6153</v>
      </c>
      <c r="I699" s="11" t="b">
        <v>1</v>
      </c>
      <c r="J699" s="11" t="s">
        <v>2932</v>
      </c>
      <c r="P699" s="11">
        <v>1796182.0</v>
      </c>
      <c r="Q699" s="11" t="b">
        <v>1</v>
      </c>
    </row>
    <row r="700">
      <c r="A700" s="11" t="s">
        <v>2143</v>
      </c>
      <c r="B700" s="11" t="s">
        <v>78</v>
      </c>
      <c r="C700" s="12">
        <v>45975.0</v>
      </c>
      <c r="D700" s="11" t="s">
        <v>6156</v>
      </c>
      <c r="H700" s="11" t="s">
        <v>6157</v>
      </c>
      <c r="J700" s="11" t="s">
        <v>235</v>
      </c>
      <c r="O700" s="11">
        <v>99.98</v>
      </c>
      <c r="Q700" s="11" t="b">
        <v>1</v>
      </c>
    </row>
    <row r="701">
      <c r="A701" s="11">
        <v>1613.0</v>
      </c>
      <c r="B701" s="11" t="s">
        <v>78</v>
      </c>
      <c r="D701" s="11" t="s">
        <v>817</v>
      </c>
      <c r="H701" s="11" t="s">
        <v>6158</v>
      </c>
      <c r="J701" s="11" t="s">
        <v>187</v>
      </c>
      <c r="O701" s="11">
        <v>1.0</v>
      </c>
      <c r="Q701" s="11" t="b">
        <v>1</v>
      </c>
    </row>
    <row r="702">
      <c r="A702" s="11" t="s">
        <v>2152</v>
      </c>
      <c r="B702" s="11" t="s">
        <v>78</v>
      </c>
      <c r="C702" s="12">
        <v>45977.0</v>
      </c>
      <c r="H702" s="11" t="s">
        <v>783</v>
      </c>
      <c r="J702" s="11" t="s">
        <v>187</v>
      </c>
      <c r="K702" s="11" t="s">
        <v>126</v>
      </c>
      <c r="O702" s="11">
        <v>300.0</v>
      </c>
      <c r="Q702" s="11" t="b">
        <v>1</v>
      </c>
    </row>
    <row r="703">
      <c r="A703" s="11">
        <v>1615.0</v>
      </c>
      <c r="B703" s="11" t="s">
        <v>78</v>
      </c>
      <c r="D703" s="11" t="s">
        <v>415</v>
      </c>
      <c r="H703" s="18">
        <v>45931.0</v>
      </c>
      <c r="J703" s="11" t="s">
        <v>5814</v>
      </c>
      <c r="O703" s="11">
        <v>190.34</v>
      </c>
      <c r="Q703" s="11" t="b">
        <v>1</v>
      </c>
    </row>
    <row r="704">
      <c r="A704" s="11">
        <v>1616.0</v>
      </c>
      <c r="B704" s="11" t="s">
        <v>78</v>
      </c>
      <c r="D704" s="11" t="s">
        <v>1567</v>
      </c>
      <c r="H704" s="18">
        <v>45717.0</v>
      </c>
      <c r="J704" s="11" t="s">
        <v>5814</v>
      </c>
      <c r="O704" s="11">
        <v>52.36</v>
      </c>
      <c r="Q704" s="11" t="b">
        <v>1</v>
      </c>
    </row>
    <row r="705">
      <c r="A705" s="11">
        <v>1617.0</v>
      </c>
      <c r="B705" s="11" t="s">
        <v>78</v>
      </c>
      <c r="D705" s="11" t="s">
        <v>415</v>
      </c>
      <c r="H705" s="18">
        <v>45931.0</v>
      </c>
      <c r="J705" s="11" t="s">
        <v>5814</v>
      </c>
      <c r="O705" s="11">
        <v>190.34</v>
      </c>
      <c r="Q705" s="11" t="b">
        <v>1</v>
      </c>
    </row>
    <row r="706">
      <c r="A706" s="11">
        <v>1618.0</v>
      </c>
      <c r="B706" s="11" t="s">
        <v>78</v>
      </c>
      <c r="D706" s="11" t="s">
        <v>1567</v>
      </c>
      <c r="H706" s="18">
        <v>45717.0</v>
      </c>
      <c r="J706" s="11" t="s">
        <v>5814</v>
      </c>
      <c r="O706" s="11">
        <v>52.36</v>
      </c>
      <c r="Q706" s="11" t="b">
        <v>1</v>
      </c>
    </row>
    <row r="707">
      <c r="A707" s="11" t="s">
        <v>2165</v>
      </c>
      <c r="B707" s="11" t="s">
        <v>78</v>
      </c>
      <c r="D707" s="11" t="s">
        <v>404</v>
      </c>
      <c r="H707" s="11" t="s">
        <v>6161</v>
      </c>
      <c r="J707" s="11" t="s">
        <v>5814</v>
      </c>
      <c r="O707" s="11">
        <v>1136.65</v>
      </c>
      <c r="Q707" s="11" t="b">
        <v>1</v>
      </c>
    </row>
    <row r="708">
      <c r="A708" s="11" t="s">
        <v>2169</v>
      </c>
      <c r="B708" s="11" t="s">
        <v>78</v>
      </c>
      <c r="D708" s="11" t="s">
        <v>415</v>
      </c>
      <c r="H708" s="11" t="s">
        <v>6162</v>
      </c>
      <c r="J708" s="11" t="s">
        <v>213</v>
      </c>
      <c r="O708" s="11">
        <v>134.0</v>
      </c>
      <c r="Q708" s="11" t="b">
        <v>1</v>
      </c>
    </row>
    <row r="709">
      <c r="A709" s="11" t="s">
        <v>2176</v>
      </c>
      <c r="B709" s="11" t="s">
        <v>78</v>
      </c>
      <c r="C709" s="12">
        <v>45979.0</v>
      </c>
      <c r="D709" s="11" t="s">
        <v>4510</v>
      </c>
      <c r="H709" s="18">
        <v>46055.0</v>
      </c>
      <c r="J709" s="11" t="s">
        <v>187</v>
      </c>
      <c r="O709" s="11">
        <v>905.44</v>
      </c>
      <c r="Q709" s="11" t="b">
        <v>1</v>
      </c>
    </row>
    <row r="710">
      <c r="A710" s="11" t="s">
        <v>6163</v>
      </c>
      <c r="B710" s="11" t="s">
        <v>78</v>
      </c>
      <c r="C710" s="12">
        <v>45978.0</v>
      </c>
      <c r="D710" s="11" t="s">
        <v>445</v>
      </c>
      <c r="E710" s="11" t="s">
        <v>6164</v>
      </c>
      <c r="G710" s="11" t="s">
        <v>6166</v>
      </c>
      <c r="H710" s="11" t="s">
        <v>6165</v>
      </c>
      <c r="I710" s="11" t="b">
        <v>1</v>
      </c>
      <c r="J710" s="11" t="s">
        <v>2932</v>
      </c>
      <c r="P710" s="11">
        <v>1804170.0</v>
      </c>
      <c r="Q710" s="11" t="b">
        <v>1</v>
      </c>
    </row>
    <row r="711">
      <c r="A711" s="11" t="s">
        <v>6168</v>
      </c>
      <c r="B711" s="11" t="s">
        <v>78</v>
      </c>
      <c r="C711" s="12">
        <v>45978.0</v>
      </c>
      <c r="D711" s="11" t="s">
        <v>1094</v>
      </c>
      <c r="E711" s="11" t="s">
        <v>6169</v>
      </c>
      <c r="G711" s="11" t="s">
        <v>6171</v>
      </c>
      <c r="H711" s="11" t="s">
        <v>6170</v>
      </c>
      <c r="I711" s="11" t="b">
        <v>1</v>
      </c>
      <c r="J711" s="11" t="s">
        <v>2932</v>
      </c>
      <c r="P711" s="11">
        <v>1804162.0</v>
      </c>
      <c r="Q711" s="11" t="b">
        <v>1</v>
      </c>
    </row>
    <row r="712">
      <c r="A712" s="11" t="s">
        <v>6173</v>
      </c>
      <c r="B712" s="11" t="s">
        <v>78</v>
      </c>
      <c r="C712" s="12">
        <v>45980.0</v>
      </c>
      <c r="D712" s="11" t="s">
        <v>1105</v>
      </c>
      <c r="E712" s="11" t="s">
        <v>6174</v>
      </c>
      <c r="G712" s="11" t="s">
        <v>6176</v>
      </c>
      <c r="H712" s="11" t="s">
        <v>6175</v>
      </c>
      <c r="I712" s="11" t="b">
        <v>1</v>
      </c>
      <c r="J712" s="11" t="s">
        <v>2932</v>
      </c>
      <c r="P712" s="11">
        <v>1806962.0</v>
      </c>
      <c r="Q712" s="11" t="b">
        <v>1</v>
      </c>
    </row>
    <row r="713">
      <c r="A713" s="11" t="s">
        <v>6178</v>
      </c>
      <c r="B713" s="11" t="s">
        <v>78</v>
      </c>
      <c r="C713" s="12">
        <v>45977.0</v>
      </c>
      <c r="D713" s="11" t="s">
        <v>2549</v>
      </c>
      <c r="E713" s="11" t="s">
        <v>6179</v>
      </c>
      <c r="G713" s="11" t="s">
        <v>6183</v>
      </c>
      <c r="H713" s="11" t="s">
        <v>6181</v>
      </c>
      <c r="I713" s="11" t="b">
        <v>1</v>
      </c>
      <c r="J713" s="11" t="s">
        <v>2932</v>
      </c>
      <c r="P713" s="11">
        <v>1802015.0</v>
      </c>
      <c r="Q713" s="11" t="b">
        <v>1</v>
      </c>
    </row>
    <row r="714">
      <c r="A714" s="11" t="s">
        <v>6185</v>
      </c>
      <c r="B714" s="11" t="s">
        <v>78</v>
      </c>
      <c r="C714" s="12">
        <v>45978.0</v>
      </c>
      <c r="D714" s="11" t="s">
        <v>992</v>
      </c>
      <c r="E714" s="11" t="s">
        <v>6186</v>
      </c>
      <c r="G714" s="11" t="s">
        <v>6188</v>
      </c>
      <c r="H714" s="11" t="s">
        <v>6187</v>
      </c>
      <c r="I714" s="11" t="b">
        <v>1</v>
      </c>
      <c r="J714" s="11" t="s">
        <v>2932</v>
      </c>
      <c r="P714" s="11">
        <v>1803490.0</v>
      </c>
      <c r="Q714" s="11" t="b">
        <v>1</v>
      </c>
    </row>
    <row r="715">
      <c r="A715" s="11" t="s">
        <v>6190</v>
      </c>
      <c r="B715" s="11" t="s">
        <v>78</v>
      </c>
      <c r="C715" s="12">
        <v>45980.0</v>
      </c>
      <c r="D715" s="11" t="s">
        <v>6191</v>
      </c>
      <c r="E715" s="11" t="s">
        <v>6192</v>
      </c>
      <c r="G715" s="11" t="s">
        <v>6194</v>
      </c>
      <c r="H715" s="11" t="s">
        <v>6193</v>
      </c>
      <c r="I715" s="11" t="b">
        <v>1</v>
      </c>
      <c r="J715" s="11" t="s">
        <v>2932</v>
      </c>
      <c r="P715" s="11">
        <v>1807132.0</v>
      </c>
      <c r="Q715" s="11" t="b">
        <v>1</v>
      </c>
    </row>
    <row r="716">
      <c r="A716" s="11" t="s">
        <v>2180</v>
      </c>
      <c r="B716" s="11" t="s">
        <v>78</v>
      </c>
      <c r="D716" s="11" t="s">
        <v>415</v>
      </c>
      <c r="H716" s="11" t="s">
        <v>6196</v>
      </c>
      <c r="J716" s="11" t="s">
        <v>213</v>
      </c>
      <c r="O716" s="11">
        <v>66.0</v>
      </c>
      <c r="Q716" s="11" t="b">
        <v>1</v>
      </c>
    </row>
    <row r="717">
      <c r="A717" s="11" t="s">
        <v>2185</v>
      </c>
      <c r="B717" s="11" t="s">
        <v>78</v>
      </c>
      <c r="D717" s="11" t="s">
        <v>415</v>
      </c>
      <c r="H717" s="11" t="s">
        <v>6199</v>
      </c>
      <c r="J717" s="11" t="s">
        <v>213</v>
      </c>
      <c r="O717" s="11">
        <v>20.0</v>
      </c>
      <c r="Q717" s="11" t="b">
        <v>1</v>
      </c>
    </row>
    <row r="718">
      <c r="A718" s="11" t="s">
        <v>2189</v>
      </c>
      <c r="B718" s="11" t="s">
        <v>78</v>
      </c>
      <c r="C718" s="12">
        <v>45981.0</v>
      </c>
      <c r="H718" s="11" t="s">
        <v>6200</v>
      </c>
      <c r="J718" s="11" t="s">
        <v>187</v>
      </c>
      <c r="K718" s="11" t="s">
        <v>225</v>
      </c>
      <c r="O718" s="11">
        <v>1291.83</v>
      </c>
      <c r="Q718" s="11" t="b">
        <v>1</v>
      </c>
    </row>
    <row r="719">
      <c r="A719" s="11" t="s">
        <v>2193</v>
      </c>
      <c r="B719" s="11" t="s">
        <v>78</v>
      </c>
      <c r="H719" s="11" t="s">
        <v>6201</v>
      </c>
      <c r="J719" s="11" t="s">
        <v>5814</v>
      </c>
      <c r="K719" s="11" t="s">
        <v>225</v>
      </c>
      <c r="O719" s="11">
        <v>0.01</v>
      </c>
      <c r="Q719" s="11" t="b">
        <v>1</v>
      </c>
    </row>
    <row r="720">
      <c r="A720" s="11" t="s">
        <v>2197</v>
      </c>
      <c r="B720" s="11" t="s">
        <v>78</v>
      </c>
      <c r="C720" s="12">
        <v>45981.0</v>
      </c>
      <c r="H720" s="11" t="s">
        <v>6200</v>
      </c>
      <c r="J720" s="11" t="s">
        <v>187</v>
      </c>
      <c r="K720" s="11" t="s">
        <v>126</v>
      </c>
      <c r="O720" s="11">
        <v>182.1</v>
      </c>
      <c r="Q720" s="11" t="b">
        <v>1</v>
      </c>
    </row>
    <row r="721">
      <c r="A721" s="11" t="s">
        <v>2200</v>
      </c>
      <c r="B721" s="11" t="s">
        <v>78</v>
      </c>
      <c r="H721" s="11" t="s">
        <v>6201</v>
      </c>
      <c r="J721" s="11" t="s">
        <v>5814</v>
      </c>
      <c r="K721" s="11" t="s">
        <v>126</v>
      </c>
      <c r="O721" s="11">
        <v>0.01</v>
      </c>
      <c r="Q721" s="11" t="b">
        <v>1</v>
      </c>
    </row>
    <row r="722">
      <c r="A722" s="11" t="s">
        <v>2203</v>
      </c>
      <c r="B722" s="11" t="s">
        <v>78</v>
      </c>
      <c r="C722" s="12">
        <v>45981.0</v>
      </c>
      <c r="H722" s="11" t="s">
        <v>6200</v>
      </c>
      <c r="J722" s="11" t="s">
        <v>187</v>
      </c>
      <c r="K722" s="11" t="s">
        <v>113</v>
      </c>
      <c r="O722" s="11">
        <v>781.75</v>
      </c>
      <c r="Q722" s="11" t="b">
        <v>1</v>
      </c>
    </row>
    <row r="723">
      <c r="A723" s="11" t="s">
        <v>2207</v>
      </c>
      <c r="B723" s="11" t="s">
        <v>78</v>
      </c>
      <c r="H723" s="11" t="s">
        <v>6201</v>
      </c>
      <c r="J723" s="11" t="s">
        <v>5814</v>
      </c>
      <c r="K723" s="11" t="s">
        <v>113</v>
      </c>
      <c r="O723" s="11">
        <v>0.01</v>
      </c>
      <c r="Q723" s="11" t="b">
        <v>1</v>
      </c>
    </row>
    <row r="724">
      <c r="A724" s="11" t="s">
        <v>2210</v>
      </c>
      <c r="B724" s="11" t="s">
        <v>78</v>
      </c>
      <c r="C724" s="12">
        <v>45981.0</v>
      </c>
      <c r="H724" s="11" t="s">
        <v>6200</v>
      </c>
      <c r="J724" s="11" t="s">
        <v>187</v>
      </c>
      <c r="K724" s="11" t="s">
        <v>3739</v>
      </c>
      <c r="O724" s="11">
        <v>418.04</v>
      </c>
      <c r="Q724" s="11" t="b">
        <v>1</v>
      </c>
    </row>
    <row r="725">
      <c r="A725" s="11" t="s">
        <v>2214</v>
      </c>
      <c r="B725" s="11" t="s">
        <v>78</v>
      </c>
      <c r="H725" s="11" t="s">
        <v>6201</v>
      </c>
      <c r="J725" s="11" t="s">
        <v>5814</v>
      </c>
      <c r="K725" s="11" t="s">
        <v>3739</v>
      </c>
      <c r="O725" s="11">
        <v>0.01</v>
      </c>
      <c r="Q725" s="11" t="b">
        <v>1</v>
      </c>
    </row>
    <row r="726">
      <c r="A726" s="11" t="s">
        <v>2218</v>
      </c>
      <c r="B726" s="11" t="s">
        <v>78</v>
      </c>
      <c r="C726" s="12">
        <v>45981.0</v>
      </c>
      <c r="H726" s="11" t="s">
        <v>6200</v>
      </c>
      <c r="J726" s="11" t="s">
        <v>187</v>
      </c>
      <c r="K726" s="11" t="s">
        <v>685</v>
      </c>
      <c r="O726" s="11">
        <v>1749.0</v>
      </c>
      <c r="Q726" s="11" t="b">
        <v>1</v>
      </c>
    </row>
    <row r="727">
      <c r="A727" s="11" t="s">
        <v>2221</v>
      </c>
      <c r="B727" s="11" t="s">
        <v>78</v>
      </c>
      <c r="H727" s="11" t="s">
        <v>6201</v>
      </c>
      <c r="J727" s="11" t="s">
        <v>5814</v>
      </c>
      <c r="K727" s="11" t="s">
        <v>685</v>
      </c>
      <c r="O727" s="11">
        <v>1749.0</v>
      </c>
      <c r="Q727" s="11" t="b">
        <v>1</v>
      </c>
    </row>
    <row r="728">
      <c r="A728" s="11" t="s">
        <v>2224</v>
      </c>
      <c r="B728" s="11" t="s">
        <v>78</v>
      </c>
      <c r="C728" s="12">
        <v>45981.0</v>
      </c>
      <c r="H728" s="11" t="s">
        <v>6200</v>
      </c>
      <c r="J728" s="11" t="s">
        <v>187</v>
      </c>
      <c r="K728" s="11" t="s">
        <v>3675</v>
      </c>
      <c r="O728" s="11">
        <v>146.0</v>
      </c>
      <c r="Q728" s="11" t="b">
        <v>1</v>
      </c>
    </row>
    <row r="729">
      <c r="A729" s="11" t="s">
        <v>2228</v>
      </c>
      <c r="B729" s="11" t="s">
        <v>78</v>
      </c>
      <c r="H729" s="11" t="s">
        <v>6201</v>
      </c>
      <c r="J729" s="11" t="s">
        <v>5814</v>
      </c>
      <c r="K729" s="11" t="s">
        <v>3675</v>
      </c>
      <c r="O729" s="11">
        <v>146.0</v>
      </c>
      <c r="Q729" s="11" t="b">
        <v>1</v>
      </c>
    </row>
    <row r="730">
      <c r="A730" s="11" t="s">
        <v>2231</v>
      </c>
      <c r="B730" s="11" t="s">
        <v>78</v>
      </c>
      <c r="C730" s="12">
        <v>45981.0</v>
      </c>
      <c r="H730" s="11" t="s">
        <v>6200</v>
      </c>
      <c r="J730" s="11" t="s">
        <v>187</v>
      </c>
      <c r="K730" s="11" t="s">
        <v>704</v>
      </c>
      <c r="O730" s="11">
        <v>146.0</v>
      </c>
      <c r="Q730" s="11" t="b">
        <v>1</v>
      </c>
    </row>
    <row r="731">
      <c r="A731" s="11" t="s">
        <v>2235</v>
      </c>
      <c r="B731" s="11" t="s">
        <v>78</v>
      </c>
      <c r="H731" s="11" t="s">
        <v>6201</v>
      </c>
      <c r="J731" s="11" t="s">
        <v>5814</v>
      </c>
      <c r="K731" s="11" t="s">
        <v>704</v>
      </c>
      <c r="O731" s="11">
        <v>146.0</v>
      </c>
      <c r="Q731" s="11" t="b">
        <v>1</v>
      </c>
    </row>
    <row r="732">
      <c r="A732" s="11" t="s">
        <v>6202</v>
      </c>
      <c r="B732" s="11" t="s">
        <v>78</v>
      </c>
      <c r="C732" s="12">
        <v>45979.0</v>
      </c>
      <c r="D732" s="11" t="s">
        <v>237</v>
      </c>
      <c r="E732" s="11" t="s">
        <v>6203</v>
      </c>
      <c r="G732" s="11" t="s">
        <v>6204</v>
      </c>
      <c r="H732" s="11" t="s">
        <v>2277</v>
      </c>
      <c r="I732" s="11" t="b">
        <v>0</v>
      </c>
      <c r="J732" s="11" t="s">
        <v>2932</v>
      </c>
      <c r="L732" s="11" t="s">
        <v>6205</v>
      </c>
      <c r="Q732" s="11" t="b">
        <v>1</v>
      </c>
    </row>
    <row r="733">
      <c r="A733" s="11" t="s">
        <v>6206</v>
      </c>
      <c r="B733" s="11" t="s">
        <v>78</v>
      </c>
      <c r="C733" s="12">
        <v>45979.0</v>
      </c>
      <c r="D733" s="11" t="s">
        <v>237</v>
      </c>
      <c r="E733" s="11" t="s">
        <v>6207</v>
      </c>
      <c r="G733" s="11" t="s">
        <v>6209</v>
      </c>
      <c r="H733" s="11" t="s">
        <v>6208</v>
      </c>
      <c r="I733" s="11" t="b">
        <v>0</v>
      </c>
      <c r="J733" s="11" t="s">
        <v>2932</v>
      </c>
      <c r="Q733" s="11" t="b">
        <v>1</v>
      </c>
    </row>
    <row r="734">
      <c r="A734" s="11" t="s">
        <v>6210</v>
      </c>
      <c r="B734" s="11" t="s">
        <v>78</v>
      </c>
      <c r="C734" s="12">
        <v>45981.0</v>
      </c>
      <c r="D734" s="11" t="s">
        <v>104</v>
      </c>
      <c r="E734" s="11" t="s">
        <v>6211</v>
      </c>
      <c r="G734" s="11" t="s">
        <v>6213</v>
      </c>
      <c r="H734" s="11" t="s">
        <v>6212</v>
      </c>
      <c r="I734" s="11" t="b">
        <v>1</v>
      </c>
      <c r="J734" s="11" t="s">
        <v>5814</v>
      </c>
      <c r="P734" s="11">
        <v>1808649.0</v>
      </c>
      <c r="Q734" s="11" t="b">
        <v>1</v>
      </c>
    </row>
    <row r="735">
      <c r="A735" s="11" t="s">
        <v>6215</v>
      </c>
      <c r="B735" s="11" t="s">
        <v>78</v>
      </c>
      <c r="C735" s="12">
        <v>45981.0</v>
      </c>
      <c r="D735" s="11" t="s">
        <v>168</v>
      </c>
      <c r="E735" s="11" t="s">
        <v>6216</v>
      </c>
      <c r="G735" s="11" t="s">
        <v>6218</v>
      </c>
      <c r="H735" s="11" t="s">
        <v>6217</v>
      </c>
      <c r="I735" s="11" t="b">
        <v>1</v>
      </c>
      <c r="J735" s="11" t="s">
        <v>2932</v>
      </c>
      <c r="P735" s="11">
        <v>1808855.0</v>
      </c>
      <c r="Q735" s="11" t="b">
        <v>1</v>
      </c>
    </row>
    <row r="736">
      <c r="A736" s="11" t="s">
        <v>6220</v>
      </c>
      <c r="B736" s="11" t="s">
        <v>78</v>
      </c>
      <c r="C736" s="12">
        <v>45981.0</v>
      </c>
      <c r="D736" s="11" t="s">
        <v>6221</v>
      </c>
      <c r="E736" s="11" t="s">
        <v>6222</v>
      </c>
      <c r="G736" s="11" t="s">
        <v>6224</v>
      </c>
      <c r="H736" s="11" t="s">
        <v>6223</v>
      </c>
      <c r="I736" s="11" t="b">
        <v>1</v>
      </c>
      <c r="J736" s="11" t="s">
        <v>2932</v>
      </c>
      <c r="P736" s="11">
        <v>1809113.0</v>
      </c>
      <c r="Q736" s="11" t="b">
        <v>1</v>
      </c>
    </row>
    <row r="737">
      <c r="A737" s="11">
        <v>1638.0</v>
      </c>
      <c r="B737" s="11" t="s">
        <v>78</v>
      </c>
      <c r="H737" s="11" t="s">
        <v>681</v>
      </c>
      <c r="J737" s="11" t="s">
        <v>187</v>
      </c>
      <c r="K737" s="11" t="s">
        <v>685</v>
      </c>
      <c r="O737" s="11">
        <v>3498.0</v>
      </c>
      <c r="Q737" s="11" t="b">
        <v>1</v>
      </c>
    </row>
    <row r="738">
      <c r="A738" s="11">
        <v>1639.0</v>
      </c>
      <c r="B738" s="11" t="s">
        <v>78</v>
      </c>
      <c r="H738" s="11" t="s">
        <v>687</v>
      </c>
      <c r="J738" s="11" t="s">
        <v>187</v>
      </c>
      <c r="K738" s="11" t="s">
        <v>3675</v>
      </c>
      <c r="O738" s="11">
        <v>292.0</v>
      </c>
      <c r="Q738" s="11" t="b">
        <v>1</v>
      </c>
    </row>
    <row r="739">
      <c r="A739" s="11">
        <v>1640.0</v>
      </c>
      <c r="B739" s="11" t="s">
        <v>78</v>
      </c>
      <c r="H739" s="11" t="s">
        <v>687</v>
      </c>
      <c r="J739" s="11" t="s">
        <v>187</v>
      </c>
      <c r="K739" s="11" t="s">
        <v>704</v>
      </c>
      <c r="O739" s="11">
        <v>292.0</v>
      </c>
      <c r="Q739" s="11" t="b">
        <v>1</v>
      </c>
    </row>
    <row r="740">
      <c r="A740" s="11">
        <v>1641.0</v>
      </c>
      <c r="B740" s="11" t="s">
        <v>78</v>
      </c>
      <c r="D740" s="11" t="s">
        <v>415</v>
      </c>
      <c r="H740" s="11" t="s">
        <v>1015</v>
      </c>
      <c r="J740" s="11" t="s">
        <v>213</v>
      </c>
      <c r="O740" s="11">
        <v>22.0</v>
      </c>
      <c r="Q740" s="11" t="b">
        <v>1</v>
      </c>
    </row>
    <row r="741">
      <c r="A741" s="11">
        <v>1642.0</v>
      </c>
      <c r="B741" s="11" t="s">
        <v>78</v>
      </c>
      <c r="D741" s="11" t="s">
        <v>415</v>
      </c>
      <c r="H741" s="11" t="s">
        <v>1022</v>
      </c>
      <c r="J741" s="11" t="s">
        <v>213</v>
      </c>
      <c r="O741" s="11">
        <v>10.0</v>
      </c>
      <c r="Q741" s="11" t="b">
        <v>1</v>
      </c>
    </row>
    <row r="742">
      <c r="A742" s="11">
        <v>1643.0</v>
      </c>
      <c r="B742" s="11" t="s">
        <v>78</v>
      </c>
      <c r="D742" s="11" t="s">
        <v>629</v>
      </c>
      <c r="H742" s="11" t="s">
        <v>633</v>
      </c>
      <c r="J742" s="11" t="s">
        <v>187</v>
      </c>
      <c r="O742" s="11">
        <v>1.0</v>
      </c>
      <c r="Q742" s="11" t="b">
        <v>1</v>
      </c>
    </row>
    <row r="743">
      <c r="A743" s="11">
        <v>1644.0</v>
      </c>
      <c r="B743" s="11" t="s">
        <v>78</v>
      </c>
      <c r="H743" s="11" t="s">
        <v>2638</v>
      </c>
      <c r="J743" s="11" t="s">
        <v>187</v>
      </c>
      <c r="K743" s="11" t="s">
        <v>225</v>
      </c>
      <c r="O743" s="11">
        <v>1.0</v>
      </c>
      <c r="Q743" s="11" t="b">
        <v>1</v>
      </c>
    </row>
    <row r="744">
      <c r="A744" s="11">
        <v>1645.0</v>
      </c>
      <c r="B744" s="11" t="s">
        <v>78</v>
      </c>
      <c r="H744" s="11" t="s">
        <v>2638</v>
      </c>
      <c r="J744" s="11" t="s">
        <v>187</v>
      </c>
      <c r="K744" s="11" t="s">
        <v>113</v>
      </c>
      <c r="O744" s="11">
        <v>1.0</v>
      </c>
      <c r="Q744" s="11" t="b">
        <v>1</v>
      </c>
    </row>
    <row r="745">
      <c r="A745" s="11">
        <v>1646.0</v>
      </c>
      <c r="B745" s="11" t="s">
        <v>78</v>
      </c>
      <c r="H745" s="11" t="s">
        <v>2638</v>
      </c>
      <c r="J745" s="11" t="s">
        <v>187</v>
      </c>
      <c r="K745" s="11" t="s">
        <v>126</v>
      </c>
      <c r="O745" s="11">
        <v>1.0</v>
      </c>
      <c r="Q745" s="11" t="b">
        <v>1</v>
      </c>
    </row>
    <row r="746">
      <c r="A746" s="11">
        <v>1647.0</v>
      </c>
      <c r="B746" s="11" t="s">
        <v>78</v>
      </c>
      <c r="H746" s="11" t="s">
        <v>2638</v>
      </c>
      <c r="J746" s="11" t="s">
        <v>187</v>
      </c>
      <c r="K746" s="11" t="s">
        <v>3739</v>
      </c>
      <c r="O746" s="11">
        <v>1.0</v>
      </c>
      <c r="Q746" s="11" t="b">
        <v>1</v>
      </c>
    </row>
    <row r="747">
      <c r="A747" s="11" t="s">
        <v>6226</v>
      </c>
      <c r="B747" s="11" t="s">
        <v>78</v>
      </c>
      <c r="C747" s="12">
        <v>45982.0</v>
      </c>
      <c r="D747" s="11" t="s">
        <v>992</v>
      </c>
      <c r="E747" s="11" t="s">
        <v>6227</v>
      </c>
      <c r="G747" s="11" t="s">
        <v>6228</v>
      </c>
      <c r="H747" s="11" t="s">
        <v>2909</v>
      </c>
      <c r="I747" s="11" t="b">
        <v>1</v>
      </c>
      <c r="J747" s="11" t="s">
        <v>2932</v>
      </c>
      <c r="P747" s="11">
        <v>1811488.0</v>
      </c>
      <c r="Q747" s="11" t="b">
        <v>1</v>
      </c>
    </row>
    <row r="748">
      <c r="A748" s="11" t="s">
        <v>6230</v>
      </c>
      <c r="B748" s="11" t="s">
        <v>78</v>
      </c>
      <c r="C748" s="12">
        <v>45973.0</v>
      </c>
      <c r="D748" s="11" t="s">
        <v>4510</v>
      </c>
      <c r="E748" s="11" t="s">
        <v>6231</v>
      </c>
      <c r="G748" s="11" t="s">
        <v>6233</v>
      </c>
      <c r="H748" s="11" t="s">
        <v>6232</v>
      </c>
      <c r="I748" s="11" t="b">
        <v>0</v>
      </c>
      <c r="J748" s="11" t="s">
        <v>2932</v>
      </c>
      <c r="Q748" s="11" t="b">
        <v>1</v>
      </c>
    </row>
    <row r="749">
      <c r="A749" s="11" t="s">
        <v>6234</v>
      </c>
      <c r="B749" s="11" t="s">
        <v>78</v>
      </c>
      <c r="C749" s="12">
        <v>45982.0</v>
      </c>
      <c r="D749" s="11" t="s">
        <v>6235</v>
      </c>
      <c r="E749" s="11" t="s">
        <v>6236</v>
      </c>
      <c r="G749" s="11" t="s">
        <v>6238</v>
      </c>
      <c r="H749" s="11" t="s">
        <v>6237</v>
      </c>
      <c r="I749" s="11" t="b">
        <v>1</v>
      </c>
      <c r="J749" s="11" t="s">
        <v>2932</v>
      </c>
      <c r="P749" s="11">
        <v>1811587.0</v>
      </c>
      <c r="Q749" s="11" t="b">
        <v>1</v>
      </c>
    </row>
    <row r="750">
      <c r="A750" s="11" t="s">
        <v>2269</v>
      </c>
      <c r="B750" s="11" t="s">
        <v>78</v>
      </c>
      <c r="D750" s="11" t="s">
        <v>237</v>
      </c>
      <c r="H750" s="11" t="s">
        <v>6240</v>
      </c>
      <c r="J750" s="11" t="s">
        <v>5814</v>
      </c>
      <c r="O750" s="11">
        <v>111.0</v>
      </c>
      <c r="Q750" s="11" t="b">
        <v>1</v>
      </c>
    </row>
    <row r="751">
      <c r="A751" s="11" t="s">
        <v>2272</v>
      </c>
      <c r="B751" s="11" t="s">
        <v>78</v>
      </c>
      <c r="D751" s="11" t="s">
        <v>237</v>
      </c>
      <c r="H751" s="11" t="s">
        <v>6241</v>
      </c>
      <c r="J751" s="11" t="s">
        <v>5814</v>
      </c>
      <c r="O751" s="11">
        <v>4371.0</v>
      </c>
      <c r="Q751" s="11" t="b">
        <v>1</v>
      </c>
    </row>
    <row r="752">
      <c r="A752" s="11" t="s">
        <v>2275</v>
      </c>
      <c r="B752" s="11" t="s">
        <v>78</v>
      </c>
      <c r="D752" s="11" t="s">
        <v>237</v>
      </c>
      <c r="H752" s="11" t="s">
        <v>6242</v>
      </c>
      <c r="J752" s="11" t="s">
        <v>5814</v>
      </c>
      <c r="O752" s="11">
        <v>2934.84</v>
      </c>
      <c r="Q752" s="11" t="b">
        <v>1</v>
      </c>
    </row>
    <row r="753">
      <c r="A753" s="11" t="s">
        <v>6243</v>
      </c>
      <c r="B753" s="11" t="s">
        <v>78</v>
      </c>
      <c r="C753" s="12">
        <v>45983.0</v>
      </c>
      <c r="D753" s="11" t="s">
        <v>1201</v>
      </c>
      <c r="E753" s="11" t="s">
        <v>6244</v>
      </c>
      <c r="G753" s="11" t="s">
        <v>6246</v>
      </c>
      <c r="H753" s="11" t="s">
        <v>6245</v>
      </c>
      <c r="I753" s="11" t="b">
        <v>1</v>
      </c>
      <c r="J753" s="11" t="s">
        <v>2932</v>
      </c>
      <c r="P753" s="11">
        <v>1813507.0</v>
      </c>
      <c r="Q753" s="11" t="b">
        <v>1</v>
      </c>
    </row>
    <row r="754">
      <c r="A754" s="11" t="s">
        <v>6248</v>
      </c>
      <c r="B754" s="11" t="s">
        <v>78</v>
      </c>
      <c r="C754" s="12">
        <v>45983.0</v>
      </c>
      <c r="D754" s="11" t="s">
        <v>104</v>
      </c>
      <c r="E754" s="11" t="s">
        <v>6249</v>
      </c>
      <c r="G754" s="11" t="s">
        <v>6251</v>
      </c>
      <c r="H754" s="11" t="s">
        <v>6250</v>
      </c>
      <c r="I754" s="11" t="b">
        <v>1</v>
      </c>
      <c r="J754" s="11" t="s">
        <v>2932</v>
      </c>
      <c r="P754" s="11">
        <v>1813522.0</v>
      </c>
      <c r="Q754" s="11" t="b">
        <v>1</v>
      </c>
    </row>
    <row r="755">
      <c r="A755" s="11" t="s">
        <v>6253</v>
      </c>
      <c r="B755" s="11" t="s">
        <v>78</v>
      </c>
      <c r="C755" s="12">
        <v>45984.0</v>
      </c>
      <c r="D755" s="11" t="s">
        <v>6191</v>
      </c>
      <c r="E755" s="11" t="s">
        <v>6254</v>
      </c>
      <c r="G755" s="11" t="s">
        <v>6256</v>
      </c>
      <c r="H755" s="11" t="s">
        <v>6255</v>
      </c>
      <c r="I755" s="11" t="b">
        <v>1</v>
      </c>
      <c r="J755" s="11" t="s">
        <v>5814</v>
      </c>
      <c r="P755" s="11">
        <v>1815715.0</v>
      </c>
      <c r="Q755" s="11" t="b">
        <v>1</v>
      </c>
    </row>
    <row r="756">
      <c r="A756" s="11" t="s">
        <v>6258</v>
      </c>
      <c r="B756" s="11" t="s">
        <v>78</v>
      </c>
      <c r="C756" s="12">
        <v>45982.0</v>
      </c>
      <c r="D756" s="11" t="s">
        <v>237</v>
      </c>
      <c r="E756" s="11" t="s">
        <v>6259</v>
      </c>
      <c r="G756" s="11" t="s">
        <v>6261</v>
      </c>
      <c r="H756" s="11" t="s">
        <v>6260</v>
      </c>
      <c r="I756" s="11" t="b">
        <v>0</v>
      </c>
      <c r="J756" s="11" t="s">
        <v>2932</v>
      </c>
      <c r="L756" s="11" t="s">
        <v>6262</v>
      </c>
      <c r="M756" s="11" t="s">
        <v>6263</v>
      </c>
      <c r="N756" s="11" t="s">
        <v>6264</v>
      </c>
      <c r="Q756" s="11" t="b">
        <v>1</v>
      </c>
    </row>
    <row r="757">
      <c r="A757" s="11" t="s">
        <v>6265</v>
      </c>
      <c r="B757" s="11" t="s">
        <v>78</v>
      </c>
      <c r="C757" s="18">
        <v>45966.0</v>
      </c>
      <c r="D757" s="11" t="s">
        <v>237</v>
      </c>
      <c r="E757" s="11" t="s">
        <v>6266</v>
      </c>
      <c r="G757" s="11" t="s">
        <v>6268</v>
      </c>
      <c r="H757" s="11" t="s">
        <v>6267</v>
      </c>
      <c r="I757" s="11" t="b">
        <v>0</v>
      </c>
      <c r="J757" s="11" t="s">
        <v>2932</v>
      </c>
      <c r="L757" s="11" t="s">
        <v>6269</v>
      </c>
      <c r="Q757" s="11" t="b">
        <v>1</v>
      </c>
    </row>
    <row r="758">
      <c r="A758" s="11" t="s">
        <v>6270</v>
      </c>
      <c r="B758" s="11" t="s">
        <v>78</v>
      </c>
      <c r="C758" s="12">
        <v>45979.0</v>
      </c>
      <c r="D758" s="11" t="s">
        <v>4510</v>
      </c>
      <c r="E758" s="11" t="s">
        <v>6271</v>
      </c>
      <c r="G758" s="11" t="s">
        <v>6273</v>
      </c>
      <c r="H758" s="11" t="s">
        <v>6272</v>
      </c>
      <c r="I758" s="11" t="b">
        <v>0</v>
      </c>
      <c r="J758" s="11" t="s">
        <v>2932</v>
      </c>
      <c r="L758" s="11" t="s">
        <v>6274</v>
      </c>
      <c r="M758" s="11" t="s">
        <v>6275</v>
      </c>
      <c r="Q758" s="11" t="b">
        <v>1</v>
      </c>
    </row>
    <row r="759">
      <c r="A759" s="11" t="s">
        <v>6276</v>
      </c>
      <c r="B759" s="11" t="s">
        <v>78</v>
      </c>
      <c r="C759" s="12">
        <v>45982.0</v>
      </c>
      <c r="D759" s="11" t="s">
        <v>237</v>
      </c>
      <c r="E759" s="11" t="s">
        <v>6277</v>
      </c>
      <c r="G759" s="11" t="s">
        <v>6279</v>
      </c>
      <c r="H759" s="11" t="s">
        <v>6278</v>
      </c>
      <c r="I759" s="11" t="b">
        <v>0</v>
      </c>
      <c r="J759" s="11" t="s">
        <v>2932</v>
      </c>
      <c r="L759" s="11" t="s">
        <v>6280</v>
      </c>
      <c r="M759" s="11" t="s">
        <v>6281</v>
      </c>
      <c r="Q759" s="11" t="b">
        <v>1</v>
      </c>
    </row>
    <row r="760">
      <c r="A760" s="11" t="s">
        <v>6282</v>
      </c>
      <c r="B760" s="11" t="s">
        <v>78</v>
      </c>
      <c r="C760" s="12">
        <v>45982.0</v>
      </c>
      <c r="D760" s="11" t="s">
        <v>237</v>
      </c>
      <c r="E760" s="11" t="s">
        <v>6283</v>
      </c>
      <c r="G760" s="11" t="s">
        <v>6286</v>
      </c>
      <c r="H760" s="11" t="s">
        <v>6284</v>
      </c>
      <c r="I760" s="11" t="b">
        <v>0</v>
      </c>
      <c r="J760" s="11" t="s">
        <v>5814</v>
      </c>
      <c r="L760" s="11" t="s">
        <v>6288</v>
      </c>
      <c r="Q760" s="11" t="b">
        <v>1</v>
      </c>
    </row>
    <row r="761">
      <c r="A761" s="11" t="s">
        <v>6289</v>
      </c>
      <c r="B761" s="11" t="s">
        <v>78</v>
      </c>
      <c r="C761" s="12">
        <v>45987.0</v>
      </c>
      <c r="D761" s="11" t="s">
        <v>992</v>
      </c>
      <c r="E761" s="11" t="s">
        <v>6291</v>
      </c>
      <c r="G761" s="11" t="s">
        <v>6292</v>
      </c>
      <c r="H761" s="11" t="s">
        <v>4668</v>
      </c>
      <c r="I761" s="11" t="b">
        <v>1</v>
      </c>
      <c r="J761" s="11" t="s">
        <v>2932</v>
      </c>
      <c r="P761" s="11">
        <v>1821437.0</v>
      </c>
      <c r="Q761" s="11" t="b">
        <v>1</v>
      </c>
    </row>
    <row r="762">
      <c r="A762" s="11" t="s">
        <v>6294</v>
      </c>
      <c r="B762" s="11" t="s">
        <v>78</v>
      </c>
      <c r="C762" s="12">
        <v>45986.0</v>
      </c>
      <c r="D762" s="11" t="s">
        <v>2549</v>
      </c>
      <c r="E762" s="11" t="s">
        <v>6295</v>
      </c>
      <c r="G762" s="11" t="s">
        <v>6297</v>
      </c>
      <c r="H762" s="11" t="s">
        <v>6296</v>
      </c>
      <c r="I762" s="11" t="b">
        <v>1</v>
      </c>
      <c r="J762" s="11" t="s">
        <v>2932</v>
      </c>
      <c r="P762" s="11">
        <v>1819753.0</v>
      </c>
      <c r="Q762" s="11" t="b">
        <v>1</v>
      </c>
    </row>
    <row r="763">
      <c r="A763" s="11" t="s">
        <v>2279</v>
      </c>
      <c r="B763" s="11" t="s">
        <v>78</v>
      </c>
      <c r="C763" s="12">
        <v>45987.0</v>
      </c>
      <c r="H763" s="11" t="s">
        <v>783</v>
      </c>
      <c r="J763" s="11" t="s">
        <v>187</v>
      </c>
      <c r="K763" s="11" t="s">
        <v>126</v>
      </c>
      <c r="O763" s="11">
        <v>500.0</v>
      </c>
      <c r="Q763" s="11" t="b">
        <v>1</v>
      </c>
    </row>
    <row r="764">
      <c r="A764" s="11" t="s">
        <v>6301</v>
      </c>
      <c r="B764" s="11" t="s">
        <v>78</v>
      </c>
      <c r="C764" s="12">
        <v>45990.0</v>
      </c>
      <c r="D764" s="11" t="s">
        <v>85</v>
      </c>
      <c r="E764" s="11" t="s">
        <v>6303</v>
      </c>
      <c r="G764" s="11" t="s">
        <v>6305</v>
      </c>
      <c r="H764" s="11" t="s">
        <v>3193</v>
      </c>
      <c r="I764" s="11" t="b">
        <v>1</v>
      </c>
      <c r="J764" s="11" t="s">
        <v>2932</v>
      </c>
      <c r="P764" s="11">
        <v>1831445.0</v>
      </c>
      <c r="Q764" s="11" t="b">
        <v>1</v>
      </c>
    </row>
    <row r="765">
      <c r="A765" s="11" t="s">
        <v>6307</v>
      </c>
      <c r="B765" s="11" t="s">
        <v>78</v>
      </c>
      <c r="C765" s="18">
        <v>45992.0</v>
      </c>
      <c r="D765" s="11" t="s">
        <v>104</v>
      </c>
      <c r="E765" s="11" t="s">
        <v>6308</v>
      </c>
      <c r="G765" s="11" t="s">
        <v>6309</v>
      </c>
      <c r="H765" s="11" t="s">
        <v>380</v>
      </c>
      <c r="I765" s="11" t="b">
        <v>1</v>
      </c>
      <c r="J765" s="11" t="s">
        <v>2932</v>
      </c>
      <c r="P765" s="11">
        <v>1833240.0</v>
      </c>
      <c r="Q765" s="11" t="b">
        <v>1</v>
      </c>
    </row>
    <row r="766">
      <c r="A766" s="11" t="s">
        <v>6311</v>
      </c>
      <c r="B766" s="11" t="s">
        <v>78</v>
      </c>
      <c r="C766" s="12">
        <v>45990.0</v>
      </c>
      <c r="D766" s="11" t="s">
        <v>104</v>
      </c>
      <c r="E766" s="11" t="s">
        <v>6312</v>
      </c>
      <c r="G766" s="11" t="s">
        <v>6313</v>
      </c>
      <c r="H766" s="11" t="s">
        <v>380</v>
      </c>
      <c r="I766" s="11" t="b">
        <v>1</v>
      </c>
      <c r="J766" s="11" t="s">
        <v>2932</v>
      </c>
      <c r="P766" s="11">
        <v>1824839.0</v>
      </c>
      <c r="Q766" s="11" t="b">
        <v>1</v>
      </c>
    </row>
    <row r="767">
      <c r="A767" s="11" t="s">
        <v>6315</v>
      </c>
      <c r="B767" s="11" t="s">
        <v>78</v>
      </c>
      <c r="C767" s="12">
        <v>45989.0</v>
      </c>
      <c r="D767" s="11" t="s">
        <v>992</v>
      </c>
      <c r="E767" s="11" t="s">
        <v>6316</v>
      </c>
      <c r="G767" s="11" t="s">
        <v>6317</v>
      </c>
      <c r="H767" s="11" t="s">
        <v>3235</v>
      </c>
      <c r="I767" s="11" t="b">
        <v>1</v>
      </c>
      <c r="J767" s="11" t="s">
        <v>2932</v>
      </c>
      <c r="P767" s="11">
        <v>1825862.0</v>
      </c>
      <c r="Q767" s="11" t="b">
        <v>1</v>
      </c>
    </row>
    <row r="768">
      <c r="A768" s="11" t="s">
        <v>6319</v>
      </c>
      <c r="B768" s="11" t="s">
        <v>78</v>
      </c>
      <c r="C768" s="12">
        <v>45991.0</v>
      </c>
      <c r="D768" s="11" t="s">
        <v>2549</v>
      </c>
      <c r="E768" s="11" t="s">
        <v>6320</v>
      </c>
      <c r="G768" s="11" t="s">
        <v>6322</v>
      </c>
      <c r="H768" s="11" t="s">
        <v>6321</v>
      </c>
      <c r="I768" s="11" t="b">
        <v>1</v>
      </c>
      <c r="J768" s="11" t="s">
        <v>5814</v>
      </c>
      <c r="P768" s="11">
        <v>1831717.0</v>
      </c>
      <c r="Q768" s="11" t="b">
        <v>1</v>
      </c>
    </row>
    <row r="769">
      <c r="A769" s="11" t="s">
        <v>6324</v>
      </c>
      <c r="B769" s="11" t="s">
        <v>78</v>
      </c>
      <c r="C769" s="18">
        <v>45992.0</v>
      </c>
      <c r="D769" s="11" t="s">
        <v>992</v>
      </c>
      <c r="E769" s="11" t="s">
        <v>6325</v>
      </c>
      <c r="G769" s="11" t="s">
        <v>6326</v>
      </c>
      <c r="H769" s="11" t="s">
        <v>3235</v>
      </c>
      <c r="I769" s="11" t="b">
        <v>1</v>
      </c>
      <c r="J769" s="11" t="s">
        <v>2932</v>
      </c>
      <c r="P769" s="11">
        <v>1833540.0</v>
      </c>
      <c r="Q769" s="11" t="b">
        <v>1</v>
      </c>
    </row>
    <row r="770">
      <c r="A770" s="11" t="s">
        <v>6329</v>
      </c>
      <c r="B770" s="11" t="s">
        <v>78</v>
      </c>
      <c r="C770" s="12">
        <v>45989.0</v>
      </c>
      <c r="D770" s="11" t="s">
        <v>237</v>
      </c>
      <c r="E770" s="11" t="s">
        <v>6330</v>
      </c>
      <c r="G770" s="11" t="s">
        <v>6332</v>
      </c>
      <c r="H770" s="11" t="s">
        <v>6331</v>
      </c>
      <c r="I770" s="11" t="b">
        <v>0</v>
      </c>
      <c r="J770" s="11" t="s">
        <v>2932</v>
      </c>
      <c r="L770" s="11" t="s">
        <v>6333</v>
      </c>
      <c r="Q770" s="11" t="b">
        <v>1</v>
      </c>
    </row>
    <row r="771">
      <c r="A771" s="11" t="s">
        <v>2283</v>
      </c>
      <c r="B771" s="11" t="s">
        <v>78</v>
      </c>
      <c r="C771" s="18">
        <v>45993.0</v>
      </c>
      <c r="D771" s="11" t="s">
        <v>1913</v>
      </c>
      <c r="H771" s="11" t="s">
        <v>6334</v>
      </c>
      <c r="J771" s="11" t="s">
        <v>235</v>
      </c>
      <c r="O771" s="11">
        <v>63.5</v>
      </c>
      <c r="Q771" s="11" t="b">
        <v>1</v>
      </c>
    </row>
    <row r="772">
      <c r="A772" s="11" t="s">
        <v>6336</v>
      </c>
      <c r="B772" s="11" t="s">
        <v>78</v>
      </c>
      <c r="C772" s="18">
        <v>45994.0</v>
      </c>
      <c r="D772" s="11" t="s">
        <v>6337</v>
      </c>
      <c r="E772" s="11" t="s">
        <v>6338</v>
      </c>
      <c r="G772" s="11" t="s">
        <v>6340</v>
      </c>
      <c r="H772" s="11" t="s">
        <v>6339</v>
      </c>
      <c r="I772" s="11" t="b">
        <v>1</v>
      </c>
      <c r="J772" s="11" t="s">
        <v>2932</v>
      </c>
      <c r="P772" s="11">
        <v>1836937.0</v>
      </c>
      <c r="Q772" s="11" t="b">
        <v>1</v>
      </c>
    </row>
    <row r="773">
      <c r="A773" s="11" t="s">
        <v>6342</v>
      </c>
      <c r="B773" s="11" t="s">
        <v>78</v>
      </c>
      <c r="C773" s="18">
        <v>45994.0</v>
      </c>
      <c r="D773" s="11" t="s">
        <v>168</v>
      </c>
      <c r="E773" s="11" t="s">
        <v>6343</v>
      </c>
      <c r="G773" s="11" t="s">
        <v>6345</v>
      </c>
      <c r="H773" s="11" t="s">
        <v>6344</v>
      </c>
      <c r="I773" s="11" t="b">
        <v>1</v>
      </c>
      <c r="J773" s="11" t="s">
        <v>2932</v>
      </c>
      <c r="P773" s="11">
        <v>1837199.0</v>
      </c>
      <c r="Q773" s="11" t="b">
        <v>1</v>
      </c>
    </row>
    <row r="774">
      <c r="A774" s="11" t="s">
        <v>6347</v>
      </c>
      <c r="B774" s="11" t="s">
        <v>78</v>
      </c>
      <c r="C774" s="18">
        <v>45993.0</v>
      </c>
      <c r="D774" s="11" t="s">
        <v>513</v>
      </c>
      <c r="E774" s="11" t="s">
        <v>6348</v>
      </c>
      <c r="G774" s="11" t="s">
        <v>6350</v>
      </c>
      <c r="H774" s="11" t="s">
        <v>6349</v>
      </c>
      <c r="I774" s="11" t="b">
        <v>1</v>
      </c>
      <c r="J774" s="11" t="s">
        <v>2932</v>
      </c>
      <c r="P774" s="11">
        <v>1836946.0</v>
      </c>
      <c r="Q774" s="11" t="b">
        <v>1</v>
      </c>
    </row>
    <row r="775">
      <c r="A775" s="11" t="s">
        <v>2288</v>
      </c>
      <c r="B775" s="11" t="s">
        <v>78</v>
      </c>
      <c r="C775" s="18">
        <v>45994.0</v>
      </c>
      <c r="D775" s="11" t="s">
        <v>237</v>
      </c>
      <c r="H775" s="11" t="s">
        <v>6352</v>
      </c>
      <c r="J775" s="11" t="s">
        <v>187</v>
      </c>
      <c r="O775" s="11">
        <v>83.75</v>
      </c>
      <c r="Q775" s="11" t="b">
        <v>1</v>
      </c>
    </row>
    <row r="776">
      <c r="A776" s="11" t="s">
        <v>2293</v>
      </c>
      <c r="B776" s="11" t="s">
        <v>78</v>
      </c>
      <c r="C776" s="18">
        <v>45994.0</v>
      </c>
      <c r="D776" s="11" t="s">
        <v>237</v>
      </c>
      <c r="H776" s="11" t="s">
        <v>6353</v>
      </c>
      <c r="J776" s="11" t="s">
        <v>187</v>
      </c>
      <c r="O776" s="11">
        <v>386.17</v>
      </c>
      <c r="Q776" s="11" t="b">
        <v>1</v>
      </c>
    </row>
    <row r="777">
      <c r="A777" s="11" t="s">
        <v>6355</v>
      </c>
      <c r="B777" s="11" t="s">
        <v>78</v>
      </c>
      <c r="C777" s="18">
        <v>45994.0</v>
      </c>
      <c r="D777" s="11" t="s">
        <v>6356</v>
      </c>
      <c r="E777" s="11" t="s">
        <v>6357</v>
      </c>
      <c r="G777" s="11" t="s">
        <v>6359</v>
      </c>
      <c r="H777" s="11" t="s">
        <v>6358</v>
      </c>
      <c r="I777" s="11" t="b">
        <v>0</v>
      </c>
      <c r="J777" s="11" t="s">
        <v>2932</v>
      </c>
      <c r="L777" s="11" t="s">
        <v>6360</v>
      </c>
      <c r="Q777" s="11" t="b">
        <v>1</v>
      </c>
    </row>
    <row r="778">
      <c r="A778" s="11" t="s">
        <v>6361</v>
      </c>
      <c r="B778" s="11" t="s">
        <v>78</v>
      </c>
      <c r="C778" s="18">
        <v>45993.0</v>
      </c>
      <c r="D778" s="11" t="s">
        <v>4510</v>
      </c>
      <c r="E778" s="11" t="s">
        <v>6362</v>
      </c>
      <c r="G778" s="11" t="s">
        <v>6365</v>
      </c>
      <c r="H778" s="11" t="s">
        <v>6363</v>
      </c>
      <c r="I778" s="11" t="b">
        <v>0</v>
      </c>
      <c r="J778" s="11" t="s">
        <v>2932</v>
      </c>
      <c r="L778" s="11" t="s">
        <v>6366</v>
      </c>
      <c r="Q778" s="11" t="b">
        <v>1</v>
      </c>
    </row>
    <row r="779">
      <c r="A779" s="11" t="s">
        <v>2297</v>
      </c>
      <c r="B779" s="11" t="s">
        <v>78</v>
      </c>
      <c r="C779" s="18">
        <v>45995.0</v>
      </c>
      <c r="D779" s="11" t="s">
        <v>237</v>
      </c>
      <c r="H779" s="11" t="s">
        <v>6367</v>
      </c>
      <c r="J779" s="11" t="s">
        <v>187</v>
      </c>
      <c r="O779" s="11">
        <v>278.11</v>
      </c>
      <c r="Q779" s="11" t="b">
        <v>1</v>
      </c>
    </row>
    <row r="780">
      <c r="A780" s="11" t="s">
        <v>2302</v>
      </c>
      <c r="B780" s="11" t="s">
        <v>78</v>
      </c>
      <c r="C780" s="18">
        <v>45995.0</v>
      </c>
      <c r="D780" s="11" t="s">
        <v>237</v>
      </c>
      <c r="H780" s="11" t="s">
        <v>6368</v>
      </c>
      <c r="J780" s="11" t="s">
        <v>187</v>
      </c>
      <c r="O780" s="11">
        <v>60.31</v>
      </c>
      <c r="Q780" s="11" t="b">
        <v>1</v>
      </c>
    </row>
    <row r="781">
      <c r="A781" s="11" t="s">
        <v>2306</v>
      </c>
      <c r="B781" s="11" t="s">
        <v>78</v>
      </c>
      <c r="C781" s="18">
        <v>45995.0</v>
      </c>
      <c r="D781" s="11" t="s">
        <v>848</v>
      </c>
      <c r="H781" s="11" t="s">
        <v>6371</v>
      </c>
      <c r="J781" s="11" t="s">
        <v>235</v>
      </c>
      <c r="O781" s="11">
        <v>500.0</v>
      </c>
      <c r="Q781" s="11" t="b">
        <v>1</v>
      </c>
    </row>
    <row r="782">
      <c r="A782" s="11" t="s">
        <v>6373</v>
      </c>
      <c r="B782" s="11" t="s">
        <v>78</v>
      </c>
      <c r="C782" s="18">
        <v>45995.0</v>
      </c>
      <c r="D782" s="11" t="s">
        <v>237</v>
      </c>
      <c r="E782" s="11" t="s">
        <v>6374</v>
      </c>
      <c r="G782" s="11" t="s">
        <v>6376</v>
      </c>
      <c r="H782" s="11" t="s">
        <v>6375</v>
      </c>
      <c r="I782" s="11" t="b">
        <v>0</v>
      </c>
      <c r="J782" s="11" t="s">
        <v>2932</v>
      </c>
      <c r="Q782" s="11" t="b">
        <v>1</v>
      </c>
    </row>
    <row r="783">
      <c r="A783" s="11" t="s">
        <v>6377</v>
      </c>
      <c r="B783" s="11" t="s">
        <v>78</v>
      </c>
      <c r="C783" s="18">
        <v>45993.0</v>
      </c>
      <c r="D783" s="11" t="s">
        <v>237</v>
      </c>
      <c r="E783" s="11" t="s">
        <v>6378</v>
      </c>
      <c r="G783" s="11" t="s">
        <v>6381</v>
      </c>
      <c r="H783" s="11" t="s">
        <v>6379</v>
      </c>
      <c r="I783" s="11" t="b">
        <v>0</v>
      </c>
      <c r="J783" s="11" t="s">
        <v>2932</v>
      </c>
      <c r="L783" s="11" t="s">
        <v>6382</v>
      </c>
      <c r="M783" s="11" t="s">
        <v>6383</v>
      </c>
      <c r="N783" s="11" t="s">
        <v>6384</v>
      </c>
      <c r="Q783" s="11" t="b">
        <v>1</v>
      </c>
    </row>
    <row r="784">
      <c r="A784" s="11" t="s">
        <v>6385</v>
      </c>
      <c r="B784" s="11" t="s">
        <v>78</v>
      </c>
      <c r="C784" s="18">
        <v>45996.0</v>
      </c>
      <c r="D784" s="11" t="s">
        <v>992</v>
      </c>
      <c r="E784" s="11" t="s">
        <v>6386</v>
      </c>
      <c r="G784" s="11" t="s">
        <v>6388</v>
      </c>
      <c r="H784" s="11" t="s">
        <v>6387</v>
      </c>
      <c r="I784" s="11" t="b">
        <v>1</v>
      </c>
      <c r="J784" s="11" t="s">
        <v>2932</v>
      </c>
      <c r="P784" s="11">
        <v>1841202.0</v>
      </c>
      <c r="Q784" s="11" t="b">
        <v>1</v>
      </c>
    </row>
    <row r="785">
      <c r="A785" s="11" t="s">
        <v>6391</v>
      </c>
      <c r="B785" s="11" t="s">
        <v>78</v>
      </c>
      <c r="C785" s="18">
        <v>45997.0</v>
      </c>
      <c r="D785" s="11" t="s">
        <v>6191</v>
      </c>
      <c r="E785" s="11" t="s">
        <v>6392</v>
      </c>
      <c r="G785" s="11" t="s">
        <v>6394</v>
      </c>
      <c r="H785" s="11" t="s">
        <v>6393</v>
      </c>
      <c r="I785" s="11" t="b">
        <v>1</v>
      </c>
      <c r="J785" s="11" t="s">
        <v>2932</v>
      </c>
      <c r="P785" s="11">
        <v>1844740.0</v>
      </c>
      <c r="Q785" s="11" t="b">
        <v>1</v>
      </c>
    </row>
    <row r="786">
      <c r="A786" s="11" t="s">
        <v>6396</v>
      </c>
      <c r="B786" s="11" t="s">
        <v>78</v>
      </c>
      <c r="C786" s="18">
        <v>45998.0</v>
      </c>
      <c r="D786" s="11" t="s">
        <v>2549</v>
      </c>
      <c r="E786" s="11" t="s">
        <v>6397</v>
      </c>
      <c r="G786" s="11" t="s">
        <v>6400</v>
      </c>
      <c r="H786" s="11" t="s">
        <v>6399</v>
      </c>
      <c r="I786" s="11" t="b">
        <v>1</v>
      </c>
      <c r="J786" s="11" t="s">
        <v>2932</v>
      </c>
      <c r="P786" s="11">
        <v>1847982.0</v>
      </c>
      <c r="Q786" s="11" t="b">
        <v>1</v>
      </c>
    </row>
    <row r="787">
      <c r="A787" s="11" t="s">
        <v>6402</v>
      </c>
      <c r="B787" s="11" t="s">
        <v>78</v>
      </c>
      <c r="C787" s="18">
        <v>45999.0</v>
      </c>
      <c r="D787" s="11" t="s">
        <v>992</v>
      </c>
      <c r="E787" s="11" t="s">
        <v>6403</v>
      </c>
      <c r="G787" s="11" t="s">
        <v>6405</v>
      </c>
      <c r="H787" s="11" t="s">
        <v>4668</v>
      </c>
      <c r="I787" s="11" t="b">
        <v>1</v>
      </c>
      <c r="J787" s="11" t="s">
        <v>2932</v>
      </c>
      <c r="P787" s="11">
        <v>1849851.0</v>
      </c>
      <c r="Q787" s="11" t="b">
        <v>1</v>
      </c>
    </row>
    <row r="788">
      <c r="A788" s="11" t="s">
        <v>6408</v>
      </c>
      <c r="B788" s="11" t="s">
        <v>78</v>
      </c>
      <c r="C788" s="18">
        <v>45997.0</v>
      </c>
      <c r="D788" s="11" t="s">
        <v>104</v>
      </c>
      <c r="E788" s="11" t="s">
        <v>6409</v>
      </c>
      <c r="G788" s="11" t="s">
        <v>6411</v>
      </c>
      <c r="H788" s="11" t="s">
        <v>6410</v>
      </c>
      <c r="I788" s="11" t="b">
        <v>1</v>
      </c>
      <c r="J788" s="11" t="s">
        <v>2932</v>
      </c>
      <c r="P788" s="11">
        <v>1844311.0</v>
      </c>
      <c r="Q788" s="11" t="b">
        <v>1</v>
      </c>
    </row>
    <row r="789">
      <c r="A789" s="11" t="s">
        <v>6413</v>
      </c>
      <c r="B789" s="11" t="s">
        <v>78</v>
      </c>
      <c r="C789" s="18">
        <v>45997.0</v>
      </c>
      <c r="D789" s="11" t="s">
        <v>1201</v>
      </c>
      <c r="E789" s="11" t="s">
        <v>6414</v>
      </c>
      <c r="G789" s="11" t="s">
        <v>6417</v>
      </c>
      <c r="H789" s="11" t="s">
        <v>6415</v>
      </c>
      <c r="I789" s="11" t="b">
        <v>1</v>
      </c>
      <c r="J789" s="11" t="s">
        <v>2932</v>
      </c>
      <c r="P789" s="11">
        <v>1843049.0</v>
      </c>
      <c r="Q789" s="11" t="b">
        <v>1</v>
      </c>
    </row>
    <row r="790">
      <c r="A790" s="11" t="s">
        <v>6419</v>
      </c>
      <c r="B790" s="11" t="s">
        <v>78</v>
      </c>
      <c r="C790" s="18">
        <v>45995.0</v>
      </c>
      <c r="D790" s="11" t="s">
        <v>104</v>
      </c>
      <c r="E790" s="11" t="s">
        <v>6420</v>
      </c>
      <c r="G790" s="11" t="s">
        <v>6421</v>
      </c>
      <c r="H790" s="11" t="s">
        <v>4727</v>
      </c>
      <c r="I790" s="11" t="b">
        <v>1</v>
      </c>
      <c r="J790" s="11" t="s">
        <v>2932</v>
      </c>
      <c r="P790" s="11">
        <v>1839079.0</v>
      </c>
      <c r="Q790" s="11" t="b">
        <v>1</v>
      </c>
    </row>
    <row r="791">
      <c r="A791" s="11" t="s">
        <v>2310</v>
      </c>
      <c r="B791" s="11" t="s">
        <v>78</v>
      </c>
      <c r="C791" s="18">
        <v>45999.0</v>
      </c>
      <c r="H791" s="11" t="s">
        <v>783</v>
      </c>
      <c r="J791" s="11" t="s">
        <v>187</v>
      </c>
      <c r="K791" s="11" t="s">
        <v>113</v>
      </c>
      <c r="O791" s="11">
        <v>300.0</v>
      </c>
      <c r="Q791" s="11" t="b">
        <v>1</v>
      </c>
    </row>
    <row r="792">
      <c r="A792" s="11" t="s">
        <v>2313</v>
      </c>
      <c r="B792" s="11" t="s">
        <v>78</v>
      </c>
      <c r="C792" s="18">
        <v>45999.0</v>
      </c>
      <c r="D792" s="11" t="s">
        <v>3512</v>
      </c>
      <c r="H792" s="11" t="s">
        <v>619</v>
      </c>
      <c r="J792" s="11" t="s">
        <v>235</v>
      </c>
      <c r="O792" s="11">
        <v>201.99</v>
      </c>
      <c r="Q792" s="11" t="b">
        <v>1</v>
      </c>
    </row>
    <row r="793">
      <c r="A793" s="11" t="s">
        <v>2317</v>
      </c>
      <c r="B793" s="11" t="s">
        <v>78</v>
      </c>
      <c r="C793" s="18">
        <v>45999.0</v>
      </c>
      <c r="D793" s="11" t="s">
        <v>6423</v>
      </c>
      <c r="H793" s="11" t="s">
        <v>6424</v>
      </c>
      <c r="J793" s="11" t="s">
        <v>187</v>
      </c>
      <c r="O793" s="11">
        <v>71.96</v>
      </c>
      <c r="Q793" s="11" t="b">
        <v>1</v>
      </c>
    </row>
    <row r="794">
      <c r="A794" s="11" t="s">
        <v>6425</v>
      </c>
      <c r="B794" s="11" t="s">
        <v>78</v>
      </c>
      <c r="C794" s="18">
        <v>46000.0</v>
      </c>
      <c r="D794" s="11" t="s">
        <v>1201</v>
      </c>
      <c r="E794" s="11" t="s">
        <v>6427</v>
      </c>
      <c r="G794" s="11" t="s">
        <v>6429</v>
      </c>
      <c r="H794" s="11" t="s">
        <v>6428</v>
      </c>
      <c r="I794" s="11" t="b">
        <v>1</v>
      </c>
      <c r="J794" s="11" t="s">
        <v>2932</v>
      </c>
      <c r="P794" s="11">
        <v>1851413.0</v>
      </c>
      <c r="Q794" s="11" t="b">
        <v>1</v>
      </c>
    </row>
    <row r="795">
      <c r="A795" s="11" t="s">
        <v>6431</v>
      </c>
      <c r="B795" s="11" t="s">
        <v>78</v>
      </c>
      <c r="C795" s="18">
        <v>46000.0</v>
      </c>
      <c r="D795" s="11" t="s">
        <v>168</v>
      </c>
      <c r="E795" s="11" t="s">
        <v>6432</v>
      </c>
      <c r="G795" s="11" t="s">
        <v>6434</v>
      </c>
      <c r="H795" s="11" t="s">
        <v>6433</v>
      </c>
      <c r="I795" s="11" t="b">
        <v>1</v>
      </c>
      <c r="J795" s="11" t="s">
        <v>2932</v>
      </c>
      <c r="L795" s="11" t="s">
        <v>6436</v>
      </c>
      <c r="P795" s="11">
        <v>1851383.0</v>
      </c>
      <c r="Q795" s="11" t="b">
        <v>1</v>
      </c>
    </row>
    <row r="796">
      <c r="A796" s="11" t="s">
        <v>6437</v>
      </c>
      <c r="B796" s="11" t="s">
        <v>78</v>
      </c>
      <c r="C796" s="18">
        <v>46000.0</v>
      </c>
      <c r="D796" s="11" t="s">
        <v>6438</v>
      </c>
      <c r="E796" s="11" t="s">
        <v>6439</v>
      </c>
      <c r="G796" s="11" t="s">
        <v>6441</v>
      </c>
      <c r="H796" s="11" t="s">
        <v>6440</v>
      </c>
      <c r="I796" s="11" t="b">
        <v>1</v>
      </c>
      <c r="J796" s="11" t="s">
        <v>2932</v>
      </c>
      <c r="P796" s="11">
        <v>1851391.0</v>
      </c>
      <c r="Q796" s="11" t="b">
        <v>1</v>
      </c>
    </row>
    <row r="797">
      <c r="A797" s="11">
        <v>1655.0</v>
      </c>
      <c r="B797" s="11" t="s">
        <v>78</v>
      </c>
      <c r="C797" s="18">
        <v>46000.0</v>
      </c>
      <c r="D797" s="11" t="s">
        <v>176</v>
      </c>
      <c r="H797" s="11" t="s">
        <v>1440</v>
      </c>
      <c r="J797" s="11" t="s">
        <v>187</v>
      </c>
      <c r="O797" s="11">
        <v>1000.0</v>
      </c>
      <c r="Q797" s="11" t="b">
        <v>1</v>
      </c>
    </row>
    <row r="798">
      <c r="A798" s="11">
        <v>1656.0</v>
      </c>
      <c r="B798" s="11" t="s">
        <v>78</v>
      </c>
      <c r="C798" s="18">
        <v>46000.0</v>
      </c>
      <c r="D798" s="11">
        <v>3.6037127E7</v>
      </c>
      <c r="H798" s="11" t="s">
        <v>2162</v>
      </c>
      <c r="J798" s="11" t="s">
        <v>187</v>
      </c>
      <c r="O798" s="11">
        <v>120.0</v>
      </c>
      <c r="Q798" s="11" t="b">
        <v>1</v>
      </c>
    </row>
    <row r="799">
      <c r="A799" s="11">
        <v>1657.0</v>
      </c>
      <c r="B799" s="11" t="s">
        <v>78</v>
      </c>
      <c r="C799" s="18">
        <v>46000.0</v>
      </c>
      <c r="D799" s="11" t="s">
        <v>2509</v>
      </c>
      <c r="H799" s="11" t="s">
        <v>2638</v>
      </c>
      <c r="J799" s="11" t="s">
        <v>187</v>
      </c>
      <c r="O799" s="11">
        <v>104.4</v>
      </c>
      <c r="Q799" s="11" t="b">
        <v>1</v>
      </c>
    </row>
    <row r="800">
      <c r="A800" s="11">
        <v>1658.0</v>
      </c>
      <c r="B800" s="11" t="s">
        <v>78</v>
      </c>
      <c r="C800" s="18">
        <v>46000.0</v>
      </c>
      <c r="D800" s="11" t="s">
        <v>1676</v>
      </c>
      <c r="H800" s="11" t="s">
        <v>2802</v>
      </c>
      <c r="J800" s="11" t="s">
        <v>187</v>
      </c>
      <c r="O800" s="11">
        <v>1249.67</v>
      </c>
      <c r="Q800" s="11" t="b">
        <v>1</v>
      </c>
    </row>
    <row r="801">
      <c r="A801" s="11">
        <v>1659.0</v>
      </c>
      <c r="B801" s="11" t="s">
        <v>78</v>
      </c>
      <c r="C801" s="18">
        <v>46000.0</v>
      </c>
      <c r="D801" s="11" t="s">
        <v>2535</v>
      </c>
      <c r="H801" s="11" t="s">
        <v>2638</v>
      </c>
      <c r="J801" s="11" t="s">
        <v>187</v>
      </c>
      <c r="O801" s="11">
        <v>59.8</v>
      </c>
      <c r="Q801" s="11" t="b">
        <v>1</v>
      </c>
    </row>
    <row r="802">
      <c r="A802" s="11">
        <v>1660.0</v>
      </c>
      <c r="B802" s="11" t="s">
        <v>78</v>
      </c>
      <c r="C802" s="18">
        <v>46000.0</v>
      </c>
      <c r="D802" s="11" t="s">
        <v>5965</v>
      </c>
      <c r="H802" s="11" t="s">
        <v>6447</v>
      </c>
      <c r="J802" s="11" t="s">
        <v>187</v>
      </c>
      <c r="O802" s="11">
        <v>1886.71</v>
      </c>
      <c r="Q802" s="11" t="b">
        <v>1</v>
      </c>
    </row>
    <row r="803">
      <c r="A803" s="11" t="s">
        <v>2337</v>
      </c>
      <c r="B803" s="11" t="s">
        <v>78</v>
      </c>
      <c r="C803" s="18">
        <v>46000.0</v>
      </c>
      <c r="D803" s="11" t="s">
        <v>237</v>
      </c>
      <c r="H803" s="11" t="s">
        <v>6448</v>
      </c>
      <c r="J803" s="11" t="s">
        <v>187</v>
      </c>
      <c r="O803" s="11">
        <v>136.96</v>
      </c>
      <c r="Q803" s="11" t="b">
        <v>1</v>
      </c>
    </row>
    <row r="804">
      <c r="A804" s="11">
        <v>1675.0</v>
      </c>
      <c r="B804" s="11" t="s">
        <v>78</v>
      </c>
      <c r="C804" s="18">
        <v>46000.0</v>
      </c>
      <c r="D804" s="11" t="s">
        <v>192</v>
      </c>
      <c r="H804" s="11" t="s">
        <v>195</v>
      </c>
      <c r="J804" s="11" t="s">
        <v>187</v>
      </c>
      <c r="O804" s="11">
        <v>2500.0</v>
      </c>
      <c r="Q804" s="11" t="b">
        <v>1</v>
      </c>
    </row>
    <row r="805">
      <c r="A805" s="11">
        <v>1676.0</v>
      </c>
      <c r="B805" s="11" t="s">
        <v>78</v>
      </c>
      <c r="C805" s="18">
        <v>46000.0</v>
      </c>
      <c r="D805" s="11" t="s">
        <v>1217</v>
      </c>
      <c r="H805" s="11" t="s">
        <v>1218</v>
      </c>
      <c r="J805" s="11" t="s">
        <v>187</v>
      </c>
      <c r="O805" s="11">
        <v>131.9</v>
      </c>
      <c r="Q805" s="11" t="b">
        <v>1</v>
      </c>
    </row>
    <row r="806">
      <c r="A806" s="11" t="s">
        <v>2345</v>
      </c>
      <c r="B806" s="11" t="s">
        <v>78</v>
      </c>
      <c r="C806" s="18">
        <v>46000.0</v>
      </c>
      <c r="D806" s="11" t="s">
        <v>176</v>
      </c>
      <c r="H806" s="11" t="s">
        <v>6449</v>
      </c>
      <c r="J806" s="11" t="s">
        <v>187</v>
      </c>
      <c r="O806" s="11">
        <v>950.0</v>
      </c>
      <c r="Q806" s="11" t="b">
        <v>1</v>
      </c>
    </row>
    <row r="807">
      <c r="A807" s="11">
        <v>5.6947526E7</v>
      </c>
      <c r="B807" s="11" t="s">
        <v>78</v>
      </c>
      <c r="C807" s="12">
        <v>46003.0</v>
      </c>
      <c r="D807" s="11" t="s">
        <v>104</v>
      </c>
      <c r="E807" s="11" t="s">
        <v>6451</v>
      </c>
      <c r="G807" s="11" t="s">
        <v>6452</v>
      </c>
      <c r="H807" s="11" t="s">
        <v>380</v>
      </c>
      <c r="I807" s="11" t="b">
        <v>1</v>
      </c>
      <c r="J807" s="11" t="s">
        <v>5814</v>
      </c>
      <c r="P807" s="11">
        <v>1856828.0</v>
      </c>
      <c r="Q807" s="11" t="b">
        <v>1</v>
      </c>
    </row>
    <row r="808">
      <c r="A808" s="11" t="s">
        <v>6456</v>
      </c>
      <c r="B808" s="11" t="s">
        <v>78</v>
      </c>
      <c r="C808" s="12">
        <v>46003.0</v>
      </c>
      <c r="D808" s="11" t="s">
        <v>85</v>
      </c>
      <c r="E808" s="11" t="s">
        <v>6457</v>
      </c>
      <c r="G808" s="11" t="s">
        <v>6458</v>
      </c>
      <c r="H808" s="11" t="s">
        <v>4402</v>
      </c>
      <c r="I808" s="11" t="b">
        <v>1</v>
      </c>
      <c r="J808" s="11" t="s">
        <v>2932</v>
      </c>
      <c r="P808" s="11">
        <v>1856818.0</v>
      </c>
      <c r="Q808" s="11" t="b">
        <v>1</v>
      </c>
    </row>
    <row r="809">
      <c r="A809" s="11">
        <v>7.2344418E7</v>
      </c>
      <c r="B809" s="11" t="s">
        <v>78</v>
      </c>
      <c r="C809" s="12">
        <v>46003.0</v>
      </c>
      <c r="D809" s="11" t="s">
        <v>992</v>
      </c>
      <c r="E809" s="11" t="s">
        <v>6461</v>
      </c>
      <c r="G809" s="11" t="s">
        <v>6462</v>
      </c>
      <c r="H809" s="11" t="s">
        <v>3235</v>
      </c>
      <c r="I809" s="11" t="b">
        <v>1</v>
      </c>
      <c r="J809" s="11" t="s">
        <v>5814</v>
      </c>
      <c r="P809" s="11">
        <v>1856540.0</v>
      </c>
      <c r="Q809" s="11" t="b">
        <v>1</v>
      </c>
    </row>
    <row r="810">
      <c r="A810" s="11" t="s">
        <v>6464</v>
      </c>
      <c r="B810" s="11" t="s">
        <v>78</v>
      </c>
      <c r="C810" s="12">
        <v>46003.0</v>
      </c>
      <c r="D810" s="11" t="s">
        <v>817</v>
      </c>
      <c r="E810" s="11" t="s">
        <v>6465</v>
      </c>
      <c r="G810" s="11" t="s">
        <v>6467</v>
      </c>
      <c r="H810" s="11" t="s">
        <v>2244</v>
      </c>
      <c r="I810" s="11" t="b">
        <v>0</v>
      </c>
      <c r="J810" s="11" t="s">
        <v>2932</v>
      </c>
      <c r="Q810" s="11" t="b">
        <v>1</v>
      </c>
    </row>
    <row r="811">
      <c r="A811" s="11">
        <v>1672.0</v>
      </c>
      <c r="B811" s="11" t="s">
        <v>78</v>
      </c>
      <c r="C811" s="12">
        <v>46006.0</v>
      </c>
      <c r="D811" s="11" t="s">
        <v>547</v>
      </c>
      <c r="H811" s="11" t="s">
        <v>973</v>
      </c>
      <c r="J811" s="11" t="s">
        <v>187</v>
      </c>
      <c r="O811" s="11">
        <v>1045.0</v>
      </c>
      <c r="Q811" s="11" t="b">
        <v>1</v>
      </c>
    </row>
    <row r="812">
      <c r="A812" s="11">
        <v>1674.0</v>
      </c>
      <c r="B812" s="11" t="s">
        <v>78</v>
      </c>
      <c r="C812" s="12">
        <v>46006.0</v>
      </c>
      <c r="D812" s="11" t="s">
        <v>547</v>
      </c>
      <c r="H812" s="11" t="s">
        <v>955</v>
      </c>
      <c r="J812" s="11" t="s">
        <v>187</v>
      </c>
      <c r="O812" s="11">
        <v>375.0</v>
      </c>
      <c r="Q812" s="11" t="b">
        <v>1</v>
      </c>
    </row>
    <row r="813">
      <c r="A813" s="11" t="s">
        <v>2357</v>
      </c>
      <c r="B813" s="11" t="s">
        <v>78</v>
      </c>
      <c r="C813" s="12">
        <v>46006.0</v>
      </c>
      <c r="D813" s="11" t="s">
        <v>6470</v>
      </c>
      <c r="H813" s="11" t="s">
        <v>6472</v>
      </c>
      <c r="J813" s="11" t="s">
        <v>187</v>
      </c>
      <c r="O813" s="11">
        <v>1153.66</v>
      </c>
      <c r="Q813" s="11" t="b">
        <v>1</v>
      </c>
    </row>
    <row r="814">
      <c r="A814" s="11" t="s">
        <v>2363</v>
      </c>
      <c r="B814" s="11" t="s">
        <v>78</v>
      </c>
      <c r="C814" s="12">
        <v>46006.0</v>
      </c>
      <c r="D814" s="11" t="s">
        <v>237</v>
      </c>
      <c r="H814" s="11" t="s">
        <v>6472</v>
      </c>
      <c r="J814" s="11" t="s">
        <v>187</v>
      </c>
      <c r="O814" s="11">
        <v>4446.88</v>
      </c>
      <c r="Q814" s="11" t="b">
        <v>1</v>
      </c>
    </row>
    <row r="815">
      <c r="A815" s="11">
        <v>1678.0</v>
      </c>
      <c r="B815" s="11" t="s">
        <v>78</v>
      </c>
      <c r="C815" s="12">
        <v>46007.0</v>
      </c>
      <c r="D815" s="11" t="s">
        <v>1046</v>
      </c>
      <c r="H815" s="11" t="s">
        <v>2638</v>
      </c>
      <c r="J815" s="11" t="s">
        <v>187</v>
      </c>
      <c r="O815" s="11">
        <v>1042.0</v>
      </c>
      <c r="Q815" s="11" t="b">
        <v>1</v>
      </c>
    </row>
    <row r="816">
      <c r="A816" s="11">
        <v>1683.0</v>
      </c>
      <c r="B816" s="11" t="s">
        <v>78</v>
      </c>
      <c r="C816" s="12">
        <v>46007.0</v>
      </c>
      <c r="D816" s="11" t="s">
        <v>1046</v>
      </c>
      <c r="H816" s="11" t="s">
        <v>1557</v>
      </c>
      <c r="J816" s="11" t="s">
        <v>187</v>
      </c>
      <c r="O816" s="11">
        <v>9767.16</v>
      </c>
      <c r="Q816" s="11" t="b">
        <v>1</v>
      </c>
    </row>
    <row r="817">
      <c r="A817" s="11">
        <v>1684.0</v>
      </c>
      <c r="B817" s="11" t="s">
        <v>78</v>
      </c>
      <c r="C817" s="12">
        <v>46007.0</v>
      </c>
      <c r="D817" s="11" t="s">
        <v>1046</v>
      </c>
      <c r="H817" s="11" t="s">
        <v>2638</v>
      </c>
      <c r="J817" s="11" t="s">
        <v>187</v>
      </c>
      <c r="O817" s="11">
        <v>1038.78</v>
      </c>
      <c r="Q817" s="11" t="b">
        <v>1</v>
      </c>
    </row>
    <row r="818">
      <c r="A818" s="11" t="s">
        <v>2376</v>
      </c>
      <c r="B818" s="11" t="s">
        <v>78</v>
      </c>
      <c r="C818" s="12">
        <v>46007.0</v>
      </c>
      <c r="D818" s="11" t="s">
        <v>1046</v>
      </c>
      <c r="H818" s="11" t="s">
        <v>6476</v>
      </c>
      <c r="J818" s="11" t="s">
        <v>187</v>
      </c>
      <c r="O818" s="11">
        <v>492.21</v>
      </c>
      <c r="Q818" s="11" t="b">
        <v>1</v>
      </c>
    </row>
    <row r="819">
      <c r="A819" s="11" t="s">
        <v>2383</v>
      </c>
      <c r="B819" s="11" t="s">
        <v>78</v>
      </c>
      <c r="C819" s="12">
        <v>46007.0</v>
      </c>
      <c r="D819" s="11" t="s">
        <v>237</v>
      </c>
      <c r="H819" s="11" t="s">
        <v>6478</v>
      </c>
      <c r="J819" s="11" t="s">
        <v>187</v>
      </c>
      <c r="O819" s="11">
        <v>1818.52</v>
      </c>
      <c r="Q819" s="11" t="b">
        <v>1</v>
      </c>
    </row>
    <row r="820">
      <c r="A820" s="11" t="s">
        <v>2387</v>
      </c>
      <c r="B820" s="11" t="s">
        <v>78</v>
      </c>
      <c r="C820" s="12">
        <v>46007.0</v>
      </c>
      <c r="D820" s="11" t="s">
        <v>1567</v>
      </c>
      <c r="H820" s="11" t="s">
        <v>6479</v>
      </c>
      <c r="J820" s="11" t="s">
        <v>187</v>
      </c>
      <c r="O820" s="11">
        <v>617.67</v>
      </c>
      <c r="Q820" s="11" t="b">
        <v>1</v>
      </c>
    </row>
    <row r="821">
      <c r="A821" s="11" t="s">
        <v>2392</v>
      </c>
      <c r="B821" s="11" t="s">
        <v>78</v>
      </c>
      <c r="C821" s="12">
        <v>46007.0</v>
      </c>
      <c r="D821" s="11" t="s">
        <v>237</v>
      </c>
      <c r="H821" s="11" t="s">
        <v>6482</v>
      </c>
      <c r="J821" s="11" t="s">
        <v>187</v>
      </c>
      <c r="O821" s="11">
        <v>8385.65</v>
      </c>
      <c r="Q821" s="11" t="b">
        <v>1</v>
      </c>
    </row>
    <row r="822">
      <c r="A822" s="11" t="s">
        <v>6483</v>
      </c>
      <c r="B822" s="11" t="s">
        <v>78</v>
      </c>
      <c r="C822" s="12">
        <v>46005.0</v>
      </c>
      <c r="D822" s="11" t="s">
        <v>6484</v>
      </c>
      <c r="E822" s="11" t="s">
        <v>6485</v>
      </c>
      <c r="G822" s="11" t="s">
        <v>6487</v>
      </c>
      <c r="H822" s="11" t="s">
        <v>6486</v>
      </c>
      <c r="I822" s="11" t="b">
        <v>1</v>
      </c>
      <c r="J822" s="11" t="s">
        <v>2932</v>
      </c>
      <c r="P822" s="11">
        <v>1861927.0</v>
      </c>
      <c r="Q822" s="11" t="b">
        <v>1</v>
      </c>
    </row>
    <row r="823">
      <c r="A823" s="11" t="s">
        <v>6489</v>
      </c>
      <c r="B823" s="11" t="s">
        <v>78</v>
      </c>
      <c r="C823" s="12">
        <v>46005.0</v>
      </c>
      <c r="D823" s="11" t="s">
        <v>2549</v>
      </c>
      <c r="E823" s="11" t="s">
        <v>6491</v>
      </c>
      <c r="G823" s="11" t="s">
        <v>6494</v>
      </c>
      <c r="H823" s="11" t="s">
        <v>6492</v>
      </c>
      <c r="I823" s="11" t="b">
        <v>1</v>
      </c>
      <c r="J823" s="11" t="s">
        <v>2932</v>
      </c>
      <c r="P823" s="11">
        <v>1861963.0</v>
      </c>
      <c r="Q823" s="11" t="b">
        <v>1</v>
      </c>
    </row>
    <row r="824">
      <c r="A824" s="11" t="s">
        <v>6496</v>
      </c>
      <c r="B824" s="11" t="s">
        <v>78</v>
      </c>
      <c r="C824" s="12">
        <v>46005.0</v>
      </c>
      <c r="D824" s="11" t="s">
        <v>2549</v>
      </c>
      <c r="E824" s="11" t="s">
        <v>6497</v>
      </c>
      <c r="G824" s="11" t="s">
        <v>6499</v>
      </c>
      <c r="H824" s="11" t="s">
        <v>6498</v>
      </c>
      <c r="I824" s="11" t="b">
        <v>1</v>
      </c>
      <c r="J824" s="11" t="s">
        <v>2932</v>
      </c>
      <c r="P824" s="11">
        <v>1862181.0</v>
      </c>
      <c r="Q824" s="11" t="b">
        <v>1</v>
      </c>
    </row>
    <row r="825">
      <c r="A825" s="11" t="s">
        <v>6502</v>
      </c>
      <c r="B825" s="11" t="s">
        <v>78</v>
      </c>
      <c r="C825" s="12">
        <v>46005.0</v>
      </c>
      <c r="D825" s="11" t="s">
        <v>6191</v>
      </c>
      <c r="E825" s="11" t="s">
        <v>6503</v>
      </c>
      <c r="G825" s="11" t="s">
        <v>6505</v>
      </c>
      <c r="H825" s="11" t="s">
        <v>6504</v>
      </c>
      <c r="I825" s="11" t="b">
        <v>1</v>
      </c>
      <c r="J825" s="11" t="s">
        <v>2932</v>
      </c>
      <c r="P825" s="11">
        <v>1862370.0</v>
      </c>
      <c r="Q825" s="11" t="b">
        <v>1</v>
      </c>
    </row>
    <row r="826">
      <c r="A826" s="11" t="s">
        <v>6508</v>
      </c>
      <c r="B826" s="11" t="s">
        <v>78</v>
      </c>
      <c r="C826" s="12">
        <v>46006.0</v>
      </c>
      <c r="D826" s="11" t="s">
        <v>992</v>
      </c>
      <c r="E826" s="11" t="s">
        <v>6509</v>
      </c>
      <c r="G826" s="11" t="s">
        <v>6511</v>
      </c>
      <c r="H826" s="11" t="s">
        <v>6510</v>
      </c>
      <c r="I826" s="11" t="b">
        <v>1</v>
      </c>
      <c r="J826" s="11" t="s">
        <v>5814</v>
      </c>
      <c r="P826" s="11">
        <v>1864067.0</v>
      </c>
      <c r="Q826" s="11" t="b">
        <v>1</v>
      </c>
    </row>
    <row r="827">
      <c r="A827" s="11" t="s">
        <v>6513</v>
      </c>
      <c r="B827" s="11" t="s">
        <v>78</v>
      </c>
      <c r="C827" s="12">
        <v>46009.0</v>
      </c>
      <c r="D827" s="11" t="s">
        <v>3478</v>
      </c>
      <c r="E827" s="11" t="s">
        <v>6514</v>
      </c>
      <c r="G827" s="11" t="s">
        <v>6515</v>
      </c>
      <c r="H827" s="11" t="s">
        <v>781</v>
      </c>
      <c r="I827" s="11" t="b">
        <v>1</v>
      </c>
      <c r="J827" s="11" t="s">
        <v>2932</v>
      </c>
      <c r="L827" s="11" t="s">
        <v>6517</v>
      </c>
      <c r="P827" s="11">
        <v>1869662.0</v>
      </c>
      <c r="Q827" s="11" t="b">
        <v>1</v>
      </c>
    </row>
    <row r="828">
      <c r="A828" s="11" t="s">
        <v>6518</v>
      </c>
      <c r="B828" s="11" t="s">
        <v>78</v>
      </c>
      <c r="C828" s="12">
        <v>46009.0</v>
      </c>
      <c r="D828" s="11" t="s">
        <v>85</v>
      </c>
      <c r="E828" s="11" t="s">
        <v>6519</v>
      </c>
      <c r="G828" s="11" t="s">
        <v>6521</v>
      </c>
      <c r="H828" s="11" t="s">
        <v>6520</v>
      </c>
      <c r="I828" s="11" t="b">
        <v>1</v>
      </c>
      <c r="J828" s="11" t="s">
        <v>2932</v>
      </c>
      <c r="P828" s="11">
        <v>1869675.0</v>
      </c>
      <c r="Q828" s="11" t="b">
        <v>1</v>
      </c>
    </row>
    <row r="829">
      <c r="A829" s="11" t="s">
        <v>6523</v>
      </c>
      <c r="B829" s="11" t="s">
        <v>78</v>
      </c>
      <c r="C829" s="12">
        <v>46009.0</v>
      </c>
      <c r="D829" s="11" t="s">
        <v>104</v>
      </c>
      <c r="E829" s="11" t="s">
        <v>6524</v>
      </c>
      <c r="G829" s="11" t="s">
        <v>6526</v>
      </c>
      <c r="H829" s="11" t="s">
        <v>6525</v>
      </c>
      <c r="I829" s="11" t="b">
        <v>1</v>
      </c>
      <c r="J829" s="11" t="s">
        <v>2932</v>
      </c>
      <c r="P829" s="11">
        <v>1869367.0</v>
      </c>
      <c r="Q829" s="11" t="b">
        <v>1</v>
      </c>
    </row>
    <row r="830">
      <c r="A830" s="11" t="s">
        <v>6528</v>
      </c>
      <c r="B830" s="11" t="s">
        <v>78</v>
      </c>
      <c r="C830" s="12">
        <v>46006.0</v>
      </c>
      <c r="D830" s="11" t="s">
        <v>104</v>
      </c>
      <c r="E830" s="11" t="s">
        <v>6529</v>
      </c>
      <c r="G830" s="11" t="s">
        <v>6531</v>
      </c>
      <c r="H830" s="11" t="s">
        <v>6530</v>
      </c>
      <c r="I830" s="11" t="b">
        <v>1</v>
      </c>
      <c r="J830" s="11" t="s">
        <v>2932</v>
      </c>
      <c r="P830" s="11">
        <v>1864552.0</v>
      </c>
      <c r="Q830" s="11" t="b">
        <v>1</v>
      </c>
    </row>
    <row r="831">
      <c r="A831" s="11" t="s">
        <v>6533</v>
      </c>
      <c r="B831" s="11" t="s">
        <v>78</v>
      </c>
      <c r="C831" s="12">
        <v>46006.0</v>
      </c>
      <c r="D831" s="11" t="s">
        <v>513</v>
      </c>
      <c r="E831" s="11" t="s">
        <v>6534</v>
      </c>
      <c r="G831" s="11" t="s">
        <v>6535</v>
      </c>
      <c r="H831" s="11" t="s">
        <v>4269</v>
      </c>
      <c r="I831" s="11" t="b">
        <v>1</v>
      </c>
      <c r="J831" s="11" t="s">
        <v>2932</v>
      </c>
      <c r="P831" s="11">
        <v>1865644.0</v>
      </c>
      <c r="Q831" s="11" t="b">
        <v>1</v>
      </c>
    </row>
    <row r="832">
      <c r="A832" s="11" t="s">
        <v>6537</v>
      </c>
      <c r="B832" s="11" t="s">
        <v>78</v>
      </c>
      <c r="C832" s="12">
        <v>46007.0</v>
      </c>
      <c r="D832" s="11" t="s">
        <v>237</v>
      </c>
      <c r="E832" s="11" t="s">
        <v>6538</v>
      </c>
      <c r="G832" s="11" t="s">
        <v>6541</v>
      </c>
      <c r="H832" s="11" t="s">
        <v>6539</v>
      </c>
      <c r="I832" s="11" t="b">
        <v>0</v>
      </c>
      <c r="J832" s="11" t="s">
        <v>2932</v>
      </c>
      <c r="L832" s="11" t="s">
        <v>6542</v>
      </c>
      <c r="M832" s="11" t="s">
        <v>6543</v>
      </c>
      <c r="Q832" s="11" t="b">
        <v>1</v>
      </c>
    </row>
    <row r="833">
      <c r="A833" s="11">
        <v>1699.0</v>
      </c>
      <c r="B833" s="11" t="s">
        <v>78</v>
      </c>
      <c r="C833" s="12">
        <v>46014.0</v>
      </c>
      <c r="D833" s="11" t="s">
        <v>415</v>
      </c>
      <c r="H833" s="18">
        <v>45931.0</v>
      </c>
      <c r="J833" s="11" t="s">
        <v>187</v>
      </c>
      <c r="O833" s="11">
        <v>190.34</v>
      </c>
      <c r="Q833" s="11" t="b">
        <v>1</v>
      </c>
    </row>
    <row r="834">
      <c r="A834" s="11">
        <v>1700.0</v>
      </c>
      <c r="B834" s="11" t="s">
        <v>78</v>
      </c>
      <c r="C834" s="12">
        <v>46014.0</v>
      </c>
      <c r="D834" s="11" t="s">
        <v>1567</v>
      </c>
      <c r="H834" s="18">
        <v>45717.0</v>
      </c>
      <c r="J834" s="11" t="s">
        <v>187</v>
      </c>
      <c r="O834" s="11">
        <v>52.36</v>
      </c>
      <c r="Q834" s="11" t="b">
        <v>1</v>
      </c>
    </row>
    <row r="835">
      <c r="A835" s="11" t="s">
        <v>2408</v>
      </c>
      <c r="B835" s="11" t="s">
        <v>78</v>
      </c>
      <c r="C835" s="12">
        <v>46014.0</v>
      </c>
      <c r="D835" s="11" t="s">
        <v>237</v>
      </c>
      <c r="H835" s="11" t="s">
        <v>6546</v>
      </c>
      <c r="J835" s="11" t="s">
        <v>187</v>
      </c>
      <c r="O835" s="11">
        <v>3760.8</v>
      </c>
      <c r="Q835" s="11" t="b">
        <v>1</v>
      </c>
    </row>
    <row r="836">
      <c r="A836" s="11">
        <v>1707.0</v>
      </c>
      <c r="B836" s="11" t="s">
        <v>78</v>
      </c>
      <c r="C836" s="12">
        <v>46014.0</v>
      </c>
      <c r="D836" s="11" t="s">
        <v>415</v>
      </c>
      <c r="H836" s="11" t="s">
        <v>1015</v>
      </c>
      <c r="J836" s="11" t="s">
        <v>187</v>
      </c>
      <c r="O836" s="11">
        <v>22.0</v>
      </c>
      <c r="Q836" s="11" t="b">
        <v>1</v>
      </c>
    </row>
    <row r="837">
      <c r="A837" s="11">
        <v>1708.0</v>
      </c>
      <c r="B837" s="11" t="s">
        <v>78</v>
      </c>
      <c r="C837" s="12">
        <v>46014.0</v>
      </c>
      <c r="D837" s="11" t="s">
        <v>415</v>
      </c>
      <c r="H837" s="11" t="s">
        <v>1022</v>
      </c>
      <c r="J837" s="11" t="s">
        <v>187</v>
      </c>
      <c r="O837" s="11">
        <v>10.0</v>
      </c>
      <c r="Q837" s="11" t="b">
        <v>1</v>
      </c>
    </row>
    <row r="838">
      <c r="A838" s="11" t="s">
        <v>2421</v>
      </c>
      <c r="B838" s="11" t="s">
        <v>78</v>
      </c>
      <c r="C838" s="12">
        <v>46014.0</v>
      </c>
      <c r="H838" s="11" t="s">
        <v>6552</v>
      </c>
      <c r="J838" s="11" t="s">
        <v>235</v>
      </c>
      <c r="K838" s="11" t="s">
        <v>685</v>
      </c>
      <c r="O838" s="11">
        <v>283.1</v>
      </c>
      <c r="Q838" s="11" t="b">
        <v>1</v>
      </c>
    </row>
    <row r="839">
      <c r="A839" s="11" t="s">
        <v>2425</v>
      </c>
      <c r="B839" s="11" t="s">
        <v>78</v>
      </c>
      <c r="C839" s="12">
        <v>46014.0</v>
      </c>
      <c r="D839" s="11" t="s">
        <v>1201</v>
      </c>
      <c r="H839" s="11" t="s">
        <v>6553</v>
      </c>
      <c r="J839" s="11" t="s">
        <v>235</v>
      </c>
      <c r="O839" s="11">
        <v>763.05</v>
      </c>
      <c r="Q839" s="11" t="b">
        <v>1</v>
      </c>
    </row>
    <row r="840">
      <c r="A840" s="11" t="s">
        <v>2429</v>
      </c>
      <c r="B840" s="11" t="s">
        <v>78</v>
      </c>
      <c r="C840" s="12">
        <v>46014.0</v>
      </c>
      <c r="D840" s="11" t="s">
        <v>1279</v>
      </c>
      <c r="H840" s="11" t="s">
        <v>6556</v>
      </c>
      <c r="J840" s="11" t="s">
        <v>235</v>
      </c>
      <c r="O840" s="11">
        <v>64.95</v>
      </c>
      <c r="Q840" s="11" t="b">
        <v>1</v>
      </c>
    </row>
    <row r="841">
      <c r="A841" s="11">
        <v>1.91335743E8</v>
      </c>
      <c r="B841" s="11" t="s">
        <v>78</v>
      </c>
      <c r="C841" s="12">
        <v>46014.0</v>
      </c>
      <c r="D841" s="11" t="s">
        <v>6557</v>
      </c>
      <c r="H841" s="11" t="s">
        <v>6558</v>
      </c>
      <c r="J841" s="11" t="s">
        <v>235</v>
      </c>
      <c r="O841" s="11">
        <v>139.5</v>
      </c>
      <c r="Q841" s="11" t="b">
        <v>1</v>
      </c>
    </row>
    <row r="842">
      <c r="A842" s="11" t="s">
        <v>3379</v>
      </c>
      <c r="B842" s="11" t="s">
        <v>78</v>
      </c>
      <c r="C842" s="12">
        <v>46017.0</v>
      </c>
      <c r="D842" s="11" t="s">
        <v>104</v>
      </c>
      <c r="E842" s="11" t="s">
        <v>6559</v>
      </c>
      <c r="G842" s="11" t="s">
        <v>6562</v>
      </c>
      <c r="H842" s="11" t="s">
        <v>6560</v>
      </c>
      <c r="I842" s="11" t="b">
        <v>1</v>
      </c>
      <c r="J842" s="11" t="s">
        <v>5814</v>
      </c>
      <c r="O842" s="11">
        <v>57.8</v>
      </c>
      <c r="P842" s="11">
        <v>1886417.0</v>
      </c>
      <c r="Q842" s="11" t="b">
        <v>1</v>
      </c>
    </row>
    <row r="843">
      <c r="A843" s="11" t="s">
        <v>5475</v>
      </c>
      <c r="B843" s="11" t="s">
        <v>78</v>
      </c>
      <c r="C843" s="12">
        <v>46014.0</v>
      </c>
      <c r="D843" s="11">
        <v>1.848497E7</v>
      </c>
      <c r="E843" s="11" t="s">
        <v>6567</v>
      </c>
      <c r="G843" s="11" t="s">
        <v>6570</v>
      </c>
      <c r="H843" s="11" t="s">
        <v>6568</v>
      </c>
      <c r="I843" s="11" t="b">
        <v>1</v>
      </c>
      <c r="J843" s="11" t="s">
        <v>5814</v>
      </c>
      <c r="L843" s="11" t="s">
        <v>6572</v>
      </c>
      <c r="O843" s="11">
        <v>685.0</v>
      </c>
      <c r="P843" s="11">
        <v>1882331.0</v>
      </c>
      <c r="Q843" s="11" t="b">
        <v>1</v>
      </c>
    </row>
    <row r="844">
      <c r="A844" s="11" t="s">
        <v>3283</v>
      </c>
      <c r="B844" s="11" t="s">
        <v>78</v>
      </c>
      <c r="C844" s="12">
        <v>46010.0</v>
      </c>
      <c r="D844" s="11" t="s">
        <v>85</v>
      </c>
      <c r="E844" s="11" t="s">
        <v>6573</v>
      </c>
      <c r="G844" s="11" t="s">
        <v>6576</v>
      </c>
      <c r="H844" s="11" t="s">
        <v>6574</v>
      </c>
      <c r="I844" s="11" t="b">
        <v>1</v>
      </c>
      <c r="J844" s="11" t="s">
        <v>5814</v>
      </c>
      <c r="O844" s="11">
        <v>119.13</v>
      </c>
      <c r="P844" s="11">
        <v>1872013.0</v>
      </c>
      <c r="Q844" s="11" t="b">
        <v>1</v>
      </c>
    </row>
    <row r="845">
      <c r="A845" s="11" t="s">
        <v>3317</v>
      </c>
      <c r="B845" s="11" t="s">
        <v>78</v>
      </c>
      <c r="C845" s="12">
        <v>46013.0</v>
      </c>
      <c r="D845" s="11" t="s">
        <v>104</v>
      </c>
      <c r="E845" s="11" t="s">
        <v>6578</v>
      </c>
      <c r="G845" s="11" t="s">
        <v>6579</v>
      </c>
      <c r="H845" s="11" t="s">
        <v>4727</v>
      </c>
      <c r="I845" s="11" t="b">
        <v>1</v>
      </c>
      <c r="J845" s="11" t="s">
        <v>5814</v>
      </c>
      <c r="O845" s="11">
        <v>137.64</v>
      </c>
      <c r="P845" s="11">
        <v>1874791.0</v>
      </c>
      <c r="Q845" s="11" t="b">
        <v>1</v>
      </c>
    </row>
    <row r="846">
      <c r="A846" s="11" t="s">
        <v>3343</v>
      </c>
      <c r="B846" s="11" t="s">
        <v>78</v>
      </c>
      <c r="C846" s="12">
        <v>46013.0</v>
      </c>
      <c r="D846" s="11" t="s">
        <v>104</v>
      </c>
      <c r="E846" s="11" t="s">
        <v>6581</v>
      </c>
      <c r="G846" s="11" t="s">
        <v>6585</v>
      </c>
      <c r="H846" s="11" t="s">
        <v>6583</v>
      </c>
      <c r="I846" s="11" t="b">
        <v>1</v>
      </c>
      <c r="J846" s="11" t="s">
        <v>5814</v>
      </c>
      <c r="O846" s="11">
        <v>151.33</v>
      </c>
      <c r="P846" s="11">
        <v>1880249.0</v>
      </c>
      <c r="Q846" s="11" t="b">
        <v>1</v>
      </c>
    </row>
    <row r="847">
      <c r="A847" s="11" t="s">
        <v>3324</v>
      </c>
      <c r="B847" s="11" t="s">
        <v>78</v>
      </c>
      <c r="C847" s="12">
        <v>46010.0</v>
      </c>
      <c r="D847" s="11" t="s">
        <v>992</v>
      </c>
      <c r="E847" s="11" t="s">
        <v>6589</v>
      </c>
      <c r="G847" s="11" t="s">
        <v>6591</v>
      </c>
      <c r="H847" s="11" t="s">
        <v>6590</v>
      </c>
      <c r="I847" s="11" t="b">
        <v>1</v>
      </c>
      <c r="J847" s="11" t="s">
        <v>5814</v>
      </c>
      <c r="O847" s="11">
        <v>375.0</v>
      </c>
      <c r="P847" s="11">
        <v>1871252.0</v>
      </c>
      <c r="Q847" s="11" t="b">
        <v>1</v>
      </c>
    </row>
    <row r="848">
      <c r="A848" s="11" t="s">
        <v>3329</v>
      </c>
      <c r="B848" s="11" t="s">
        <v>78</v>
      </c>
      <c r="C848" s="12">
        <v>46011.0</v>
      </c>
      <c r="D848" s="11" t="s">
        <v>6191</v>
      </c>
      <c r="E848" s="11" t="s">
        <v>6593</v>
      </c>
      <c r="G848" s="11" t="s">
        <v>6595</v>
      </c>
      <c r="H848" s="11" t="s">
        <v>6594</v>
      </c>
      <c r="I848" s="11" t="b">
        <v>1</v>
      </c>
      <c r="J848" s="11" t="s">
        <v>5814</v>
      </c>
      <c r="O848" s="11">
        <v>585.85</v>
      </c>
      <c r="P848" s="11">
        <v>1874872.0</v>
      </c>
      <c r="Q848" s="11" t="b">
        <v>1</v>
      </c>
    </row>
    <row r="849">
      <c r="A849" s="11" t="s">
        <v>3333</v>
      </c>
      <c r="B849" s="11" t="s">
        <v>78</v>
      </c>
      <c r="C849" s="12">
        <v>46012.0</v>
      </c>
      <c r="D849" s="11" t="s">
        <v>6484</v>
      </c>
      <c r="E849" s="11" t="s">
        <v>6599</v>
      </c>
      <c r="G849" s="11" t="s">
        <v>6601</v>
      </c>
      <c r="H849" s="11" t="s">
        <v>6600</v>
      </c>
      <c r="I849" s="11" t="b">
        <v>1</v>
      </c>
      <c r="J849" s="11" t="s">
        <v>5814</v>
      </c>
      <c r="O849" s="11">
        <v>60.0</v>
      </c>
      <c r="P849" s="11">
        <v>1877593.0</v>
      </c>
      <c r="Q849" s="11" t="b">
        <v>1</v>
      </c>
    </row>
    <row r="850">
      <c r="A850" s="11" t="s">
        <v>3337</v>
      </c>
      <c r="B850" s="11" t="s">
        <v>78</v>
      </c>
      <c r="C850" s="12">
        <v>46012.0</v>
      </c>
      <c r="D850" s="11" t="s">
        <v>2549</v>
      </c>
      <c r="E850" s="11" t="s">
        <v>6604</v>
      </c>
      <c r="G850" s="11" t="s">
        <v>6606</v>
      </c>
      <c r="H850" s="11" t="s">
        <v>6605</v>
      </c>
      <c r="I850" s="11" t="b">
        <v>1</v>
      </c>
      <c r="J850" s="11" t="s">
        <v>5814</v>
      </c>
      <c r="O850" s="11">
        <v>972.0</v>
      </c>
      <c r="P850" s="11">
        <v>1879187.0</v>
      </c>
      <c r="Q850" s="11" t="b">
        <v>1</v>
      </c>
    </row>
    <row r="851">
      <c r="A851" s="11" t="s">
        <v>3392</v>
      </c>
      <c r="B851" s="11" t="s">
        <v>78</v>
      </c>
      <c r="C851" s="12">
        <v>46017.0</v>
      </c>
      <c r="D851" s="11" t="s">
        <v>992</v>
      </c>
      <c r="E851" s="11" t="s">
        <v>6608</v>
      </c>
      <c r="G851" s="11" t="s">
        <v>6610</v>
      </c>
      <c r="H851" s="11" t="s">
        <v>6609</v>
      </c>
      <c r="I851" s="11" t="b">
        <v>1</v>
      </c>
      <c r="J851" s="11" t="s">
        <v>5814</v>
      </c>
      <c r="O851" s="11">
        <v>500.0</v>
      </c>
      <c r="P851" s="11">
        <v>1886418.0</v>
      </c>
      <c r="Q851" s="11" t="b">
        <v>1</v>
      </c>
    </row>
    <row r="852">
      <c r="A852" s="11" t="s">
        <v>3352</v>
      </c>
      <c r="B852" s="11" t="s">
        <v>78</v>
      </c>
      <c r="C852" s="12">
        <v>46013.0</v>
      </c>
      <c r="D852" s="11" t="s">
        <v>513</v>
      </c>
      <c r="E852" s="11" t="s">
        <v>6613</v>
      </c>
      <c r="G852" s="11" t="s">
        <v>6615</v>
      </c>
      <c r="H852" s="11" t="s">
        <v>6614</v>
      </c>
      <c r="I852" s="11" t="b">
        <v>1</v>
      </c>
      <c r="J852" s="11" t="s">
        <v>5814</v>
      </c>
      <c r="O852" s="11">
        <v>739.05</v>
      </c>
      <c r="P852" s="11">
        <v>1882340.0</v>
      </c>
      <c r="Q852" s="11" t="b">
        <v>1</v>
      </c>
      <c r="S852" s="11">
        <v>7.06</v>
      </c>
    </row>
    <row r="853">
      <c r="A853" s="11" t="s">
        <v>3278</v>
      </c>
      <c r="B853" s="11" t="s">
        <v>78</v>
      </c>
      <c r="C853" s="12">
        <v>46009.0</v>
      </c>
      <c r="D853" s="11" t="s">
        <v>237</v>
      </c>
      <c r="E853" s="11" t="s">
        <v>6617</v>
      </c>
      <c r="G853" s="11" t="s">
        <v>6619</v>
      </c>
      <c r="H853" s="11" t="s">
        <v>6618</v>
      </c>
      <c r="I853" s="11" t="b">
        <v>0</v>
      </c>
      <c r="J853" s="11" t="s">
        <v>5814</v>
      </c>
      <c r="L853" s="11" t="s">
        <v>6620</v>
      </c>
      <c r="M853" s="11" t="s">
        <v>6621</v>
      </c>
      <c r="O853" s="11">
        <v>11341.24</v>
      </c>
      <c r="Q853" s="11" t="b">
        <v>1</v>
      </c>
    </row>
    <row r="854">
      <c r="A854" s="11" t="s">
        <v>2438</v>
      </c>
      <c r="B854" s="11" t="s">
        <v>78</v>
      </c>
      <c r="C854" s="12">
        <v>46019.0</v>
      </c>
      <c r="H854" s="11" t="s">
        <v>783</v>
      </c>
      <c r="J854" s="11" t="s">
        <v>187</v>
      </c>
      <c r="K854" s="11" t="s">
        <v>126</v>
      </c>
      <c r="O854" s="11">
        <v>500.0</v>
      </c>
      <c r="Q854" s="11" t="b">
        <v>1</v>
      </c>
    </row>
    <row r="855">
      <c r="A855" s="11" t="s">
        <v>3439</v>
      </c>
      <c r="B855" s="11" t="s">
        <v>78</v>
      </c>
      <c r="C855" s="12">
        <v>46018.0</v>
      </c>
      <c r="D855" s="11" t="s">
        <v>2549</v>
      </c>
      <c r="E855" s="11" t="s">
        <v>6622</v>
      </c>
      <c r="G855" s="11" t="s">
        <v>6624</v>
      </c>
      <c r="H855" s="11" t="s">
        <v>6623</v>
      </c>
      <c r="I855" s="11" t="b">
        <v>1</v>
      </c>
      <c r="J855" s="11" t="s">
        <v>5814</v>
      </c>
      <c r="O855" s="11">
        <v>1140.0</v>
      </c>
      <c r="P855" s="11">
        <v>1893323.0</v>
      </c>
      <c r="Q855" s="11" t="b">
        <v>1</v>
      </c>
    </row>
    <row r="856">
      <c r="A856" s="11" t="s">
        <v>5427</v>
      </c>
      <c r="B856" s="11" t="s">
        <v>78</v>
      </c>
      <c r="C856" s="12">
        <v>46019.0</v>
      </c>
      <c r="D856" s="11" t="s">
        <v>6191</v>
      </c>
      <c r="E856" s="11" t="s">
        <v>6628</v>
      </c>
      <c r="G856" s="11" t="s">
        <v>6630</v>
      </c>
      <c r="H856" s="11" t="s">
        <v>6629</v>
      </c>
      <c r="I856" s="11" t="b">
        <v>1</v>
      </c>
      <c r="J856" s="11" t="s">
        <v>5814</v>
      </c>
      <c r="O856" s="11">
        <v>123.0</v>
      </c>
      <c r="P856" s="11">
        <v>1889859.0</v>
      </c>
      <c r="Q856" s="11" t="b">
        <v>1</v>
      </c>
    </row>
    <row r="857">
      <c r="A857" s="11" t="s">
        <v>3454</v>
      </c>
      <c r="B857" s="11" t="s">
        <v>78</v>
      </c>
      <c r="C857" s="12">
        <v>46019.0</v>
      </c>
      <c r="D857" s="11" t="s">
        <v>6191</v>
      </c>
      <c r="E857" s="11" t="s">
        <v>6632</v>
      </c>
      <c r="G857" s="11" t="s">
        <v>6634</v>
      </c>
      <c r="H857" s="11" t="s">
        <v>6633</v>
      </c>
      <c r="I857" s="11" t="b">
        <v>1</v>
      </c>
      <c r="J857" s="11" t="s">
        <v>5814</v>
      </c>
      <c r="O857" s="11">
        <v>532.0</v>
      </c>
      <c r="P857" s="11">
        <v>1893381.0</v>
      </c>
      <c r="Q857" s="11" t="b">
        <v>1</v>
      </c>
    </row>
    <row r="858">
      <c r="A858" s="11" t="s">
        <v>3460</v>
      </c>
      <c r="B858" s="11" t="s">
        <v>78</v>
      </c>
      <c r="C858" s="12">
        <v>46020.0</v>
      </c>
      <c r="D858" s="11" t="s">
        <v>992</v>
      </c>
      <c r="E858" s="11" t="s">
        <v>6636</v>
      </c>
      <c r="G858" s="11" t="s">
        <v>6637</v>
      </c>
      <c r="H858" s="11" t="s">
        <v>4668</v>
      </c>
      <c r="I858" s="11" t="b">
        <v>1</v>
      </c>
      <c r="J858" s="11" t="s">
        <v>5814</v>
      </c>
      <c r="O858" s="11">
        <v>250.0</v>
      </c>
      <c r="P858" s="11">
        <v>1895445.0</v>
      </c>
      <c r="Q858" s="11" t="b">
        <v>1</v>
      </c>
    </row>
    <row r="859">
      <c r="A859" s="11" t="s">
        <v>3397</v>
      </c>
      <c r="B859" s="11" t="s">
        <v>78</v>
      </c>
      <c r="C859" s="12">
        <v>46017.0</v>
      </c>
      <c r="D859" s="11" t="s">
        <v>6484</v>
      </c>
      <c r="E859" s="11" t="s">
        <v>6639</v>
      </c>
      <c r="G859" s="11" t="s">
        <v>6642</v>
      </c>
      <c r="H859" s="11" t="s">
        <v>6641</v>
      </c>
      <c r="I859" s="11" t="b">
        <v>1</v>
      </c>
      <c r="J859" s="11" t="s">
        <v>5814</v>
      </c>
      <c r="O859" s="11">
        <v>12.0</v>
      </c>
      <c r="P859" s="11">
        <v>1887520.0</v>
      </c>
      <c r="Q859" s="11" t="b">
        <v>1</v>
      </c>
    </row>
    <row r="860">
      <c r="A860" s="11" t="s">
        <v>3442</v>
      </c>
      <c r="B860" s="11" t="s">
        <v>78</v>
      </c>
      <c r="C860" s="12">
        <v>46018.0</v>
      </c>
      <c r="D860" s="11" t="s">
        <v>104</v>
      </c>
      <c r="E860" s="11" t="s">
        <v>6644</v>
      </c>
      <c r="G860" s="11" t="s">
        <v>6646</v>
      </c>
      <c r="H860" s="11" t="s">
        <v>6645</v>
      </c>
      <c r="I860" s="11" t="b">
        <v>1</v>
      </c>
      <c r="J860" s="11" t="s">
        <v>5814</v>
      </c>
      <c r="O860" s="11">
        <v>311.5</v>
      </c>
      <c r="P860" s="11">
        <v>1889579.0</v>
      </c>
      <c r="Q860" s="11" t="b">
        <v>1</v>
      </c>
    </row>
    <row r="861">
      <c r="A861" s="11" t="s">
        <v>2440</v>
      </c>
      <c r="B861" s="11" t="s">
        <v>78</v>
      </c>
      <c r="C861" s="12">
        <v>46020.0</v>
      </c>
      <c r="D861" s="11" t="s">
        <v>5465</v>
      </c>
      <c r="H861" s="11" t="s">
        <v>6648</v>
      </c>
      <c r="J861" s="11" t="s">
        <v>187</v>
      </c>
      <c r="O861" s="11">
        <v>50.0</v>
      </c>
      <c r="Q861" s="11" t="b">
        <v>1</v>
      </c>
    </row>
    <row r="862">
      <c r="A862" s="11" t="s">
        <v>3401</v>
      </c>
      <c r="B862" s="11" t="s">
        <v>78</v>
      </c>
      <c r="C862" s="12">
        <v>46017.0</v>
      </c>
      <c r="D862" s="11" t="s">
        <v>85</v>
      </c>
      <c r="E862" s="11" t="s">
        <v>6649</v>
      </c>
      <c r="G862" s="11" t="s">
        <v>6652</v>
      </c>
      <c r="H862" s="11" t="s">
        <v>6650</v>
      </c>
      <c r="I862" s="11" t="b">
        <v>1</v>
      </c>
      <c r="J862" s="11" t="s">
        <v>5814</v>
      </c>
      <c r="O862" s="11">
        <v>170.96</v>
      </c>
      <c r="P862" s="11">
        <v>1889583.0</v>
      </c>
      <c r="Q862" s="11" t="b">
        <v>1</v>
      </c>
    </row>
    <row r="863">
      <c r="A863" s="11" t="s">
        <v>3474</v>
      </c>
      <c r="B863" s="11" t="s">
        <v>78</v>
      </c>
      <c r="C863" s="12">
        <v>46021.0</v>
      </c>
      <c r="D863" s="11" t="s">
        <v>1627</v>
      </c>
      <c r="E863" s="11" t="s">
        <v>6655</v>
      </c>
      <c r="G863" s="11" t="s">
        <v>6656</v>
      </c>
      <c r="H863" s="11" t="s">
        <v>6657</v>
      </c>
      <c r="I863" s="11" t="b">
        <v>1</v>
      </c>
      <c r="J863" s="11" t="s">
        <v>5814</v>
      </c>
      <c r="O863" s="11">
        <v>48.36</v>
      </c>
      <c r="P863" s="11">
        <v>1897132.0</v>
      </c>
      <c r="Q863" s="11" t="b">
        <v>1</v>
      </c>
    </row>
    <row r="864">
      <c r="A864" s="11" t="s">
        <v>2447</v>
      </c>
      <c r="B864" s="11" t="s">
        <v>78</v>
      </c>
      <c r="C864" s="12">
        <v>46021.0</v>
      </c>
      <c r="D864" s="11" t="s">
        <v>237</v>
      </c>
      <c r="H864" s="11" t="s">
        <v>6659</v>
      </c>
      <c r="J864" s="11" t="s">
        <v>187</v>
      </c>
      <c r="O864" s="11">
        <v>2375.72</v>
      </c>
      <c r="Q864" s="11" t="b">
        <v>1</v>
      </c>
    </row>
    <row r="865">
      <c r="A865" s="11">
        <v>1704.0</v>
      </c>
      <c r="B865" s="11" t="s">
        <v>78</v>
      </c>
      <c r="C865" s="12">
        <v>46021.0</v>
      </c>
      <c r="H865" s="11" t="s">
        <v>681</v>
      </c>
      <c r="J865" s="11" t="s">
        <v>187</v>
      </c>
      <c r="K865" s="11" t="s">
        <v>685</v>
      </c>
      <c r="O865" s="11">
        <v>3498.0</v>
      </c>
      <c r="Q865" s="11" t="b">
        <v>1</v>
      </c>
    </row>
    <row r="866">
      <c r="A866" s="11">
        <v>1705.0</v>
      </c>
      <c r="B866" s="11" t="s">
        <v>78</v>
      </c>
      <c r="C866" s="12">
        <v>46021.0</v>
      </c>
      <c r="H866" s="11" t="s">
        <v>687</v>
      </c>
      <c r="J866" s="11" t="s">
        <v>187</v>
      </c>
      <c r="K866" s="11" t="s">
        <v>3675</v>
      </c>
      <c r="O866" s="11">
        <v>292.0</v>
      </c>
      <c r="Q866" s="11" t="b">
        <v>1</v>
      </c>
    </row>
    <row r="867">
      <c r="A867" s="11">
        <v>1706.0</v>
      </c>
      <c r="B867" s="11" t="s">
        <v>78</v>
      </c>
      <c r="C867" s="12">
        <v>46021.0</v>
      </c>
      <c r="H867" s="11" t="s">
        <v>687</v>
      </c>
      <c r="J867" s="11" t="s">
        <v>187</v>
      </c>
      <c r="K867" s="11" t="s">
        <v>704</v>
      </c>
      <c r="O867" s="11">
        <v>292.0</v>
      </c>
      <c r="Q867" s="11" t="b">
        <v>1</v>
      </c>
    </row>
    <row r="868">
      <c r="A868" s="11">
        <v>1709.0</v>
      </c>
      <c r="B868" s="11" t="s">
        <v>78</v>
      </c>
      <c r="C868" s="12">
        <v>46021.0</v>
      </c>
      <c r="D868" s="11" t="s">
        <v>629</v>
      </c>
      <c r="H868" s="11" t="s">
        <v>633</v>
      </c>
      <c r="J868" s="11" t="s">
        <v>187</v>
      </c>
      <c r="O868" s="11">
        <v>3135.75</v>
      </c>
      <c r="Q868" s="11" t="b">
        <v>1</v>
      </c>
    </row>
    <row r="869">
      <c r="A869" s="11">
        <v>1710.0</v>
      </c>
      <c r="B869" s="11" t="s">
        <v>78</v>
      </c>
      <c r="C869" s="12">
        <v>46021.0</v>
      </c>
      <c r="H869" s="11" t="s">
        <v>2638</v>
      </c>
      <c r="J869" s="11" t="s">
        <v>187</v>
      </c>
      <c r="K869" s="11" t="s">
        <v>225</v>
      </c>
      <c r="O869" s="11">
        <v>3389.14</v>
      </c>
      <c r="Q869" s="11" t="b">
        <v>1</v>
      </c>
    </row>
    <row r="870">
      <c r="A870" s="11">
        <v>1711.0</v>
      </c>
      <c r="B870" s="11" t="s">
        <v>78</v>
      </c>
      <c r="C870" s="12">
        <v>46021.0</v>
      </c>
      <c r="H870" s="11" t="s">
        <v>2638</v>
      </c>
      <c r="J870" s="11" t="s">
        <v>187</v>
      </c>
      <c r="K870" s="11" t="s">
        <v>113</v>
      </c>
      <c r="O870" s="11">
        <v>1375.5</v>
      </c>
      <c r="Q870" s="11" t="b">
        <v>1</v>
      </c>
    </row>
    <row r="871">
      <c r="A871" s="11">
        <v>1712.0</v>
      </c>
      <c r="B871" s="11" t="s">
        <v>78</v>
      </c>
      <c r="C871" s="12">
        <v>46021.0</v>
      </c>
      <c r="H871" s="11" t="s">
        <v>2638</v>
      </c>
      <c r="J871" s="11" t="s">
        <v>187</v>
      </c>
      <c r="K871" s="11" t="s">
        <v>126</v>
      </c>
      <c r="O871" s="11">
        <v>1493.78</v>
      </c>
      <c r="Q871" s="11" t="b">
        <v>1</v>
      </c>
    </row>
    <row r="872">
      <c r="A872" s="11">
        <v>1713.0</v>
      </c>
      <c r="B872" s="11" t="s">
        <v>78</v>
      </c>
      <c r="C872" s="12">
        <v>46021.0</v>
      </c>
      <c r="H872" s="11" t="s">
        <v>2638</v>
      </c>
      <c r="J872" s="11" t="s">
        <v>187</v>
      </c>
      <c r="K872" s="11" t="s">
        <v>3739</v>
      </c>
      <c r="O872" s="11">
        <v>2004.6</v>
      </c>
      <c r="Q872" s="11" t="b">
        <v>1</v>
      </c>
    </row>
    <row r="873">
      <c r="A873" s="11" t="s">
        <v>2485</v>
      </c>
      <c r="B873" s="11" t="s">
        <v>78</v>
      </c>
      <c r="C873" s="12">
        <v>46021.0</v>
      </c>
      <c r="D873" s="11" t="s">
        <v>237</v>
      </c>
      <c r="H873" s="11" t="s">
        <v>6665</v>
      </c>
      <c r="J873" s="11" t="s">
        <v>187</v>
      </c>
      <c r="O873" s="11">
        <v>10955.07</v>
      </c>
      <c r="Q873" s="11" t="b">
        <v>1</v>
      </c>
    </row>
    <row r="874">
      <c r="A874" s="11" t="s">
        <v>3481</v>
      </c>
      <c r="B874" s="11" t="s">
        <v>78</v>
      </c>
      <c r="C874" s="12">
        <v>46021.0</v>
      </c>
      <c r="D874" s="11" t="s">
        <v>237</v>
      </c>
      <c r="E874" s="11" t="s">
        <v>6666</v>
      </c>
      <c r="G874" s="11" t="s">
        <v>6667</v>
      </c>
      <c r="H874" s="11" t="s">
        <v>6668</v>
      </c>
      <c r="I874" s="11" t="b">
        <v>0</v>
      </c>
      <c r="J874" s="11" t="s">
        <v>5814</v>
      </c>
      <c r="L874" s="11" t="s">
        <v>6669</v>
      </c>
      <c r="M874" s="11" t="s">
        <v>6670</v>
      </c>
      <c r="O874" s="11">
        <v>18125.92</v>
      </c>
      <c r="Q874" s="11" t="b">
        <v>1</v>
      </c>
    </row>
    <row r="875">
      <c r="A875" s="11" t="s">
        <v>3551</v>
      </c>
      <c r="B875" s="11" t="s">
        <v>78</v>
      </c>
      <c r="C875" s="18">
        <v>46027.0</v>
      </c>
      <c r="D875" s="11" t="s">
        <v>1094</v>
      </c>
      <c r="E875" s="11" t="s">
        <v>6671</v>
      </c>
      <c r="G875" s="11" t="s">
        <v>6672</v>
      </c>
      <c r="H875" s="11" t="s">
        <v>6673</v>
      </c>
      <c r="I875" s="11" t="b">
        <v>1</v>
      </c>
      <c r="J875" s="11" t="s">
        <v>5814</v>
      </c>
      <c r="O875" s="11">
        <v>3.0</v>
      </c>
      <c r="P875" s="11">
        <v>1910765.0</v>
      </c>
      <c r="Q875" s="11" t="b">
        <v>1</v>
      </c>
    </row>
    <row r="876">
      <c r="A876" s="11" t="s">
        <v>3555</v>
      </c>
      <c r="B876" s="11" t="s">
        <v>78</v>
      </c>
      <c r="C876" s="18">
        <v>46027.0</v>
      </c>
      <c r="D876" s="11" t="s">
        <v>104</v>
      </c>
      <c r="E876" s="11" t="s">
        <v>6675</v>
      </c>
      <c r="G876" s="11" t="s">
        <v>6676</v>
      </c>
      <c r="H876" s="11" t="s">
        <v>6677</v>
      </c>
      <c r="I876" s="11" t="b">
        <v>1</v>
      </c>
      <c r="J876" s="11" t="s">
        <v>5814</v>
      </c>
      <c r="O876" s="11">
        <v>192.59</v>
      </c>
      <c r="P876" s="11">
        <v>1910695.0</v>
      </c>
      <c r="Q876" s="11" t="b">
        <v>1</v>
      </c>
    </row>
    <row r="877">
      <c r="A877" s="11" t="s">
        <v>3571</v>
      </c>
      <c r="B877" s="11" t="s">
        <v>78</v>
      </c>
      <c r="C877" s="18">
        <v>46027.0</v>
      </c>
      <c r="D877" s="11" t="s">
        <v>1105</v>
      </c>
      <c r="E877" s="11" t="s">
        <v>6678</v>
      </c>
      <c r="G877" s="11" t="s">
        <v>6679</v>
      </c>
      <c r="H877" s="11" t="s">
        <v>6680</v>
      </c>
      <c r="I877" s="11" t="b">
        <v>1</v>
      </c>
      <c r="J877" s="11" t="s">
        <v>5814</v>
      </c>
      <c r="O877" s="11">
        <v>37.99</v>
      </c>
      <c r="P877" s="11">
        <v>1910709.0</v>
      </c>
      <c r="Q877" s="11" t="b">
        <v>1</v>
      </c>
    </row>
    <row r="878">
      <c r="A878" s="11" t="s">
        <v>3587</v>
      </c>
      <c r="B878" s="11" t="s">
        <v>78</v>
      </c>
      <c r="C878" s="18">
        <v>46027.0</v>
      </c>
      <c r="D878" s="11" t="s">
        <v>1094</v>
      </c>
      <c r="E878" s="11" t="s">
        <v>6681</v>
      </c>
      <c r="G878" s="11" t="s">
        <v>6682</v>
      </c>
      <c r="H878" s="11" t="s">
        <v>781</v>
      </c>
      <c r="I878" s="11" t="b">
        <v>1</v>
      </c>
      <c r="J878" s="11" t="s">
        <v>5814</v>
      </c>
      <c r="O878" s="11">
        <v>12.0</v>
      </c>
      <c r="P878" s="11">
        <v>1910738.0</v>
      </c>
      <c r="Q878" s="11" t="b">
        <v>1</v>
      </c>
    </row>
    <row r="879">
      <c r="A879" s="11" t="s">
        <v>3504</v>
      </c>
      <c r="B879" s="11" t="s">
        <v>78</v>
      </c>
      <c r="C879" s="18">
        <v>46024.0</v>
      </c>
      <c r="D879" s="11" t="s">
        <v>85</v>
      </c>
      <c r="E879" s="11" t="s">
        <v>6684</v>
      </c>
      <c r="G879" s="11" t="s">
        <v>6685</v>
      </c>
      <c r="H879" s="11" t="s">
        <v>6686</v>
      </c>
      <c r="I879" s="11" t="b">
        <v>1</v>
      </c>
      <c r="J879" s="11" t="s">
        <v>5814</v>
      </c>
      <c r="O879" s="11">
        <v>193.65</v>
      </c>
      <c r="P879" s="11">
        <v>1902871.0</v>
      </c>
      <c r="Q879" s="11" t="b">
        <v>1</v>
      </c>
    </row>
    <row r="880">
      <c r="A880" s="11" t="s">
        <v>3524</v>
      </c>
      <c r="B880" s="11" t="s">
        <v>78</v>
      </c>
      <c r="C880" s="18">
        <v>46024.0</v>
      </c>
      <c r="D880" s="11" t="s">
        <v>104</v>
      </c>
      <c r="E880" s="11" t="s">
        <v>6688</v>
      </c>
      <c r="G880" s="11" t="s">
        <v>6689</v>
      </c>
      <c r="H880" s="11" t="s">
        <v>6690</v>
      </c>
      <c r="I880" s="11" t="b">
        <v>1</v>
      </c>
      <c r="J880" s="11" t="s">
        <v>5814</v>
      </c>
      <c r="O880" s="11">
        <v>194.14</v>
      </c>
      <c r="P880" s="11">
        <v>1902022.0</v>
      </c>
      <c r="Q880" s="11" t="b">
        <v>1</v>
      </c>
    </row>
    <row r="881">
      <c r="A881" s="11" t="s">
        <v>3540</v>
      </c>
      <c r="B881" s="11" t="s">
        <v>78</v>
      </c>
      <c r="C881" s="18">
        <v>46024.0</v>
      </c>
      <c r="D881" s="11" t="s">
        <v>992</v>
      </c>
      <c r="E881" s="11" t="s">
        <v>6692</v>
      </c>
      <c r="G881" s="11" t="s">
        <v>6693</v>
      </c>
      <c r="H881" s="11" t="s">
        <v>6694</v>
      </c>
      <c r="I881" s="11" t="b">
        <v>1</v>
      </c>
      <c r="J881" s="11" t="s">
        <v>5814</v>
      </c>
      <c r="O881" s="11">
        <v>500.0</v>
      </c>
      <c r="P881" s="11">
        <v>1902893.0</v>
      </c>
      <c r="Q881" s="11" t="b">
        <v>1</v>
      </c>
    </row>
    <row r="882">
      <c r="A882" s="11" t="s">
        <v>3545</v>
      </c>
      <c r="B882" s="11" t="s">
        <v>78</v>
      </c>
      <c r="C882" s="18">
        <v>46025.0</v>
      </c>
      <c r="D882" s="11" t="s">
        <v>6191</v>
      </c>
      <c r="E882" s="11" t="s">
        <v>6695</v>
      </c>
      <c r="G882" s="11" t="s">
        <v>6696</v>
      </c>
      <c r="H882" s="11" t="s">
        <v>6697</v>
      </c>
      <c r="I882" s="11" t="b">
        <v>1</v>
      </c>
      <c r="J882" s="11" t="s">
        <v>5814</v>
      </c>
      <c r="O882" s="11">
        <v>471.24</v>
      </c>
      <c r="P882" s="11">
        <v>1905374.0</v>
      </c>
      <c r="Q882" s="11" t="b">
        <v>1</v>
      </c>
    </row>
    <row r="883">
      <c r="A883" s="11" t="s">
        <v>3592</v>
      </c>
      <c r="B883" s="11" t="s">
        <v>78</v>
      </c>
      <c r="C883" s="18">
        <v>46027.0</v>
      </c>
      <c r="D883" s="11" t="s">
        <v>992</v>
      </c>
      <c r="E883" s="11" t="s">
        <v>6698</v>
      </c>
      <c r="G883" s="11" t="s">
        <v>6699</v>
      </c>
      <c r="H883" s="11" t="s">
        <v>6701</v>
      </c>
      <c r="I883" s="11" t="b">
        <v>1</v>
      </c>
      <c r="J883" s="11" t="s">
        <v>5814</v>
      </c>
      <c r="O883" s="11">
        <v>250.0</v>
      </c>
      <c r="P883" s="11">
        <v>1910692.0</v>
      </c>
      <c r="Q883" s="11" t="b">
        <v>1</v>
      </c>
    </row>
    <row r="884">
      <c r="A884" s="11" t="s">
        <v>3596</v>
      </c>
      <c r="B884" s="11" t="s">
        <v>78</v>
      </c>
      <c r="C884" s="18">
        <v>46027.0</v>
      </c>
      <c r="D884" s="11" t="s">
        <v>2549</v>
      </c>
      <c r="E884" s="11" t="s">
        <v>6702</v>
      </c>
      <c r="G884" s="11" t="s">
        <v>6703</v>
      </c>
      <c r="H884" s="11" t="s">
        <v>6704</v>
      </c>
      <c r="I884" s="11" t="b">
        <v>1</v>
      </c>
      <c r="J884" s="11" t="s">
        <v>5814</v>
      </c>
      <c r="O884" s="11">
        <v>612.0</v>
      </c>
      <c r="P884" s="11">
        <v>1910782.0</v>
      </c>
      <c r="Q884" s="11" t="b">
        <v>1</v>
      </c>
    </row>
    <row r="885">
      <c r="A885" s="11" t="s">
        <v>3495</v>
      </c>
      <c r="B885" s="11" t="s">
        <v>78</v>
      </c>
      <c r="C885" s="12">
        <v>46022.0</v>
      </c>
      <c r="D885" s="11" t="s">
        <v>237</v>
      </c>
      <c r="E885" s="11" t="s">
        <v>6707</v>
      </c>
      <c r="G885" s="11" t="s">
        <v>6708</v>
      </c>
      <c r="H885" s="11" t="s">
        <v>6709</v>
      </c>
      <c r="I885" s="11" t="b">
        <v>0</v>
      </c>
      <c r="J885" s="11" t="s">
        <v>5814</v>
      </c>
      <c r="L885" s="11" t="s">
        <v>6710</v>
      </c>
      <c r="M885" s="11" t="s">
        <v>6711</v>
      </c>
      <c r="O885" s="11">
        <v>5511.06</v>
      </c>
      <c r="Q885" s="11" t="b">
        <v>1</v>
      </c>
    </row>
    <row r="886">
      <c r="A886" s="11" t="s">
        <v>3464</v>
      </c>
      <c r="B886" s="11" t="s">
        <v>78</v>
      </c>
      <c r="C886" s="12">
        <v>46020.0</v>
      </c>
      <c r="D886" s="11" t="s">
        <v>4510</v>
      </c>
      <c r="E886" s="11" t="s">
        <v>6713</v>
      </c>
      <c r="G886" s="11" t="s">
        <v>6714</v>
      </c>
      <c r="H886" s="11" t="s">
        <v>6715</v>
      </c>
      <c r="I886" s="11" t="b">
        <v>0</v>
      </c>
      <c r="J886" s="11" t="s">
        <v>5814</v>
      </c>
      <c r="L886" s="11" t="s">
        <v>6716</v>
      </c>
      <c r="M886" s="11" t="s">
        <v>6717</v>
      </c>
      <c r="O886" s="11">
        <v>1810.88</v>
      </c>
      <c r="Q886" s="11" t="b">
        <v>1</v>
      </c>
    </row>
    <row r="887">
      <c r="A887" s="11" t="s">
        <v>3600</v>
      </c>
      <c r="B887" s="11" t="s">
        <v>78</v>
      </c>
      <c r="C887" s="18">
        <v>46027.0</v>
      </c>
      <c r="D887" s="11" t="s">
        <v>513</v>
      </c>
      <c r="E887" s="11" t="s">
        <v>6718</v>
      </c>
      <c r="G887" s="11" t="s">
        <v>6719</v>
      </c>
      <c r="H887" s="11" t="s">
        <v>6349</v>
      </c>
      <c r="I887" s="11" t="b">
        <v>1</v>
      </c>
      <c r="J887" s="11" t="s">
        <v>5814</v>
      </c>
      <c r="O887" s="11">
        <v>323.5</v>
      </c>
      <c r="P887" s="11">
        <v>1912630.0</v>
      </c>
      <c r="Q887" s="11" t="b">
        <v>1</v>
      </c>
    </row>
    <row r="888">
      <c r="A888" s="11">
        <v>1673.0</v>
      </c>
      <c r="B888" s="11" t="s">
        <v>78</v>
      </c>
      <c r="C888" s="18">
        <v>46028.0</v>
      </c>
      <c r="D888" s="11" t="s">
        <v>547</v>
      </c>
      <c r="H888" s="11" t="s">
        <v>964</v>
      </c>
      <c r="J888" s="11" t="s">
        <v>187</v>
      </c>
      <c r="O888" s="11">
        <v>625.0</v>
      </c>
      <c r="Q888" s="11" t="b">
        <v>1</v>
      </c>
    </row>
    <row r="889">
      <c r="A889" s="11" t="s">
        <v>2494</v>
      </c>
      <c r="B889" s="11" t="s">
        <v>78</v>
      </c>
      <c r="C889" s="18">
        <v>46028.0</v>
      </c>
      <c r="D889" s="11" t="s">
        <v>237</v>
      </c>
      <c r="H889" s="11" t="s">
        <v>6722</v>
      </c>
      <c r="J889" s="11" t="s">
        <v>187</v>
      </c>
      <c r="O889" s="11">
        <v>3174.0</v>
      </c>
      <c r="Q889" s="11" t="b">
        <v>1</v>
      </c>
    </row>
    <row r="890">
      <c r="A890" s="11">
        <v>1722.0</v>
      </c>
      <c r="B890" s="11" t="s">
        <v>78</v>
      </c>
      <c r="C890" s="18">
        <v>46028.0</v>
      </c>
      <c r="D890" s="11" t="s">
        <v>176</v>
      </c>
      <c r="H890" s="11" t="s">
        <v>1440</v>
      </c>
      <c r="J890" s="11" t="s">
        <v>187</v>
      </c>
      <c r="O890" s="11">
        <v>500.0</v>
      </c>
      <c r="Q890" s="11" t="b">
        <v>1</v>
      </c>
    </row>
    <row r="891">
      <c r="A891" s="11">
        <v>1723.0</v>
      </c>
      <c r="B891" s="11" t="s">
        <v>78</v>
      </c>
      <c r="C891" s="18">
        <v>46028.0</v>
      </c>
      <c r="D891" s="11">
        <v>3.6037127E7</v>
      </c>
      <c r="H891" s="11" t="s">
        <v>2162</v>
      </c>
      <c r="J891" s="11" t="s">
        <v>187</v>
      </c>
      <c r="O891" s="11">
        <v>120.0</v>
      </c>
      <c r="Q891" s="11" t="b">
        <v>1</v>
      </c>
    </row>
    <row r="892">
      <c r="A892" s="11">
        <v>1724.0</v>
      </c>
      <c r="B892" s="11" t="s">
        <v>78</v>
      </c>
      <c r="C892" s="18">
        <v>46028.0</v>
      </c>
      <c r="D892" s="11" t="s">
        <v>2509</v>
      </c>
      <c r="H892" s="11" t="s">
        <v>2638</v>
      </c>
      <c r="J892" s="11" t="s">
        <v>187</v>
      </c>
      <c r="O892" s="11">
        <v>104.4</v>
      </c>
      <c r="Q892" s="11" t="b">
        <v>1</v>
      </c>
    </row>
    <row r="893">
      <c r="A893" s="11">
        <v>1726.0</v>
      </c>
      <c r="B893" s="11" t="s">
        <v>78</v>
      </c>
      <c r="C893" s="18">
        <v>46028.0</v>
      </c>
      <c r="D893" s="11" t="s">
        <v>2535</v>
      </c>
      <c r="H893" s="11" t="s">
        <v>2638</v>
      </c>
      <c r="J893" s="11" t="s">
        <v>187</v>
      </c>
      <c r="O893" s="11">
        <v>59.76</v>
      </c>
      <c r="Q893" s="11" t="b">
        <v>1</v>
      </c>
    </row>
    <row r="894">
      <c r="A894" s="11">
        <v>1727.0</v>
      </c>
      <c r="B894" s="11" t="s">
        <v>78</v>
      </c>
      <c r="C894" s="18">
        <v>46028.0</v>
      </c>
      <c r="D894" s="11" t="s">
        <v>5965</v>
      </c>
      <c r="H894" s="11" t="s">
        <v>6727</v>
      </c>
      <c r="J894" s="11" t="s">
        <v>187</v>
      </c>
      <c r="O894" s="11">
        <v>1886.71</v>
      </c>
      <c r="Q894" s="11" t="b">
        <v>1</v>
      </c>
    </row>
    <row r="895">
      <c r="A895" s="11" t="s">
        <v>2517</v>
      </c>
      <c r="B895" s="11" t="s">
        <v>78</v>
      </c>
      <c r="C895" s="18">
        <v>46028.0</v>
      </c>
      <c r="D895" s="11" t="s">
        <v>237</v>
      </c>
      <c r="H895" s="11" t="s">
        <v>6728</v>
      </c>
      <c r="J895" s="11" t="s">
        <v>187</v>
      </c>
      <c r="O895" s="11">
        <v>1195.13</v>
      </c>
      <c r="Q895" s="11" t="b">
        <v>1</v>
      </c>
    </row>
    <row r="896">
      <c r="A896" s="11">
        <v>1725.0</v>
      </c>
      <c r="B896" s="11" t="s">
        <v>78</v>
      </c>
      <c r="C896" s="18">
        <v>46030.0</v>
      </c>
      <c r="D896" s="11" t="s">
        <v>1676</v>
      </c>
      <c r="H896" s="11" t="s">
        <v>2802</v>
      </c>
      <c r="J896" s="11" t="s">
        <v>187</v>
      </c>
      <c r="O896" s="11">
        <v>1892.5</v>
      </c>
      <c r="Q896" s="11" t="b">
        <v>1</v>
      </c>
    </row>
    <row r="897">
      <c r="A897" s="11" t="s">
        <v>2524</v>
      </c>
      <c r="B897" s="11" t="s">
        <v>78</v>
      </c>
      <c r="C897" s="18">
        <v>46031.0</v>
      </c>
      <c r="D897" s="11" t="s">
        <v>6423</v>
      </c>
      <c r="H897" s="11" t="s">
        <v>6731</v>
      </c>
      <c r="J897" s="11" t="s">
        <v>235</v>
      </c>
      <c r="O897" s="11">
        <v>44.61</v>
      </c>
      <c r="Q897" s="11" t="b">
        <v>1</v>
      </c>
    </row>
    <row r="898">
      <c r="A898" s="11" t="s">
        <v>3619</v>
      </c>
      <c r="B898" s="11" t="s">
        <v>78</v>
      </c>
      <c r="C898" s="18">
        <v>46030.0</v>
      </c>
      <c r="D898" s="11" t="s">
        <v>237</v>
      </c>
      <c r="E898" s="11" t="s">
        <v>6734</v>
      </c>
      <c r="G898" s="11" t="s">
        <v>6735</v>
      </c>
      <c r="H898" s="11" t="s">
        <v>6736</v>
      </c>
      <c r="I898" s="11" t="b">
        <v>0</v>
      </c>
      <c r="J898" s="11" t="s">
        <v>5814</v>
      </c>
      <c r="L898" s="11" t="s">
        <v>6737</v>
      </c>
      <c r="O898" s="11">
        <v>1796.37</v>
      </c>
      <c r="Q898" s="11" t="b">
        <v>1</v>
      </c>
    </row>
    <row r="899">
      <c r="A899" s="11" t="s">
        <v>2529</v>
      </c>
      <c r="B899" s="11" t="s">
        <v>78</v>
      </c>
      <c r="C899" s="18">
        <v>46034.0</v>
      </c>
      <c r="D899" s="11" t="s">
        <v>1046</v>
      </c>
      <c r="H899" s="11" t="s">
        <v>6476</v>
      </c>
      <c r="J899" s="11" t="s">
        <v>187</v>
      </c>
      <c r="O899" s="11">
        <v>284.47</v>
      </c>
      <c r="Q899" s="11" t="b">
        <v>1</v>
      </c>
    </row>
    <row r="900">
      <c r="A900" s="11" t="s">
        <v>2534</v>
      </c>
      <c r="B900" s="11" t="s">
        <v>78</v>
      </c>
      <c r="C900" s="18">
        <v>46034.0</v>
      </c>
      <c r="D900" s="11" t="s">
        <v>6470</v>
      </c>
      <c r="H900" s="11" t="s">
        <v>6740</v>
      </c>
      <c r="J900" s="11" t="s">
        <v>187</v>
      </c>
      <c r="O900" s="11">
        <v>1153.66</v>
      </c>
      <c r="Q900" s="11" t="b">
        <v>1</v>
      </c>
    </row>
    <row r="901">
      <c r="A901" s="11" t="s">
        <v>2540</v>
      </c>
      <c r="B901" s="11" t="s">
        <v>78</v>
      </c>
      <c r="C901" s="18">
        <v>46034.0</v>
      </c>
      <c r="D901" s="11" t="s">
        <v>237</v>
      </c>
      <c r="H901" s="11" t="s">
        <v>6740</v>
      </c>
      <c r="J901" s="11" t="s">
        <v>187</v>
      </c>
      <c r="O901" s="11">
        <v>4446.88</v>
      </c>
      <c r="Q901" s="11" t="b">
        <v>1</v>
      </c>
    </row>
    <row r="902">
      <c r="A902" s="11" t="s">
        <v>2543</v>
      </c>
      <c r="B902" s="11" t="s">
        <v>78</v>
      </c>
      <c r="C902" s="18">
        <v>46034.0</v>
      </c>
      <c r="D902" s="11" t="s">
        <v>237</v>
      </c>
      <c r="H902" s="11" t="s">
        <v>6741</v>
      </c>
      <c r="J902" s="11" t="s">
        <v>187</v>
      </c>
      <c r="O902" s="11">
        <v>3866.0</v>
      </c>
      <c r="Q902" s="11" t="b">
        <v>1</v>
      </c>
    </row>
    <row r="903">
      <c r="A903" s="11">
        <v>1734.0</v>
      </c>
      <c r="B903" s="11" t="s">
        <v>78</v>
      </c>
      <c r="C903" s="18">
        <v>46034.0</v>
      </c>
      <c r="D903" s="11" t="s">
        <v>192</v>
      </c>
      <c r="H903" s="11" t="s">
        <v>195</v>
      </c>
      <c r="J903" s="11" t="s">
        <v>187</v>
      </c>
      <c r="O903" s="11">
        <v>2500.0</v>
      </c>
      <c r="Q903" s="11" t="b">
        <v>1</v>
      </c>
    </row>
    <row r="904">
      <c r="A904" s="11">
        <v>1735.0</v>
      </c>
      <c r="B904" s="11" t="s">
        <v>78</v>
      </c>
      <c r="C904" s="18">
        <v>46034.0</v>
      </c>
      <c r="D904" s="11" t="s">
        <v>1217</v>
      </c>
      <c r="H904" s="11" t="s">
        <v>1218</v>
      </c>
      <c r="J904" s="11" t="s">
        <v>187</v>
      </c>
      <c r="O904" s="11">
        <v>131.9</v>
      </c>
      <c r="Q904" s="11" t="b">
        <v>1</v>
      </c>
    </row>
    <row r="905">
      <c r="A905" s="11">
        <v>1.38784331E8</v>
      </c>
      <c r="B905" s="11" t="s">
        <v>78</v>
      </c>
      <c r="C905" s="18">
        <v>46034.0</v>
      </c>
      <c r="D905" s="11" t="s">
        <v>1567</v>
      </c>
      <c r="H905" s="11" t="s">
        <v>6479</v>
      </c>
      <c r="J905" s="11" t="s">
        <v>187</v>
      </c>
      <c r="O905" s="11">
        <v>701.64</v>
      </c>
      <c r="Q905" s="11" t="b">
        <v>1</v>
      </c>
    </row>
    <row r="906">
      <c r="A906" s="11" t="s">
        <v>3627</v>
      </c>
      <c r="B906" s="11" t="s">
        <v>78</v>
      </c>
      <c r="C906" s="18">
        <v>46030.0</v>
      </c>
      <c r="D906" s="11" t="s">
        <v>85</v>
      </c>
      <c r="E906" s="11" t="s">
        <v>6745</v>
      </c>
      <c r="G906" s="11" t="s">
        <v>6746</v>
      </c>
      <c r="H906" s="11" t="s">
        <v>6747</v>
      </c>
      <c r="I906" s="11" t="b">
        <v>1</v>
      </c>
      <c r="J906" s="11" t="s">
        <v>5814</v>
      </c>
      <c r="O906" s="11">
        <v>78.36</v>
      </c>
      <c r="P906" s="11">
        <v>1919570.0</v>
      </c>
      <c r="Q906" s="11" t="b">
        <v>1</v>
      </c>
    </row>
    <row r="907">
      <c r="A907" s="11" t="s">
        <v>3614</v>
      </c>
      <c r="B907" s="11" t="s">
        <v>78</v>
      </c>
      <c r="C907" s="18">
        <v>46029.0</v>
      </c>
      <c r="D907" s="11" t="s">
        <v>85</v>
      </c>
      <c r="E907" s="11" t="s">
        <v>6748</v>
      </c>
      <c r="G907" s="11" t="s">
        <v>6750</v>
      </c>
      <c r="H907" s="11" t="s">
        <v>6751</v>
      </c>
      <c r="I907" s="11" t="b">
        <v>1</v>
      </c>
      <c r="J907" s="11" t="s">
        <v>5814</v>
      </c>
      <c r="O907" s="11">
        <v>41.88</v>
      </c>
      <c r="P907" s="11">
        <v>1919566.0</v>
      </c>
      <c r="Q907" s="11" t="b">
        <v>1</v>
      </c>
    </row>
    <row r="908">
      <c r="A908" s="11" t="s">
        <v>3674</v>
      </c>
      <c r="B908" s="11" t="s">
        <v>78</v>
      </c>
      <c r="C908" s="18">
        <v>46031.0</v>
      </c>
      <c r="D908" s="11" t="s">
        <v>85</v>
      </c>
      <c r="E908" s="11" t="s">
        <v>6753</v>
      </c>
      <c r="G908" s="11" t="s">
        <v>6754</v>
      </c>
      <c r="H908" s="11" t="s">
        <v>6755</v>
      </c>
      <c r="I908" s="11" t="b">
        <v>1</v>
      </c>
      <c r="J908" s="11" t="s">
        <v>5814</v>
      </c>
      <c r="O908" s="11">
        <v>105.2</v>
      </c>
      <c r="P908" s="11">
        <v>1921568.0</v>
      </c>
      <c r="Q908" s="11" t="b">
        <v>1</v>
      </c>
    </row>
    <row r="909">
      <c r="A909" s="11" t="s">
        <v>3684</v>
      </c>
      <c r="B909" s="11" t="s">
        <v>78</v>
      </c>
      <c r="C909" s="18">
        <v>46031.0</v>
      </c>
      <c r="D909" s="11" t="s">
        <v>104</v>
      </c>
      <c r="E909" s="11" t="s">
        <v>6756</v>
      </c>
      <c r="G909" s="11" t="s">
        <v>6757</v>
      </c>
      <c r="H909" s="11" t="s">
        <v>6758</v>
      </c>
      <c r="I909" s="11" t="b">
        <v>1</v>
      </c>
      <c r="J909" s="11" t="s">
        <v>5814</v>
      </c>
      <c r="O909" s="11">
        <v>139.58</v>
      </c>
      <c r="P909" s="11">
        <v>1919579.0</v>
      </c>
      <c r="Q909" s="11" t="b">
        <v>1</v>
      </c>
    </row>
    <row r="910">
      <c r="A910" s="11" t="s">
        <v>3609</v>
      </c>
      <c r="B910" s="11" t="s">
        <v>78</v>
      </c>
      <c r="C910" s="18">
        <v>46028.0</v>
      </c>
      <c r="D910" s="11" t="s">
        <v>6191</v>
      </c>
      <c r="E910" s="11" t="s">
        <v>6759</v>
      </c>
      <c r="G910" s="11" t="s">
        <v>6760</v>
      </c>
      <c r="H910" s="11" t="s">
        <v>6761</v>
      </c>
      <c r="I910" s="11" t="b">
        <v>1</v>
      </c>
      <c r="J910" s="11" t="s">
        <v>5814</v>
      </c>
      <c r="O910" s="11">
        <v>197.16</v>
      </c>
      <c r="P910" s="11">
        <v>1912748.0</v>
      </c>
      <c r="Q910" s="11" t="b">
        <v>1</v>
      </c>
    </row>
    <row r="911">
      <c r="A911" s="11" t="s">
        <v>3689</v>
      </c>
      <c r="B911" s="11" t="s">
        <v>78</v>
      </c>
      <c r="C911" s="18">
        <v>46031.0</v>
      </c>
      <c r="D911" s="11" t="s">
        <v>992</v>
      </c>
      <c r="E911" s="11" t="s">
        <v>6762</v>
      </c>
      <c r="G911" s="11" t="s">
        <v>6763</v>
      </c>
      <c r="H911" s="11" t="s">
        <v>6765</v>
      </c>
      <c r="I911" s="11" t="b">
        <v>1</v>
      </c>
      <c r="J911" s="11" t="s">
        <v>5814</v>
      </c>
      <c r="O911" s="11">
        <v>375.0</v>
      </c>
      <c r="P911" s="11">
        <v>1919575.0</v>
      </c>
      <c r="Q911" s="11" t="b">
        <v>1</v>
      </c>
    </row>
    <row r="912">
      <c r="A912" s="11">
        <v>5.3487535E7</v>
      </c>
      <c r="B912" s="11" t="s">
        <v>78</v>
      </c>
      <c r="C912" s="18">
        <v>46033.0</v>
      </c>
      <c r="D912" s="11" t="s">
        <v>2549</v>
      </c>
      <c r="E912" s="11" t="s">
        <v>6767</v>
      </c>
      <c r="G912" s="11" t="s">
        <v>6768</v>
      </c>
      <c r="H912" s="11" t="s">
        <v>6769</v>
      </c>
      <c r="I912" s="11" t="b">
        <v>1</v>
      </c>
      <c r="J912" s="11" t="s">
        <v>5814</v>
      </c>
      <c r="O912" s="11">
        <v>1008.0</v>
      </c>
      <c r="P912" s="11">
        <v>1925528.0</v>
      </c>
      <c r="Q912" s="11" t="b">
        <v>1</v>
      </c>
    </row>
    <row r="913">
      <c r="A913" s="11" t="s">
        <v>3631</v>
      </c>
      <c r="B913" s="11" t="s">
        <v>78</v>
      </c>
      <c r="C913" s="18">
        <v>46030.0</v>
      </c>
      <c r="D913" s="11" t="s">
        <v>3117</v>
      </c>
      <c r="E913" s="11" t="s">
        <v>6770</v>
      </c>
      <c r="G913" s="11" t="s">
        <v>6771</v>
      </c>
      <c r="H913" s="11" t="s">
        <v>6772</v>
      </c>
      <c r="I913" s="11" t="b">
        <v>1</v>
      </c>
      <c r="J913" s="11" t="s">
        <v>5814</v>
      </c>
      <c r="L913" s="11" t="s">
        <v>6773</v>
      </c>
      <c r="O913" s="11">
        <v>952.89</v>
      </c>
      <c r="P913" s="11">
        <v>1919584.0</v>
      </c>
      <c r="Q913" s="11" t="b">
        <v>1</v>
      </c>
    </row>
    <row r="914">
      <c r="A914" s="11" t="s">
        <v>4236</v>
      </c>
      <c r="B914" s="11" t="s">
        <v>78</v>
      </c>
      <c r="C914" s="18">
        <v>46078.0</v>
      </c>
      <c r="D914" s="11" t="s">
        <v>817</v>
      </c>
      <c r="E914" s="11" t="s">
        <v>6774</v>
      </c>
      <c r="G914" s="11" t="s">
        <v>6775</v>
      </c>
      <c r="H914" s="11" t="s">
        <v>6776</v>
      </c>
      <c r="I914" s="11" t="b">
        <v>0</v>
      </c>
      <c r="J914" s="11" t="s">
        <v>5814</v>
      </c>
      <c r="O914" s="11">
        <v>719.1</v>
      </c>
      <c r="Q914" s="11" t="b">
        <v>1</v>
      </c>
    </row>
    <row r="915">
      <c r="A915" s="11" t="s">
        <v>3696</v>
      </c>
      <c r="B915" s="11" t="s">
        <v>78</v>
      </c>
      <c r="C915" s="18">
        <v>46034.0</v>
      </c>
      <c r="D915" s="11" t="s">
        <v>4510</v>
      </c>
      <c r="E915" s="11" t="s">
        <v>6779</v>
      </c>
      <c r="G915" s="11" t="s">
        <v>6780</v>
      </c>
      <c r="H915" s="11" t="s">
        <v>6781</v>
      </c>
      <c r="I915" s="11" t="b">
        <v>0</v>
      </c>
      <c r="J915" s="11" t="s">
        <v>5814</v>
      </c>
      <c r="L915" s="11" t="s">
        <v>6782</v>
      </c>
      <c r="M915" s="11" t="s">
        <v>6783</v>
      </c>
      <c r="O915" s="11">
        <v>2333.05</v>
      </c>
      <c r="Q915" s="11" t="b">
        <v>1</v>
      </c>
    </row>
    <row r="916">
      <c r="A916" s="11" t="s">
        <v>2560</v>
      </c>
      <c r="B916" s="11" t="s">
        <v>78</v>
      </c>
      <c r="C916" s="18">
        <v>46036.0</v>
      </c>
      <c r="D916" s="11" t="s">
        <v>1046</v>
      </c>
      <c r="H916" s="11" t="s">
        <v>6784</v>
      </c>
      <c r="J916" s="11" t="s">
        <v>187</v>
      </c>
      <c r="O916" s="11">
        <v>257.99</v>
      </c>
      <c r="Q916" s="11" t="b">
        <v>1</v>
      </c>
    </row>
    <row r="917">
      <c r="A917" s="11" t="s">
        <v>3726</v>
      </c>
      <c r="B917" s="11" t="s">
        <v>78</v>
      </c>
      <c r="C917" s="18">
        <v>46036.0</v>
      </c>
      <c r="D917" s="11" t="s">
        <v>6785</v>
      </c>
      <c r="E917" s="11" t="s">
        <v>6786</v>
      </c>
      <c r="G917" s="11" t="s">
        <v>6787</v>
      </c>
      <c r="H917" s="11" t="s">
        <v>6788</v>
      </c>
      <c r="I917" s="11" t="b">
        <v>1</v>
      </c>
      <c r="J917" s="11" t="s">
        <v>5814</v>
      </c>
      <c r="O917" s="11">
        <v>27.6</v>
      </c>
      <c r="P917" s="11">
        <v>1931325.0</v>
      </c>
      <c r="Q917" s="11" t="b">
        <v>1</v>
      </c>
    </row>
    <row r="918">
      <c r="A918" s="11" t="s">
        <v>3730</v>
      </c>
      <c r="B918" s="11" t="s">
        <v>78</v>
      </c>
      <c r="C918" s="18">
        <v>46036.0</v>
      </c>
      <c r="D918" s="11" t="s">
        <v>739</v>
      </c>
      <c r="E918" s="11" t="s">
        <v>6791</v>
      </c>
      <c r="G918" s="11" t="s">
        <v>6792</v>
      </c>
      <c r="H918" s="11" t="s">
        <v>6793</v>
      </c>
      <c r="I918" s="11" t="b">
        <v>1</v>
      </c>
      <c r="J918" s="11" t="s">
        <v>5814</v>
      </c>
      <c r="O918" s="11">
        <v>2.0</v>
      </c>
      <c r="P918" s="11">
        <v>1931558.0</v>
      </c>
      <c r="Q918" s="11" t="b">
        <v>1</v>
      </c>
    </row>
    <row r="919">
      <c r="A919" s="11" t="s">
        <v>3743</v>
      </c>
      <c r="B919" s="11" t="s">
        <v>78</v>
      </c>
      <c r="C919" s="18">
        <v>46038.0</v>
      </c>
      <c r="D919" s="11" t="s">
        <v>104</v>
      </c>
      <c r="E919" s="11" t="s">
        <v>6796</v>
      </c>
      <c r="G919" s="11" t="s">
        <v>6797</v>
      </c>
      <c r="H919" s="11" t="s">
        <v>6798</v>
      </c>
      <c r="I919" s="11" t="b">
        <v>1</v>
      </c>
      <c r="J919" s="11" t="s">
        <v>5814</v>
      </c>
      <c r="O919" s="11">
        <v>204.19</v>
      </c>
      <c r="P919" s="11">
        <v>1934992.0</v>
      </c>
      <c r="Q919" s="11" t="b">
        <v>1</v>
      </c>
    </row>
    <row r="920">
      <c r="A920" s="11" t="s">
        <v>3752</v>
      </c>
      <c r="B920" s="11" t="s">
        <v>78</v>
      </c>
      <c r="C920" s="18">
        <v>46038.0</v>
      </c>
      <c r="D920" s="11" t="s">
        <v>513</v>
      </c>
      <c r="E920" s="11" t="s">
        <v>6800</v>
      </c>
      <c r="G920" s="11" t="s">
        <v>6801</v>
      </c>
      <c r="H920" s="11" t="s">
        <v>3250</v>
      </c>
      <c r="I920" s="11" t="b">
        <v>1</v>
      </c>
      <c r="J920" s="11" t="s">
        <v>5814</v>
      </c>
      <c r="O920" s="11">
        <v>164.0</v>
      </c>
      <c r="P920" s="11">
        <v>1934964.0</v>
      </c>
      <c r="Q920" s="11" t="b">
        <v>1</v>
      </c>
    </row>
    <row r="921">
      <c r="A921" s="11" t="s">
        <v>3733</v>
      </c>
      <c r="B921" s="11" t="s">
        <v>78</v>
      </c>
      <c r="C921" s="18">
        <v>46036.0</v>
      </c>
      <c r="D921" s="11" t="s">
        <v>992</v>
      </c>
      <c r="E921" s="11" t="s">
        <v>6802</v>
      </c>
      <c r="G921" s="11" t="s">
        <v>6803</v>
      </c>
      <c r="H921" s="11" t="s">
        <v>3235</v>
      </c>
      <c r="I921" s="11" t="b">
        <v>1</v>
      </c>
      <c r="J921" s="11" t="s">
        <v>5814</v>
      </c>
      <c r="O921" s="11">
        <v>250.0</v>
      </c>
      <c r="P921" s="11">
        <v>1931291.0</v>
      </c>
      <c r="Q921" s="11" t="b">
        <v>1</v>
      </c>
    </row>
    <row r="922">
      <c r="A922" s="11" t="s">
        <v>3756</v>
      </c>
      <c r="B922" s="11" t="s">
        <v>78</v>
      </c>
      <c r="C922" s="18">
        <v>46038.0</v>
      </c>
      <c r="D922" s="11" t="s">
        <v>992</v>
      </c>
      <c r="E922" s="11" t="s">
        <v>6804</v>
      </c>
      <c r="G922" s="11" t="s">
        <v>6805</v>
      </c>
      <c r="H922" s="11" t="s">
        <v>6806</v>
      </c>
      <c r="I922" s="11" t="b">
        <v>1</v>
      </c>
      <c r="J922" s="11" t="s">
        <v>5814</v>
      </c>
      <c r="O922" s="11">
        <v>375.0</v>
      </c>
      <c r="P922" s="11">
        <v>1935438.0</v>
      </c>
      <c r="Q922" s="11" t="b">
        <v>1</v>
      </c>
    </row>
    <row r="923">
      <c r="A923" s="11" t="s">
        <v>3758</v>
      </c>
      <c r="B923" s="11" t="s">
        <v>78</v>
      </c>
      <c r="C923" s="18">
        <v>46038.0</v>
      </c>
      <c r="D923" s="11" t="s">
        <v>104</v>
      </c>
      <c r="E923" s="11" t="s">
        <v>6807</v>
      </c>
      <c r="G923" s="11" t="s">
        <v>6808</v>
      </c>
      <c r="H923" s="11" t="s">
        <v>380</v>
      </c>
      <c r="I923" s="11" t="b">
        <v>1</v>
      </c>
      <c r="J923" s="11" t="s">
        <v>5814</v>
      </c>
      <c r="O923" s="11">
        <v>204.19</v>
      </c>
      <c r="P923" s="11">
        <v>1934992.0</v>
      </c>
      <c r="Q923" s="11" t="b">
        <v>1</v>
      </c>
    </row>
    <row r="924">
      <c r="A924" s="11" t="s">
        <v>3771</v>
      </c>
      <c r="B924" s="11" t="s">
        <v>78</v>
      </c>
      <c r="C924" s="18">
        <v>46038.0</v>
      </c>
      <c r="D924" s="11" t="s">
        <v>168</v>
      </c>
      <c r="E924" s="11" t="s">
        <v>6810</v>
      </c>
      <c r="G924" s="11" t="s">
        <v>6811</v>
      </c>
      <c r="H924" s="11" t="s">
        <v>6813</v>
      </c>
      <c r="I924" s="11" t="b">
        <v>1</v>
      </c>
      <c r="J924" s="11" t="s">
        <v>5814</v>
      </c>
      <c r="O924" s="11">
        <v>285.0</v>
      </c>
      <c r="P924" s="11">
        <v>1935287.0</v>
      </c>
      <c r="Q924" s="11" t="b">
        <v>1</v>
      </c>
    </row>
    <row r="925">
      <c r="A925" s="11" t="s">
        <v>3736</v>
      </c>
      <c r="B925" s="11" t="s">
        <v>78</v>
      </c>
      <c r="C925" s="18">
        <v>46036.0</v>
      </c>
      <c r="D925" s="11" t="s">
        <v>237</v>
      </c>
      <c r="E925" s="11" t="s">
        <v>6816</v>
      </c>
      <c r="G925" s="11" t="s">
        <v>6817</v>
      </c>
      <c r="H925" s="11" t="s">
        <v>6818</v>
      </c>
      <c r="I925" s="11" t="b">
        <v>0</v>
      </c>
      <c r="J925" s="11" t="s">
        <v>5814</v>
      </c>
      <c r="L925" s="11" t="s">
        <v>6819</v>
      </c>
      <c r="M925" s="11" t="s">
        <v>6820</v>
      </c>
      <c r="O925" s="11">
        <v>8994.91</v>
      </c>
      <c r="Q925" s="11" t="b">
        <v>1</v>
      </c>
    </row>
    <row r="926">
      <c r="A926" s="11" t="s">
        <v>3702</v>
      </c>
      <c r="B926" s="11" t="s">
        <v>78</v>
      </c>
      <c r="C926" s="18">
        <v>46035.0</v>
      </c>
      <c r="D926" s="11" t="s">
        <v>237</v>
      </c>
      <c r="E926" s="11" t="s">
        <v>6821</v>
      </c>
      <c r="G926" s="11" t="s">
        <v>6822</v>
      </c>
      <c r="H926" s="11" t="s">
        <v>6823</v>
      </c>
      <c r="I926" s="11" t="b">
        <v>0</v>
      </c>
      <c r="J926" s="11" t="s">
        <v>5814</v>
      </c>
      <c r="O926" s="11">
        <v>534.91</v>
      </c>
      <c r="Q926" s="11" t="b">
        <v>1</v>
      </c>
    </row>
    <row r="927">
      <c r="A927" s="11" t="s">
        <v>3715</v>
      </c>
      <c r="B927" s="11" t="s">
        <v>78</v>
      </c>
      <c r="C927" s="18">
        <v>46035.0</v>
      </c>
      <c r="D927" s="11" t="s">
        <v>237</v>
      </c>
      <c r="E927" s="11" t="s">
        <v>6824</v>
      </c>
      <c r="G927" s="11" t="s">
        <v>6825</v>
      </c>
      <c r="H927" s="11" t="s">
        <v>6826</v>
      </c>
      <c r="I927" s="11" t="b">
        <v>0</v>
      </c>
      <c r="J927" s="11" t="s">
        <v>5814</v>
      </c>
      <c r="L927" s="11" t="s">
        <v>6827</v>
      </c>
      <c r="O927" s="11">
        <v>15546.98</v>
      </c>
      <c r="Q927" s="11" t="b">
        <v>1</v>
      </c>
    </row>
    <row r="928">
      <c r="A928" s="11">
        <v>1742.0</v>
      </c>
      <c r="B928" s="11" t="s">
        <v>78</v>
      </c>
      <c r="C928" s="18">
        <v>46041.0</v>
      </c>
      <c r="D928" s="11" t="s">
        <v>1046</v>
      </c>
      <c r="H928" s="11" t="s">
        <v>1557</v>
      </c>
      <c r="J928" s="11" t="s">
        <v>187</v>
      </c>
      <c r="O928" s="11">
        <v>11845.59</v>
      </c>
      <c r="Q928" s="11" t="b">
        <v>1</v>
      </c>
    </row>
    <row r="929">
      <c r="A929" s="11">
        <v>1743.0</v>
      </c>
      <c r="B929" s="11" t="s">
        <v>78</v>
      </c>
      <c r="C929" s="18">
        <v>46041.0</v>
      </c>
      <c r="D929" s="11" t="s">
        <v>1046</v>
      </c>
      <c r="H929" s="11" t="s">
        <v>2638</v>
      </c>
      <c r="J929" s="11" t="s">
        <v>187</v>
      </c>
      <c r="O929" s="11">
        <v>695.47</v>
      </c>
      <c r="Q929" s="11" t="b">
        <v>1</v>
      </c>
    </row>
    <row r="930">
      <c r="A930" s="11">
        <v>1753.0</v>
      </c>
      <c r="B930" s="11" t="s">
        <v>78</v>
      </c>
      <c r="C930" s="18">
        <v>46041.0</v>
      </c>
      <c r="D930" s="11" t="s">
        <v>1567</v>
      </c>
      <c r="H930" s="18">
        <v>46082.0</v>
      </c>
      <c r="J930" s="11" t="s">
        <v>187</v>
      </c>
      <c r="O930" s="11">
        <v>52.36</v>
      </c>
      <c r="Q930" s="11" t="b">
        <v>1</v>
      </c>
    </row>
    <row r="931">
      <c r="A931" s="11">
        <v>1739.0</v>
      </c>
      <c r="B931" s="11" t="s">
        <v>78</v>
      </c>
      <c r="C931" s="18">
        <v>46042.0</v>
      </c>
      <c r="D931" s="11" t="s">
        <v>1046</v>
      </c>
      <c r="H931" s="11" t="s">
        <v>2638</v>
      </c>
      <c r="J931" s="11" t="s">
        <v>187</v>
      </c>
      <c r="O931" s="11">
        <v>21.59</v>
      </c>
      <c r="Q931" s="11" t="b">
        <v>1</v>
      </c>
    </row>
    <row r="932">
      <c r="A932" s="11">
        <v>1752.0</v>
      </c>
      <c r="B932" s="11" t="s">
        <v>78</v>
      </c>
      <c r="C932" s="18">
        <v>46042.0</v>
      </c>
      <c r="D932" s="11" t="s">
        <v>415</v>
      </c>
      <c r="H932" s="18">
        <v>46296.0</v>
      </c>
      <c r="J932" s="11" t="s">
        <v>187</v>
      </c>
      <c r="O932" s="11">
        <v>190.34</v>
      </c>
      <c r="Q932" s="11" t="b">
        <v>1</v>
      </c>
    </row>
    <row r="933">
      <c r="A933" s="11" t="s">
        <v>3815</v>
      </c>
      <c r="B933" s="11" t="s">
        <v>78</v>
      </c>
      <c r="C933" s="18">
        <v>46042.0</v>
      </c>
      <c r="D933" s="11" t="s">
        <v>617</v>
      </c>
      <c r="E933" s="11" t="s">
        <v>6833</v>
      </c>
      <c r="G933" s="11" t="s">
        <v>6834</v>
      </c>
      <c r="H933" s="11" t="s">
        <v>3158</v>
      </c>
      <c r="I933" s="11" t="b">
        <v>0</v>
      </c>
      <c r="J933" s="11" t="s">
        <v>5814</v>
      </c>
      <c r="O933" s="11">
        <v>175.0</v>
      </c>
      <c r="Q933" s="11" t="b">
        <v>1</v>
      </c>
    </row>
    <row r="934">
      <c r="A934" s="11" t="s">
        <v>3833</v>
      </c>
      <c r="B934" s="11" t="s">
        <v>78</v>
      </c>
      <c r="C934" s="18">
        <v>46042.0</v>
      </c>
      <c r="D934" s="11" t="s">
        <v>237</v>
      </c>
      <c r="E934" s="11" t="s">
        <v>6836</v>
      </c>
      <c r="G934" s="11" t="s">
        <v>6837</v>
      </c>
      <c r="H934" s="11" t="s">
        <v>6838</v>
      </c>
      <c r="I934" s="11" t="b">
        <v>0</v>
      </c>
      <c r="J934" s="11" t="s">
        <v>5814</v>
      </c>
      <c r="L934" s="11" t="s">
        <v>6839</v>
      </c>
      <c r="O934" s="11">
        <v>534.91</v>
      </c>
      <c r="Q934" s="11" t="b">
        <v>1</v>
      </c>
    </row>
    <row r="935">
      <c r="A935" s="11" t="s">
        <v>2582</v>
      </c>
      <c r="B935" s="11" t="s">
        <v>78</v>
      </c>
      <c r="C935" s="18">
        <v>46043.0</v>
      </c>
      <c r="H935" s="11" t="s">
        <v>6841</v>
      </c>
      <c r="J935" s="11" t="s">
        <v>187</v>
      </c>
      <c r="K935" s="11" t="s">
        <v>225</v>
      </c>
      <c r="O935" s="11">
        <v>1100.0</v>
      </c>
      <c r="Q935" s="11" t="b">
        <v>1</v>
      </c>
    </row>
    <row r="936">
      <c r="A936" s="11" t="s">
        <v>3794</v>
      </c>
      <c r="B936" s="11" t="s">
        <v>78</v>
      </c>
      <c r="C936" s="18">
        <v>46040.0</v>
      </c>
      <c r="D936" s="11" t="s">
        <v>2549</v>
      </c>
      <c r="E936" s="11" t="s">
        <v>6843</v>
      </c>
      <c r="G936" s="11" t="s">
        <v>6844</v>
      </c>
      <c r="H936" s="11" t="s">
        <v>6846</v>
      </c>
      <c r="I936" s="11" t="b">
        <v>1</v>
      </c>
      <c r="J936" s="11" t="s">
        <v>5814</v>
      </c>
      <c r="O936" s="11">
        <v>924.0</v>
      </c>
      <c r="P936" s="11">
        <v>1941417.0</v>
      </c>
      <c r="Q936" s="11" t="b">
        <v>1</v>
      </c>
    </row>
    <row r="937">
      <c r="A937" s="11" t="s">
        <v>3894</v>
      </c>
      <c r="B937" s="11" t="s">
        <v>78</v>
      </c>
      <c r="C937" s="18">
        <v>46045.0</v>
      </c>
      <c r="D937" s="11" t="s">
        <v>992</v>
      </c>
      <c r="E937" s="11" t="s">
        <v>6847</v>
      </c>
      <c r="G937" s="11" t="s">
        <v>6848</v>
      </c>
      <c r="H937" s="11" t="s">
        <v>3027</v>
      </c>
      <c r="I937" s="11" t="b">
        <v>1</v>
      </c>
      <c r="J937" s="11" t="s">
        <v>5814</v>
      </c>
      <c r="O937" s="11">
        <v>375.0</v>
      </c>
      <c r="P937" s="11">
        <v>1950056.0</v>
      </c>
      <c r="Q937" s="11" t="b">
        <v>1</v>
      </c>
    </row>
    <row r="938">
      <c r="A938" s="11" t="s">
        <v>3898</v>
      </c>
      <c r="B938" s="11" t="s">
        <v>78</v>
      </c>
      <c r="C938" s="18">
        <v>46045.0</v>
      </c>
      <c r="D938" s="11" t="s">
        <v>6850</v>
      </c>
      <c r="E938" s="11" t="s">
        <v>6851</v>
      </c>
      <c r="G938" s="11" t="s">
        <v>6852</v>
      </c>
      <c r="H938" s="11" t="s">
        <v>6853</v>
      </c>
      <c r="I938" s="11" t="b">
        <v>1</v>
      </c>
      <c r="J938" s="11" t="s">
        <v>5814</v>
      </c>
      <c r="O938" s="11">
        <v>25.0</v>
      </c>
      <c r="P938" s="11">
        <v>1950369.0</v>
      </c>
      <c r="Q938" s="11" t="b">
        <v>1</v>
      </c>
    </row>
    <row r="939">
      <c r="A939" s="11" t="s">
        <v>3903</v>
      </c>
      <c r="B939" s="11" t="s">
        <v>78</v>
      </c>
      <c r="C939" s="18">
        <v>46045.0</v>
      </c>
      <c r="D939" s="11" t="s">
        <v>6855</v>
      </c>
      <c r="E939" s="11" t="s">
        <v>6856</v>
      </c>
      <c r="G939" s="11" t="s">
        <v>6857</v>
      </c>
      <c r="H939" s="11" t="s">
        <v>6858</v>
      </c>
      <c r="I939" s="11" t="b">
        <v>1</v>
      </c>
      <c r="J939" s="11" t="s">
        <v>5814</v>
      </c>
      <c r="O939" s="11">
        <v>200.0</v>
      </c>
      <c r="P939" s="11">
        <v>1950056.0</v>
      </c>
      <c r="Q939" s="11" t="b">
        <v>1</v>
      </c>
    </row>
    <row r="940">
      <c r="A940" s="11" t="s">
        <v>3841</v>
      </c>
      <c r="B940" s="11" t="s">
        <v>78</v>
      </c>
      <c r="C940" s="18">
        <v>46043.0</v>
      </c>
      <c r="D940" s="11" t="s">
        <v>6861</v>
      </c>
      <c r="E940" s="11" t="s">
        <v>6862</v>
      </c>
      <c r="G940" s="11" t="s">
        <v>6863</v>
      </c>
      <c r="H940" s="11" t="s">
        <v>6864</v>
      </c>
      <c r="I940" s="11" t="b">
        <v>1</v>
      </c>
      <c r="J940" s="11" t="s">
        <v>5814</v>
      </c>
      <c r="O940" s="11">
        <v>48.0</v>
      </c>
      <c r="P940" s="11">
        <v>1946822.0</v>
      </c>
      <c r="Q940" s="11" t="b">
        <v>1</v>
      </c>
    </row>
    <row r="941">
      <c r="A941" s="11" t="s">
        <v>3847</v>
      </c>
      <c r="B941" s="11" t="s">
        <v>78</v>
      </c>
      <c r="C941" s="18">
        <v>46043.0</v>
      </c>
      <c r="D941" s="11" t="s">
        <v>6850</v>
      </c>
      <c r="E941" s="11" t="s">
        <v>6866</v>
      </c>
      <c r="G941" s="11" t="s">
        <v>6867</v>
      </c>
      <c r="H941" s="11" t="s">
        <v>6868</v>
      </c>
      <c r="I941" s="11" t="b">
        <v>1</v>
      </c>
      <c r="J941" s="11" t="s">
        <v>5814</v>
      </c>
      <c r="O941" s="11">
        <v>56.0</v>
      </c>
      <c r="P941" s="11">
        <v>1946831.0</v>
      </c>
      <c r="Q941" s="11" t="b">
        <v>1</v>
      </c>
      <c r="S941" s="11">
        <v>0.82</v>
      </c>
    </row>
    <row r="942">
      <c r="A942" s="11" t="s">
        <v>3857</v>
      </c>
      <c r="B942" s="11" t="s">
        <v>78</v>
      </c>
      <c r="C942" s="18">
        <v>46043.0</v>
      </c>
      <c r="D942" s="11" t="s">
        <v>6850</v>
      </c>
      <c r="E942" s="11" t="s">
        <v>6869</v>
      </c>
      <c r="G942" s="11" t="s">
        <v>6870</v>
      </c>
      <c r="H942" s="11" t="s">
        <v>6872</v>
      </c>
      <c r="I942" s="11" t="b">
        <v>1</v>
      </c>
      <c r="J942" s="11" t="s">
        <v>5814</v>
      </c>
      <c r="O942" s="11">
        <v>201.0</v>
      </c>
      <c r="P942" s="11">
        <v>1946845.0</v>
      </c>
      <c r="Q942" s="11" t="b">
        <v>1</v>
      </c>
    </row>
    <row r="943">
      <c r="A943" s="11" t="s">
        <v>3864</v>
      </c>
      <c r="B943" s="11" t="s">
        <v>78</v>
      </c>
      <c r="C943" s="18">
        <v>46043.0</v>
      </c>
      <c r="D943" s="11">
        <v>7.9570384E7</v>
      </c>
      <c r="E943" s="11" t="s">
        <v>6873</v>
      </c>
      <c r="G943" s="11" t="s">
        <v>6874</v>
      </c>
      <c r="H943" s="11" t="s">
        <v>6875</v>
      </c>
      <c r="I943" s="11" t="b">
        <v>1</v>
      </c>
      <c r="J943" s="11" t="s">
        <v>5814</v>
      </c>
      <c r="O943" s="11">
        <v>19.0</v>
      </c>
      <c r="P943" s="11">
        <v>1946820.0</v>
      </c>
      <c r="Q943" s="11" t="b">
        <v>1</v>
      </c>
    </row>
    <row r="944">
      <c r="A944" s="11" t="s">
        <v>3777</v>
      </c>
      <c r="B944" s="11" t="s">
        <v>78</v>
      </c>
      <c r="C944" s="18">
        <v>46039.0</v>
      </c>
      <c r="D944" s="11" t="s">
        <v>1251</v>
      </c>
      <c r="E944" s="11" t="s">
        <v>6877</v>
      </c>
      <c r="G944" s="11" t="s">
        <v>6878</v>
      </c>
      <c r="H944" s="11" t="s">
        <v>6879</v>
      </c>
      <c r="I944" s="11" t="b">
        <v>1</v>
      </c>
      <c r="J944" s="11" t="s">
        <v>5814</v>
      </c>
      <c r="O944" s="11">
        <v>62.54</v>
      </c>
      <c r="P944" s="11">
        <v>1937233.0</v>
      </c>
      <c r="Q944" s="11" t="b">
        <v>1</v>
      </c>
    </row>
    <row r="945">
      <c r="A945" s="11" t="s">
        <v>3869</v>
      </c>
      <c r="B945" s="11" t="s">
        <v>78</v>
      </c>
      <c r="C945" s="18">
        <v>46043.0</v>
      </c>
      <c r="D945" s="11" t="s">
        <v>6881</v>
      </c>
      <c r="E945" s="11" t="s">
        <v>6883</v>
      </c>
      <c r="G945" s="11" t="s">
        <v>6884</v>
      </c>
      <c r="H945" s="11" t="s">
        <v>6887</v>
      </c>
      <c r="I945" s="11" t="b">
        <v>1</v>
      </c>
      <c r="J945" s="11" t="s">
        <v>5814</v>
      </c>
      <c r="O945" s="11">
        <v>171.3</v>
      </c>
      <c r="P945" s="11">
        <v>1946852.0</v>
      </c>
      <c r="Q945" s="11" t="b">
        <v>1</v>
      </c>
    </row>
    <row r="946">
      <c r="A946" s="11" t="s">
        <v>3798</v>
      </c>
      <c r="B946" s="11" t="s">
        <v>78</v>
      </c>
      <c r="C946" s="18">
        <v>46041.0</v>
      </c>
      <c r="D946" s="11" t="s">
        <v>104</v>
      </c>
      <c r="E946" s="11" t="s">
        <v>6889</v>
      </c>
      <c r="G946" s="11" t="s">
        <v>6890</v>
      </c>
      <c r="H946" s="11" t="s">
        <v>6891</v>
      </c>
      <c r="I946" s="11" t="b">
        <v>1</v>
      </c>
      <c r="J946" s="11" t="s">
        <v>5814</v>
      </c>
      <c r="O946" s="11">
        <v>176.6</v>
      </c>
      <c r="P946" s="11">
        <v>1943811.0</v>
      </c>
      <c r="Q946" s="11" t="b">
        <v>1</v>
      </c>
    </row>
    <row r="947">
      <c r="A947" s="11" t="s">
        <v>3908</v>
      </c>
      <c r="B947" s="11" t="s">
        <v>78</v>
      </c>
      <c r="C947" s="18">
        <v>46045.0</v>
      </c>
      <c r="D947" s="11" t="s">
        <v>85</v>
      </c>
      <c r="E947" s="11" t="s">
        <v>6892</v>
      </c>
      <c r="G947" s="11" t="s">
        <v>6893</v>
      </c>
      <c r="H947" s="11" t="s">
        <v>6894</v>
      </c>
      <c r="I947" s="11" t="b">
        <v>1</v>
      </c>
      <c r="J947" s="11" t="s">
        <v>5814</v>
      </c>
      <c r="O947" s="11">
        <v>49.33</v>
      </c>
      <c r="P947" s="11">
        <v>1950575.0</v>
      </c>
      <c r="Q947" s="11" t="b">
        <v>1</v>
      </c>
    </row>
    <row r="948">
      <c r="A948" s="11">
        <v>1754.0</v>
      </c>
      <c r="B948" s="11" t="s">
        <v>78</v>
      </c>
      <c r="C948" s="18">
        <v>46048.0</v>
      </c>
      <c r="H948" s="11" t="s">
        <v>681</v>
      </c>
      <c r="J948" s="11" t="s">
        <v>187</v>
      </c>
      <c r="K948" s="11" t="s">
        <v>685</v>
      </c>
      <c r="O948" s="11">
        <v>3498.0</v>
      </c>
      <c r="Q948" s="11" t="b">
        <v>1</v>
      </c>
    </row>
    <row r="949">
      <c r="A949" s="11">
        <v>1757.0</v>
      </c>
      <c r="B949" s="11" t="s">
        <v>78</v>
      </c>
      <c r="C949" s="18">
        <v>46048.0</v>
      </c>
      <c r="D949" s="11" t="s">
        <v>415</v>
      </c>
      <c r="H949" s="11" t="s">
        <v>1015</v>
      </c>
      <c r="J949" s="11" t="s">
        <v>187</v>
      </c>
      <c r="O949" s="11">
        <v>22.0</v>
      </c>
      <c r="Q949" s="11" t="b">
        <v>1</v>
      </c>
    </row>
    <row r="950">
      <c r="A950" s="11">
        <v>1758.0</v>
      </c>
      <c r="B950" s="11" t="s">
        <v>78</v>
      </c>
      <c r="C950" s="18">
        <v>46048.0</v>
      </c>
      <c r="D950" s="11" t="s">
        <v>415</v>
      </c>
      <c r="H950" s="11" t="s">
        <v>1022</v>
      </c>
      <c r="J950" s="11" t="s">
        <v>187</v>
      </c>
      <c r="O950" s="11">
        <v>10.0</v>
      </c>
      <c r="Q950" s="11" t="b">
        <v>1</v>
      </c>
    </row>
    <row r="951">
      <c r="A951" s="11">
        <v>1759.0</v>
      </c>
      <c r="B951" s="11" t="s">
        <v>78</v>
      </c>
      <c r="C951" s="18">
        <v>46048.0</v>
      </c>
      <c r="D951" s="11" t="s">
        <v>629</v>
      </c>
      <c r="H951" s="11" t="s">
        <v>633</v>
      </c>
      <c r="J951" s="11" t="s">
        <v>187</v>
      </c>
      <c r="O951" s="11">
        <v>4243.75</v>
      </c>
      <c r="Q951" s="11" t="b">
        <v>1</v>
      </c>
    </row>
    <row r="952">
      <c r="A952" s="11" t="s">
        <v>2598</v>
      </c>
      <c r="B952" s="11" t="s">
        <v>78</v>
      </c>
      <c r="C952" s="18">
        <v>46048.0</v>
      </c>
      <c r="H952" s="11" t="s">
        <v>783</v>
      </c>
      <c r="J952" s="11" t="s">
        <v>187</v>
      </c>
      <c r="K952" s="11" t="s">
        <v>126</v>
      </c>
      <c r="O952" s="11">
        <v>500.0</v>
      </c>
      <c r="Q952" s="11" t="b">
        <v>1</v>
      </c>
    </row>
    <row r="953">
      <c r="A953" s="11" t="s">
        <v>2602</v>
      </c>
      <c r="B953" s="11" t="s">
        <v>78</v>
      </c>
      <c r="C953" s="18">
        <v>46048.0</v>
      </c>
      <c r="H953" s="11" t="s">
        <v>783</v>
      </c>
      <c r="J953" s="11" t="s">
        <v>187</v>
      </c>
      <c r="K953" s="11" t="s">
        <v>113</v>
      </c>
      <c r="O953" s="11">
        <v>500.0</v>
      </c>
      <c r="Q953" s="11" t="b">
        <v>1</v>
      </c>
    </row>
    <row r="954">
      <c r="A954" s="11" t="s">
        <v>3918</v>
      </c>
      <c r="B954" s="11" t="s">
        <v>78</v>
      </c>
      <c r="C954" s="18">
        <v>46048.0</v>
      </c>
      <c r="D954" s="11" t="s">
        <v>513</v>
      </c>
      <c r="E954" s="11" t="s">
        <v>6904</v>
      </c>
      <c r="G954" s="11" t="s">
        <v>6905</v>
      </c>
      <c r="H954" s="11" t="s">
        <v>6906</v>
      </c>
      <c r="I954" s="11" t="b">
        <v>1</v>
      </c>
      <c r="J954" s="11" t="s">
        <v>5814</v>
      </c>
      <c r="O954" s="11">
        <v>133.0</v>
      </c>
      <c r="P954" s="11">
        <v>1959318.0</v>
      </c>
      <c r="Q954" s="11" t="b">
        <v>1</v>
      </c>
    </row>
    <row r="955">
      <c r="A955" s="11" t="s">
        <v>3922</v>
      </c>
      <c r="B955" s="11" t="s">
        <v>78</v>
      </c>
      <c r="C955" s="18">
        <v>46048.0</v>
      </c>
      <c r="D955" s="11" t="s">
        <v>104</v>
      </c>
      <c r="E955" s="11" t="s">
        <v>6907</v>
      </c>
      <c r="G955" s="11" t="s">
        <v>6908</v>
      </c>
      <c r="H955" s="11" t="s">
        <v>6909</v>
      </c>
      <c r="I955" s="11" t="b">
        <v>1</v>
      </c>
      <c r="J955" s="11" t="s">
        <v>5814</v>
      </c>
      <c r="O955" s="11">
        <v>207.39</v>
      </c>
      <c r="P955" s="11">
        <v>1958595.0</v>
      </c>
      <c r="Q955" s="11" t="b">
        <v>1</v>
      </c>
    </row>
    <row r="956">
      <c r="A956" s="11" t="s">
        <v>3915</v>
      </c>
      <c r="B956" s="11" t="s">
        <v>78</v>
      </c>
      <c r="C956" s="18">
        <v>46047.0</v>
      </c>
      <c r="D956" s="11" t="s">
        <v>2549</v>
      </c>
      <c r="E956" s="11" t="s">
        <v>6910</v>
      </c>
      <c r="G956" s="11" t="s">
        <v>6911</v>
      </c>
      <c r="H956" s="11" t="s">
        <v>6912</v>
      </c>
      <c r="I956" s="11" t="b">
        <v>1</v>
      </c>
      <c r="J956" s="11" t="s">
        <v>5814</v>
      </c>
      <c r="O956" s="11">
        <v>684.0</v>
      </c>
      <c r="P956" s="11">
        <v>1956064.0</v>
      </c>
      <c r="Q956" s="11" t="b">
        <v>1</v>
      </c>
    </row>
    <row r="957">
      <c r="A957" s="11">
        <v>1755.0</v>
      </c>
      <c r="B957" s="11" t="s">
        <v>78</v>
      </c>
      <c r="C957" s="18">
        <v>46049.0</v>
      </c>
      <c r="H957" s="11" t="s">
        <v>687</v>
      </c>
      <c r="J957" s="11" t="s">
        <v>187</v>
      </c>
      <c r="K957" s="11" t="s">
        <v>3675</v>
      </c>
      <c r="O957" s="11">
        <v>292.0</v>
      </c>
      <c r="Q957" s="11" t="b">
        <v>1</v>
      </c>
    </row>
    <row r="958">
      <c r="A958" s="11">
        <v>1756.0</v>
      </c>
      <c r="B958" s="11" t="s">
        <v>78</v>
      </c>
      <c r="C958" s="18">
        <v>46049.0</v>
      </c>
      <c r="H958" s="11" t="s">
        <v>687</v>
      </c>
      <c r="J958" s="11" t="s">
        <v>187</v>
      </c>
      <c r="K958" s="11" t="s">
        <v>704</v>
      </c>
      <c r="O958" s="11">
        <v>292.0</v>
      </c>
      <c r="Q958" s="11" t="b">
        <v>1</v>
      </c>
    </row>
    <row r="959">
      <c r="A959" s="11" t="s">
        <v>3935</v>
      </c>
      <c r="B959" s="11" t="s">
        <v>78</v>
      </c>
      <c r="C959" s="18">
        <v>46049.0</v>
      </c>
      <c r="D959" s="11" t="s">
        <v>237</v>
      </c>
      <c r="E959" s="11" t="s">
        <v>6915</v>
      </c>
      <c r="G959" s="11" t="s">
        <v>6916</v>
      </c>
      <c r="H959" s="11" t="s">
        <v>6917</v>
      </c>
      <c r="I959" s="11" t="b">
        <v>0</v>
      </c>
      <c r="J959" s="11" t="s">
        <v>5814</v>
      </c>
      <c r="L959" s="11" t="s">
        <v>6918</v>
      </c>
      <c r="M959" s="11" t="s">
        <v>6919</v>
      </c>
      <c r="O959" s="11">
        <v>7506.36</v>
      </c>
      <c r="Q959" s="11" t="b">
        <v>1</v>
      </c>
    </row>
    <row r="960">
      <c r="A960" s="11" t="s">
        <v>3986</v>
      </c>
      <c r="B960" s="11" t="s">
        <v>78</v>
      </c>
      <c r="C960" s="18">
        <v>46051.0</v>
      </c>
      <c r="D960" s="11" t="s">
        <v>992</v>
      </c>
      <c r="E960" s="11" t="s">
        <v>6920</v>
      </c>
      <c r="G960" s="11" t="s">
        <v>6921</v>
      </c>
      <c r="H960" s="11" t="s">
        <v>6923</v>
      </c>
      <c r="I960" s="11" t="b">
        <v>1</v>
      </c>
      <c r="J960" s="11" t="s">
        <v>5814</v>
      </c>
      <c r="O960" s="11">
        <v>325.0</v>
      </c>
      <c r="P960" s="11">
        <v>1964641.0</v>
      </c>
      <c r="Q960" s="11" t="b">
        <v>1</v>
      </c>
    </row>
    <row r="961">
      <c r="A961" s="11" t="s">
        <v>3991</v>
      </c>
      <c r="B961" s="11" t="s">
        <v>78</v>
      </c>
      <c r="C961" s="18">
        <v>46051.0</v>
      </c>
      <c r="D961" s="11" t="s">
        <v>237</v>
      </c>
      <c r="E961" s="11" t="s">
        <v>6924</v>
      </c>
      <c r="G961" s="11" t="s">
        <v>6925</v>
      </c>
      <c r="H961" s="11" t="s">
        <v>6926</v>
      </c>
      <c r="I961" s="11" t="b">
        <v>0</v>
      </c>
      <c r="J961" s="11" t="s">
        <v>5814</v>
      </c>
      <c r="L961" s="11" t="s">
        <v>6927</v>
      </c>
      <c r="M961" s="11" t="s">
        <v>6928</v>
      </c>
      <c r="O961" s="11">
        <v>9971.96</v>
      </c>
      <c r="Q961" s="11" t="b">
        <v>1</v>
      </c>
    </row>
    <row r="962">
      <c r="A962" s="11">
        <v>1760.0</v>
      </c>
      <c r="B962" s="11" t="s">
        <v>78</v>
      </c>
      <c r="C962" s="18">
        <v>46054.0</v>
      </c>
      <c r="H962" s="11" t="s">
        <v>2638</v>
      </c>
      <c r="J962" s="11" t="s">
        <v>187</v>
      </c>
      <c r="K962" s="11" t="s">
        <v>225</v>
      </c>
      <c r="O962" s="11">
        <v>3083.46</v>
      </c>
      <c r="Q962" s="11" t="b">
        <v>1</v>
      </c>
    </row>
    <row r="963">
      <c r="A963" s="11">
        <v>1761.0</v>
      </c>
      <c r="B963" s="11" t="s">
        <v>78</v>
      </c>
      <c r="C963" s="18">
        <v>46054.0</v>
      </c>
      <c r="H963" s="11" t="s">
        <v>2638</v>
      </c>
      <c r="J963" s="11" t="s">
        <v>187</v>
      </c>
      <c r="K963" s="11" t="s">
        <v>113</v>
      </c>
      <c r="O963" s="11">
        <v>1927.64</v>
      </c>
      <c r="Q963" s="11" t="b">
        <v>1</v>
      </c>
    </row>
    <row r="964">
      <c r="A964" s="11">
        <v>1762.0</v>
      </c>
      <c r="B964" s="11" t="s">
        <v>78</v>
      </c>
      <c r="C964" s="18">
        <v>46054.0</v>
      </c>
      <c r="H964" s="11" t="s">
        <v>2638</v>
      </c>
      <c r="J964" s="11" t="s">
        <v>187</v>
      </c>
      <c r="K964" s="11" t="s">
        <v>126</v>
      </c>
      <c r="O964" s="11">
        <v>1454.04</v>
      </c>
      <c r="Q964" s="11" t="b">
        <v>1</v>
      </c>
    </row>
    <row r="965">
      <c r="A965" s="11">
        <v>1763.0</v>
      </c>
      <c r="B965" s="11" t="s">
        <v>78</v>
      </c>
      <c r="C965" s="18">
        <v>46054.0</v>
      </c>
      <c r="H965" s="11" t="s">
        <v>2638</v>
      </c>
      <c r="J965" s="11" t="s">
        <v>187</v>
      </c>
      <c r="K965" s="11" t="s">
        <v>3739</v>
      </c>
      <c r="O965" s="11">
        <v>1965.33</v>
      </c>
      <c r="Q965" s="11" t="b">
        <v>1</v>
      </c>
    </row>
    <row r="966">
      <c r="A966" s="11" t="s">
        <v>2625</v>
      </c>
      <c r="B966" s="11" t="s">
        <v>78</v>
      </c>
      <c r="C966" s="18">
        <v>46054.0</v>
      </c>
      <c r="H966" s="11" t="s">
        <v>2638</v>
      </c>
      <c r="J966" s="11" t="s">
        <v>187</v>
      </c>
      <c r="K966" s="11" t="s">
        <v>145</v>
      </c>
      <c r="O966" s="11">
        <v>1660.39</v>
      </c>
      <c r="Q966" s="11" t="b">
        <v>1</v>
      </c>
    </row>
    <row r="967">
      <c r="A967" s="11" t="s">
        <v>4018</v>
      </c>
      <c r="B967" s="11" t="s">
        <v>78</v>
      </c>
      <c r="C967" s="18">
        <v>46055.0</v>
      </c>
      <c r="D967" s="11" t="s">
        <v>104</v>
      </c>
      <c r="E967" s="11" t="s">
        <v>6932</v>
      </c>
      <c r="G967" s="11" t="s">
        <v>6933</v>
      </c>
      <c r="H967" s="11" t="s">
        <v>6934</v>
      </c>
      <c r="I967" s="11" t="b">
        <v>1</v>
      </c>
      <c r="J967" s="11" t="s">
        <v>5814</v>
      </c>
      <c r="O967" s="11">
        <v>187.49</v>
      </c>
      <c r="P967" s="11">
        <v>1974144.0</v>
      </c>
      <c r="Q967" s="11" t="b">
        <v>1</v>
      </c>
    </row>
    <row r="968">
      <c r="A968" s="11" t="s">
        <v>3997</v>
      </c>
      <c r="B968" s="11" t="s">
        <v>78</v>
      </c>
      <c r="C968" s="18">
        <v>46053.0</v>
      </c>
      <c r="D968" s="11" t="s">
        <v>85</v>
      </c>
      <c r="E968" s="11" t="s">
        <v>6935</v>
      </c>
      <c r="G968" s="11" t="s">
        <v>6936</v>
      </c>
      <c r="H968" s="11" t="s">
        <v>6937</v>
      </c>
      <c r="I968" s="11" t="b">
        <v>1</v>
      </c>
      <c r="J968" s="11" t="s">
        <v>5814</v>
      </c>
      <c r="O968" s="11">
        <v>65.31</v>
      </c>
      <c r="P968" s="11">
        <v>1968106.0</v>
      </c>
      <c r="Q968" s="11" t="b">
        <v>1</v>
      </c>
    </row>
    <row r="969">
      <c r="A969" s="11" t="s">
        <v>4007</v>
      </c>
      <c r="B969" s="11" t="s">
        <v>78</v>
      </c>
      <c r="C969" s="18">
        <v>46053.0</v>
      </c>
      <c r="D969" s="11" t="s">
        <v>104</v>
      </c>
      <c r="E969" s="11" t="s">
        <v>6938</v>
      </c>
      <c r="G969" s="11" t="s">
        <v>6939</v>
      </c>
      <c r="H969" s="11" t="s">
        <v>6940</v>
      </c>
      <c r="I969" s="11" t="b">
        <v>1</v>
      </c>
      <c r="J969" s="11" t="s">
        <v>5814</v>
      </c>
      <c r="O969" s="11">
        <v>143.54</v>
      </c>
      <c r="P969" s="11">
        <v>1968635.0</v>
      </c>
      <c r="Q969" s="11" t="b">
        <v>1</v>
      </c>
    </row>
    <row r="970">
      <c r="A970" s="11" t="s">
        <v>3945</v>
      </c>
      <c r="B970" s="11" t="s">
        <v>78</v>
      </c>
      <c r="C970" s="18">
        <v>46050.0</v>
      </c>
      <c r="D970" s="11" t="s">
        <v>85</v>
      </c>
      <c r="E970" s="11" t="s">
        <v>6941</v>
      </c>
      <c r="G970" s="11" t="s">
        <v>6942</v>
      </c>
      <c r="H970" s="11" t="s">
        <v>6943</v>
      </c>
      <c r="I970" s="11" t="b">
        <v>1</v>
      </c>
      <c r="J970" s="11" t="s">
        <v>5814</v>
      </c>
      <c r="O970" s="11">
        <v>44.97</v>
      </c>
      <c r="P970" s="11">
        <v>1962711.0</v>
      </c>
      <c r="Q970" s="11" t="b">
        <v>1</v>
      </c>
    </row>
    <row r="971">
      <c r="A971" s="11" t="s">
        <v>3953</v>
      </c>
      <c r="B971" s="11" t="s">
        <v>78</v>
      </c>
      <c r="C971" s="18">
        <v>46050.0</v>
      </c>
      <c r="D971" s="11" t="s">
        <v>6945</v>
      </c>
      <c r="E971" s="11" t="s">
        <v>6946</v>
      </c>
      <c r="G971" s="11" t="s">
        <v>6947</v>
      </c>
      <c r="H971" s="11" t="s">
        <v>6948</v>
      </c>
      <c r="I971" s="11" t="b">
        <v>1</v>
      </c>
      <c r="J971" s="11" t="s">
        <v>5814</v>
      </c>
      <c r="O971" s="11">
        <v>33.0</v>
      </c>
      <c r="P971" s="11">
        <v>1962321.0</v>
      </c>
      <c r="Q971" s="11" t="b">
        <v>1</v>
      </c>
    </row>
    <row r="972">
      <c r="A972" s="11" t="s">
        <v>3981</v>
      </c>
      <c r="B972" s="11" t="s">
        <v>78</v>
      </c>
      <c r="C972" s="18">
        <v>46050.0</v>
      </c>
      <c r="D972" s="11" t="s">
        <v>6954</v>
      </c>
      <c r="E972" s="11" t="s">
        <v>6955</v>
      </c>
      <c r="G972" s="11" t="s">
        <v>6956</v>
      </c>
      <c r="H972" s="11" t="s">
        <v>6957</v>
      </c>
      <c r="I972" s="11" t="b">
        <v>1</v>
      </c>
      <c r="J972" s="11" t="s">
        <v>5814</v>
      </c>
      <c r="O972" s="11">
        <v>19.6</v>
      </c>
      <c r="P972" s="11">
        <v>1962324.0</v>
      </c>
      <c r="Q972" s="11" t="b">
        <v>1</v>
      </c>
    </row>
    <row r="973">
      <c r="A973" s="11" t="s">
        <v>4028</v>
      </c>
      <c r="B973" s="11" t="s">
        <v>78</v>
      </c>
      <c r="C973" s="18">
        <v>46055.0</v>
      </c>
      <c r="D973" s="11" t="s">
        <v>2549</v>
      </c>
      <c r="E973" s="11" t="s">
        <v>6958</v>
      </c>
      <c r="G973" s="11" t="s">
        <v>6960</v>
      </c>
      <c r="H973" s="11" t="s">
        <v>6961</v>
      </c>
      <c r="I973" s="11" t="b">
        <v>1</v>
      </c>
      <c r="J973" s="11" t="s">
        <v>5814</v>
      </c>
      <c r="O973" s="11">
        <v>936.0</v>
      </c>
      <c r="P973" s="11">
        <v>1974123.0</v>
      </c>
      <c r="Q973" s="11" t="b">
        <v>1</v>
      </c>
    </row>
    <row r="974">
      <c r="A974" s="11" t="s">
        <v>4032</v>
      </c>
      <c r="B974" s="11" t="s">
        <v>78</v>
      </c>
      <c r="C974" s="18">
        <v>46055.0</v>
      </c>
      <c r="D974" s="11" t="s">
        <v>992</v>
      </c>
      <c r="E974" s="11" t="s">
        <v>6962</v>
      </c>
      <c r="G974" s="11" t="s">
        <v>6963</v>
      </c>
      <c r="H974" s="11" t="s">
        <v>2909</v>
      </c>
      <c r="I974" s="11" t="b">
        <v>1</v>
      </c>
      <c r="J974" s="11" t="s">
        <v>5814</v>
      </c>
      <c r="O974" s="11">
        <v>250.0</v>
      </c>
      <c r="P974" s="11">
        <v>1974137.0</v>
      </c>
      <c r="Q974" s="11" t="b">
        <v>1</v>
      </c>
    </row>
    <row r="975">
      <c r="A975" s="11" t="s">
        <v>2627</v>
      </c>
      <c r="B975" s="11" t="s">
        <v>78</v>
      </c>
      <c r="C975" s="18">
        <v>46056.0</v>
      </c>
      <c r="D975" s="11" t="s">
        <v>415</v>
      </c>
      <c r="H975" s="11" t="s">
        <v>6964</v>
      </c>
      <c r="J975" s="11" t="s">
        <v>187</v>
      </c>
      <c r="O975" s="11">
        <v>20.0</v>
      </c>
      <c r="Q975" s="11" t="b">
        <v>1</v>
      </c>
    </row>
    <row r="976">
      <c r="A976" s="11" t="s">
        <v>2629</v>
      </c>
      <c r="B976" s="11" t="s">
        <v>78</v>
      </c>
      <c r="C976" s="18">
        <v>46055.0</v>
      </c>
      <c r="D976" s="11" t="s">
        <v>237</v>
      </c>
      <c r="H976" s="11" t="s">
        <v>6968</v>
      </c>
      <c r="J976" s="11" t="s">
        <v>187</v>
      </c>
      <c r="O976" s="11">
        <v>538.09</v>
      </c>
      <c r="Q976" s="11" t="b">
        <v>1</v>
      </c>
    </row>
    <row r="977">
      <c r="A977" s="11">
        <v>1773.0</v>
      </c>
      <c r="B977" s="11" t="s">
        <v>78</v>
      </c>
      <c r="C977" s="18">
        <v>46056.0</v>
      </c>
      <c r="D977" s="11" t="s">
        <v>176</v>
      </c>
      <c r="H977" s="11" t="s">
        <v>1440</v>
      </c>
      <c r="J977" s="11" t="s">
        <v>187</v>
      </c>
      <c r="O977" s="11">
        <v>533.95</v>
      </c>
      <c r="Q977" s="11" t="b">
        <v>1</v>
      </c>
    </row>
    <row r="978">
      <c r="A978" s="11">
        <v>1774.0</v>
      </c>
      <c r="B978" s="11" t="s">
        <v>78</v>
      </c>
      <c r="C978" s="18">
        <v>46055.0</v>
      </c>
      <c r="D978" s="11">
        <v>3.6037127E7</v>
      </c>
      <c r="H978" s="11" t="s">
        <v>2162</v>
      </c>
      <c r="J978" s="11" t="s">
        <v>187</v>
      </c>
      <c r="O978" s="11">
        <v>120.0</v>
      </c>
      <c r="Q978" s="11" t="b">
        <v>1</v>
      </c>
    </row>
    <row r="979">
      <c r="A979" s="11">
        <v>1775.0</v>
      </c>
      <c r="B979" s="11" t="s">
        <v>78</v>
      </c>
      <c r="C979" s="18">
        <v>46055.0</v>
      </c>
      <c r="D979" s="11" t="s">
        <v>2509</v>
      </c>
      <c r="H979" s="11" t="s">
        <v>2638</v>
      </c>
      <c r="J979" s="11" t="s">
        <v>187</v>
      </c>
      <c r="O979" s="11">
        <v>104.4</v>
      </c>
      <c r="Q979" s="11" t="b">
        <v>1</v>
      </c>
    </row>
    <row r="980">
      <c r="A980" s="11">
        <v>1777.0</v>
      </c>
      <c r="B980" s="11" t="s">
        <v>78</v>
      </c>
      <c r="C980" s="18">
        <v>46056.0</v>
      </c>
      <c r="D980" s="11" t="s">
        <v>2535</v>
      </c>
      <c r="H980" s="11" t="s">
        <v>2638</v>
      </c>
      <c r="J980" s="11" t="s">
        <v>187</v>
      </c>
      <c r="O980" s="11">
        <v>59.85</v>
      </c>
      <c r="Q980" s="11" t="b">
        <v>1</v>
      </c>
    </row>
    <row r="981">
      <c r="A981" s="11">
        <v>1778.0</v>
      </c>
      <c r="B981" s="11" t="s">
        <v>78</v>
      </c>
      <c r="C981" s="18">
        <v>46056.0</v>
      </c>
      <c r="D981" s="11" t="s">
        <v>5965</v>
      </c>
      <c r="H981" s="11" t="s">
        <v>6976</v>
      </c>
      <c r="J981" s="11" t="s">
        <v>187</v>
      </c>
      <c r="O981" s="11">
        <v>1886.71</v>
      </c>
      <c r="Q981" s="11" t="b">
        <v>1</v>
      </c>
    </row>
    <row r="982">
      <c r="A982" s="11" t="s">
        <v>2643</v>
      </c>
      <c r="B982" s="11" t="s">
        <v>78</v>
      </c>
      <c r="C982" s="18">
        <v>46056.0</v>
      </c>
      <c r="D982" s="11" t="s">
        <v>237</v>
      </c>
      <c r="H982" s="11" t="s">
        <v>6977</v>
      </c>
      <c r="J982" s="11" t="s">
        <v>187</v>
      </c>
      <c r="O982" s="11">
        <v>16.6</v>
      </c>
      <c r="Q982" s="11" t="b">
        <v>1</v>
      </c>
    </row>
    <row r="983">
      <c r="A983" s="11" t="s">
        <v>4038</v>
      </c>
      <c r="B983" s="11" t="s">
        <v>78</v>
      </c>
      <c r="C983" s="18">
        <v>46055.0</v>
      </c>
      <c r="D983" s="11" t="s">
        <v>237</v>
      </c>
      <c r="E983" s="11" t="s">
        <v>6980</v>
      </c>
      <c r="G983" s="11" t="s">
        <v>6981</v>
      </c>
      <c r="H983" s="11" t="s">
        <v>6982</v>
      </c>
      <c r="I983" s="11" t="b">
        <v>0</v>
      </c>
      <c r="J983" s="11" t="s">
        <v>5814</v>
      </c>
      <c r="L983" s="11" t="s">
        <v>6983</v>
      </c>
      <c r="M983" s="11" t="s">
        <v>6984</v>
      </c>
      <c r="O983" s="11">
        <v>1656.04</v>
      </c>
      <c r="Q983" s="11" t="b">
        <v>1</v>
      </c>
    </row>
    <row r="984">
      <c r="A984" s="11" t="s">
        <v>4061</v>
      </c>
      <c r="B984" s="11" t="s">
        <v>78</v>
      </c>
      <c r="C984" s="18">
        <v>46059.0</v>
      </c>
      <c r="D984" s="11" t="s">
        <v>85</v>
      </c>
      <c r="E984" s="11" t="s">
        <v>6987</v>
      </c>
      <c r="G984" s="11" t="s">
        <v>6989</v>
      </c>
      <c r="H984" s="11" t="s">
        <v>3193</v>
      </c>
      <c r="I984" s="11" t="b">
        <v>1</v>
      </c>
      <c r="J984" s="11" t="s">
        <v>5814</v>
      </c>
      <c r="O984" s="11">
        <v>105.7</v>
      </c>
      <c r="P984" s="11">
        <v>1983341.0</v>
      </c>
      <c r="Q984" s="11" t="b">
        <v>1</v>
      </c>
    </row>
    <row r="985">
      <c r="A985" s="11" t="s">
        <v>4072</v>
      </c>
      <c r="B985" s="11" t="s">
        <v>78</v>
      </c>
      <c r="C985" s="18">
        <v>46059.0</v>
      </c>
      <c r="D985" s="11" t="s">
        <v>104</v>
      </c>
      <c r="E985" s="11" t="s">
        <v>6990</v>
      </c>
      <c r="G985" s="11" t="s">
        <v>6991</v>
      </c>
      <c r="H985" s="11" t="s">
        <v>380</v>
      </c>
      <c r="I985" s="11" t="b">
        <v>1</v>
      </c>
      <c r="J985" s="11" t="s">
        <v>5814</v>
      </c>
      <c r="O985" s="11">
        <v>236.12</v>
      </c>
      <c r="P985" s="11">
        <v>1981470.0</v>
      </c>
      <c r="Q985" s="11" t="b">
        <v>1</v>
      </c>
    </row>
    <row r="986">
      <c r="A986" s="11" t="s">
        <v>5477</v>
      </c>
      <c r="B986" s="11" t="s">
        <v>78</v>
      </c>
      <c r="C986" s="18">
        <v>46059.0</v>
      </c>
      <c r="D986" s="11">
        <v>3.6037127E7</v>
      </c>
      <c r="E986" s="11" t="s">
        <v>6993</v>
      </c>
      <c r="G986" s="11" t="s">
        <v>6994</v>
      </c>
      <c r="H986" s="11" t="s">
        <v>6995</v>
      </c>
      <c r="I986" s="11" t="b">
        <v>1</v>
      </c>
      <c r="J986" s="11" t="s">
        <v>5814</v>
      </c>
      <c r="O986" s="11">
        <v>55.0</v>
      </c>
      <c r="P986" s="11">
        <v>1981196.0</v>
      </c>
      <c r="Q986" s="11" t="b">
        <v>1</v>
      </c>
    </row>
    <row r="987">
      <c r="A987" s="11" t="s">
        <v>4084</v>
      </c>
      <c r="B987" s="11" t="s">
        <v>78</v>
      </c>
      <c r="C987" s="18">
        <v>46059.0</v>
      </c>
      <c r="D987" s="11" t="s">
        <v>992</v>
      </c>
      <c r="E987" s="11" t="s">
        <v>6998</v>
      </c>
      <c r="G987" s="11" t="s">
        <v>6999</v>
      </c>
      <c r="H987" s="11" t="s">
        <v>2322</v>
      </c>
      <c r="I987" s="11" t="b">
        <v>1</v>
      </c>
      <c r="J987" s="11" t="s">
        <v>5814</v>
      </c>
      <c r="O987" s="11">
        <v>250.0</v>
      </c>
      <c r="P987" s="11">
        <v>1981454.0</v>
      </c>
      <c r="Q987" s="11" t="b">
        <v>1</v>
      </c>
    </row>
    <row r="988">
      <c r="A988" s="11" t="s">
        <v>5580</v>
      </c>
      <c r="B988" s="11" t="s">
        <v>78</v>
      </c>
      <c r="C988" s="18">
        <v>46059.0</v>
      </c>
      <c r="D988" s="11" t="s">
        <v>7000</v>
      </c>
      <c r="E988" s="11" t="s">
        <v>7001</v>
      </c>
      <c r="G988" s="11" t="s">
        <v>7002</v>
      </c>
      <c r="H988" s="11" t="s">
        <v>7003</v>
      </c>
      <c r="I988" s="11" t="b">
        <v>1</v>
      </c>
      <c r="J988" s="11" t="s">
        <v>5814</v>
      </c>
      <c r="O988" s="11">
        <v>150.0</v>
      </c>
      <c r="P988" s="11">
        <v>1980970.0</v>
      </c>
      <c r="Q988" s="11" t="b">
        <v>1</v>
      </c>
    </row>
    <row r="989">
      <c r="A989" s="11" t="s">
        <v>4041</v>
      </c>
      <c r="B989" s="11" t="s">
        <v>78</v>
      </c>
      <c r="C989" s="18">
        <v>46058.0</v>
      </c>
      <c r="D989" s="11" t="s">
        <v>168</v>
      </c>
      <c r="E989" s="11" t="s">
        <v>7006</v>
      </c>
      <c r="G989" s="11" t="s">
        <v>7007</v>
      </c>
      <c r="H989" s="11" t="s">
        <v>7008</v>
      </c>
      <c r="I989" s="11" t="b">
        <v>1</v>
      </c>
      <c r="J989" s="11" t="s">
        <v>5814</v>
      </c>
      <c r="O989" s="11">
        <v>886.5</v>
      </c>
      <c r="P989" s="11">
        <v>1979325.0</v>
      </c>
      <c r="Q989" s="11" t="b">
        <v>1</v>
      </c>
    </row>
    <row r="990">
      <c r="A990" s="11">
        <v>1788.0</v>
      </c>
      <c r="B990" s="11" t="s">
        <v>78</v>
      </c>
      <c r="C990" s="18">
        <v>46061.0</v>
      </c>
      <c r="D990" s="11" t="s">
        <v>1046</v>
      </c>
      <c r="H990" s="11" t="s">
        <v>7009</v>
      </c>
      <c r="J990" s="11" t="s">
        <v>187</v>
      </c>
      <c r="O990" s="11">
        <v>0.01</v>
      </c>
      <c r="Q990" s="11" t="b">
        <v>1</v>
      </c>
    </row>
    <row r="991">
      <c r="A991" s="11">
        <v>1785.0</v>
      </c>
      <c r="B991" s="11" t="s">
        <v>78</v>
      </c>
      <c r="C991" s="18">
        <v>46062.0</v>
      </c>
      <c r="D991" s="11" t="s">
        <v>192</v>
      </c>
      <c r="H991" s="11" t="s">
        <v>195</v>
      </c>
      <c r="J991" s="11" t="s">
        <v>187</v>
      </c>
      <c r="O991" s="11">
        <v>2500.0</v>
      </c>
      <c r="Q991" s="11" t="b">
        <v>1</v>
      </c>
    </row>
    <row r="992">
      <c r="A992" s="11">
        <v>1786.0</v>
      </c>
      <c r="B992" s="11" t="s">
        <v>78</v>
      </c>
      <c r="C992" s="18">
        <v>46062.0</v>
      </c>
      <c r="D992" s="11" t="s">
        <v>1217</v>
      </c>
      <c r="H992" s="11" t="s">
        <v>1218</v>
      </c>
      <c r="J992" s="11" t="s">
        <v>187</v>
      </c>
      <c r="O992" s="11">
        <v>131.9</v>
      </c>
      <c r="Q992" s="11" t="b">
        <v>1</v>
      </c>
    </row>
    <row r="993">
      <c r="A993" s="11">
        <v>1787.0</v>
      </c>
      <c r="B993" s="11" t="s">
        <v>78</v>
      </c>
      <c r="C993" s="18">
        <v>46062.0</v>
      </c>
      <c r="D993" s="11" t="s">
        <v>415</v>
      </c>
      <c r="H993" s="11" t="s">
        <v>7012</v>
      </c>
      <c r="J993" s="11" t="s">
        <v>187</v>
      </c>
      <c r="O993" s="11">
        <v>121.9</v>
      </c>
      <c r="Q993" s="11" t="b">
        <v>1</v>
      </c>
    </row>
    <row r="994">
      <c r="A994" s="11" t="s">
        <v>4089</v>
      </c>
      <c r="B994" s="11" t="s">
        <v>78</v>
      </c>
      <c r="C994" s="18">
        <v>46062.0</v>
      </c>
      <c r="D994" s="11" t="s">
        <v>2549</v>
      </c>
      <c r="E994" s="11" t="s">
        <v>7013</v>
      </c>
      <c r="G994" s="11" t="s">
        <v>7014</v>
      </c>
      <c r="H994" s="11" t="s">
        <v>7015</v>
      </c>
      <c r="I994" s="11" t="b">
        <v>1</v>
      </c>
      <c r="J994" s="11" t="s">
        <v>5814</v>
      </c>
      <c r="O994" s="11">
        <v>1032.0</v>
      </c>
      <c r="P994" s="11">
        <v>1989212.0</v>
      </c>
      <c r="Q994" s="11" t="b">
        <v>1</v>
      </c>
    </row>
    <row r="995">
      <c r="A995" s="11" t="s">
        <v>4093</v>
      </c>
      <c r="B995" s="11" t="s">
        <v>78</v>
      </c>
      <c r="C995" s="18">
        <v>46062.0</v>
      </c>
      <c r="D995" s="11">
        <v>1.848497E7</v>
      </c>
      <c r="E995" s="11" t="s">
        <v>7016</v>
      </c>
      <c r="G995" s="11" t="s">
        <v>7017</v>
      </c>
      <c r="H995" s="11" t="s">
        <v>7018</v>
      </c>
      <c r="I995" s="11" t="b">
        <v>1</v>
      </c>
      <c r="J995" s="11" t="s">
        <v>5814</v>
      </c>
      <c r="O995" s="11">
        <v>7.0</v>
      </c>
      <c r="P995" s="11">
        <v>1988946.0</v>
      </c>
      <c r="Q995" s="11" t="b">
        <v>1</v>
      </c>
    </row>
    <row r="996">
      <c r="A996" s="11" t="s">
        <v>4097</v>
      </c>
      <c r="B996" s="11" t="s">
        <v>78</v>
      </c>
      <c r="C996" s="18">
        <v>46062.0</v>
      </c>
      <c r="D996" s="11" t="s">
        <v>992</v>
      </c>
      <c r="E996" s="11" t="s">
        <v>7021</v>
      </c>
      <c r="G996" s="11" t="s">
        <v>7023</v>
      </c>
      <c r="H996" s="11" t="s">
        <v>2909</v>
      </c>
      <c r="I996" s="11" t="b">
        <v>1</v>
      </c>
      <c r="J996" s="11" t="s">
        <v>5814</v>
      </c>
      <c r="O996" s="11">
        <v>250.0</v>
      </c>
      <c r="P996" s="11">
        <v>1989217.0</v>
      </c>
      <c r="Q996" s="11" t="b">
        <v>1</v>
      </c>
    </row>
    <row r="997">
      <c r="A997" s="11">
        <v>1.49954597E8</v>
      </c>
      <c r="B997" s="11" t="s">
        <v>78</v>
      </c>
      <c r="C997" s="18">
        <v>46063.0</v>
      </c>
      <c r="D997" s="11" t="s">
        <v>6470</v>
      </c>
      <c r="H997" s="11" t="s">
        <v>6472</v>
      </c>
      <c r="J997" s="11" t="s">
        <v>187</v>
      </c>
      <c r="O997" s="11">
        <v>1153.66</v>
      </c>
      <c r="Q997" s="11" t="b">
        <v>1</v>
      </c>
    </row>
    <row r="998">
      <c r="A998" s="11" t="s">
        <v>2660</v>
      </c>
      <c r="B998" s="11" t="s">
        <v>78</v>
      </c>
      <c r="C998" s="18">
        <v>46063.0</v>
      </c>
      <c r="D998" s="11" t="s">
        <v>237</v>
      </c>
      <c r="H998" s="11" t="s">
        <v>6472</v>
      </c>
      <c r="J998" s="11" t="s">
        <v>187</v>
      </c>
      <c r="O998" s="11">
        <v>4446.87</v>
      </c>
      <c r="Q998" s="11" t="b">
        <v>1</v>
      </c>
    </row>
    <row r="999">
      <c r="A999" s="11">
        <v>1776.0</v>
      </c>
      <c r="B999" s="11" t="s">
        <v>78</v>
      </c>
      <c r="C999" s="18">
        <v>46063.0</v>
      </c>
      <c r="D999" s="11" t="s">
        <v>1676</v>
      </c>
      <c r="H999" s="11" t="s">
        <v>2802</v>
      </c>
      <c r="J999" s="11" t="s">
        <v>187</v>
      </c>
      <c r="O999" s="11">
        <v>1744.55</v>
      </c>
      <c r="Q999" s="11" t="b">
        <v>1</v>
      </c>
    </row>
    <row r="1000">
      <c r="A1000" s="11">
        <v>1.85031018E8</v>
      </c>
      <c r="B1000" s="11" t="s">
        <v>78</v>
      </c>
      <c r="C1000" s="18">
        <v>46063.0</v>
      </c>
      <c r="D1000" s="11" t="s">
        <v>2355</v>
      </c>
      <c r="H1000" s="11" t="s">
        <v>7029</v>
      </c>
      <c r="J1000" s="11" t="s">
        <v>187</v>
      </c>
      <c r="O1000" s="11">
        <v>29.45</v>
      </c>
      <c r="Q1000" s="11" t="b">
        <v>1</v>
      </c>
    </row>
    <row r="1001">
      <c r="A1001" s="11" t="s">
        <v>2669</v>
      </c>
      <c r="B1001" s="11" t="s">
        <v>78</v>
      </c>
      <c r="C1001" s="18">
        <v>46064.0</v>
      </c>
      <c r="D1001" s="11" t="s">
        <v>7030</v>
      </c>
      <c r="H1001" s="11" t="s">
        <v>7031</v>
      </c>
      <c r="J1001" s="11" t="s">
        <v>187</v>
      </c>
      <c r="O1001" s="11">
        <v>1000.0</v>
      </c>
      <c r="Q1001" s="11" t="b">
        <v>1</v>
      </c>
    </row>
    <row r="1002">
      <c r="A1002" s="11" t="s">
        <v>4100</v>
      </c>
      <c r="B1002" s="11" t="s">
        <v>78</v>
      </c>
      <c r="C1002" s="18">
        <v>46063.0</v>
      </c>
      <c r="D1002" s="11" t="s">
        <v>237</v>
      </c>
      <c r="E1002" s="11" t="s">
        <v>7032</v>
      </c>
      <c r="G1002" s="11" t="s">
        <v>7033</v>
      </c>
      <c r="H1002" s="11" t="s">
        <v>7034</v>
      </c>
      <c r="I1002" s="11" t="b">
        <v>0</v>
      </c>
      <c r="J1002" s="11" t="s">
        <v>5814</v>
      </c>
      <c r="L1002" s="11" t="s">
        <v>7035</v>
      </c>
      <c r="O1002" s="11">
        <v>8707.47</v>
      </c>
      <c r="Q1002" s="11" t="b">
        <v>1</v>
      </c>
    </row>
    <row r="1003">
      <c r="A1003" s="11" t="s">
        <v>4109</v>
      </c>
      <c r="B1003" s="11" t="s">
        <v>78</v>
      </c>
      <c r="C1003" s="18">
        <v>46063.0</v>
      </c>
      <c r="D1003" s="11" t="s">
        <v>513</v>
      </c>
      <c r="E1003" s="11" t="s">
        <v>7037</v>
      </c>
      <c r="G1003" s="11" t="s">
        <v>7038</v>
      </c>
      <c r="H1003" s="11" t="s">
        <v>7039</v>
      </c>
      <c r="I1003" s="11" t="b">
        <v>1</v>
      </c>
      <c r="J1003" s="11" t="s">
        <v>5814</v>
      </c>
      <c r="O1003" s="11">
        <v>308.0</v>
      </c>
      <c r="P1003" s="11">
        <v>1993001.0</v>
      </c>
      <c r="Q1003" s="11" t="b">
        <v>1</v>
      </c>
    </row>
    <row r="1004">
      <c r="A1004" s="11" t="s">
        <v>4125</v>
      </c>
      <c r="B1004" s="11" t="s">
        <v>78</v>
      </c>
      <c r="C1004" s="18">
        <v>46065.0</v>
      </c>
      <c r="D1004" s="11" t="s">
        <v>4575</v>
      </c>
      <c r="E1004" s="11" t="s">
        <v>7040</v>
      </c>
      <c r="G1004" s="11" t="s">
        <v>7041</v>
      </c>
      <c r="H1004" s="11" t="s">
        <v>7042</v>
      </c>
      <c r="I1004" s="11" t="b">
        <v>1</v>
      </c>
      <c r="J1004" s="11" t="s">
        <v>5814</v>
      </c>
      <c r="O1004" s="11">
        <v>250.0</v>
      </c>
      <c r="P1004" s="11">
        <v>1995570.0</v>
      </c>
      <c r="Q1004" s="11" t="b">
        <v>1</v>
      </c>
    </row>
    <row r="1005">
      <c r="A1005" s="11" t="s">
        <v>4116</v>
      </c>
      <c r="B1005" s="11" t="s">
        <v>78</v>
      </c>
      <c r="C1005" s="18">
        <v>46064.0</v>
      </c>
      <c r="D1005" s="11" t="s">
        <v>237</v>
      </c>
      <c r="E1005" s="11" t="s">
        <v>7045</v>
      </c>
      <c r="G1005" s="11" t="s">
        <v>7046</v>
      </c>
      <c r="H1005" s="11" t="s">
        <v>7047</v>
      </c>
      <c r="I1005" s="11" t="b">
        <v>0</v>
      </c>
      <c r="J1005" s="11" t="s">
        <v>5814</v>
      </c>
      <c r="L1005" s="11" t="s">
        <v>7048</v>
      </c>
      <c r="M1005" s="11" t="s">
        <v>7050</v>
      </c>
      <c r="O1005" s="11">
        <v>3613.53</v>
      </c>
      <c r="Q1005" s="11" t="b">
        <v>1</v>
      </c>
    </row>
    <row r="1006">
      <c r="A1006" s="11" t="s">
        <v>2671</v>
      </c>
      <c r="B1006" s="11" t="s">
        <v>78</v>
      </c>
      <c r="C1006" s="18">
        <v>46070.0</v>
      </c>
      <c r="D1006" s="11" t="s">
        <v>404</v>
      </c>
      <c r="H1006" s="11" t="s">
        <v>7051</v>
      </c>
      <c r="J1006" s="11" t="s">
        <v>187</v>
      </c>
      <c r="O1006" s="11">
        <v>205.16</v>
      </c>
      <c r="Q1006" s="11" t="b">
        <v>1</v>
      </c>
    </row>
    <row r="1007">
      <c r="A1007" s="11" t="s">
        <v>4169</v>
      </c>
      <c r="B1007" s="11" t="s">
        <v>78</v>
      </c>
      <c r="C1007" s="18">
        <v>46069.0</v>
      </c>
      <c r="D1007" s="11" t="s">
        <v>274</v>
      </c>
      <c r="E1007" s="11" t="s">
        <v>7052</v>
      </c>
      <c r="G1007" s="11" t="s">
        <v>7053</v>
      </c>
      <c r="H1007" s="11" t="s">
        <v>7054</v>
      </c>
      <c r="I1007" s="11" t="b">
        <v>1</v>
      </c>
      <c r="J1007" s="11" t="s">
        <v>5814</v>
      </c>
      <c r="O1007" s="11">
        <v>28.17</v>
      </c>
      <c r="P1007" s="11">
        <v>2004425.0</v>
      </c>
      <c r="Q1007" s="11" t="b">
        <v>1</v>
      </c>
    </row>
    <row r="1008">
      <c r="A1008" s="11" t="s">
        <v>4172</v>
      </c>
      <c r="B1008" s="11" t="s">
        <v>78</v>
      </c>
      <c r="C1008" s="18">
        <v>46069.0</v>
      </c>
      <c r="D1008" s="11" t="s">
        <v>992</v>
      </c>
      <c r="E1008" s="11" t="s">
        <v>7056</v>
      </c>
      <c r="G1008" s="11" t="s">
        <v>7057</v>
      </c>
      <c r="H1008" s="11" t="s">
        <v>5323</v>
      </c>
      <c r="I1008" s="11" t="b">
        <v>1</v>
      </c>
      <c r="J1008" s="11" t="s">
        <v>5814</v>
      </c>
      <c r="O1008" s="11">
        <v>250.0</v>
      </c>
      <c r="P1008" s="11">
        <v>2004729.0</v>
      </c>
      <c r="Q1008" s="11" t="b">
        <v>1</v>
      </c>
    </row>
    <row r="1009">
      <c r="A1009" s="11" t="s">
        <v>4129</v>
      </c>
      <c r="B1009" s="11" t="s">
        <v>78</v>
      </c>
      <c r="C1009" s="18">
        <v>46065.0</v>
      </c>
      <c r="D1009" s="11" t="s">
        <v>1094</v>
      </c>
      <c r="E1009" s="11" t="s">
        <v>7060</v>
      </c>
      <c r="G1009" s="11" t="s">
        <v>7062</v>
      </c>
      <c r="H1009" s="11" t="s">
        <v>7063</v>
      </c>
      <c r="I1009" s="11" t="b">
        <v>1</v>
      </c>
      <c r="J1009" s="11" t="s">
        <v>5814</v>
      </c>
      <c r="O1009" s="11">
        <v>22.5</v>
      </c>
      <c r="P1009" s="11">
        <v>1994800.0</v>
      </c>
      <c r="Q1009" s="11" t="b">
        <v>1</v>
      </c>
    </row>
    <row r="1010">
      <c r="A1010" s="11" t="s">
        <v>4134</v>
      </c>
      <c r="B1010" s="11" t="s">
        <v>78</v>
      </c>
      <c r="C1010" s="18">
        <v>46065.0</v>
      </c>
      <c r="D1010" s="11" t="s">
        <v>7065</v>
      </c>
      <c r="E1010" s="11" t="s">
        <v>7066</v>
      </c>
      <c r="G1010" s="11" t="s">
        <v>7067</v>
      </c>
      <c r="H1010" s="11" t="s">
        <v>7063</v>
      </c>
      <c r="I1010" s="11" t="b">
        <v>1</v>
      </c>
      <c r="J1010" s="11" t="s">
        <v>5814</v>
      </c>
      <c r="O1010" s="11">
        <v>22.0</v>
      </c>
      <c r="P1010" s="11">
        <v>1994788.0</v>
      </c>
      <c r="Q1010" s="11" t="b">
        <v>1</v>
      </c>
    </row>
    <row r="1011">
      <c r="A1011" s="11" t="s">
        <v>4142</v>
      </c>
      <c r="B1011" s="11" t="s">
        <v>78</v>
      </c>
      <c r="C1011" s="18">
        <v>46066.0</v>
      </c>
      <c r="D1011" s="11" t="s">
        <v>104</v>
      </c>
      <c r="E1011" s="11" t="s">
        <v>7068</v>
      </c>
      <c r="G1011" s="11" t="s">
        <v>7069</v>
      </c>
      <c r="H1011" s="11" t="s">
        <v>7070</v>
      </c>
      <c r="I1011" s="11" t="b">
        <v>1</v>
      </c>
      <c r="J1011" s="11" t="s">
        <v>5814</v>
      </c>
      <c r="O1011" s="11">
        <v>164.16</v>
      </c>
      <c r="P1011" s="11">
        <v>1997063.0</v>
      </c>
      <c r="Q1011" s="11" t="b">
        <v>1</v>
      </c>
    </row>
    <row r="1012">
      <c r="A1012" s="11" t="s">
        <v>4151</v>
      </c>
      <c r="B1012" s="11" t="s">
        <v>78</v>
      </c>
      <c r="C1012" s="18">
        <v>46066.0</v>
      </c>
      <c r="D1012" s="11" t="s">
        <v>85</v>
      </c>
      <c r="E1012" s="11" t="s">
        <v>7073</v>
      </c>
      <c r="G1012" s="11" t="s">
        <v>7074</v>
      </c>
      <c r="H1012" s="11" t="s">
        <v>7075</v>
      </c>
      <c r="I1012" s="11" t="b">
        <v>1</v>
      </c>
      <c r="J1012" s="11" t="s">
        <v>5814</v>
      </c>
      <c r="O1012" s="11">
        <v>45.04</v>
      </c>
      <c r="P1012" s="11">
        <v>1996982.0</v>
      </c>
      <c r="Q1012" s="11" t="b">
        <v>1</v>
      </c>
    </row>
    <row r="1013">
      <c r="A1013" s="11" t="s">
        <v>3886</v>
      </c>
      <c r="B1013" s="11" t="s">
        <v>78</v>
      </c>
      <c r="C1013" s="18">
        <v>46043.0</v>
      </c>
      <c r="D1013" s="11" t="s">
        <v>237</v>
      </c>
      <c r="E1013" s="11" t="s">
        <v>7076</v>
      </c>
      <c r="G1013" s="11" t="s">
        <v>7077</v>
      </c>
      <c r="H1013" s="11" t="s">
        <v>7078</v>
      </c>
      <c r="I1013" s="11" t="b">
        <v>0</v>
      </c>
      <c r="J1013" s="11" t="s">
        <v>5814</v>
      </c>
      <c r="L1013" s="11" t="s">
        <v>7079</v>
      </c>
      <c r="O1013" s="11">
        <v>16.6</v>
      </c>
      <c r="Q1013" s="11" t="b">
        <v>1</v>
      </c>
    </row>
    <row r="1014">
      <c r="A1014" s="11" t="s">
        <v>4137</v>
      </c>
      <c r="B1014" s="11" t="s">
        <v>78</v>
      </c>
      <c r="C1014" s="18">
        <v>46065.0</v>
      </c>
      <c r="D1014" s="11" t="s">
        <v>817</v>
      </c>
      <c r="E1014" s="11" t="s">
        <v>7081</v>
      </c>
      <c r="G1014" s="11" t="s">
        <v>7082</v>
      </c>
      <c r="H1014" s="11" t="s">
        <v>924</v>
      </c>
      <c r="I1014" s="11" t="b">
        <v>0</v>
      </c>
      <c r="J1014" s="11" t="s">
        <v>5814</v>
      </c>
      <c r="O1014" s="11">
        <v>735.19</v>
      </c>
      <c r="Q1014" s="11" t="b">
        <v>1</v>
      </c>
    </row>
    <row r="1015">
      <c r="A1015" s="11" t="s">
        <v>4165</v>
      </c>
      <c r="B1015" s="11" t="s">
        <v>78</v>
      </c>
      <c r="C1015" s="18">
        <v>46068.0</v>
      </c>
      <c r="D1015" s="11" t="s">
        <v>2549</v>
      </c>
      <c r="E1015" s="11" t="s">
        <v>7085</v>
      </c>
      <c r="G1015" s="11" t="s">
        <v>7086</v>
      </c>
      <c r="H1015" s="11" t="s">
        <v>7087</v>
      </c>
      <c r="I1015" s="11" t="b">
        <v>1</v>
      </c>
      <c r="J1015" s="11" t="s">
        <v>5814</v>
      </c>
      <c r="O1015" s="11">
        <v>864.0</v>
      </c>
      <c r="P1015" s="11">
        <v>2002463.0</v>
      </c>
      <c r="Q1015" s="11" t="b">
        <v>1</v>
      </c>
    </row>
    <row r="1016">
      <c r="A1016" s="11" t="s">
        <v>4160</v>
      </c>
      <c r="B1016" s="11" t="s">
        <v>78</v>
      </c>
      <c r="C1016" s="18">
        <v>46066.0</v>
      </c>
      <c r="D1016" s="11" t="s">
        <v>992</v>
      </c>
      <c r="E1016" s="11" t="s">
        <v>7091</v>
      </c>
      <c r="G1016" s="11" t="s">
        <v>7092</v>
      </c>
      <c r="H1016" s="11" t="s">
        <v>5323</v>
      </c>
      <c r="I1016" s="11" t="b">
        <v>1</v>
      </c>
      <c r="J1016" s="11" t="s">
        <v>5814</v>
      </c>
      <c r="O1016" s="11">
        <v>250.0</v>
      </c>
      <c r="P1016" s="11">
        <v>1997023.0</v>
      </c>
      <c r="Q1016" s="11" t="b">
        <v>1</v>
      </c>
    </row>
    <row r="1017">
      <c r="A1017" s="11">
        <v>1789.0</v>
      </c>
      <c r="B1017" s="11" t="s">
        <v>78</v>
      </c>
      <c r="C1017" s="18">
        <v>46071.0</v>
      </c>
      <c r="D1017" s="11" t="s">
        <v>1046</v>
      </c>
      <c r="H1017" s="11" t="s">
        <v>1557</v>
      </c>
      <c r="J1017" s="11" t="s">
        <v>187</v>
      </c>
      <c r="O1017" s="11">
        <v>9594.98</v>
      </c>
      <c r="Q1017" s="11" t="b">
        <v>1</v>
      </c>
    </row>
    <row r="1018">
      <c r="A1018" s="11">
        <v>1790.0</v>
      </c>
      <c r="B1018" s="11" t="s">
        <v>78</v>
      </c>
      <c r="C1018" s="18">
        <v>46071.0</v>
      </c>
      <c r="D1018" s="11" t="s">
        <v>1046</v>
      </c>
      <c r="H1018" s="11" t="s">
        <v>2638</v>
      </c>
      <c r="J1018" s="11" t="s">
        <v>187</v>
      </c>
      <c r="O1018" s="11">
        <v>839.22</v>
      </c>
      <c r="Q1018" s="11" t="b">
        <v>1</v>
      </c>
    </row>
    <row r="1019">
      <c r="A1019" s="11" t="s">
        <v>2677</v>
      </c>
      <c r="B1019" s="11" t="s">
        <v>78</v>
      </c>
      <c r="C1019" s="18">
        <v>46071.0</v>
      </c>
      <c r="D1019" s="11" t="s">
        <v>1567</v>
      </c>
      <c r="H1019" s="11" t="s">
        <v>6479</v>
      </c>
      <c r="J1019" s="11" t="s">
        <v>187</v>
      </c>
      <c r="O1019" s="11">
        <v>997.86</v>
      </c>
      <c r="Q1019" s="11" t="b">
        <v>1</v>
      </c>
    </row>
    <row r="1020">
      <c r="A1020" s="11" t="s">
        <v>2679</v>
      </c>
      <c r="B1020" s="11" t="s">
        <v>78</v>
      </c>
      <c r="C1020" s="18">
        <v>46071.0</v>
      </c>
      <c r="D1020" s="11" t="s">
        <v>237</v>
      </c>
      <c r="H1020" s="11" t="s">
        <v>7097</v>
      </c>
      <c r="J1020" s="11" t="s">
        <v>187</v>
      </c>
      <c r="O1020" s="11">
        <v>1858.96</v>
      </c>
      <c r="Q1020" s="11" t="b">
        <v>1</v>
      </c>
    </row>
    <row r="1021">
      <c r="A1021" s="11" t="s">
        <v>2684</v>
      </c>
      <c r="B1021" s="11" t="s">
        <v>78</v>
      </c>
      <c r="C1021" s="18">
        <v>46071.0</v>
      </c>
      <c r="D1021" s="11" t="s">
        <v>404</v>
      </c>
      <c r="H1021" s="11" t="s">
        <v>7099</v>
      </c>
      <c r="J1021" s="11" t="s">
        <v>187</v>
      </c>
      <c r="O1021" s="11">
        <v>134.64</v>
      </c>
      <c r="Q1021" s="11" t="b">
        <v>1</v>
      </c>
    </row>
    <row r="1022">
      <c r="A1022" s="11" t="s">
        <v>4196</v>
      </c>
      <c r="B1022" s="11" t="s">
        <v>78</v>
      </c>
      <c r="C1022" s="18">
        <v>46073.0</v>
      </c>
      <c r="D1022" s="11" t="s">
        <v>104</v>
      </c>
      <c r="E1022" s="11" t="s">
        <v>7100</v>
      </c>
      <c r="G1022" s="11" t="s">
        <v>7101</v>
      </c>
      <c r="H1022" s="11" t="s">
        <v>7102</v>
      </c>
      <c r="I1022" s="11" t="b">
        <v>1</v>
      </c>
      <c r="J1022" s="11" t="s">
        <v>5814</v>
      </c>
      <c r="O1022" s="11">
        <v>145.76</v>
      </c>
      <c r="P1022" s="11">
        <v>2015150.0</v>
      </c>
      <c r="Q1022" s="11" t="b">
        <v>1</v>
      </c>
    </row>
    <row r="1023">
      <c r="A1023" s="11" t="s">
        <v>4203</v>
      </c>
      <c r="B1023" s="11" t="s">
        <v>78</v>
      </c>
      <c r="C1023" s="18">
        <v>46073.0</v>
      </c>
      <c r="D1023" s="11" t="s">
        <v>85</v>
      </c>
      <c r="E1023" s="11" t="s">
        <v>7106</v>
      </c>
      <c r="G1023" s="11" t="s">
        <v>7107</v>
      </c>
      <c r="H1023" s="11" t="s">
        <v>7108</v>
      </c>
      <c r="I1023" s="11" t="b">
        <v>1</v>
      </c>
      <c r="J1023" s="11" t="s">
        <v>5814</v>
      </c>
      <c r="O1023" s="11">
        <v>35.17</v>
      </c>
      <c r="P1023" s="11">
        <v>2013560.0</v>
      </c>
      <c r="Q1023" s="11" t="b">
        <v>1</v>
      </c>
    </row>
    <row r="1024">
      <c r="A1024" s="11" t="s">
        <v>4211</v>
      </c>
      <c r="B1024" s="11" t="s">
        <v>78</v>
      </c>
      <c r="C1024" s="18">
        <v>46073.0</v>
      </c>
      <c r="D1024" s="11" t="s">
        <v>992</v>
      </c>
      <c r="E1024" s="11" t="s">
        <v>7110</v>
      </c>
      <c r="G1024" s="11" t="s">
        <v>7111</v>
      </c>
      <c r="H1024" s="11" t="s">
        <v>7112</v>
      </c>
      <c r="I1024" s="11" t="b">
        <v>1</v>
      </c>
      <c r="J1024" s="11" t="s">
        <v>5814</v>
      </c>
      <c r="O1024" s="11">
        <v>175.0</v>
      </c>
      <c r="P1024" s="11">
        <v>2013182.0</v>
      </c>
      <c r="Q1024" s="11" t="b">
        <v>1</v>
      </c>
    </row>
    <row r="1025">
      <c r="A1025" s="11" t="s">
        <v>4181</v>
      </c>
      <c r="B1025" s="11" t="s">
        <v>78</v>
      </c>
      <c r="C1025" s="18">
        <v>46072.0</v>
      </c>
      <c r="D1025" s="11" t="s">
        <v>2806</v>
      </c>
      <c r="E1025" s="11" t="s">
        <v>7113</v>
      </c>
      <c r="G1025" s="11" t="s">
        <v>7114</v>
      </c>
      <c r="H1025" s="11" t="s">
        <v>7116</v>
      </c>
      <c r="I1025" s="11" t="b">
        <v>1</v>
      </c>
      <c r="J1025" s="11" t="s">
        <v>5814</v>
      </c>
      <c r="L1025" s="11" t="s">
        <v>7117</v>
      </c>
      <c r="O1025" s="11">
        <v>392.2</v>
      </c>
      <c r="P1025" s="11">
        <v>2013538.0</v>
      </c>
      <c r="Q1025" s="11" t="b">
        <v>1</v>
      </c>
    </row>
    <row r="1026">
      <c r="A1026" s="11">
        <v>1804.0</v>
      </c>
      <c r="B1026" s="11" t="s">
        <v>78</v>
      </c>
      <c r="C1026" s="18">
        <v>46076.0</v>
      </c>
      <c r="D1026" s="11" t="s">
        <v>415</v>
      </c>
      <c r="H1026" s="11">
        <v>46296.0</v>
      </c>
      <c r="J1026" s="11" t="s">
        <v>187</v>
      </c>
      <c r="O1026" s="11">
        <v>190.34</v>
      </c>
      <c r="Q1026" s="11" t="b">
        <v>1</v>
      </c>
    </row>
    <row r="1027">
      <c r="A1027" s="11">
        <v>1731.0</v>
      </c>
      <c r="B1027" s="11" t="s">
        <v>78</v>
      </c>
      <c r="C1027" s="18">
        <v>46077.0</v>
      </c>
      <c r="D1027" s="11" t="s">
        <v>547</v>
      </c>
      <c r="H1027" s="11" t="s">
        <v>973</v>
      </c>
      <c r="J1027" s="11" t="s">
        <v>187</v>
      </c>
      <c r="O1027" s="11">
        <v>1098.0</v>
      </c>
      <c r="Q1027" s="11" t="b">
        <v>1</v>
      </c>
    </row>
    <row r="1028">
      <c r="A1028" s="11">
        <v>1732.0</v>
      </c>
      <c r="B1028" s="11" t="s">
        <v>78</v>
      </c>
      <c r="C1028" s="18">
        <v>46077.0</v>
      </c>
      <c r="D1028" s="11" t="s">
        <v>547</v>
      </c>
      <c r="H1028" s="11" t="s">
        <v>964</v>
      </c>
      <c r="J1028" s="11" t="s">
        <v>187</v>
      </c>
      <c r="O1028" s="11">
        <v>625.0</v>
      </c>
      <c r="Q1028" s="11" t="b">
        <v>1</v>
      </c>
    </row>
    <row r="1029">
      <c r="A1029" s="11">
        <v>1733.0</v>
      </c>
      <c r="B1029" s="11" t="s">
        <v>78</v>
      </c>
      <c r="C1029" s="18">
        <v>46077.0</v>
      </c>
      <c r="D1029" s="11" t="s">
        <v>547</v>
      </c>
      <c r="H1029" s="11" t="s">
        <v>955</v>
      </c>
      <c r="J1029" s="11" t="s">
        <v>187</v>
      </c>
      <c r="O1029" s="11">
        <v>375.0</v>
      </c>
      <c r="Q1029" s="11" t="b">
        <v>1</v>
      </c>
    </row>
    <row r="1030">
      <c r="A1030" s="11" t="s">
        <v>2700</v>
      </c>
      <c r="B1030" s="11" t="s">
        <v>78</v>
      </c>
      <c r="C1030" s="18">
        <v>46077.0</v>
      </c>
      <c r="D1030" s="11" t="s">
        <v>237</v>
      </c>
      <c r="H1030" s="11" t="s">
        <v>7122</v>
      </c>
      <c r="J1030" s="11" t="s">
        <v>187</v>
      </c>
      <c r="O1030" s="11">
        <v>1568.0</v>
      </c>
      <c r="Q1030" s="11" t="b">
        <v>1</v>
      </c>
    </row>
    <row r="1031">
      <c r="A1031" s="11" t="s">
        <v>2703</v>
      </c>
      <c r="B1031" s="11" t="s">
        <v>78</v>
      </c>
      <c r="C1031" s="18">
        <v>46077.0</v>
      </c>
      <c r="D1031" s="11" t="s">
        <v>237</v>
      </c>
      <c r="H1031" s="11" t="s">
        <v>7123</v>
      </c>
      <c r="J1031" s="11" t="s">
        <v>187</v>
      </c>
      <c r="O1031" s="11">
        <v>2162.53</v>
      </c>
      <c r="Q1031" s="11" t="b">
        <v>1</v>
      </c>
    </row>
    <row r="1032">
      <c r="A1032" s="11" t="s">
        <v>2708</v>
      </c>
      <c r="B1032" s="11" t="s">
        <v>78</v>
      </c>
      <c r="C1032" s="18">
        <v>46077.0</v>
      </c>
      <c r="D1032" s="11" t="s">
        <v>237</v>
      </c>
      <c r="H1032" s="11" t="s">
        <v>7125</v>
      </c>
      <c r="J1032" s="11" t="s">
        <v>187</v>
      </c>
      <c r="O1032" s="11">
        <v>783.63</v>
      </c>
      <c r="Q1032" s="11" t="b">
        <v>1</v>
      </c>
    </row>
    <row r="1033">
      <c r="A1033" s="11" t="s">
        <v>2712</v>
      </c>
      <c r="B1033" s="11" t="s">
        <v>78</v>
      </c>
      <c r="C1033" s="18">
        <v>46077.0</v>
      </c>
      <c r="D1033" s="11" t="s">
        <v>404</v>
      </c>
      <c r="H1033" s="11" t="s">
        <v>7126</v>
      </c>
      <c r="J1033" s="11" t="s">
        <v>187</v>
      </c>
      <c r="O1033" s="11">
        <v>177.71</v>
      </c>
      <c r="Q1033" s="11" t="b">
        <v>1</v>
      </c>
    </row>
    <row r="1034">
      <c r="A1034" s="11">
        <v>1807.0</v>
      </c>
      <c r="B1034" s="11" t="s">
        <v>78</v>
      </c>
      <c r="C1034" s="18">
        <v>46077.0</v>
      </c>
      <c r="H1034" s="11" t="s">
        <v>681</v>
      </c>
      <c r="J1034" s="11" t="s">
        <v>187</v>
      </c>
      <c r="K1034" s="11" t="s">
        <v>685</v>
      </c>
      <c r="O1034" s="11">
        <v>3498.0</v>
      </c>
      <c r="Q1034" s="11" t="b">
        <v>1</v>
      </c>
    </row>
    <row r="1035">
      <c r="A1035" s="11">
        <v>1808.0</v>
      </c>
      <c r="B1035" s="11" t="s">
        <v>78</v>
      </c>
      <c r="C1035" s="18">
        <v>46077.0</v>
      </c>
      <c r="H1035" s="11" t="s">
        <v>687</v>
      </c>
      <c r="J1035" s="11" t="s">
        <v>187</v>
      </c>
      <c r="K1035" s="11" t="s">
        <v>3675</v>
      </c>
      <c r="O1035" s="11">
        <v>292.0</v>
      </c>
      <c r="Q1035" s="11" t="b">
        <v>1</v>
      </c>
    </row>
    <row r="1036">
      <c r="A1036" s="11">
        <v>1809.0</v>
      </c>
      <c r="B1036" s="11" t="s">
        <v>78</v>
      </c>
      <c r="C1036" s="18">
        <v>46077.0</v>
      </c>
      <c r="H1036" s="11" t="s">
        <v>687</v>
      </c>
      <c r="J1036" s="11" t="s">
        <v>187</v>
      </c>
      <c r="K1036" s="11" t="s">
        <v>704</v>
      </c>
      <c r="O1036" s="11">
        <v>292.0</v>
      </c>
      <c r="Q1036" s="11" t="b">
        <v>1</v>
      </c>
    </row>
    <row r="1037">
      <c r="A1037" s="11">
        <v>1810.0</v>
      </c>
      <c r="B1037" s="11" t="s">
        <v>78</v>
      </c>
      <c r="C1037" s="18">
        <v>46077.0</v>
      </c>
      <c r="D1037" s="11" t="s">
        <v>415</v>
      </c>
      <c r="H1037" s="11" t="s">
        <v>1015</v>
      </c>
      <c r="J1037" s="11" t="s">
        <v>187</v>
      </c>
      <c r="O1037" s="11">
        <v>22.0</v>
      </c>
      <c r="Q1037" s="11" t="b">
        <v>1</v>
      </c>
    </row>
    <row r="1038">
      <c r="A1038" s="11">
        <v>1811.0</v>
      </c>
      <c r="B1038" s="11" t="s">
        <v>78</v>
      </c>
      <c r="C1038" s="18">
        <v>46077.0</v>
      </c>
      <c r="D1038" s="11" t="s">
        <v>415</v>
      </c>
      <c r="H1038" s="11" t="s">
        <v>1022</v>
      </c>
      <c r="J1038" s="11" t="s">
        <v>187</v>
      </c>
      <c r="O1038" s="11">
        <v>10.0</v>
      </c>
      <c r="Q1038" s="11" t="b">
        <v>1</v>
      </c>
    </row>
    <row r="1039">
      <c r="A1039" s="11">
        <v>1812.0</v>
      </c>
      <c r="B1039" s="11" t="s">
        <v>78</v>
      </c>
      <c r="C1039" s="18">
        <v>46077.0</v>
      </c>
      <c r="D1039" s="11" t="s">
        <v>629</v>
      </c>
      <c r="H1039" s="11" t="s">
        <v>633</v>
      </c>
      <c r="J1039" s="11" t="s">
        <v>187</v>
      </c>
      <c r="O1039" s="11">
        <v>3415.57</v>
      </c>
      <c r="Q1039" s="11" t="b">
        <v>1</v>
      </c>
    </row>
    <row r="1040">
      <c r="A1040" s="11" t="s">
        <v>2734</v>
      </c>
      <c r="B1040" s="11" t="s">
        <v>78</v>
      </c>
      <c r="C1040" s="18">
        <v>46077.0</v>
      </c>
      <c r="D1040" s="11" t="s">
        <v>237</v>
      </c>
      <c r="H1040" s="11" t="s">
        <v>7128</v>
      </c>
      <c r="J1040" s="11" t="s">
        <v>187</v>
      </c>
      <c r="O1040" s="11">
        <v>389.56</v>
      </c>
      <c r="Q1040" s="11" t="b">
        <v>1</v>
      </c>
    </row>
    <row r="1041">
      <c r="A1041" s="11" t="s">
        <v>2737</v>
      </c>
      <c r="B1041" s="11" t="s">
        <v>78</v>
      </c>
      <c r="C1041" s="18">
        <v>46077.0</v>
      </c>
      <c r="D1041" s="11" t="s">
        <v>237</v>
      </c>
      <c r="H1041" s="11" t="s">
        <v>7129</v>
      </c>
      <c r="J1041" s="11" t="s">
        <v>187</v>
      </c>
      <c r="O1041" s="11">
        <v>116.0</v>
      </c>
      <c r="Q1041" s="11" t="b">
        <v>1</v>
      </c>
    </row>
    <row r="1042">
      <c r="A1042" s="11" t="s">
        <v>2741</v>
      </c>
      <c r="B1042" s="11" t="s">
        <v>78</v>
      </c>
      <c r="C1042" s="18">
        <v>46077.0</v>
      </c>
      <c r="D1042" s="11" t="s">
        <v>237</v>
      </c>
      <c r="H1042" s="11" t="s">
        <v>7131</v>
      </c>
      <c r="J1042" s="11" t="s">
        <v>187</v>
      </c>
      <c r="O1042" s="11">
        <v>3339.0</v>
      </c>
      <c r="Q1042" s="11" t="b">
        <v>1</v>
      </c>
    </row>
    <row r="1043">
      <c r="A1043" s="11" t="s">
        <v>2743</v>
      </c>
      <c r="B1043" s="11" t="s">
        <v>78</v>
      </c>
      <c r="C1043" s="18">
        <v>46077.0</v>
      </c>
      <c r="D1043" s="11" t="s">
        <v>237</v>
      </c>
      <c r="H1043" s="11" t="s">
        <v>7132</v>
      </c>
      <c r="J1043" s="11" t="s">
        <v>187</v>
      </c>
      <c r="O1043" s="11">
        <v>1950.64</v>
      </c>
      <c r="Q1043" s="11" t="b">
        <v>1</v>
      </c>
    </row>
    <row r="1044">
      <c r="A1044" s="11" t="s">
        <v>2748</v>
      </c>
      <c r="B1044" s="11" t="s">
        <v>78</v>
      </c>
      <c r="C1044" s="18">
        <v>46077.0</v>
      </c>
      <c r="D1044" s="11" t="s">
        <v>237</v>
      </c>
      <c r="H1044" s="11" t="s">
        <v>7133</v>
      </c>
      <c r="J1044" s="11" t="s">
        <v>187</v>
      </c>
      <c r="O1044" s="11">
        <v>70.77</v>
      </c>
      <c r="Q1044" s="11" t="b">
        <v>1</v>
      </c>
    </row>
    <row r="1045">
      <c r="A1045" s="11" t="s">
        <v>4218</v>
      </c>
      <c r="B1045" s="11" t="s">
        <v>78</v>
      </c>
      <c r="C1045" s="18">
        <v>46077.0</v>
      </c>
      <c r="D1045" s="11" t="s">
        <v>237</v>
      </c>
      <c r="E1045" s="11" t="s">
        <v>7135</v>
      </c>
      <c r="G1045" s="11" t="s">
        <v>7136</v>
      </c>
      <c r="H1045" s="11" t="s">
        <v>7137</v>
      </c>
      <c r="I1045" s="11" t="b">
        <v>0</v>
      </c>
      <c r="J1045" s="11" t="s">
        <v>5814</v>
      </c>
      <c r="L1045" s="11" t="s">
        <v>7138</v>
      </c>
      <c r="O1045" s="11">
        <v>11023.72</v>
      </c>
      <c r="Q1045" s="11" t="b">
        <v>1</v>
      </c>
    </row>
    <row r="1046">
      <c r="A1046" s="11" t="s">
        <v>4228</v>
      </c>
      <c r="B1046" s="11" t="s">
        <v>78</v>
      </c>
      <c r="C1046" s="18">
        <v>46077.0</v>
      </c>
      <c r="D1046" s="11" t="s">
        <v>237</v>
      </c>
      <c r="E1046" s="11" t="s">
        <v>7140</v>
      </c>
      <c r="G1046" s="11" t="s">
        <v>7141</v>
      </c>
      <c r="H1046" s="11" t="s">
        <v>7142</v>
      </c>
      <c r="I1046" s="11" t="b">
        <v>0</v>
      </c>
      <c r="J1046" s="11" t="s">
        <v>5814</v>
      </c>
      <c r="O1046" s="11">
        <v>848.9</v>
      </c>
      <c r="Q1046" s="11" t="b">
        <v>1</v>
      </c>
    </row>
    <row r="1047">
      <c r="A1047" s="11">
        <v>3.8392107E7</v>
      </c>
      <c r="B1047" s="11" t="s">
        <v>78</v>
      </c>
      <c r="C1047" s="18">
        <v>46078.0</v>
      </c>
      <c r="D1047" s="11" t="s">
        <v>104</v>
      </c>
      <c r="E1047" s="11" t="s">
        <v>7144</v>
      </c>
      <c r="G1047" s="11" t="s">
        <v>7146</v>
      </c>
      <c r="H1047" s="11" t="s">
        <v>7147</v>
      </c>
      <c r="I1047" s="11" t="b">
        <v>1</v>
      </c>
      <c r="J1047" s="11" t="s">
        <v>5814</v>
      </c>
      <c r="O1047" s="11">
        <v>155.5</v>
      </c>
      <c r="P1047" s="11">
        <v>2023880.0</v>
      </c>
      <c r="Q1047" s="11" t="b">
        <v>1</v>
      </c>
    </row>
    <row r="1048">
      <c r="A1048" s="11" t="s">
        <v>4215</v>
      </c>
      <c r="B1048" s="11" t="s">
        <v>78</v>
      </c>
      <c r="C1048" s="18">
        <v>46075.0</v>
      </c>
      <c r="D1048" s="11" t="s">
        <v>2549</v>
      </c>
      <c r="E1048" s="11" t="s">
        <v>7148</v>
      </c>
      <c r="G1048" s="11" t="s">
        <v>7149</v>
      </c>
      <c r="H1048" s="11" t="s">
        <v>7150</v>
      </c>
      <c r="I1048" s="11" t="b">
        <v>1</v>
      </c>
      <c r="J1048" s="11" t="s">
        <v>5814</v>
      </c>
      <c r="O1048" s="11">
        <v>608.0</v>
      </c>
      <c r="P1048" s="11">
        <v>2019139.0</v>
      </c>
      <c r="Q1048" s="11" t="b">
        <v>1</v>
      </c>
    </row>
    <row r="1049">
      <c r="A1049" s="11" t="s">
        <v>4254</v>
      </c>
      <c r="B1049" s="11" t="s">
        <v>78</v>
      </c>
      <c r="C1049" s="18">
        <v>46078.0</v>
      </c>
      <c r="D1049" s="11" t="s">
        <v>992</v>
      </c>
      <c r="E1049" s="11" t="s">
        <v>7154</v>
      </c>
      <c r="G1049" s="11" t="s">
        <v>7155</v>
      </c>
      <c r="H1049" s="11" t="s">
        <v>6701</v>
      </c>
      <c r="I1049" s="11" t="b">
        <v>1</v>
      </c>
      <c r="J1049" s="11" t="s">
        <v>5814</v>
      </c>
      <c r="O1049" s="11">
        <v>250.0</v>
      </c>
      <c r="P1049" s="11">
        <v>2024262.0</v>
      </c>
      <c r="Q1049" s="11" t="b">
        <v>1</v>
      </c>
    </row>
    <row r="1050">
      <c r="A1050" s="11" t="s">
        <v>2752</v>
      </c>
      <c r="B1050" s="11" t="s">
        <v>78</v>
      </c>
      <c r="C1050" s="18">
        <v>46079.0</v>
      </c>
      <c r="H1050" s="11" t="s">
        <v>783</v>
      </c>
      <c r="J1050" s="11" t="s">
        <v>187</v>
      </c>
      <c r="K1050" s="11" t="s">
        <v>126</v>
      </c>
      <c r="O1050" s="11">
        <v>500.0</v>
      </c>
      <c r="Q1050" s="11" t="b">
        <v>1</v>
      </c>
    </row>
    <row r="1051">
      <c r="A1051" s="11" t="s">
        <v>4259</v>
      </c>
      <c r="B1051" s="11" t="s">
        <v>78</v>
      </c>
      <c r="C1051" s="18">
        <v>46080.0</v>
      </c>
      <c r="D1051" s="11" t="s">
        <v>1627</v>
      </c>
      <c r="E1051" s="11" t="s">
        <v>7158</v>
      </c>
      <c r="G1051" s="11" t="s">
        <v>7159</v>
      </c>
      <c r="H1051" s="11" t="s">
        <v>7160</v>
      </c>
      <c r="I1051" s="11" t="b">
        <v>1</v>
      </c>
      <c r="J1051" s="11" t="s">
        <v>5814</v>
      </c>
      <c r="O1051" s="11">
        <v>11.25</v>
      </c>
      <c r="P1051" s="11">
        <v>2026894.0</v>
      </c>
      <c r="Q1051" s="11" t="b">
        <v>1</v>
      </c>
    </row>
    <row r="1052">
      <c r="A1052" s="11" t="s">
        <v>4263</v>
      </c>
      <c r="B1052" s="11" t="s">
        <v>78</v>
      </c>
      <c r="C1052" s="18">
        <v>46080.0</v>
      </c>
      <c r="D1052" s="11" t="s">
        <v>85</v>
      </c>
      <c r="E1052" s="11" t="s">
        <v>7163</v>
      </c>
      <c r="G1052" s="11" t="s">
        <v>7164</v>
      </c>
      <c r="H1052" s="11" t="s">
        <v>7166</v>
      </c>
      <c r="I1052" s="11" t="b">
        <v>1</v>
      </c>
      <c r="J1052" s="11" t="s">
        <v>5814</v>
      </c>
      <c r="O1052" s="11">
        <v>119.4</v>
      </c>
      <c r="P1052" s="11">
        <v>2026892.0</v>
      </c>
      <c r="Q1052" s="11" t="b">
        <v>1</v>
      </c>
    </row>
    <row r="1053">
      <c r="A1053" s="11" t="s">
        <v>4276</v>
      </c>
      <c r="B1053" s="11" t="s">
        <v>78</v>
      </c>
      <c r="C1053" s="18">
        <v>46080.0</v>
      </c>
      <c r="D1053" s="11" t="s">
        <v>992</v>
      </c>
      <c r="E1053" s="11" t="s">
        <v>7167</v>
      </c>
      <c r="G1053" s="11" t="s">
        <v>7168</v>
      </c>
      <c r="H1053" s="11" t="s">
        <v>7169</v>
      </c>
      <c r="I1053" s="11" t="b">
        <v>1</v>
      </c>
      <c r="J1053" s="11" t="s">
        <v>5814</v>
      </c>
      <c r="O1053" s="11">
        <v>175.0</v>
      </c>
      <c r="P1053" s="11">
        <v>2027144.0</v>
      </c>
      <c r="Q1053" s="11" t="b">
        <v>1</v>
      </c>
    </row>
    <row r="1054">
      <c r="A1054" s="11">
        <v>8.1504939E7</v>
      </c>
      <c r="B1054" s="11" t="s">
        <v>78</v>
      </c>
      <c r="C1054" s="18">
        <v>46080.0</v>
      </c>
      <c r="D1054" s="11" t="s">
        <v>513</v>
      </c>
      <c r="E1054" s="11" t="s">
        <v>7170</v>
      </c>
      <c r="G1054" s="11" t="s">
        <v>7171</v>
      </c>
      <c r="H1054" s="11" t="s">
        <v>7172</v>
      </c>
      <c r="I1054" s="11" t="b">
        <v>1</v>
      </c>
      <c r="J1054" s="11" t="s">
        <v>5814</v>
      </c>
      <c r="O1054" s="11">
        <v>199.5</v>
      </c>
      <c r="P1054" s="11">
        <v>2027120.0</v>
      </c>
      <c r="Q1054" s="11" t="b">
        <v>1</v>
      </c>
    </row>
    <row r="1055">
      <c r="A1055" s="11">
        <v>1813.0</v>
      </c>
      <c r="B1055" s="11" t="s">
        <v>78</v>
      </c>
      <c r="C1055" s="18">
        <v>46083.0</v>
      </c>
      <c r="H1055" s="11" t="s">
        <v>2638</v>
      </c>
      <c r="J1055" s="11" t="s">
        <v>187</v>
      </c>
      <c r="K1055" s="11" t="s">
        <v>225</v>
      </c>
      <c r="O1055" s="11">
        <v>2898.46</v>
      </c>
      <c r="Q1055" s="11" t="b">
        <v>1</v>
      </c>
    </row>
    <row r="1056">
      <c r="A1056" s="11">
        <v>1814.0</v>
      </c>
      <c r="B1056" s="11" t="s">
        <v>78</v>
      </c>
      <c r="C1056" s="18">
        <v>46083.0</v>
      </c>
      <c r="H1056" s="11" t="s">
        <v>2638</v>
      </c>
      <c r="J1056" s="11" t="s">
        <v>187</v>
      </c>
      <c r="K1056" s="11" t="s">
        <v>113</v>
      </c>
      <c r="O1056" s="11">
        <v>1927.64</v>
      </c>
      <c r="Q1056" s="11" t="b">
        <v>1</v>
      </c>
    </row>
    <row r="1057">
      <c r="A1057" s="11">
        <v>1815.0</v>
      </c>
      <c r="B1057" s="11" t="s">
        <v>78</v>
      </c>
      <c r="C1057" s="18">
        <v>46083.0</v>
      </c>
      <c r="H1057" s="11" t="s">
        <v>2638</v>
      </c>
      <c r="J1057" s="11" t="s">
        <v>187</v>
      </c>
      <c r="K1057" s="11" t="s">
        <v>126</v>
      </c>
      <c r="O1057" s="11">
        <v>1404.87</v>
      </c>
      <c r="Q1057" s="11" t="b">
        <v>1</v>
      </c>
    </row>
    <row r="1058">
      <c r="A1058" s="11">
        <v>1816.0</v>
      </c>
      <c r="B1058" s="11" t="s">
        <v>78</v>
      </c>
      <c r="C1058" s="18">
        <v>46083.0</v>
      </c>
      <c r="H1058" s="11" t="s">
        <v>2638</v>
      </c>
      <c r="J1058" s="11" t="s">
        <v>187</v>
      </c>
      <c r="K1058" s="11" t="s">
        <v>3739</v>
      </c>
      <c r="O1058" s="11">
        <v>1976.4</v>
      </c>
      <c r="Q1058" s="11" t="b">
        <v>1</v>
      </c>
    </row>
    <row r="1059">
      <c r="A1059" s="11">
        <v>1817.0</v>
      </c>
      <c r="B1059" s="11" t="s">
        <v>78</v>
      </c>
      <c r="C1059" s="18">
        <v>46083.0</v>
      </c>
      <c r="H1059" s="11" t="s">
        <v>2638</v>
      </c>
      <c r="J1059" s="11" t="s">
        <v>187</v>
      </c>
      <c r="K1059" s="11" t="s">
        <v>145</v>
      </c>
      <c r="O1059" s="11">
        <v>2120.33</v>
      </c>
      <c r="Q1059" s="11" t="b">
        <v>1</v>
      </c>
    </row>
    <row r="1060">
      <c r="A1060" s="11" t="s">
        <v>2775</v>
      </c>
      <c r="B1060" s="11" t="s">
        <v>78</v>
      </c>
      <c r="C1060" s="18">
        <v>46083.0</v>
      </c>
      <c r="D1060" s="11" t="s">
        <v>7175</v>
      </c>
      <c r="H1060" s="11" t="s">
        <v>7176</v>
      </c>
      <c r="J1060" s="11" t="s">
        <v>187</v>
      </c>
      <c r="O1060" s="11">
        <v>150.3</v>
      </c>
      <c r="Q1060" s="11" t="b">
        <v>1</v>
      </c>
    </row>
    <row r="1061">
      <c r="A1061" s="11">
        <v>1829.0</v>
      </c>
      <c r="B1061" s="11" t="s">
        <v>78</v>
      </c>
      <c r="C1061" s="18">
        <v>46083.0</v>
      </c>
      <c r="D1061" s="11" t="s">
        <v>176</v>
      </c>
      <c r="H1061" s="11" t="s">
        <v>1440</v>
      </c>
      <c r="J1061" s="11" t="s">
        <v>187</v>
      </c>
      <c r="O1061" s="11">
        <v>533.95</v>
      </c>
      <c r="Q1061" s="11" t="b">
        <v>1</v>
      </c>
    </row>
    <row r="1062">
      <c r="A1062" s="11">
        <v>1830.0</v>
      </c>
      <c r="B1062" s="11" t="s">
        <v>78</v>
      </c>
      <c r="C1062" s="18">
        <v>46083.0</v>
      </c>
      <c r="D1062" s="11">
        <v>3.6037127E7</v>
      </c>
      <c r="H1062" s="11" t="s">
        <v>2162</v>
      </c>
      <c r="J1062" s="11" t="s">
        <v>187</v>
      </c>
      <c r="O1062" s="11">
        <v>120.0</v>
      </c>
      <c r="Q1062" s="11" t="b">
        <v>1</v>
      </c>
    </row>
    <row r="1063">
      <c r="A1063" s="11">
        <v>1831.0</v>
      </c>
      <c r="B1063" s="11" t="s">
        <v>78</v>
      </c>
      <c r="C1063" s="18">
        <v>46083.0</v>
      </c>
      <c r="D1063" s="11" t="s">
        <v>2509</v>
      </c>
      <c r="H1063" s="11" t="s">
        <v>2638</v>
      </c>
      <c r="J1063" s="11" t="s">
        <v>187</v>
      </c>
      <c r="O1063" s="11">
        <v>130.5</v>
      </c>
      <c r="Q1063" s="11" t="b">
        <v>1</v>
      </c>
    </row>
    <row r="1064">
      <c r="A1064" s="11">
        <v>1834.0</v>
      </c>
      <c r="B1064" s="11" t="s">
        <v>78</v>
      </c>
      <c r="C1064" s="18">
        <v>46083.0</v>
      </c>
      <c r="D1064" s="11" t="s">
        <v>5965</v>
      </c>
      <c r="H1064" s="11" t="s">
        <v>7181</v>
      </c>
      <c r="J1064" s="11" t="s">
        <v>187</v>
      </c>
      <c r="O1064" s="11">
        <v>1886.71</v>
      </c>
      <c r="Q1064" s="11" t="b">
        <v>1</v>
      </c>
    </row>
    <row r="1065">
      <c r="A1065" s="11" t="s">
        <v>2790</v>
      </c>
      <c r="B1065" s="11" t="s">
        <v>78</v>
      </c>
      <c r="C1065" s="18">
        <v>46083.0</v>
      </c>
      <c r="H1065" s="11" t="s">
        <v>7184</v>
      </c>
      <c r="J1065" s="11" t="s">
        <v>187</v>
      </c>
      <c r="K1065" s="11" t="s">
        <v>225</v>
      </c>
      <c r="O1065" s="11">
        <v>100.0</v>
      </c>
      <c r="Q1065" s="11" t="b">
        <v>1</v>
      </c>
    </row>
    <row r="1066">
      <c r="A1066" s="11" t="s">
        <v>2793</v>
      </c>
      <c r="B1066" s="11" t="s">
        <v>78</v>
      </c>
      <c r="C1066" s="18">
        <v>46083.0</v>
      </c>
      <c r="H1066" s="11" t="s">
        <v>7185</v>
      </c>
      <c r="J1066" s="11" t="s">
        <v>187</v>
      </c>
      <c r="K1066" s="11" t="s">
        <v>126</v>
      </c>
      <c r="O1066" s="11">
        <v>100.0</v>
      </c>
      <c r="Q1066" s="11" t="b">
        <v>1</v>
      </c>
    </row>
    <row r="1067">
      <c r="A1067" s="11" t="s">
        <v>2797</v>
      </c>
      <c r="B1067" s="11" t="s">
        <v>78</v>
      </c>
      <c r="C1067" s="18">
        <v>46083.0</v>
      </c>
      <c r="H1067" s="11" t="s">
        <v>7185</v>
      </c>
      <c r="J1067" s="11" t="s">
        <v>187</v>
      </c>
      <c r="K1067" s="11" t="s">
        <v>3739</v>
      </c>
      <c r="O1067" s="11">
        <v>100.0</v>
      </c>
      <c r="Q1067" s="11" t="b">
        <v>1</v>
      </c>
    </row>
    <row r="1068">
      <c r="A1068" s="11" t="s">
        <v>2800</v>
      </c>
      <c r="B1068" s="11" t="s">
        <v>78</v>
      </c>
      <c r="C1068" s="18">
        <v>46083.0</v>
      </c>
      <c r="H1068" s="11" t="s">
        <v>7185</v>
      </c>
      <c r="J1068" s="11" t="s">
        <v>187</v>
      </c>
      <c r="K1068" s="11" t="s">
        <v>145</v>
      </c>
      <c r="O1068" s="11">
        <v>100.0</v>
      </c>
      <c r="Q1068" s="11" t="b">
        <v>1</v>
      </c>
    </row>
    <row r="1069">
      <c r="A1069" s="11" t="s">
        <v>2805</v>
      </c>
      <c r="B1069" s="11" t="s">
        <v>78</v>
      </c>
      <c r="C1069" s="18">
        <v>46083.0</v>
      </c>
      <c r="H1069" s="11" t="s">
        <v>7186</v>
      </c>
      <c r="J1069" s="11" t="s">
        <v>187</v>
      </c>
      <c r="K1069" s="11" t="s">
        <v>113</v>
      </c>
      <c r="O1069" s="11">
        <v>500.0</v>
      </c>
      <c r="Q1069" s="11" t="b">
        <v>1</v>
      </c>
    </row>
    <row r="1070">
      <c r="A1070" s="11" t="s">
        <v>4284</v>
      </c>
      <c r="B1070" s="11" t="s">
        <v>78</v>
      </c>
      <c r="C1070" s="18">
        <v>46080.0</v>
      </c>
      <c r="D1070" s="11" t="s">
        <v>237</v>
      </c>
      <c r="E1070" s="11" t="s">
        <v>7189</v>
      </c>
      <c r="G1070" s="11" t="s">
        <v>7190</v>
      </c>
      <c r="H1070" s="11" t="s">
        <v>7191</v>
      </c>
      <c r="I1070" s="11" t="b">
        <v>0</v>
      </c>
      <c r="J1070" s="11" t="s">
        <v>5814</v>
      </c>
      <c r="L1070" s="11" t="s">
        <v>7192</v>
      </c>
      <c r="M1070" s="11" t="s">
        <v>7193</v>
      </c>
      <c r="O1070" s="11">
        <v>6394.3</v>
      </c>
      <c r="Q1070" s="11" t="b">
        <v>1</v>
      </c>
    </row>
    <row r="1071">
      <c r="A1071" s="11" t="s">
        <v>4297</v>
      </c>
      <c r="B1071" s="11" t="s">
        <v>78</v>
      </c>
      <c r="C1071" s="18">
        <v>46080.0</v>
      </c>
      <c r="D1071" s="11" t="s">
        <v>237</v>
      </c>
      <c r="E1071" s="11" t="s">
        <v>7194</v>
      </c>
      <c r="G1071" s="11" t="s">
        <v>7195</v>
      </c>
      <c r="H1071" s="11" t="s">
        <v>7196</v>
      </c>
      <c r="I1071" s="11" t="b">
        <v>0</v>
      </c>
      <c r="J1071" s="11" t="s">
        <v>5814</v>
      </c>
      <c r="M1071" s="11" t="s">
        <v>7197</v>
      </c>
      <c r="O1071" s="11">
        <v>6803.54</v>
      </c>
      <c r="Q1071" s="11" t="b">
        <v>1</v>
      </c>
    </row>
    <row r="1072">
      <c r="A1072" s="11" t="s">
        <v>4320</v>
      </c>
      <c r="B1072" s="11" t="s">
        <v>78</v>
      </c>
      <c r="C1072" s="18">
        <v>46085.0</v>
      </c>
      <c r="D1072" s="11" t="s">
        <v>992</v>
      </c>
      <c r="E1072" s="11" t="s">
        <v>7198</v>
      </c>
      <c r="G1072" s="11" t="s">
        <v>7199</v>
      </c>
      <c r="H1072" s="11" t="s">
        <v>7200</v>
      </c>
      <c r="I1072" s="11" t="b">
        <v>1</v>
      </c>
      <c r="J1072" s="11" t="s">
        <v>5814</v>
      </c>
      <c r="O1072" s="11">
        <v>125.0</v>
      </c>
      <c r="P1072" s="11">
        <v>2038796.0</v>
      </c>
      <c r="Q1072" s="11" t="b">
        <v>1</v>
      </c>
    </row>
    <row r="1073">
      <c r="A1073" s="11" t="s">
        <v>4308</v>
      </c>
      <c r="B1073" s="11" t="s">
        <v>78</v>
      </c>
      <c r="C1073" s="18">
        <v>46082.0</v>
      </c>
      <c r="D1073" s="11" t="s">
        <v>2549</v>
      </c>
      <c r="E1073" s="11" t="s">
        <v>7201</v>
      </c>
      <c r="G1073" s="11" t="s">
        <v>7203</v>
      </c>
      <c r="H1073" s="11" t="s">
        <v>7204</v>
      </c>
      <c r="I1073" s="11" t="b">
        <v>1</v>
      </c>
      <c r="J1073" s="11" t="s">
        <v>5814</v>
      </c>
      <c r="O1073" s="11">
        <v>642.0</v>
      </c>
      <c r="P1073" s="11">
        <v>2032848.0</v>
      </c>
      <c r="Q1073" s="11" t="b">
        <v>1</v>
      </c>
    </row>
    <row r="1074">
      <c r="A1074" s="11" t="s">
        <v>4325</v>
      </c>
      <c r="B1074" s="11" t="s">
        <v>78</v>
      </c>
      <c r="C1074" s="18">
        <v>46085.0</v>
      </c>
      <c r="D1074" s="11" t="s">
        <v>7206</v>
      </c>
      <c r="E1074" s="11" t="s">
        <v>7207</v>
      </c>
      <c r="G1074" s="11" t="s">
        <v>7209</v>
      </c>
      <c r="H1074" s="11" t="s">
        <v>7210</v>
      </c>
      <c r="I1074" s="11" t="b">
        <v>1</v>
      </c>
      <c r="J1074" s="11" t="s">
        <v>5814</v>
      </c>
      <c r="O1074" s="11">
        <v>12.0</v>
      </c>
      <c r="P1074" s="11">
        <v>2038822.0</v>
      </c>
      <c r="Q1074" s="11" t="b">
        <v>1</v>
      </c>
    </row>
    <row r="1075">
      <c r="A1075" s="11" t="s">
        <v>4331</v>
      </c>
      <c r="B1075" s="11" t="s">
        <v>78</v>
      </c>
      <c r="C1075" s="18">
        <v>46085.0</v>
      </c>
      <c r="D1075" s="11" t="s">
        <v>116</v>
      </c>
      <c r="E1075" s="11" t="s">
        <v>7211</v>
      </c>
      <c r="G1075" s="11" t="s">
        <v>7212</v>
      </c>
      <c r="H1075" s="11" t="s">
        <v>7213</v>
      </c>
      <c r="I1075" s="11" t="b">
        <v>1</v>
      </c>
      <c r="J1075" s="11" t="s">
        <v>5814</v>
      </c>
      <c r="O1075" s="11">
        <v>56.48</v>
      </c>
      <c r="P1075" s="11">
        <v>2038818.0</v>
      </c>
      <c r="Q1075" s="11" t="b">
        <v>1</v>
      </c>
    </row>
    <row r="1076">
      <c r="A1076" s="11" t="s">
        <v>4341</v>
      </c>
      <c r="B1076" s="11" t="s">
        <v>78</v>
      </c>
      <c r="C1076" s="18">
        <v>46085.0</v>
      </c>
      <c r="D1076" s="11" t="s">
        <v>7065</v>
      </c>
      <c r="E1076" s="11" t="s">
        <v>7215</v>
      </c>
      <c r="G1076" s="11" t="s">
        <v>7216</v>
      </c>
      <c r="H1076" s="11" t="s">
        <v>7217</v>
      </c>
      <c r="I1076" s="11" t="b">
        <v>1</v>
      </c>
      <c r="J1076" s="11" t="s">
        <v>5814</v>
      </c>
      <c r="O1076" s="11">
        <v>4.6</v>
      </c>
      <c r="P1076" s="11">
        <v>2038811.0</v>
      </c>
      <c r="Q1076" s="11" t="b">
        <v>1</v>
      </c>
    </row>
    <row r="1077">
      <c r="A1077" s="11" t="s">
        <v>2810</v>
      </c>
      <c r="B1077" s="11" t="s">
        <v>78</v>
      </c>
      <c r="C1077" s="18">
        <v>46085.0</v>
      </c>
      <c r="D1077" s="11" t="s">
        <v>4510</v>
      </c>
      <c r="H1077" s="11" t="s">
        <v>7220</v>
      </c>
      <c r="J1077" s="11" t="s">
        <v>187</v>
      </c>
      <c r="O1077" s="11">
        <v>1241.33</v>
      </c>
      <c r="Q1077" s="11" t="b">
        <v>1</v>
      </c>
    </row>
    <row r="1078">
      <c r="A1078" s="11" t="s">
        <v>5440</v>
      </c>
      <c r="B1078" s="11" t="s">
        <v>78</v>
      </c>
      <c r="C1078" s="18">
        <v>46086.0</v>
      </c>
      <c r="D1078" s="11" t="s">
        <v>7221</v>
      </c>
      <c r="E1078" s="11" t="s">
        <v>7222</v>
      </c>
      <c r="G1078" s="11" t="s">
        <v>7223</v>
      </c>
      <c r="H1078" s="11" t="s">
        <v>7224</v>
      </c>
      <c r="I1078" s="11" t="b">
        <v>1</v>
      </c>
      <c r="J1078" s="11" t="s">
        <v>5814</v>
      </c>
      <c r="O1078" s="11">
        <v>500.0</v>
      </c>
      <c r="P1078" s="11">
        <v>2040368.0</v>
      </c>
      <c r="Q1078" s="11" t="b">
        <v>1</v>
      </c>
    </row>
    <row r="1079">
      <c r="A1079" s="11" t="s">
        <v>4312</v>
      </c>
      <c r="B1079" s="11" t="s">
        <v>78</v>
      </c>
      <c r="C1079" s="18">
        <v>46083.0</v>
      </c>
      <c r="D1079" s="11" t="s">
        <v>104</v>
      </c>
      <c r="E1079" s="11" t="s">
        <v>7225</v>
      </c>
      <c r="G1079" s="11" t="s">
        <v>7226</v>
      </c>
      <c r="H1079" s="11" t="s">
        <v>7227</v>
      </c>
      <c r="I1079" s="11" t="b">
        <v>1</v>
      </c>
      <c r="J1079" s="11" t="s">
        <v>5814</v>
      </c>
      <c r="O1079" s="11">
        <v>188.6</v>
      </c>
      <c r="P1079" s="11">
        <v>2040339.0</v>
      </c>
      <c r="Q1079" s="11" t="b">
        <v>1</v>
      </c>
    </row>
    <row r="1080">
      <c r="A1080" s="11" t="s">
        <v>4346</v>
      </c>
      <c r="B1080" s="11" t="s">
        <v>78</v>
      </c>
      <c r="C1080" s="18">
        <v>46087.0</v>
      </c>
      <c r="D1080" s="11" t="s">
        <v>104</v>
      </c>
      <c r="E1080" s="11" t="s">
        <v>7229</v>
      </c>
      <c r="G1080" s="11" t="s">
        <v>7230</v>
      </c>
      <c r="H1080" s="11" t="s">
        <v>7231</v>
      </c>
      <c r="I1080" s="11" t="b">
        <v>1</v>
      </c>
      <c r="J1080" s="11" t="s">
        <v>5814</v>
      </c>
      <c r="O1080" s="11">
        <v>197.34</v>
      </c>
      <c r="P1080" s="11">
        <v>2042616.0</v>
      </c>
      <c r="Q1080" s="11" t="b">
        <v>1</v>
      </c>
    </row>
    <row r="1081">
      <c r="A1081" s="11" t="s">
        <v>4358</v>
      </c>
      <c r="B1081" s="11" t="s">
        <v>78</v>
      </c>
      <c r="C1081" s="18">
        <v>46087.0</v>
      </c>
      <c r="D1081" s="11" t="s">
        <v>992</v>
      </c>
      <c r="E1081" s="11" t="s">
        <v>7233</v>
      </c>
      <c r="G1081" s="11" t="s">
        <v>7234</v>
      </c>
      <c r="H1081" s="11" t="s">
        <v>7235</v>
      </c>
      <c r="I1081" s="11" t="b">
        <v>1</v>
      </c>
      <c r="J1081" s="11" t="s">
        <v>5814</v>
      </c>
      <c r="O1081" s="11">
        <v>250.0</v>
      </c>
      <c r="P1081" s="11">
        <v>2042606.0</v>
      </c>
      <c r="Q1081" s="11" t="b">
        <v>1</v>
      </c>
    </row>
    <row r="1082">
      <c r="A1082" s="11" t="s">
        <v>4373</v>
      </c>
      <c r="B1082" s="11" t="s">
        <v>78</v>
      </c>
      <c r="C1082" s="18">
        <v>46090.0</v>
      </c>
      <c r="D1082" s="11" t="s">
        <v>2549</v>
      </c>
      <c r="E1082" s="11" t="s">
        <v>7236</v>
      </c>
      <c r="G1082" s="11" t="s">
        <v>7237</v>
      </c>
      <c r="H1082" s="11" t="s">
        <v>7238</v>
      </c>
      <c r="I1082" s="11" t="b">
        <v>1</v>
      </c>
      <c r="J1082" s="11" t="s">
        <v>5814</v>
      </c>
      <c r="O1082" s="11">
        <v>786.0</v>
      </c>
      <c r="P1082" s="11">
        <v>2050186.0</v>
      </c>
      <c r="Q1082" s="11" t="b">
        <v>1</v>
      </c>
    </row>
    <row r="1083">
      <c r="A1083" s="11">
        <v>1832.0</v>
      </c>
      <c r="B1083" s="11" t="s">
        <v>78</v>
      </c>
      <c r="C1083" s="18">
        <v>46090.0</v>
      </c>
      <c r="D1083" s="11" t="s">
        <v>1676</v>
      </c>
      <c r="H1083" s="11" t="s">
        <v>2802</v>
      </c>
      <c r="J1083" s="11" t="s">
        <v>187</v>
      </c>
      <c r="O1083" s="11">
        <v>1410.94</v>
      </c>
      <c r="Q1083" s="11" t="b">
        <v>1</v>
      </c>
    </row>
    <row r="1084">
      <c r="A1084" s="11">
        <v>1833.0</v>
      </c>
      <c r="B1084" s="11" t="s">
        <v>78</v>
      </c>
      <c r="C1084" s="18">
        <v>46090.0</v>
      </c>
      <c r="D1084" s="11" t="s">
        <v>2535</v>
      </c>
      <c r="H1084" s="11" t="s">
        <v>2638</v>
      </c>
      <c r="J1084" s="11" t="s">
        <v>187</v>
      </c>
      <c r="O1084" s="11">
        <v>60.01</v>
      </c>
      <c r="Q1084" s="11" t="b">
        <v>1</v>
      </c>
    </row>
    <row r="1085">
      <c r="A1085" s="11">
        <v>1851.0</v>
      </c>
      <c r="B1085" s="11" t="s">
        <v>78</v>
      </c>
      <c r="C1085" s="18">
        <v>46090.0</v>
      </c>
      <c r="D1085" s="11" t="s">
        <v>1046</v>
      </c>
      <c r="H1085" s="11" t="s">
        <v>7244</v>
      </c>
      <c r="J1085" s="11" t="s">
        <v>213</v>
      </c>
      <c r="O1085" s="11">
        <v>0.0</v>
      </c>
      <c r="Q1085" s="11" t="b">
        <v>1</v>
      </c>
    </row>
    <row r="1086">
      <c r="A1086" s="11" t="s">
        <v>2821</v>
      </c>
      <c r="B1086" s="11" t="s">
        <v>78</v>
      </c>
      <c r="C1086" s="18">
        <v>46090.0</v>
      </c>
      <c r="D1086" s="11" t="s">
        <v>7245</v>
      </c>
      <c r="H1086" s="11" t="s">
        <v>7246</v>
      </c>
      <c r="J1086" s="11" t="s">
        <v>235</v>
      </c>
      <c r="O1086" s="11">
        <v>119.7</v>
      </c>
      <c r="Q1086" s="11" t="b">
        <v>1</v>
      </c>
    </row>
    <row r="1087">
      <c r="A1087" s="11" t="s">
        <v>2826</v>
      </c>
      <c r="B1087" s="11" t="s">
        <v>78</v>
      </c>
      <c r="C1087" s="18">
        <v>46088.0</v>
      </c>
      <c r="D1087" s="11" t="s">
        <v>228</v>
      </c>
      <c r="H1087" s="11" t="s">
        <v>3158</v>
      </c>
      <c r="J1087" s="11" t="s">
        <v>235</v>
      </c>
      <c r="O1087" s="11">
        <v>335.9</v>
      </c>
      <c r="Q1087" s="11" t="b">
        <v>1</v>
      </c>
    </row>
    <row r="1088">
      <c r="A1088" s="11" t="s">
        <v>2830</v>
      </c>
      <c r="B1088" s="11" t="s">
        <v>78</v>
      </c>
      <c r="C1088" s="18">
        <v>46090.0</v>
      </c>
      <c r="D1088" s="11" t="s">
        <v>7248</v>
      </c>
      <c r="H1088" s="11" t="s">
        <v>1693</v>
      </c>
      <c r="J1088" s="11" t="s">
        <v>235</v>
      </c>
      <c r="O1088" s="11">
        <v>178.0</v>
      </c>
      <c r="Q1088" s="11" t="b">
        <v>1</v>
      </c>
    </row>
    <row r="1089">
      <c r="A1089" s="11" t="s">
        <v>4361</v>
      </c>
      <c r="B1089" s="11" t="s">
        <v>78</v>
      </c>
      <c r="C1089" s="18">
        <v>46088.0</v>
      </c>
      <c r="D1089" s="11" t="s">
        <v>1251</v>
      </c>
      <c r="E1089" s="11" t="s">
        <v>7250</v>
      </c>
      <c r="G1089" s="11" t="s">
        <v>7251</v>
      </c>
      <c r="H1089" s="11" t="s">
        <v>3193</v>
      </c>
      <c r="I1089" s="11" t="b">
        <v>1</v>
      </c>
      <c r="J1089" s="11" t="s">
        <v>5814</v>
      </c>
      <c r="O1089" s="11">
        <v>48.91</v>
      </c>
      <c r="P1089" s="11">
        <v>2051694.0</v>
      </c>
      <c r="Q1089" s="11" t="b">
        <v>1</v>
      </c>
    </row>
    <row r="1090">
      <c r="A1090" s="11" t="s">
        <v>2833</v>
      </c>
      <c r="B1090" s="11" t="s">
        <v>78</v>
      </c>
      <c r="C1090" s="18">
        <v>46091.0</v>
      </c>
      <c r="D1090" s="11" t="s">
        <v>1567</v>
      </c>
      <c r="H1090" s="11" t="s">
        <v>6479</v>
      </c>
      <c r="J1090" s="11" t="s">
        <v>213</v>
      </c>
      <c r="O1090" s="11">
        <v>609.16</v>
      </c>
      <c r="Q1090" s="11" t="b">
        <v>1</v>
      </c>
    </row>
    <row r="1091">
      <c r="A1091" s="11">
        <v>1847.0</v>
      </c>
      <c r="B1091" s="11" t="s">
        <v>78</v>
      </c>
      <c r="C1091" s="18">
        <v>46091.0</v>
      </c>
      <c r="D1091" s="11" t="s">
        <v>192</v>
      </c>
      <c r="H1091" s="11" t="s">
        <v>195</v>
      </c>
      <c r="J1091" s="11" t="s">
        <v>213</v>
      </c>
      <c r="O1091" s="11">
        <v>2500.0</v>
      </c>
      <c r="Q1091" s="11" t="b">
        <v>1</v>
      </c>
    </row>
    <row r="1092">
      <c r="A1092" s="11">
        <v>1848.0</v>
      </c>
      <c r="B1092" s="11" t="s">
        <v>78</v>
      </c>
      <c r="C1092" s="18">
        <v>46091.0</v>
      </c>
      <c r="D1092" s="11" t="s">
        <v>1217</v>
      </c>
      <c r="H1092" s="11" t="s">
        <v>1218</v>
      </c>
      <c r="J1092" s="11" t="s">
        <v>213</v>
      </c>
      <c r="O1092" s="11">
        <v>131.9</v>
      </c>
      <c r="Q1092" s="11" t="b">
        <v>1</v>
      </c>
    </row>
    <row r="1093">
      <c r="A1093" s="11">
        <v>1849.0</v>
      </c>
      <c r="B1093" s="11" t="s">
        <v>78</v>
      </c>
      <c r="C1093" s="18">
        <v>46091.0</v>
      </c>
      <c r="D1093" s="11" t="s">
        <v>415</v>
      </c>
      <c r="H1093" s="11" t="s">
        <v>7255</v>
      </c>
      <c r="J1093" s="11" t="s">
        <v>213</v>
      </c>
      <c r="O1093" s="11">
        <v>121.9</v>
      </c>
      <c r="Q1093" s="11" t="b">
        <v>1</v>
      </c>
    </row>
    <row r="1094">
      <c r="A1094" s="11" t="s">
        <v>2847</v>
      </c>
      <c r="B1094" s="11" t="s">
        <v>78</v>
      </c>
      <c r="C1094" s="18">
        <v>46091.0</v>
      </c>
      <c r="D1094" s="11" t="s">
        <v>237</v>
      </c>
      <c r="H1094" s="11" t="s">
        <v>7257</v>
      </c>
      <c r="J1094" s="11" t="s">
        <v>213</v>
      </c>
      <c r="O1094" s="11">
        <v>1386.67</v>
      </c>
      <c r="Q1094" s="11" t="b">
        <v>1</v>
      </c>
    </row>
    <row r="1095">
      <c r="A1095" s="11" t="s">
        <v>2852</v>
      </c>
      <c r="B1095" s="11" t="s">
        <v>78</v>
      </c>
      <c r="C1095" s="18">
        <v>46091.0</v>
      </c>
      <c r="D1095" s="11" t="s">
        <v>7258</v>
      </c>
      <c r="H1095" s="11" t="s">
        <v>7259</v>
      </c>
      <c r="J1095" s="11" t="s">
        <v>235</v>
      </c>
      <c r="O1095" s="11">
        <v>390.0</v>
      </c>
      <c r="Q1095" s="11" t="b">
        <v>1</v>
      </c>
    </row>
    <row r="1096">
      <c r="A1096" s="11" t="s">
        <v>4386</v>
      </c>
      <c r="B1096" s="11" t="s">
        <v>78</v>
      </c>
      <c r="C1096" s="18">
        <v>46092.0</v>
      </c>
      <c r="D1096" s="11" t="s">
        <v>7260</v>
      </c>
      <c r="E1096" s="11" t="s">
        <v>7261</v>
      </c>
      <c r="G1096" s="11" t="s">
        <v>7262</v>
      </c>
      <c r="H1096" s="11" t="s">
        <v>7263</v>
      </c>
      <c r="I1096" s="11" t="b">
        <v>0</v>
      </c>
      <c r="J1096" s="11" t="s">
        <v>5814</v>
      </c>
      <c r="L1096" s="11" t="s">
        <v>7264</v>
      </c>
      <c r="O1096" s="11">
        <v>2203.13</v>
      </c>
      <c r="Q1096" s="11" t="b">
        <v>1</v>
      </c>
    </row>
    <row r="1097">
      <c r="A1097" s="11" t="s">
        <v>4396</v>
      </c>
      <c r="B1097" s="11" t="s">
        <v>78</v>
      </c>
      <c r="C1097" s="18">
        <v>46092.0</v>
      </c>
      <c r="D1097" s="11" t="s">
        <v>237</v>
      </c>
      <c r="E1097" s="11" t="s">
        <v>7266</v>
      </c>
      <c r="G1097" s="11" t="s">
        <v>7267</v>
      </c>
      <c r="H1097" s="11" t="s">
        <v>7268</v>
      </c>
      <c r="I1097" s="11" t="b">
        <v>0</v>
      </c>
      <c r="J1097" s="11" t="s">
        <v>5814</v>
      </c>
      <c r="L1097" s="11" t="s">
        <v>7269</v>
      </c>
      <c r="O1097" s="11">
        <v>6803.54</v>
      </c>
      <c r="Q1097" s="11" t="b">
        <v>1</v>
      </c>
    </row>
    <row r="1098">
      <c r="A1098" s="11" t="s">
        <v>4435</v>
      </c>
      <c r="B1098" s="11" t="s">
        <v>78</v>
      </c>
      <c r="C1098" s="18">
        <v>46095.0</v>
      </c>
      <c r="D1098" s="11" t="s">
        <v>85</v>
      </c>
      <c r="E1098" s="11" t="s">
        <v>7272</v>
      </c>
      <c r="G1098" s="11" t="s">
        <v>7273</v>
      </c>
      <c r="H1098" s="11" t="s">
        <v>7274</v>
      </c>
      <c r="I1098" s="11" t="b">
        <v>1</v>
      </c>
      <c r="J1098" s="11" t="s">
        <v>5814</v>
      </c>
      <c r="O1098" s="11">
        <v>77.73</v>
      </c>
      <c r="P1098" s="11">
        <v>2059592.0</v>
      </c>
      <c r="Q1098" s="11" t="b">
        <v>1</v>
      </c>
    </row>
    <row r="1099">
      <c r="A1099" s="11" t="s">
        <v>4410</v>
      </c>
      <c r="B1099" s="11" t="s">
        <v>78</v>
      </c>
      <c r="C1099" s="18">
        <v>46094.0</v>
      </c>
      <c r="D1099" s="11" t="s">
        <v>104</v>
      </c>
      <c r="E1099" s="11" t="s">
        <v>7275</v>
      </c>
      <c r="G1099" s="11" t="s">
        <v>7276</v>
      </c>
      <c r="H1099" s="11" t="s">
        <v>7277</v>
      </c>
      <c r="I1099" s="11" t="b">
        <v>1</v>
      </c>
      <c r="J1099" s="11" t="s">
        <v>5814</v>
      </c>
      <c r="O1099" s="11">
        <v>194.15</v>
      </c>
      <c r="P1099" s="11">
        <v>2056684.0</v>
      </c>
      <c r="Q1099" s="11" t="b">
        <v>1</v>
      </c>
    </row>
    <row r="1100">
      <c r="A1100" s="11" t="s">
        <v>4452</v>
      </c>
      <c r="B1100" s="11" t="s">
        <v>78</v>
      </c>
      <c r="C1100" s="18">
        <v>46097.0</v>
      </c>
      <c r="D1100" s="11" t="s">
        <v>104</v>
      </c>
      <c r="E1100" s="11" t="s">
        <v>7278</v>
      </c>
      <c r="G1100" s="11" t="s">
        <v>7279</v>
      </c>
      <c r="H1100" s="11" t="s">
        <v>7280</v>
      </c>
      <c r="I1100" s="11" t="b">
        <v>1</v>
      </c>
      <c r="J1100" s="11" t="s">
        <v>5814</v>
      </c>
      <c r="O1100" s="11">
        <v>207.13</v>
      </c>
      <c r="P1100" s="11">
        <v>2064160.0</v>
      </c>
      <c r="Q1100" s="11" t="b">
        <v>1</v>
      </c>
    </row>
    <row r="1101">
      <c r="A1101" s="11" t="s">
        <v>4424</v>
      </c>
      <c r="B1101" s="11" t="s">
        <v>78</v>
      </c>
      <c r="C1101" s="18">
        <v>46094.0</v>
      </c>
      <c r="D1101" s="11" t="s">
        <v>992</v>
      </c>
      <c r="E1101" s="11" t="s">
        <v>7281</v>
      </c>
      <c r="G1101" s="11" t="s">
        <v>7282</v>
      </c>
      <c r="H1101" s="11" t="s">
        <v>4642</v>
      </c>
      <c r="I1101" s="11" t="b">
        <v>1</v>
      </c>
      <c r="J1101" s="11" t="s">
        <v>5814</v>
      </c>
      <c r="O1101" s="11">
        <v>200.0</v>
      </c>
      <c r="P1101" s="11">
        <v>2056332.0</v>
      </c>
      <c r="Q1101" s="11" t="b">
        <v>1</v>
      </c>
    </row>
    <row r="1102">
      <c r="A1102" s="11" t="s">
        <v>4471</v>
      </c>
      <c r="B1102" s="11" t="s">
        <v>78</v>
      </c>
      <c r="C1102" s="18">
        <v>46097.0</v>
      </c>
      <c r="D1102" s="11" t="s">
        <v>2549</v>
      </c>
      <c r="E1102" s="11" t="s">
        <v>7285</v>
      </c>
      <c r="G1102" s="11" t="s">
        <v>7286</v>
      </c>
      <c r="H1102" s="11" t="s">
        <v>7287</v>
      </c>
      <c r="I1102" s="11" t="b">
        <v>1</v>
      </c>
      <c r="J1102" s="11" t="s">
        <v>5814</v>
      </c>
      <c r="O1102" s="11">
        <v>750.0</v>
      </c>
      <c r="P1102" s="11">
        <v>2064121.0</v>
      </c>
      <c r="Q1102" s="11" t="b">
        <v>1</v>
      </c>
    </row>
    <row r="1103">
      <c r="A1103" s="11" t="s">
        <v>4475</v>
      </c>
      <c r="B1103" s="11" t="s">
        <v>78</v>
      </c>
      <c r="C1103" s="18">
        <v>46097.0</v>
      </c>
      <c r="D1103" s="11" t="s">
        <v>992</v>
      </c>
      <c r="E1103" s="11" t="s">
        <v>7289</v>
      </c>
      <c r="G1103" s="11" t="s">
        <v>7290</v>
      </c>
      <c r="H1103" s="11" t="s">
        <v>2909</v>
      </c>
      <c r="I1103" s="11" t="b">
        <v>1</v>
      </c>
      <c r="J1103" s="11" t="s">
        <v>5814</v>
      </c>
      <c r="O1103" s="11">
        <v>250.0</v>
      </c>
      <c r="P1103" s="11">
        <v>2064277.0</v>
      </c>
      <c r="Q1103" s="11" t="b">
        <v>1</v>
      </c>
    </row>
    <row r="1104">
      <c r="A1104" s="11" t="s">
        <v>4430</v>
      </c>
      <c r="B1104" s="11" t="s">
        <v>78</v>
      </c>
      <c r="C1104" s="18">
        <v>46094.0</v>
      </c>
      <c r="D1104" s="11" t="s">
        <v>817</v>
      </c>
      <c r="E1104" s="11" t="s">
        <v>7291</v>
      </c>
      <c r="G1104" s="11" t="s">
        <v>7292</v>
      </c>
      <c r="H1104" s="11" t="s">
        <v>7293</v>
      </c>
      <c r="I1104" s="11" t="b">
        <v>0</v>
      </c>
      <c r="J1104" s="11" t="s">
        <v>5814</v>
      </c>
      <c r="O1104" s="11">
        <v>638.69</v>
      </c>
      <c r="Q1104" s="11" t="b">
        <v>1</v>
      </c>
    </row>
    <row r="1105">
      <c r="A1105" s="11" t="s">
        <v>4378</v>
      </c>
      <c r="B1105" s="11" t="s">
        <v>78</v>
      </c>
      <c r="C1105" s="18">
        <v>46090.0</v>
      </c>
      <c r="D1105" s="11" t="s">
        <v>237</v>
      </c>
      <c r="E1105" s="11" t="s">
        <v>7296</v>
      </c>
      <c r="G1105" s="11" t="s">
        <v>7297</v>
      </c>
      <c r="H1105" s="11" t="s">
        <v>7298</v>
      </c>
      <c r="I1105" s="11" t="b">
        <v>0</v>
      </c>
      <c r="J1105" s="11" t="s">
        <v>5814</v>
      </c>
      <c r="O1105" s="11">
        <v>2339.03</v>
      </c>
      <c r="Q1105" s="11" t="b">
        <v>1</v>
      </c>
    </row>
    <row r="1106">
      <c r="A1106" s="11" t="s">
        <v>2858</v>
      </c>
      <c r="B1106" s="11" t="s">
        <v>78</v>
      </c>
      <c r="C1106" s="18">
        <v>46097.0</v>
      </c>
      <c r="D1106" s="11" t="s">
        <v>237</v>
      </c>
      <c r="H1106" s="11" t="s">
        <v>7302</v>
      </c>
      <c r="J1106" s="11" t="s">
        <v>213</v>
      </c>
      <c r="O1106" s="11">
        <v>2348.98</v>
      </c>
      <c r="Q1106" s="11" t="b">
        <v>1</v>
      </c>
    </row>
    <row r="1107">
      <c r="A1107" s="11" t="s">
        <v>2862</v>
      </c>
      <c r="B1107" s="11" t="s">
        <v>78</v>
      </c>
      <c r="C1107" s="18">
        <v>46097.0</v>
      </c>
      <c r="D1107" s="11" t="s">
        <v>237</v>
      </c>
      <c r="H1107" s="11" t="s">
        <v>7303</v>
      </c>
      <c r="J1107" s="11" t="s">
        <v>213</v>
      </c>
      <c r="O1107" s="11">
        <v>146.65</v>
      </c>
      <c r="Q1107" s="11" t="b">
        <v>1</v>
      </c>
    </row>
    <row r="1108">
      <c r="A1108" s="11">
        <v>1855.0</v>
      </c>
      <c r="B1108" s="11" t="s">
        <v>78</v>
      </c>
      <c r="C1108" s="18">
        <v>46097.0</v>
      </c>
      <c r="D1108" s="11" t="s">
        <v>1046</v>
      </c>
      <c r="H1108" s="11" t="s">
        <v>1557</v>
      </c>
      <c r="J1108" s="11" t="s">
        <v>213</v>
      </c>
      <c r="O1108" s="11">
        <v>7333.34</v>
      </c>
      <c r="Q1108" s="11" t="b">
        <v>1</v>
      </c>
    </row>
    <row r="1109">
      <c r="A1109" s="11">
        <v>1856.0</v>
      </c>
      <c r="B1109" s="11" t="s">
        <v>78</v>
      </c>
      <c r="C1109" s="18">
        <v>46097.0</v>
      </c>
      <c r="D1109" s="11" t="s">
        <v>1046</v>
      </c>
      <c r="H1109" s="11" t="s">
        <v>2638</v>
      </c>
      <c r="J1109" s="11" t="s">
        <v>213</v>
      </c>
      <c r="O1109" s="11">
        <v>871.79</v>
      </c>
      <c r="Q1109" s="11" t="b">
        <v>1</v>
      </c>
    </row>
    <row r="1110">
      <c r="A1110" s="11" t="s">
        <v>2873</v>
      </c>
      <c r="B1110" s="11" t="s">
        <v>78</v>
      </c>
      <c r="C1110" s="18">
        <v>46097.0</v>
      </c>
      <c r="D1110" s="11" t="s">
        <v>237</v>
      </c>
      <c r="H1110" s="11" t="s">
        <v>7307</v>
      </c>
      <c r="J1110" s="11" t="s">
        <v>213</v>
      </c>
      <c r="O1110" s="11">
        <v>507.24</v>
      </c>
      <c r="Q1110" s="11" t="b">
        <v>1</v>
      </c>
    </row>
    <row r="1111">
      <c r="A1111" s="11" t="s">
        <v>2878</v>
      </c>
      <c r="B1111" s="11" t="s">
        <v>78</v>
      </c>
      <c r="C1111" s="18">
        <v>46097.0</v>
      </c>
      <c r="D1111" s="11" t="s">
        <v>237</v>
      </c>
      <c r="H1111" s="11" t="s">
        <v>7308</v>
      </c>
      <c r="J1111" s="11" t="s">
        <v>213</v>
      </c>
      <c r="O1111" s="11">
        <v>3.6</v>
      </c>
      <c r="Q1111" s="11" t="b">
        <v>1</v>
      </c>
    </row>
    <row r="1112">
      <c r="A1112" s="11" t="s">
        <v>4480</v>
      </c>
      <c r="B1112" s="11" t="s">
        <v>78</v>
      </c>
      <c r="C1112" s="18">
        <v>46098.0</v>
      </c>
      <c r="D1112" s="11" t="s">
        <v>6438</v>
      </c>
      <c r="E1112" s="11" t="s">
        <v>7311</v>
      </c>
      <c r="G1112" s="11" t="s">
        <v>7312</v>
      </c>
      <c r="H1112" s="11" t="s">
        <v>7313</v>
      </c>
      <c r="I1112" s="11" t="b">
        <v>1</v>
      </c>
      <c r="J1112" s="11" t="s">
        <v>5814</v>
      </c>
      <c r="O1112" s="11">
        <v>211.0</v>
      </c>
      <c r="P1112" s="11">
        <v>2066612.0</v>
      </c>
      <c r="Q1112" s="11" t="b">
        <v>1</v>
      </c>
    </row>
    <row r="1113">
      <c r="A1113" s="11" t="s">
        <v>4490</v>
      </c>
      <c r="B1113" s="11" t="s">
        <v>78</v>
      </c>
      <c r="C1113" s="18">
        <v>46098.0</v>
      </c>
      <c r="D1113" s="11" t="s">
        <v>7206</v>
      </c>
      <c r="E1113" s="11" t="s">
        <v>7314</v>
      </c>
      <c r="G1113" s="11" t="s">
        <v>7315</v>
      </c>
      <c r="H1113" s="11" t="s">
        <v>7316</v>
      </c>
      <c r="I1113" s="11" t="b">
        <v>1</v>
      </c>
      <c r="J1113" s="11" t="s">
        <v>5814</v>
      </c>
      <c r="O1113" s="11">
        <v>52.79</v>
      </c>
      <c r="P1113" s="11">
        <v>2066616.0</v>
      </c>
      <c r="Q1113" s="11" t="b">
        <v>1</v>
      </c>
    </row>
    <row r="1114">
      <c r="A1114" s="11" t="s">
        <v>4508</v>
      </c>
      <c r="B1114" s="11" t="s">
        <v>78</v>
      </c>
      <c r="C1114" s="18">
        <v>46098.0</v>
      </c>
      <c r="D1114" s="11" t="s">
        <v>2299</v>
      </c>
      <c r="E1114" s="11" t="s">
        <v>7317</v>
      </c>
      <c r="G1114" s="11" t="s">
        <v>7318</v>
      </c>
      <c r="H1114" s="11" t="s">
        <v>7319</v>
      </c>
      <c r="I1114" s="11" t="b">
        <v>1</v>
      </c>
      <c r="J1114" s="11" t="s">
        <v>5814</v>
      </c>
      <c r="O1114" s="11">
        <v>42.0</v>
      </c>
      <c r="P1114" s="11">
        <v>2066609.0</v>
      </c>
      <c r="Q1114" s="11" t="b">
        <v>1</v>
      </c>
    </row>
    <row r="1115">
      <c r="A1115" s="11" t="s">
        <v>4573</v>
      </c>
      <c r="B1115" s="11" t="s">
        <v>78</v>
      </c>
      <c r="C1115" s="18">
        <v>46101.0</v>
      </c>
      <c r="D1115" s="11" t="s">
        <v>104</v>
      </c>
      <c r="E1115" s="11" t="s">
        <v>7320</v>
      </c>
      <c r="G1115" s="11" t="s">
        <v>7321</v>
      </c>
      <c r="H1115" s="11" t="s">
        <v>7322</v>
      </c>
      <c r="I1115" s="11" t="b">
        <v>1</v>
      </c>
      <c r="J1115" s="11" t="s">
        <v>5814</v>
      </c>
      <c r="O1115" s="11">
        <v>188.74</v>
      </c>
      <c r="P1115" s="11">
        <v>2072127.0</v>
      </c>
      <c r="Q1115" s="11" t="b">
        <v>1</v>
      </c>
    </row>
    <row r="1116">
      <c r="A1116" s="11" t="s">
        <v>4516</v>
      </c>
      <c r="B1116" s="11" t="s">
        <v>78</v>
      </c>
      <c r="C1116" s="18">
        <v>46098.0</v>
      </c>
      <c r="D1116" s="11" t="s">
        <v>85</v>
      </c>
      <c r="E1116" s="11" t="s">
        <v>7325</v>
      </c>
      <c r="G1116" s="11" t="s">
        <v>7326</v>
      </c>
      <c r="H1116" s="11" t="s">
        <v>7327</v>
      </c>
      <c r="I1116" s="11" t="b">
        <v>1</v>
      </c>
      <c r="J1116" s="11" t="s">
        <v>5814</v>
      </c>
      <c r="O1116" s="11">
        <v>59.8</v>
      </c>
      <c r="P1116" s="11">
        <v>2066624.0</v>
      </c>
      <c r="Q1116" s="11" t="b">
        <v>1</v>
      </c>
    </row>
    <row r="1117">
      <c r="A1117" s="11" t="s">
        <v>4528</v>
      </c>
      <c r="B1117" s="11" t="s">
        <v>78</v>
      </c>
      <c r="C1117" s="18">
        <v>46100.0</v>
      </c>
      <c r="D1117" s="11" t="s">
        <v>513</v>
      </c>
      <c r="E1117" s="11" t="s">
        <v>7329</v>
      </c>
      <c r="G1117" s="11" t="s">
        <v>7330</v>
      </c>
      <c r="H1117" s="11" t="s">
        <v>4269</v>
      </c>
      <c r="I1117" s="11" t="b">
        <v>1</v>
      </c>
      <c r="J1117" s="11" t="s">
        <v>5814</v>
      </c>
      <c r="O1117" s="11">
        <v>221.6</v>
      </c>
      <c r="P1117" s="11">
        <v>2072183.0</v>
      </c>
      <c r="Q1117" s="11" t="b">
        <v>1</v>
      </c>
    </row>
    <row r="1118">
      <c r="A1118" s="11" t="s">
        <v>4525</v>
      </c>
      <c r="B1118" s="11" t="s">
        <v>78</v>
      </c>
      <c r="C1118" s="18">
        <v>46098.0</v>
      </c>
      <c r="D1118" s="11" t="s">
        <v>3805</v>
      </c>
      <c r="E1118" s="11" t="s">
        <v>7332</v>
      </c>
      <c r="G1118" s="11" t="s">
        <v>7333</v>
      </c>
      <c r="H1118" s="11" t="s">
        <v>7334</v>
      </c>
      <c r="I1118" s="11" t="b">
        <v>1</v>
      </c>
      <c r="J1118" s="11" t="s">
        <v>5814</v>
      </c>
      <c r="O1118" s="11">
        <v>60.0</v>
      </c>
      <c r="P1118" s="11">
        <v>2067087.0</v>
      </c>
      <c r="Q1118" s="11" t="b">
        <v>1</v>
      </c>
    </row>
    <row r="1119">
      <c r="A1119" s="11" t="s">
        <v>4581</v>
      </c>
      <c r="B1119" s="11" t="s">
        <v>78</v>
      </c>
      <c r="C1119" s="18">
        <v>46101.0</v>
      </c>
      <c r="D1119" s="11" t="s">
        <v>992</v>
      </c>
      <c r="E1119" s="11" t="s">
        <v>7336</v>
      </c>
      <c r="G1119" s="11" t="s">
        <v>7337</v>
      </c>
      <c r="H1119" s="11" t="s">
        <v>7338</v>
      </c>
      <c r="I1119" s="11" t="b">
        <v>1</v>
      </c>
      <c r="J1119" s="11" t="s">
        <v>5814</v>
      </c>
      <c r="O1119" s="11">
        <v>375.0</v>
      </c>
      <c r="P1119" s="11">
        <v>2072167.0</v>
      </c>
      <c r="Q1119" s="11" t="b">
        <v>1</v>
      </c>
    </row>
    <row r="1120">
      <c r="A1120" s="11" t="s">
        <v>2882</v>
      </c>
      <c r="B1120" s="11" t="s">
        <v>78</v>
      </c>
      <c r="C1120" s="18">
        <v>46103.0</v>
      </c>
      <c r="D1120" s="11" t="s">
        <v>3972</v>
      </c>
      <c r="H1120" s="11" t="s">
        <v>7339</v>
      </c>
      <c r="J1120" s="11" t="s">
        <v>235</v>
      </c>
      <c r="O1120" s="11">
        <v>92.0</v>
      </c>
      <c r="Q1120" s="11" t="b">
        <v>1</v>
      </c>
    </row>
    <row r="1121">
      <c r="A1121" s="11" t="s">
        <v>4619</v>
      </c>
      <c r="B1121" s="11" t="s">
        <v>78</v>
      </c>
      <c r="C1121" s="18">
        <v>46104.0</v>
      </c>
      <c r="D1121" s="11" t="s">
        <v>1627</v>
      </c>
      <c r="E1121" s="11" t="s">
        <v>7340</v>
      </c>
      <c r="G1121" s="11" t="s">
        <v>7341</v>
      </c>
      <c r="H1121" s="11" t="s">
        <v>7343</v>
      </c>
      <c r="I1121" s="11" t="b">
        <v>1</v>
      </c>
      <c r="J1121" s="11" t="s">
        <v>5814</v>
      </c>
      <c r="O1121" s="11">
        <v>6.75</v>
      </c>
      <c r="P1121" s="11">
        <v>2080120.0</v>
      </c>
      <c r="Q1121" s="11" t="b">
        <v>1</v>
      </c>
    </row>
    <row r="1122">
      <c r="A1122" s="11">
        <v>8.5063294E7</v>
      </c>
      <c r="B1122" s="11" t="s">
        <v>78</v>
      </c>
      <c r="C1122" s="18">
        <v>46102.0</v>
      </c>
      <c r="D1122" s="11" t="s">
        <v>85</v>
      </c>
      <c r="E1122" s="11" t="s">
        <v>7344</v>
      </c>
      <c r="G1122" s="11" t="s">
        <v>7345</v>
      </c>
      <c r="H1122" s="11" t="s">
        <v>7346</v>
      </c>
      <c r="I1122" s="11" t="b">
        <v>1</v>
      </c>
      <c r="J1122" s="11" t="s">
        <v>5814</v>
      </c>
      <c r="O1122" s="11">
        <v>130.11</v>
      </c>
      <c r="P1122" s="11">
        <v>2074386.0</v>
      </c>
      <c r="Q1122" s="11" t="b">
        <v>1</v>
      </c>
    </row>
    <row r="1123">
      <c r="A1123" s="11">
        <v>5.0070473E7</v>
      </c>
      <c r="B1123" s="11" t="s">
        <v>78</v>
      </c>
      <c r="C1123" s="18">
        <v>46103.0</v>
      </c>
      <c r="D1123" s="11" t="s">
        <v>2549</v>
      </c>
      <c r="E1123" s="11" t="s">
        <v>7349</v>
      </c>
      <c r="G1123" s="11" t="s">
        <v>7350</v>
      </c>
      <c r="H1123" s="11" t="s">
        <v>7351</v>
      </c>
      <c r="I1123" s="11" t="b">
        <v>1</v>
      </c>
      <c r="J1123" s="11" t="s">
        <v>5814</v>
      </c>
      <c r="O1123" s="11">
        <v>678.0</v>
      </c>
      <c r="P1123" s="11">
        <v>2078520.0</v>
      </c>
      <c r="Q1123" s="11" t="b">
        <v>1</v>
      </c>
    </row>
    <row r="1124">
      <c r="A1124" s="11" t="s">
        <v>4536</v>
      </c>
      <c r="B1124" s="11" t="s">
        <v>78</v>
      </c>
      <c r="C1124" s="18">
        <v>46100.0</v>
      </c>
      <c r="D1124" s="11" t="s">
        <v>2806</v>
      </c>
      <c r="E1124" s="11" t="s">
        <v>7352</v>
      </c>
      <c r="G1124" s="11" t="s">
        <v>7353</v>
      </c>
      <c r="H1124" s="11" t="s">
        <v>7354</v>
      </c>
      <c r="I1124" s="11" t="b">
        <v>1</v>
      </c>
      <c r="J1124" s="11" t="s">
        <v>5814</v>
      </c>
      <c r="L1124" s="11" t="s">
        <v>7355</v>
      </c>
      <c r="O1124" s="11">
        <v>1607.26</v>
      </c>
      <c r="P1124" s="11">
        <v>2078194.0</v>
      </c>
      <c r="Q1124" s="11" t="b">
        <v>1</v>
      </c>
    </row>
    <row r="1125">
      <c r="A1125" s="11">
        <v>1782.0</v>
      </c>
      <c r="B1125" s="11" t="s">
        <v>78</v>
      </c>
      <c r="C1125" s="18">
        <v>46104.0</v>
      </c>
      <c r="D1125" s="11" t="s">
        <v>547</v>
      </c>
      <c r="H1125" s="11" t="s">
        <v>973</v>
      </c>
      <c r="J1125" s="11" t="s">
        <v>187</v>
      </c>
      <c r="O1125" s="11">
        <v>1098.0</v>
      </c>
      <c r="Q1125" s="11" t="b">
        <v>1</v>
      </c>
    </row>
    <row r="1126">
      <c r="A1126" s="11">
        <v>1783.0</v>
      </c>
      <c r="B1126" s="11" t="s">
        <v>78</v>
      </c>
      <c r="C1126" s="18">
        <v>46104.0</v>
      </c>
      <c r="D1126" s="11" t="s">
        <v>547</v>
      </c>
      <c r="H1126" s="11" t="s">
        <v>964</v>
      </c>
      <c r="J1126" s="11" t="s">
        <v>187</v>
      </c>
      <c r="O1126" s="11">
        <v>700.0</v>
      </c>
      <c r="Q1126" s="11" t="b">
        <v>1</v>
      </c>
    </row>
    <row r="1127">
      <c r="A1127" s="11">
        <v>1784.0</v>
      </c>
      <c r="B1127" s="11" t="s">
        <v>78</v>
      </c>
      <c r="C1127" s="18">
        <v>46104.0</v>
      </c>
      <c r="D1127" s="11" t="s">
        <v>547</v>
      </c>
      <c r="H1127" s="11" t="s">
        <v>955</v>
      </c>
      <c r="J1127" s="11" t="s">
        <v>187</v>
      </c>
      <c r="O1127" s="11">
        <v>396.0</v>
      </c>
      <c r="Q1127" s="11" t="b">
        <v>1</v>
      </c>
    </row>
    <row r="1128">
      <c r="A1128" s="11" t="s">
        <v>2898</v>
      </c>
      <c r="B1128" s="11" t="s">
        <v>78</v>
      </c>
      <c r="C1128" s="18">
        <v>46104.0</v>
      </c>
      <c r="D1128" s="11" t="s">
        <v>237</v>
      </c>
      <c r="H1128" s="11" t="s">
        <v>7358</v>
      </c>
      <c r="J1128" s="11" t="s">
        <v>213</v>
      </c>
      <c r="O1128" s="11">
        <v>1462.0</v>
      </c>
      <c r="Q1128" s="11" t="b">
        <v>1</v>
      </c>
    </row>
    <row r="1129">
      <c r="A1129" s="11" t="s">
        <v>2902</v>
      </c>
      <c r="B1129" s="11" t="s">
        <v>78</v>
      </c>
      <c r="C1129" s="18">
        <v>46104.0</v>
      </c>
      <c r="D1129" s="11" t="s">
        <v>237</v>
      </c>
      <c r="H1129" s="11" t="s">
        <v>7359</v>
      </c>
      <c r="J1129" s="11" t="s">
        <v>213</v>
      </c>
      <c r="O1129" s="11">
        <v>61.83</v>
      </c>
      <c r="Q1129" s="11" t="b">
        <v>1</v>
      </c>
    </row>
    <row r="1130">
      <c r="A1130" s="11">
        <v>1868.0</v>
      </c>
      <c r="B1130" s="11" t="s">
        <v>78</v>
      </c>
      <c r="C1130" s="18">
        <v>46104.0</v>
      </c>
      <c r="D1130" s="11" t="s">
        <v>415</v>
      </c>
      <c r="H1130" s="18">
        <v>46301.0</v>
      </c>
      <c r="J1130" s="11" t="s">
        <v>213</v>
      </c>
      <c r="O1130" s="11">
        <v>190.34</v>
      </c>
      <c r="Q1130" s="11" t="b">
        <v>1</v>
      </c>
    </row>
    <row r="1131">
      <c r="A1131" s="11" t="s">
        <v>4623</v>
      </c>
      <c r="B1131" s="11" t="s">
        <v>78</v>
      </c>
      <c r="C1131" s="18">
        <v>46105.0</v>
      </c>
      <c r="D1131" s="11" t="s">
        <v>237</v>
      </c>
      <c r="E1131" s="11" t="s">
        <v>7360</v>
      </c>
      <c r="G1131" s="11" t="s">
        <v>7361</v>
      </c>
      <c r="H1131" s="11" t="s">
        <v>7362</v>
      </c>
      <c r="I1131" s="11" t="b">
        <v>0</v>
      </c>
      <c r="J1131" s="11" t="s">
        <v>5814</v>
      </c>
      <c r="L1131" s="11" t="s">
        <v>7363</v>
      </c>
      <c r="O1131" s="11">
        <v>5387.88</v>
      </c>
      <c r="Q1131" s="11" t="b">
        <v>1</v>
      </c>
    </row>
    <row r="1132">
      <c r="A1132" s="11" t="s">
        <v>4631</v>
      </c>
      <c r="B1132" s="11" t="s">
        <v>78</v>
      </c>
      <c r="C1132" s="18">
        <v>46105.0</v>
      </c>
      <c r="D1132" s="11" t="s">
        <v>237</v>
      </c>
      <c r="E1132" s="11" t="s">
        <v>7364</v>
      </c>
      <c r="G1132" s="11" t="s">
        <v>7365</v>
      </c>
      <c r="H1132" s="11" t="s">
        <v>7366</v>
      </c>
      <c r="I1132" s="11" t="b">
        <v>0</v>
      </c>
      <c r="J1132" s="11" t="s">
        <v>5814</v>
      </c>
      <c r="L1132" s="11" t="s">
        <v>7369</v>
      </c>
      <c r="O1132" s="11">
        <v>11824.54</v>
      </c>
      <c r="Q1132" s="11" t="b">
        <v>1</v>
      </c>
    </row>
    <row r="1133">
      <c r="A1133" s="11" t="s">
        <v>4637</v>
      </c>
      <c r="B1133" s="11" t="s">
        <v>78</v>
      </c>
      <c r="C1133" s="18">
        <v>46105.0</v>
      </c>
      <c r="D1133" s="11" t="s">
        <v>237</v>
      </c>
      <c r="E1133" s="11" t="s">
        <v>7370</v>
      </c>
      <c r="G1133" s="11" t="s">
        <v>7371</v>
      </c>
      <c r="H1133" s="11" t="s">
        <v>7372</v>
      </c>
      <c r="I1133" s="11" t="b">
        <v>0</v>
      </c>
      <c r="J1133" s="11" t="s">
        <v>5814</v>
      </c>
      <c r="O1133" s="11">
        <v>606.95</v>
      </c>
      <c r="Q1133" s="11" t="b">
        <v>1</v>
      </c>
    </row>
    <row r="1134">
      <c r="A1134" s="11" t="s">
        <v>4652</v>
      </c>
      <c r="B1134" s="11" t="s">
        <v>78</v>
      </c>
      <c r="C1134" s="18">
        <v>46106.0</v>
      </c>
      <c r="D1134" s="11" t="s">
        <v>992</v>
      </c>
      <c r="E1134" s="11" t="s">
        <v>7373</v>
      </c>
      <c r="G1134" s="11" t="s">
        <v>7374</v>
      </c>
      <c r="H1134" s="11" t="s">
        <v>7200</v>
      </c>
      <c r="I1134" s="11" t="b">
        <v>1</v>
      </c>
      <c r="J1134" s="11" t="s">
        <v>5814</v>
      </c>
      <c r="O1134" s="11">
        <v>125.0</v>
      </c>
      <c r="P1134" s="11">
        <v>2083957.0</v>
      </c>
      <c r="Q1134" s="11" t="b">
        <v>1</v>
      </c>
    </row>
    <row r="1135">
      <c r="A1135" s="11" t="s">
        <v>4671</v>
      </c>
      <c r="B1135" s="11" t="s">
        <v>78</v>
      </c>
      <c r="C1135" s="18">
        <v>46108.0</v>
      </c>
      <c r="D1135" s="11" t="s">
        <v>992</v>
      </c>
      <c r="E1135" s="11" t="s">
        <v>7375</v>
      </c>
      <c r="G1135" s="11" t="s">
        <v>7376</v>
      </c>
      <c r="H1135" s="11" t="s">
        <v>7377</v>
      </c>
      <c r="I1135" s="11" t="b">
        <v>1</v>
      </c>
      <c r="J1135" s="11" t="s">
        <v>5814</v>
      </c>
      <c r="O1135" s="11">
        <v>250.0</v>
      </c>
      <c r="P1135" s="11">
        <v>2087731.0</v>
      </c>
      <c r="Q1135" s="11" t="b">
        <v>1</v>
      </c>
    </row>
    <row r="1136">
      <c r="A1136" s="11" t="s">
        <v>4657</v>
      </c>
      <c r="B1136" s="11" t="s">
        <v>78</v>
      </c>
      <c r="C1136" s="18">
        <v>46106.0</v>
      </c>
      <c r="D1136" s="11" t="s">
        <v>445</v>
      </c>
      <c r="E1136" s="11" t="s">
        <v>7380</v>
      </c>
      <c r="G1136" s="11" t="s">
        <v>7381</v>
      </c>
      <c r="H1136" s="11" t="s">
        <v>7382</v>
      </c>
      <c r="I1136" s="11" t="b">
        <v>1</v>
      </c>
      <c r="J1136" s="11" t="s">
        <v>5814</v>
      </c>
      <c r="O1136" s="11">
        <v>74.5</v>
      </c>
      <c r="P1136" s="11">
        <v>2083551.0</v>
      </c>
      <c r="Q1136" s="11" t="b">
        <v>1</v>
      </c>
    </row>
    <row r="1137">
      <c r="A1137" s="11" t="s">
        <v>4640</v>
      </c>
      <c r="B1137" s="11" t="s">
        <v>78</v>
      </c>
      <c r="C1137" s="18">
        <v>46105.0</v>
      </c>
      <c r="D1137" s="11" t="s">
        <v>104</v>
      </c>
      <c r="E1137" s="11" t="s">
        <v>7384</v>
      </c>
      <c r="G1137" s="11" t="s">
        <v>7385</v>
      </c>
      <c r="H1137" s="11" t="s">
        <v>7386</v>
      </c>
      <c r="I1137" s="11" t="b">
        <v>1</v>
      </c>
      <c r="J1137" s="11" t="s">
        <v>5814</v>
      </c>
      <c r="O1137" s="11">
        <v>195.05</v>
      </c>
      <c r="P1137" s="11">
        <v>2081689.0</v>
      </c>
      <c r="Q1137" s="11" t="b">
        <v>1</v>
      </c>
    </row>
    <row r="1138">
      <c r="A1138" s="11" t="s">
        <v>4676</v>
      </c>
      <c r="B1138" s="11" t="s">
        <v>78</v>
      </c>
      <c r="C1138" s="18">
        <v>46108.0</v>
      </c>
      <c r="D1138" s="11" t="s">
        <v>85</v>
      </c>
      <c r="E1138" s="11" t="s">
        <v>7387</v>
      </c>
      <c r="G1138" s="11" t="s">
        <v>7388</v>
      </c>
      <c r="H1138" s="11" t="s">
        <v>7389</v>
      </c>
      <c r="I1138" s="11" t="b">
        <v>1</v>
      </c>
      <c r="J1138" s="11" t="s">
        <v>5814</v>
      </c>
      <c r="O1138" s="11">
        <v>103.2</v>
      </c>
      <c r="P1138" s="11">
        <v>2087735.0</v>
      </c>
      <c r="Q1138" s="11" t="b">
        <v>1</v>
      </c>
    </row>
    <row r="1139">
      <c r="A1139" s="11" t="s">
        <v>4690</v>
      </c>
      <c r="B1139" s="11" t="s">
        <v>78</v>
      </c>
      <c r="C1139" s="18">
        <v>46108.0</v>
      </c>
      <c r="D1139" s="11" t="s">
        <v>104</v>
      </c>
      <c r="E1139" s="11" t="s">
        <v>7393</v>
      </c>
      <c r="G1139" s="11" t="s">
        <v>7394</v>
      </c>
      <c r="H1139" s="11" t="s">
        <v>7395</v>
      </c>
      <c r="I1139" s="11" t="b">
        <v>1</v>
      </c>
      <c r="J1139" s="11" t="s">
        <v>5814</v>
      </c>
      <c r="O1139" s="11">
        <v>208.74</v>
      </c>
      <c r="P1139" s="11">
        <v>2087746.0</v>
      </c>
      <c r="Q1139" s="11" t="b">
        <v>1</v>
      </c>
    </row>
    <row r="1140">
      <c r="A1140" s="11" t="s">
        <v>4666</v>
      </c>
      <c r="B1140" s="11" t="s">
        <v>78</v>
      </c>
      <c r="C1140" s="18">
        <v>46107.0</v>
      </c>
      <c r="D1140" s="11" t="s">
        <v>513</v>
      </c>
      <c r="E1140" s="11" t="s">
        <v>7398</v>
      </c>
      <c r="G1140" s="11" t="s">
        <v>7399</v>
      </c>
      <c r="H1140" s="11" t="s">
        <v>4269</v>
      </c>
      <c r="I1140" s="11" t="b">
        <v>1</v>
      </c>
      <c r="J1140" s="11" t="s">
        <v>5814</v>
      </c>
      <c r="O1140" s="11">
        <v>133.0</v>
      </c>
      <c r="P1140" s="11">
        <v>2087751.0</v>
      </c>
      <c r="Q1140" s="11" t="b">
        <v>1</v>
      </c>
    </row>
    <row r="1141">
      <c r="A1141" s="11">
        <v>1844.0</v>
      </c>
      <c r="B1141" s="11" t="s">
        <v>78</v>
      </c>
      <c r="C1141" s="18">
        <v>46111.0</v>
      </c>
      <c r="D1141" s="11" t="s">
        <v>547</v>
      </c>
      <c r="H1141" s="11" t="s">
        <v>973</v>
      </c>
      <c r="J1141" s="11" t="s">
        <v>187</v>
      </c>
      <c r="O1141" s="11">
        <v>1098.0</v>
      </c>
      <c r="Q1141" s="11" t="b">
        <v>1</v>
      </c>
    </row>
    <row r="1142">
      <c r="A1142" s="11">
        <v>1845.0</v>
      </c>
      <c r="B1142" s="11" t="s">
        <v>78</v>
      </c>
      <c r="C1142" s="18">
        <v>46111.0</v>
      </c>
      <c r="D1142" s="11" t="s">
        <v>547</v>
      </c>
      <c r="H1142" s="11" t="s">
        <v>964</v>
      </c>
      <c r="J1142" s="11" t="s">
        <v>187</v>
      </c>
      <c r="O1142" s="11">
        <v>700.0</v>
      </c>
      <c r="Q1142" s="11" t="b">
        <v>1</v>
      </c>
    </row>
    <row r="1143">
      <c r="A1143" s="11">
        <v>1846.0</v>
      </c>
      <c r="B1143" s="11" t="s">
        <v>78</v>
      </c>
      <c r="C1143" s="18">
        <v>46111.0</v>
      </c>
      <c r="D1143" s="11" t="s">
        <v>547</v>
      </c>
      <c r="H1143" s="11" t="s">
        <v>955</v>
      </c>
      <c r="J1143" s="11" t="s">
        <v>187</v>
      </c>
      <c r="O1143" s="11">
        <v>396.0</v>
      </c>
      <c r="Q1143" s="11" t="b">
        <v>1</v>
      </c>
    </row>
    <row r="1144">
      <c r="A1144" s="11">
        <v>1869.0</v>
      </c>
      <c r="B1144" s="11" t="s">
        <v>78</v>
      </c>
      <c r="C1144" s="18">
        <v>46111.0</v>
      </c>
      <c r="H1144" s="11" t="s">
        <v>681</v>
      </c>
      <c r="J1144" s="11" t="s">
        <v>187</v>
      </c>
      <c r="K1144" s="11" t="s">
        <v>685</v>
      </c>
      <c r="O1144" s="11">
        <v>3498.0</v>
      </c>
      <c r="Q1144" s="11" t="b">
        <v>1</v>
      </c>
    </row>
    <row r="1145">
      <c r="A1145" s="11">
        <v>1870.0</v>
      </c>
      <c r="B1145" s="11" t="s">
        <v>78</v>
      </c>
      <c r="C1145" s="18">
        <v>46111.0</v>
      </c>
      <c r="H1145" s="11" t="s">
        <v>7405</v>
      </c>
      <c r="J1145" s="11" t="s">
        <v>187</v>
      </c>
      <c r="K1145" s="11" t="s">
        <v>3675</v>
      </c>
      <c r="O1145" s="11">
        <v>352.0</v>
      </c>
      <c r="Q1145" s="11" t="b">
        <v>1</v>
      </c>
    </row>
    <row r="1146">
      <c r="A1146" s="11">
        <v>1871.0</v>
      </c>
      <c r="B1146" s="11" t="s">
        <v>78</v>
      </c>
      <c r="C1146" s="18">
        <v>46111.0</v>
      </c>
      <c r="H1146" s="11" t="s">
        <v>7405</v>
      </c>
      <c r="J1146" s="11" t="s">
        <v>187</v>
      </c>
      <c r="K1146" s="11" t="s">
        <v>704</v>
      </c>
      <c r="O1146" s="11">
        <v>352.0</v>
      </c>
      <c r="Q1146" s="11" t="b">
        <v>1</v>
      </c>
    </row>
    <row r="1147">
      <c r="A1147" s="11">
        <v>1872.0</v>
      </c>
      <c r="B1147" s="11" t="s">
        <v>78</v>
      </c>
      <c r="C1147" s="18">
        <v>46111.0</v>
      </c>
      <c r="D1147" s="11" t="s">
        <v>415</v>
      </c>
      <c r="H1147" s="11" t="s">
        <v>1015</v>
      </c>
      <c r="J1147" s="11" t="s">
        <v>187</v>
      </c>
      <c r="O1147" s="11">
        <v>22.0</v>
      </c>
      <c r="Q1147" s="11" t="b">
        <v>1</v>
      </c>
    </row>
    <row r="1148">
      <c r="A1148" s="11">
        <v>1873.0</v>
      </c>
      <c r="B1148" s="11" t="s">
        <v>78</v>
      </c>
      <c r="C1148" s="18">
        <v>46111.0</v>
      </c>
      <c r="D1148" s="11" t="s">
        <v>415</v>
      </c>
      <c r="H1148" s="11" t="s">
        <v>1022</v>
      </c>
      <c r="J1148" s="11" t="s">
        <v>187</v>
      </c>
      <c r="O1148" s="11">
        <v>10.0</v>
      </c>
      <c r="Q1148" s="11" t="b">
        <v>1</v>
      </c>
    </row>
    <row r="1149">
      <c r="A1149" s="11">
        <v>1874.0</v>
      </c>
      <c r="B1149" s="11" t="s">
        <v>78</v>
      </c>
      <c r="C1149" s="18">
        <v>46111.0</v>
      </c>
      <c r="D1149" s="11" t="s">
        <v>629</v>
      </c>
      <c r="H1149" s="11" t="s">
        <v>633</v>
      </c>
      <c r="J1149" s="11" t="s">
        <v>187</v>
      </c>
      <c r="O1149" s="11">
        <v>3330.37</v>
      </c>
      <c r="Q1149" s="11" t="b">
        <v>1</v>
      </c>
    </row>
    <row r="1150">
      <c r="A1150" s="11" t="s">
        <v>2939</v>
      </c>
      <c r="B1150" s="11" t="s">
        <v>78</v>
      </c>
      <c r="C1150" s="18">
        <v>46111.0</v>
      </c>
      <c r="D1150" s="11" t="s">
        <v>451</v>
      </c>
      <c r="H1150" s="11" t="s">
        <v>7410</v>
      </c>
      <c r="J1150" s="11" t="s">
        <v>187</v>
      </c>
      <c r="O1150" s="11">
        <v>1792.85</v>
      </c>
      <c r="Q1150" s="11" t="b">
        <v>1</v>
      </c>
    </row>
    <row r="1151">
      <c r="A1151" s="11" t="s">
        <v>2943</v>
      </c>
      <c r="B1151" s="11" t="s">
        <v>78</v>
      </c>
      <c r="C1151" s="18">
        <v>46111.0</v>
      </c>
      <c r="D1151" s="11" t="s">
        <v>404</v>
      </c>
      <c r="H1151" s="11" t="s">
        <v>7412</v>
      </c>
      <c r="J1151" s="11" t="s">
        <v>187</v>
      </c>
      <c r="O1151" s="11">
        <v>247.87</v>
      </c>
      <c r="Q1151" s="11" t="b">
        <v>1</v>
      </c>
    </row>
    <row r="1152">
      <c r="A1152" s="11" t="s">
        <v>2949</v>
      </c>
      <c r="B1152" s="11" t="s">
        <v>78</v>
      </c>
      <c r="C1152" s="18">
        <v>46111.0</v>
      </c>
      <c r="H1152" s="11" t="s">
        <v>7414</v>
      </c>
      <c r="J1152" s="11" t="s">
        <v>187</v>
      </c>
      <c r="K1152" s="11" t="s">
        <v>685</v>
      </c>
      <c r="O1152" s="11">
        <v>690.0</v>
      </c>
      <c r="Q1152" s="11" t="b">
        <v>1</v>
      </c>
    </row>
    <row r="1153">
      <c r="A1153" s="11" t="s">
        <v>4731</v>
      </c>
      <c r="B1153" s="11" t="s">
        <v>78</v>
      </c>
      <c r="C1153" s="18">
        <v>46112.0</v>
      </c>
      <c r="D1153" s="11" t="s">
        <v>1612</v>
      </c>
      <c r="E1153" s="11" t="s">
        <v>7417</v>
      </c>
      <c r="G1153" s="11" t="s">
        <v>7418</v>
      </c>
      <c r="H1153" s="11" t="s">
        <v>7419</v>
      </c>
      <c r="I1153" s="11" t="b">
        <v>1</v>
      </c>
      <c r="J1153" s="11" t="s">
        <v>5814</v>
      </c>
      <c r="O1153" s="11">
        <v>10.75</v>
      </c>
      <c r="P1153" s="11">
        <v>2097952.0</v>
      </c>
      <c r="Q1153" s="11" t="b">
        <v>1</v>
      </c>
    </row>
    <row r="1154">
      <c r="A1154" s="11">
        <v>1.2629765E7</v>
      </c>
      <c r="B1154" s="11" t="s">
        <v>78</v>
      </c>
      <c r="C1154" s="18">
        <v>46110.0</v>
      </c>
      <c r="D1154" s="11" t="s">
        <v>2549</v>
      </c>
      <c r="E1154" s="11" t="s">
        <v>7420</v>
      </c>
      <c r="G1154" s="11" t="s">
        <v>7421</v>
      </c>
      <c r="H1154" s="11" t="s">
        <v>7422</v>
      </c>
      <c r="I1154" s="11" t="b">
        <v>1</v>
      </c>
      <c r="J1154" s="11" t="s">
        <v>5814</v>
      </c>
      <c r="O1154" s="11">
        <v>678.0</v>
      </c>
      <c r="P1154" s="11">
        <v>2094154.0</v>
      </c>
      <c r="Q1154" s="11" t="b">
        <v>1</v>
      </c>
    </row>
    <row r="1155">
      <c r="A1155" s="11" t="s">
        <v>4725</v>
      </c>
      <c r="B1155" s="11" t="s">
        <v>78</v>
      </c>
      <c r="C1155" s="18">
        <v>46111.0</v>
      </c>
      <c r="D1155" s="11" t="s">
        <v>992</v>
      </c>
      <c r="E1155" s="11" t="s">
        <v>7424</v>
      </c>
      <c r="G1155" s="11" t="s">
        <v>7425</v>
      </c>
      <c r="H1155" s="11" t="s">
        <v>7426</v>
      </c>
      <c r="I1155" s="11" t="b">
        <v>1</v>
      </c>
      <c r="J1155" s="11" t="s">
        <v>5814</v>
      </c>
      <c r="O1155" s="11">
        <v>175.0</v>
      </c>
      <c r="P1155" s="11">
        <v>2097904.0</v>
      </c>
      <c r="Q1155" s="11" t="b">
        <v>1</v>
      </c>
    </row>
    <row r="1156">
      <c r="A1156" s="11" t="s">
        <v>4737</v>
      </c>
      <c r="B1156" s="11" t="s">
        <v>78</v>
      </c>
      <c r="C1156" s="18">
        <v>46112.0</v>
      </c>
      <c r="D1156" s="11" t="s">
        <v>5002</v>
      </c>
      <c r="E1156" s="11" t="s">
        <v>7427</v>
      </c>
      <c r="G1156" s="11" t="s">
        <v>7428</v>
      </c>
      <c r="H1156" s="11" t="s">
        <v>7429</v>
      </c>
      <c r="I1156" s="11" t="b">
        <v>1</v>
      </c>
      <c r="J1156" s="11" t="s">
        <v>5814</v>
      </c>
      <c r="O1156" s="11">
        <v>583.72</v>
      </c>
      <c r="P1156" s="11">
        <v>2097909.0</v>
      </c>
      <c r="Q1156" s="11" t="b">
        <v>1</v>
      </c>
    </row>
    <row r="1157">
      <c r="A1157" s="11" t="s">
        <v>4704</v>
      </c>
      <c r="B1157" s="11" t="s">
        <v>78</v>
      </c>
      <c r="C1157" s="18">
        <v>46108.0</v>
      </c>
      <c r="D1157" s="11" t="s">
        <v>4915</v>
      </c>
      <c r="E1157" s="11" t="s">
        <v>7430</v>
      </c>
      <c r="G1157" s="11" t="s">
        <v>7431</v>
      </c>
      <c r="H1157" s="11" t="s">
        <v>7432</v>
      </c>
      <c r="I1157" s="11" t="b">
        <v>0</v>
      </c>
      <c r="J1157" s="11" t="s">
        <v>5814</v>
      </c>
      <c r="L1157" s="11" t="s">
        <v>7433</v>
      </c>
      <c r="M1157" s="11" t="s">
        <v>7435</v>
      </c>
      <c r="O1157" s="11">
        <v>1409.1</v>
      </c>
      <c r="Q1157" s="11" t="b">
        <v>1</v>
      </c>
    </row>
    <row r="1158">
      <c r="A1158" s="11" t="s">
        <v>4712</v>
      </c>
      <c r="B1158" s="11" t="s">
        <v>78</v>
      </c>
      <c r="C1158" s="18">
        <v>46108.0</v>
      </c>
      <c r="D1158" s="11" t="s">
        <v>4915</v>
      </c>
      <c r="E1158" s="11" t="s">
        <v>7437</v>
      </c>
      <c r="G1158" s="11" t="s">
        <v>7438</v>
      </c>
      <c r="H1158" s="11" t="s">
        <v>7439</v>
      </c>
      <c r="I1158" s="11" t="b">
        <v>0</v>
      </c>
      <c r="J1158" s="11" t="s">
        <v>5814</v>
      </c>
      <c r="L1158" s="11" t="s">
        <v>7440</v>
      </c>
      <c r="O1158" s="11">
        <v>1232.96</v>
      </c>
      <c r="Q1158" s="11" t="b">
        <v>1</v>
      </c>
    </row>
    <row r="1159">
      <c r="A1159" s="11">
        <v>1875.0</v>
      </c>
      <c r="B1159" s="11" t="s">
        <v>78</v>
      </c>
      <c r="C1159" s="18">
        <v>46114.0</v>
      </c>
      <c r="H1159" s="11" t="s">
        <v>2638</v>
      </c>
      <c r="J1159" s="11" t="s">
        <v>187</v>
      </c>
      <c r="K1159" s="11" t="s">
        <v>225</v>
      </c>
      <c r="O1159" s="11">
        <v>3340.32</v>
      </c>
      <c r="Q1159" s="11" t="b">
        <v>1</v>
      </c>
    </row>
    <row r="1160">
      <c r="A1160" s="11">
        <v>1876.0</v>
      </c>
      <c r="B1160" s="11" t="s">
        <v>78</v>
      </c>
      <c r="C1160" s="18">
        <v>46114.0</v>
      </c>
      <c r="H1160" s="11" t="s">
        <v>2638</v>
      </c>
      <c r="J1160" s="11" t="s">
        <v>187</v>
      </c>
      <c r="K1160" s="11" t="s">
        <v>113</v>
      </c>
      <c r="O1160" s="11">
        <v>1781.96</v>
      </c>
      <c r="Q1160" s="11" t="b">
        <v>1</v>
      </c>
    </row>
    <row r="1161">
      <c r="A1161" s="11">
        <v>1877.0</v>
      </c>
      <c r="B1161" s="11" t="s">
        <v>78</v>
      </c>
      <c r="C1161" s="18">
        <v>46114.0</v>
      </c>
      <c r="H1161" s="11" t="s">
        <v>2638</v>
      </c>
      <c r="J1161" s="11" t="s">
        <v>187</v>
      </c>
      <c r="K1161" s="11" t="s">
        <v>126</v>
      </c>
      <c r="O1161" s="11">
        <v>1741.53</v>
      </c>
      <c r="Q1161" s="11" t="b">
        <v>1</v>
      </c>
    </row>
    <row r="1162">
      <c r="A1162" s="11">
        <v>1878.0</v>
      </c>
      <c r="B1162" s="11" t="s">
        <v>78</v>
      </c>
      <c r="C1162" s="18">
        <v>46114.0</v>
      </c>
      <c r="H1162" s="11" t="s">
        <v>2638</v>
      </c>
      <c r="J1162" s="11" t="s">
        <v>187</v>
      </c>
      <c r="K1162" s="11" t="s">
        <v>3739</v>
      </c>
      <c r="O1162" s="11">
        <v>300.95</v>
      </c>
      <c r="Q1162" s="11" t="b">
        <v>1</v>
      </c>
    </row>
    <row r="1163">
      <c r="A1163" s="11">
        <v>1879.0</v>
      </c>
      <c r="B1163" s="11" t="s">
        <v>78</v>
      </c>
      <c r="C1163" s="18">
        <v>46114.0</v>
      </c>
      <c r="H1163" s="11" t="s">
        <v>2638</v>
      </c>
      <c r="J1163" s="11" t="s">
        <v>187</v>
      </c>
      <c r="K1163" s="11" t="s">
        <v>145</v>
      </c>
      <c r="O1163" s="11">
        <v>2470.64</v>
      </c>
      <c r="Q1163" s="11" t="b">
        <v>1</v>
      </c>
    </row>
    <row r="1164">
      <c r="A1164" s="11" t="s">
        <v>2970</v>
      </c>
      <c r="B1164" s="11" t="s">
        <v>78</v>
      </c>
      <c r="C1164" s="18">
        <v>46118.0</v>
      </c>
      <c r="D1164" s="11" t="s">
        <v>237</v>
      </c>
      <c r="H1164" s="11" t="s">
        <v>7443</v>
      </c>
      <c r="J1164" s="11" t="s">
        <v>187</v>
      </c>
      <c r="O1164" s="11">
        <v>131.62</v>
      </c>
      <c r="Q1164" s="11" t="b">
        <v>1</v>
      </c>
    </row>
    <row r="1165">
      <c r="A1165" s="11" t="s">
        <v>2978</v>
      </c>
      <c r="B1165" s="11" t="s">
        <v>78</v>
      </c>
      <c r="C1165" s="18">
        <v>46118.0</v>
      </c>
      <c r="D1165" s="11" t="s">
        <v>237</v>
      </c>
      <c r="H1165" s="11" t="s">
        <v>7445</v>
      </c>
      <c r="J1165" s="11" t="s">
        <v>187</v>
      </c>
      <c r="O1165" s="11">
        <v>387.35</v>
      </c>
      <c r="Q1165" s="11" t="b">
        <v>1</v>
      </c>
    </row>
    <row r="1166">
      <c r="A1166" s="11" t="s">
        <v>2982</v>
      </c>
      <c r="B1166" s="11" t="s">
        <v>78</v>
      </c>
      <c r="C1166" s="18">
        <v>46118.0</v>
      </c>
      <c r="D1166" s="11" t="s">
        <v>404</v>
      </c>
      <c r="H1166" s="11" t="s">
        <v>7446</v>
      </c>
      <c r="J1166" s="11" t="s">
        <v>235</v>
      </c>
      <c r="O1166" s="11">
        <v>210.0</v>
      </c>
      <c r="Q1166" s="11" t="b">
        <v>1</v>
      </c>
    </row>
    <row r="1167">
      <c r="A1167" s="11" t="s">
        <v>4803</v>
      </c>
      <c r="B1167" s="11" t="s">
        <v>78</v>
      </c>
      <c r="C1167" s="18">
        <v>46114.0</v>
      </c>
      <c r="D1167" s="11" t="s">
        <v>104</v>
      </c>
      <c r="E1167" s="11" t="s">
        <v>7447</v>
      </c>
      <c r="G1167" s="11" t="s">
        <v>7448</v>
      </c>
      <c r="H1167" s="11" t="s">
        <v>7450</v>
      </c>
      <c r="I1167" s="11" t="b">
        <v>1</v>
      </c>
      <c r="J1167" s="11" t="s">
        <v>5814</v>
      </c>
      <c r="O1167" s="11">
        <v>209.65</v>
      </c>
      <c r="P1167" s="11">
        <v>2102353.0</v>
      </c>
      <c r="Q1167" s="11" t="b">
        <v>1</v>
      </c>
    </row>
    <row r="1168">
      <c r="A1168" s="11" t="s">
        <v>4839</v>
      </c>
      <c r="B1168" s="11" t="s">
        <v>78</v>
      </c>
      <c r="C1168" s="18">
        <v>46116.0</v>
      </c>
      <c r="D1168" s="11" t="s">
        <v>104</v>
      </c>
      <c r="E1168" s="11" t="s">
        <v>7452</v>
      </c>
      <c r="G1168" s="11" t="s">
        <v>7453</v>
      </c>
      <c r="H1168" s="11" t="s">
        <v>7454</v>
      </c>
      <c r="I1168" s="11" t="b">
        <v>1</v>
      </c>
      <c r="J1168" s="11" t="s">
        <v>5814</v>
      </c>
      <c r="O1168" s="11">
        <v>175.76</v>
      </c>
      <c r="P1168" s="11">
        <v>2106476.0</v>
      </c>
      <c r="Q1168" s="11" t="b">
        <v>1</v>
      </c>
    </row>
    <row r="1169">
      <c r="A1169" s="11" t="s">
        <v>4849</v>
      </c>
      <c r="B1169" s="11" t="s">
        <v>78</v>
      </c>
      <c r="C1169" s="18">
        <v>46116.0</v>
      </c>
      <c r="D1169" s="11" t="s">
        <v>85</v>
      </c>
      <c r="E1169" s="11" t="s">
        <v>7456</v>
      </c>
      <c r="G1169" s="11" t="s">
        <v>7457</v>
      </c>
      <c r="H1169" s="11" t="s">
        <v>7458</v>
      </c>
      <c r="I1169" s="11" t="b">
        <v>1</v>
      </c>
      <c r="J1169" s="11" t="s">
        <v>5814</v>
      </c>
      <c r="O1169" s="11">
        <v>68.98</v>
      </c>
      <c r="P1169" s="11">
        <v>2106077.0</v>
      </c>
      <c r="Q1169" s="11" t="b">
        <v>1</v>
      </c>
    </row>
    <row r="1170">
      <c r="A1170" s="11" t="s">
        <v>4828</v>
      </c>
      <c r="B1170" s="11" t="s">
        <v>78</v>
      </c>
      <c r="C1170" s="18">
        <v>46115.0</v>
      </c>
      <c r="D1170" s="11" t="s">
        <v>85</v>
      </c>
      <c r="E1170" s="11" t="s">
        <v>7459</v>
      </c>
      <c r="G1170" s="11" t="s">
        <v>7460</v>
      </c>
      <c r="H1170" s="11" t="s">
        <v>7462</v>
      </c>
      <c r="I1170" s="11" t="b">
        <v>1</v>
      </c>
      <c r="J1170" s="11" t="s">
        <v>5814</v>
      </c>
      <c r="O1170" s="11">
        <v>67.16</v>
      </c>
      <c r="P1170" s="11">
        <v>2103416.0</v>
      </c>
      <c r="Q1170" s="11" t="b">
        <v>1</v>
      </c>
    </row>
    <row r="1171">
      <c r="A1171" s="11" t="s">
        <v>4817</v>
      </c>
      <c r="B1171" s="11" t="s">
        <v>78</v>
      </c>
      <c r="C1171" s="18">
        <v>46114.0</v>
      </c>
      <c r="D1171" s="11" t="s">
        <v>739</v>
      </c>
      <c r="E1171" s="11" t="s">
        <v>7464</v>
      </c>
      <c r="G1171" s="11" t="s">
        <v>7465</v>
      </c>
      <c r="H1171" s="11" t="s">
        <v>7466</v>
      </c>
      <c r="I1171" s="11" t="b">
        <v>1</v>
      </c>
      <c r="J1171" s="11" t="s">
        <v>5814</v>
      </c>
      <c r="O1171" s="11">
        <v>2.0</v>
      </c>
      <c r="P1171" s="11">
        <v>2102404.0</v>
      </c>
      <c r="Q1171" s="11" t="b">
        <v>1</v>
      </c>
    </row>
    <row r="1172">
      <c r="A1172" s="11" t="s">
        <v>4790</v>
      </c>
      <c r="B1172" s="11" t="s">
        <v>78</v>
      </c>
      <c r="C1172" s="18">
        <v>46113.0</v>
      </c>
      <c r="D1172" s="11" t="s">
        <v>992</v>
      </c>
      <c r="E1172" s="11" t="s">
        <v>7467</v>
      </c>
      <c r="G1172" s="11" t="s">
        <v>7469</v>
      </c>
      <c r="H1172" s="11" t="s">
        <v>2909</v>
      </c>
      <c r="I1172" s="11" t="b">
        <v>1</v>
      </c>
      <c r="J1172" s="11" t="s">
        <v>5814</v>
      </c>
      <c r="O1172" s="11">
        <v>250.0</v>
      </c>
      <c r="P1172" s="11">
        <v>2100045.0</v>
      </c>
      <c r="Q1172" s="11" t="b">
        <v>1</v>
      </c>
    </row>
    <row r="1173">
      <c r="A1173" s="11" t="s">
        <v>5446</v>
      </c>
      <c r="B1173" s="11" t="s">
        <v>78</v>
      </c>
      <c r="C1173" s="18">
        <v>46115.0</v>
      </c>
      <c r="D1173" s="11" t="s">
        <v>7221</v>
      </c>
      <c r="E1173" s="11" t="s">
        <v>7472</v>
      </c>
      <c r="G1173" s="11" t="s">
        <v>7473</v>
      </c>
      <c r="H1173" s="11" t="s">
        <v>7474</v>
      </c>
      <c r="I1173" s="11" t="b">
        <v>1</v>
      </c>
      <c r="J1173" s="11" t="s">
        <v>5814</v>
      </c>
      <c r="O1173" s="11">
        <v>250.0</v>
      </c>
      <c r="P1173" s="11">
        <v>2104395.0</v>
      </c>
      <c r="Q1173" s="11" t="b">
        <v>1</v>
      </c>
    </row>
    <row r="1174">
      <c r="A1174" s="11" t="s">
        <v>4865</v>
      </c>
      <c r="B1174" s="11" t="s">
        <v>78</v>
      </c>
      <c r="C1174" s="18">
        <v>46116.0</v>
      </c>
      <c r="D1174" s="11" t="s">
        <v>992</v>
      </c>
      <c r="E1174" s="11" t="s">
        <v>7476</v>
      </c>
      <c r="G1174" s="11" t="s">
        <v>7477</v>
      </c>
      <c r="H1174" s="11" t="s">
        <v>7479</v>
      </c>
      <c r="I1174" s="11" t="b">
        <v>1</v>
      </c>
      <c r="J1174" s="11" t="s">
        <v>5814</v>
      </c>
      <c r="O1174" s="11">
        <v>400.0</v>
      </c>
      <c r="P1174" s="11">
        <v>2106483.0</v>
      </c>
      <c r="Q1174" s="11" t="b">
        <v>1</v>
      </c>
    </row>
    <row r="1175">
      <c r="A1175" s="11" t="s">
        <v>4870</v>
      </c>
      <c r="B1175" s="11" t="s">
        <v>78</v>
      </c>
      <c r="C1175" s="18">
        <v>46117.0</v>
      </c>
      <c r="D1175" s="11" t="s">
        <v>2549</v>
      </c>
      <c r="E1175" s="11" t="s">
        <v>7480</v>
      </c>
      <c r="G1175" s="11" t="s">
        <v>7481</v>
      </c>
      <c r="H1175" s="11" t="s">
        <v>7483</v>
      </c>
      <c r="I1175" s="11" t="b">
        <v>1</v>
      </c>
      <c r="J1175" s="11" t="s">
        <v>5814</v>
      </c>
      <c r="O1175" s="11">
        <v>438.0</v>
      </c>
      <c r="P1175" s="11">
        <v>2108583.0</v>
      </c>
      <c r="Q1175" s="11" t="b">
        <v>1</v>
      </c>
    </row>
    <row r="1176">
      <c r="A1176" s="11" t="s">
        <v>4874</v>
      </c>
      <c r="B1176" s="11" t="s">
        <v>78</v>
      </c>
      <c r="C1176" s="18">
        <v>46117.0</v>
      </c>
      <c r="D1176" s="11" t="s">
        <v>2549</v>
      </c>
      <c r="E1176" s="11" t="s">
        <v>7485</v>
      </c>
      <c r="G1176" s="11" t="s">
        <v>7487</v>
      </c>
      <c r="H1176" s="11" t="s">
        <v>7489</v>
      </c>
      <c r="I1176" s="11" t="b">
        <v>1</v>
      </c>
      <c r="J1176" s="11" t="s">
        <v>5814</v>
      </c>
      <c r="O1176" s="11">
        <v>96.0</v>
      </c>
      <c r="P1176" s="11">
        <v>2109772.0</v>
      </c>
      <c r="Q1176" s="11" t="b">
        <v>1</v>
      </c>
    </row>
    <row r="1177">
      <c r="A1177" s="11" t="s">
        <v>4822</v>
      </c>
      <c r="B1177" s="11" t="s">
        <v>78</v>
      </c>
      <c r="C1177" s="18">
        <v>46114.0</v>
      </c>
      <c r="D1177" s="11" t="s">
        <v>4915</v>
      </c>
      <c r="E1177" s="11" t="s">
        <v>7490</v>
      </c>
      <c r="G1177" s="11" t="s">
        <v>7491</v>
      </c>
      <c r="H1177" s="11" t="s">
        <v>7492</v>
      </c>
      <c r="I1177" s="11" t="b">
        <v>0</v>
      </c>
      <c r="J1177" s="11" t="s">
        <v>5814</v>
      </c>
      <c r="O1177" s="11">
        <v>200.0</v>
      </c>
      <c r="Q1177" s="11" t="b">
        <v>1</v>
      </c>
    </row>
    <row r="1178">
      <c r="A1178" s="11" t="s">
        <v>4795</v>
      </c>
      <c r="B1178" s="11" t="s">
        <v>78</v>
      </c>
      <c r="C1178" s="18">
        <v>46113.0</v>
      </c>
      <c r="D1178" s="11" t="s">
        <v>4915</v>
      </c>
      <c r="E1178" s="11" t="s">
        <v>7494</v>
      </c>
      <c r="G1178" s="11" t="s">
        <v>7495</v>
      </c>
      <c r="H1178" s="11" t="s">
        <v>7496</v>
      </c>
      <c r="I1178" s="11" t="b">
        <v>0</v>
      </c>
      <c r="J1178" s="11" t="s">
        <v>5814</v>
      </c>
      <c r="L1178" s="11" t="s">
        <v>7500</v>
      </c>
      <c r="O1178" s="11">
        <v>2602.3</v>
      </c>
      <c r="Q1178" s="11" t="b">
        <v>1</v>
      </c>
    </row>
    <row r="1179">
      <c r="A1179" s="11" t="s">
        <v>2988</v>
      </c>
      <c r="B1179" s="11" t="s">
        <v>78</v>
      </c>
      <c r="C1179" s="18">
        <v>46119.0</v>
      </c>
      <c r="D1179" s="11" t="s">
        <v>237</v>
      </c>
      <c r="H1179" s="11" t="s">
        <v>7501</v>
      </c>
      <c r="J1179" s="11" t="s">
        <v>187</v>
      </c>
      <c r="O1179" s="11">
        <v>2518.0</v>
      </c>
      <c r="Q1179" s="11" t="b">
        <v>1</v>
      </c>
    </row>
    <row r="1180">
      <c r="A1180" s="11" t="s">
        <v>2992</v>
      </c>
      <c r="B1180" s="11" t="s">
        <v>78</v>
      </c>
      <c r="C1180" s="18">
        <v>46119.0</v>
      </c>
      <c r="D1180" s="11" t="s">
        <v>237</v>
      </c>
      <c r="H1180" s="11" t="s">
        <v>7502</v>
      </c>
      <c r="J1180" s="11" t="s">
        <v>187</v>
      </c>
      <c r="O1180" s="11">
        <v>1168.42</v>
      </c>
      <c r="Q1180" s="11" t="b">
        <v>1</v>
      </c>
    </row>
    <row r="1181">
      <c r="A1181" s="11" t="s">
        <v>2997</v>
      </c>
      <c r="B1181" s="11" t="s">
        <v>78</v>
      </c>
      <c r="C1181" s="18">
        <v>46119.0</v>
      </c>
      <c r="D1181" s="11" t="s">
        <v>237</v>
      </c>
      <c r="H1181" s="11" t="s">
        <v>7504</v>
      </c>
      <c r="J1181" s="11" t="s">
        <v>187</v>
      </c>
      <c r="O1181" s="11">
        <v>84.0</v>
      </c>
      <c r="Q1181" s="11" t="b">
        <v>1</v>
      </c>
    </row>
    <row r="1182">
      <c r="A1182" s="11">
        <v>1892.0</v>
      </c>
      <c r="B1182" s="11" t="s">
        <v>78</v>
      </c>
      <c r="C1182" s="18">
        <v>46119.0</v>
      </c>
      <c r="D1182" s="11" t="s">
        <v>176</v>
      </c>
      <c r="H1182" s="11" t="s">
        <v>1440</v>
      </c>
      <c r="J1182" s="11" t="s">
        <v>187</v>
      </c>
      <c r="O1182" s="11">
        <v>533.95</v>
      </c>
      <c r="Q1182" s="11" t="b">
        <v>1</v>
      </c>
    </row>
    <row r="1183">
      <c r="A1183" s="11">
        <v>1893.0</v>
      </c>
      <c r="B1183" s="11" t="s">
        <v>78</v>
      </c>
      <c r="C1183" s="18">
        <v>46119.0</v>
      </c>
      <c r="D1183" s="11">
        <v>3.6037127E7</v>
      </c>
      <c r="H1183" s="11" t="s">
        <v>2162</v>
      </c>
      <c r="J1183" s="11" t="s">
        <v>187</v>
      </c>
      <c r="O1183" s="11">
        <v>120.0</v>
      </c>
      <c r="Q1183" s="11" t="b">
        <v>1</v>
      </c>
    </row>
    <row r="1184">
      <c r="A1184" s="11">
        <v>1894.0</v>
      </c>
      <c r="B1184" s="11" t="s">
        <v>78</v>
      </c>
      <c r="C1184" s="18">
        <v>46119.0</v>
      </c>
      <c r="D1184" s="11" t="s">
        <v>2509</v>
      </c>
      <c r="H1184" s="11" t="s">
        <v>2638</v>
      </c>
      <c r="J1184" s="11" t="s">
        <v>187</v>
      </c>
      <c r="O1184" s="11">
        <v>130.5</v>
      </c>
      <c r="Q1184" s="11" t="b">
        <v>1</v>
      </c>
    </row>
    <row r="1185">
      <c r="A1185" s="11">
        <v>1896.0</v>
      </c>
      <c r="B1185" s="11" t="s">
        <v>78</v>
      </c>
      <c r="C1185" s="18">
        <v>46119.0</v>
      </c>
      <c r="D1185" s="11" t="s">
        <v>2535</v>
      </c>
      <c r="H1185" s="11" t="s">
        <v>2638</v>
      </c>
      <c r="J1185" s="11" t="s">
        <v>187</v>
      </c>
      <c r="O1185" s="11">
        <v>73.72</v>
      </c>
      <c r="Q1185" s="11" t="b">
        <v>1</v>
      </c>
    </row>
    <row r="1186">
      <c r="A1186" s="11">
        <v>1897.0</v>
      </c>
      <c r="B1186" s="11" t="s">
        <v>78</v>
      </c>
      <c r="C1186" s="18">
        <v>46119.0</v>
      </c>
      <c r="D1186" s="11" t="s">
        <v>5965</v>
      </c>
      <c r="H1186" s="11" t="s">
        <v>7510</v>
      </c>
      <c r="J1186" s="11" t="s">
        <v>187</v>
      </c>
      <c r="O1186" s="11">
        <v>1886.71</v>
      </c>
      <c r="Q1186" s="11" t="b">
        <v>1</v>
      </c>
    </row>
    <row r="1187">
      <c r="A1187" s="11" t="s">
        <v>3023</v>
      </c>
      <c r="B1187" s="11" t="s">
        <v>78</v>
      </c>
      <c r="C1187" s="18">
        <v>46119.0</v>
      </c>
      <c r="H1187" s="11" t="s">
        <v>7514</v>
      </c>
      <c r="J1187" s="11" t="s">
        <v>187</v>
      </c>
      <c r="K1187" s="11" t="s">
        <v>113</v>
      </c>
      <c r="O1187" s="11">
        <v>2190.78</v>
      </c>
      <c r="Q1187" s="11" t="b">
        <v>1</v>
      </c>
    </row>
    <row r="1188">
      <c r="A1188" s="11">
        <v>1895.0</v>
      </c>
      <c r="B1188" s="11" t="s">
        <v>78</v>
      </c>
      <c r="C1188" s="18">
        <v>46120.0</v>
      </c>
      <c r="D1188" s="11" t="s">
        <v>1676</v>
      </c>
      <c r="H1188" s="11" t="s">
        <v>2802</v>
      </c>
      <c r="J1188" s="11" t="s">
        <v>187</v>
      </c>
      <c r="O1188" s="11">
        <v>1439.03</v>
      </c>
      <c r="Q1188" s="11" t="b">
        <v>1</v>
      </c>
    </row>
    <row r="1189">
      <c r="A1189" s="11" t="s">
        <v>4884</v>
      </c>
      <c r="B1189" s="11" t="s">
        <v>78</v>
      </c>
      <c r="C1189" s="18">
        <v>46120.0</v>
      </c>
      <c r="D1189" s="11" t="s">
        <v>237</v>
      </c>
      <c r="E1189" s="11" t="s">
        <v>7515</v>
      </c>
      <c r="G1189" s="11" t="s">
        <v>7516</v>
      </c>
      <c r="H1189" s="11" t="s">
        <v>7517</v>
      </c>
      <c r="I1189" s="11" t="b">
        <v>0</v>
      </c>
      <c r="J1189" s="11" t="s">
        <v>5814</v>
      </c>
      <c r="L1189" s="11" t="s">
        <v>7518</v>
      </c>
      <c r="O1189" s="11">
        <v>9731.0</v>
      </c>
      <c r="Q1189" s="11" t="b">
        <v>1</v>
      </c>
    </row>
    <row r="1190">
      <c r="A1190" s="11" t="s">
        <v>4878</v>
      </c>
      <c r="B1190" s="11" t="s">
        <v>78</v>
      </c>
      <c r="C1190" s="18">
        <v>46119.0</v>
      </c>
      <c r="D1190" s="11" t="s">
        <v>739</v>
      </c>
      <c r="E1190" s="11" t="s">
        <v>7520</v>
      </c>
      <c r="G1190" s="11" t="s">
        <v>7521</v>
      </c>
      <c r="H1190" s="11" t="s">
        <v>7522</v>
      </c>
      <c r="I1190" s="11" t="b">
        <v>1</v>
      </c>
      <c r="J1190" s="11" t="s">
        <v>5814</v>
      </c>
      <c r="O1190" s="11">
        <v>2.0</v>
      </c>
      <c r="P1190" s="11">
        <v>2112967.0</v>
      </c>
      <c r="Q1190" s="11" t="b">
        <v>1</v>
      </c>
    </row>
    <row r="1191">
      <c r="A1191" s="11" t="s">
        <v>4906</v>
      </c>
      <c r="B1191" s="11" t="s">
        <v>78</v>
      </c>
      <c r="C1191" s="18">
        <v>46122.0</v>
      </c>
      <c r="D1191" s="11" t="s">
        <v>513</v>
      </c>
      <c r="E1191" s="11" t="s">
        <v>7525</v>
      </c>
      <c r="G1191" s="11" t="s">
        <v>7526</v>
      </c>
      <c r="H1191" s="11" t="s">
        <v>2126</v>
      </c>
      <c r="I1191" s="11" t="b">
        <v>1</v>
      </c>
      <c r="J1191" s="11" t="s">
        <v>5814</v>
      </c>
      <c r="O1191" s="11">
        <v>126.3</v>
      </c>
      <c r="P1191" s="11">
        <v>2117330.0</v>
      </c>
      <c r="Q1191" s="11" t="b">
        <v>1</v>
      </c>
    </row>
    <row r="1192">
      <c r="A1192" s="11" t="s">
        <v>4933</v>
      </c>
      <c r="B1192" s="11" t="s">
        <v>78</v>
      </c>
      <c r="C1192" s="18">
        <v>46124.0</v>
      </c>
      <c r="D1192" s="11" t="s">
        <v>6191</v>
      </c>
      <c r="E1192" s="11" t="s">
        <v>7528</v>
      </c>
      <c r="G1192" s="11" t="s">
        <v>7529</v>
      </c>
      <c r="H1192" s="11" t="s">
        <v>7530</v>
      </c>
      <c r="I1192" s="11" t="b">
        <v>1</v>
      </c>
      <c r="J1192" s="11" t="s">
        <v>5814</v>
      </c>
      <c r="O1192" s="11">
        <v>197.0</v>
      </c>
      <c r="P1192" s="11">
        <v>2122112.0</v>
      </c>
      <c r="Q1192" s="11" t="b">
        <v>1</v>
      </c>
    </row>
    <row r="1193">
      <c r="A1193" s="11" t="s">
        <v>4938</v>
      </c>
      <c r="B1193" s="11" t="s">
        <v>78</v>
      </c>
      <c r="C1193" s="18">
        <v>46124.0</v>
      </c>
      <c r="D1193" s="11" t="s">
        <v>2549</v>
      </c>
      <c r="E1193" s="11" t="s">
        <v>7531</v>
      </c>
      <c r="G1193" s="11" t="s">
        <v>7532</v>
      </c>
      <c r="H1193" s="11" t="s">
        <v>7533</v>
      </c>
      <c r="I1193" s="11" t="b">
        <v>1</v>
      </c>
      <c r="J1193" s="11" t="s">
        <v>5814</v>
      </c>
      <c r="O1193" s="11">
        <v>318.0</v>
      </c>
      <c r="P1193" s="11">
        <v>2122436.0</v>
      </c>
      <c r="Q1193" s="11" t="b">
        <v>1</v>
      </c>
    </row>
    <row r="1194">
      <c r="A1194" s="11" t="s">
        <v>4942</v>
      </c>
      <c r="B1194" s="11" t="s">
        <v>78</v>
      </c>
      <c r="C1194" s="18">
        <v>46125.0</v>
      </c>
      <c r="D1194" s="11" t="s">
        <v>992</v>
      </c>
      <c r="E1194" s="11" t="s">
        <v>7535</v>
      </c>
      <c r="G1194" s="11" t="s">
        <v>7536</v>
      </c>
      <c r="H1194" s="11" t="s">
        <v>4642</v>
      </c>
      <c r="I1194" s="11" t="b">
        <v>1</v>
      </c>
      <c r="J1194" s="11" t="s">
        <v>5814</v>
      </c>
      <c r="O1194" s="11">
        <v>200.0</v>
      </c>
      <c r="P1194" s="11">
        <v>2123977.0</v>
      </c>
      <c r="Q1194" s="11" t="b">
        <v>1</v>
      </c>
    </row>
    <row r="1195">
      <c r="A1195" s="11" t="s">
        <v>4914</v>
      </c>
      <c r="B1195" s="11" t="s">
        <v>78</v>
      </c>
      <c r="C1195" s="18">
        <v>46122.0</v>
      </c>
      <c r="D1195" s="11" t="s">
        <v>1251</v>
      </c>
      <c r="E1195" s="11" t="s">
        <v>7538</v>
      </c>
      <c r="G1195" s="11" t="s">
        <v>7539</v>
      </c>
      <c r="H1195" s="11" t="s">
        <v>7540</v>
      </c>
      <c r="I1195" s="11" t="b">
        <v>1</v>
      </c>
      <c r="J1195" s="11" t="s">
        <v>5814</v>
      </c>
      <c r="O1195" s="11">
        <v>68.35</v>
      </c>
      <c r="P1195" s="11">
        <v>2121514.0</v>
      </c>
      <c r="Q1195" s="11" t="b">
        <v>1</v>
      </c>
    </row>
    <row r="1196">
      <c r="A1196" s="11" t="s">
        <v>4946</v>
      </c>
      <c r="B1196" s="11" t="s">
        <v>78</v>
      </c>
      <c r="C1196" s="18">
        <v>46125.0</v>
      </c>
      <c r="D1196" s="11" t="s">
        <v>104</v>
      </c>
      <c r="E1196" s="11" t="s">
        <v>7541</v>
      </c>
      <c r="G1196" s="11" t="s">
        <v>7542</v>
      </c>
      <c r="H1196" s="11" t="s">
        <v>7543</v>
      </c>
      <c r="I1196" s="11" t="b">
        <v>1</v>
      </c>
      <c r="J1196" s="11" t="s">
        <v>5814</v>
      </c>
      <c r="O1196" s="11">
        <v>76.18</v>
      </c>
      <c r="P1196" s="11">
        <v>2123504.0</v>
      </c>
      <c r="Q1196" s="11" t="b">
        <v>1</v>
      </c>
    </row>
    <row r="1197">
      <c r="A1197" s="11" t="s">
        <v>4957</v>
      </c>
      <c r="B1197" s="11" t="s">
        <v>78</v>
      </c>
      <c r="C1197" s="18">
        <v>46125.0</v>
      </c>
      <c r="D1197" s="11" t="s">
        <v>817</v>
      </c>
      <c r="E1197" s="11" t="s">
        <v>7545</v>
      </c>
      <c r="G1197" s="11" t="s">
        <v>7546</v>
      </c>
      <c r="H1197" s="11" t="s">
        <v>7547</v>
      </c>
      <c r="I1197" s="11" t="b">
        <v>0</v>
      </c>
      <c r="J1197" s="11" t="s">
        <v>5814</v>
      </c>
      <c r="O1197" s="11">
        <v>654.78</v>
      </c>
      <c r="Q1197" s="11" t="b">
        <v>1</v>
      </c>
    </row>
    <row r="1198">
      <c r="A1198" s="11" t="s">
        <v>4893</v>
      </c>
      <c r="B1198" s="11" t="s">
        <v>78</v>
      </c>
      <c r="C1198" s="18">
        <v>46121.0</v>
      </c>
      <c r="D1198" s="11" t="s">
        <v>4915</v>
      </c>
      <c r="E1198" s="11" t="s">
        <v>7549</v>
      </c>
      <c r="G1198" s="11" t="s">
        <v>7551</v>
      </c>
      <c r="H1198" s="11" t="s">
        <v>7552</v>
      </c>
      <c r="I1198" s="11" t="b">
        <v>0</v>
      </c>
      <c r="J1198" s="11" t="s">
        <v>5814</v>
      </c>
      <c r="L1198" s="11" t="s">
        <v>7553</v>
      </c>
      <c r="O1198" s="11">
        <v>2442.02</v>
      </c>
      <c r="Q1198" s="11" t="b">
        <v>1</v>
      </c>
    </row>
    <row r="1199">
      <c r="A1199" s="11">
        <v>1905.0</v>
      </c>
      <c r="B1199" s="11" t="s">
        <v>78</v>
      </c>
      <c r="C1199" s="18">
        <v>46125.0</v>
      </c>
      <c r="D1199" s="11" t="s">
        <v>192</v>
      </c>
      <c r="H1199" s="11" t="s">
        <v>195</v>
      </c>
      <c r="J1199" s="11" t="s">
        <v>187</v>
      </c>
      <c r="O1199" s="11">
        <v>2500.0</v>
      </c>
      <c r="Q1199" s="11" t="b">
        <v>1</v>
      </c>
    </row>
    <row r="1200">
      <c r="A1200" s="11">
        <v>1906.0</v>
      </c>
      <c r="B1200" s="11" t="s">
        <v>78</v>
      </c>
      <c r="C1200" s="18">
        <v>46125.0</v>
      </c>
      <c r="D1200" s="11" t="s">
        <v>1217</v>
      </c>
      <c r="H1200" s="11" t="s">
        <v>7554</v>
      </c>
      <c r="J1200" s="11" t="s">
        <v>187</v>
      </c>
      <c r="O1200" s="11">
        <v>131.9</v>
      </c>
      <c r="Q1200" s="11" t="b">
        <v>1</v>
      </c>
    </row>
    <row r="1201">
      <c r="A1201" s="11">
        <v>1907.0</v>
      </c>
      <c r="B1201" s="11" t="s">
        <v>78</v>
      </c>
      <c r="C1201" s="18">
        <v>46125.0</v>
      </c>
      <c r="D1201" s="11" t="s">
        <v>415</v>
      </c>
      <c r="H1201" s="11" t="s">
        <v>7556</v>
      </c>
      <c r="J1201" s="11" t="s">
        <v>187</v>
      </c>
      <c r="O1201" s="11">
        <v>121.9</v>
      </c>
      <c r="Q1201" s="11" t="b">
        <v>1</v>
      </c>
    </row>
    <row r="1202">
      <c r="A1202" s="11">
        <v>1909.0</v>
      </c>
      <c r="B1202" s="11" t="s">
        <v>78</v>
      </c>
      <c r="C1202" s="18">
        <v>46125.0</v>
      </c>
      <c r="D1202" s="11" t="s">
        <v>1046</v>
      </c>
      <c r="H1202" s="11" t="s">
        <v>7558</v>
      </c>
      <c r="J1202" s="11" t="s">
        <v>187</v>
      </c>
      <c r="O1202" s="11">
        <v>0.0</v>
      </c>
      <c r="Q1202" s="11" t="b">
        <v>1</v>
      </c>
    </row>
    <row r="1203">
      <c r="A1203" s="11" t="s">
        <v>3048</v>
      </c>
      <c r="B1203" s="11" t="s">
        <v>78</v>
      </c>
      <c r="C1203" s="18">
        <v>46125.0</v>
      </c>
      <c r="D1203" s="11" t="s">
        <v>1567</v>
      </c>
      <c r="H1203" s="11" t="s">
        <v>6479</v>
      </c>
      <c r="J1203" s="11" t="s">
        <v>187</v>
      </c>
      <c r="O1203" s="11">
        <v>508.0</v>
      </c>
      <c r="Q1203" s="11" t="b">
        <v>1</v>
      </c>
    </row>
    <row r="1204">
      <c r="A1204" s="11">
        <v>1921.0</v>
      </c>
      <c r="B1204" s="11" t="s">
        <v>78</v>
      </c>
      <c r="C1204" s="18">
        <v>46125.0</v>
      </c>
      <c r="D1204" s="11" t="s">
        <v>1046</v>
      </c>
      <c r="H1204" s="11" t="s">
        <v>2638</v>
      </c>
      <c r="J1204" s="11" t="s">
        <v>187</v>
      </c>
      <c r="O1204" s="11">
        <v>1053.36</v>
      </c>
      <c r="Q1204" s="11" t="b">
        <v>1</v>
      </c>
    </row>
    <row r="1205">
      <c r="A1205" s="11" t="s">
        <v>4927</v>
      </c>
      <c r="B1205" s="11" t="s">
        <v>78</v>
      </c>
      <c r="C1205" s="18">
        <v>46122.0</v>
      </c>
      <c r="D1205" s="11" t="s">
        <v>7562</v>
      </c>
      <c r="E1205" s="11" t="s">
        <v>7564</v>
      </c>
      <c r="G1205" s="11" t="s">
        <v>7565</v>
      </c>
      <c r="H1205" s="11" t="s">
        <v>7566</v>
      </c>
      <c r="I1205" s="11" t="b">
        <v>0</v>
      </c>
      <c r="J1205" s="11" t="s">
        <v>5814</v>
      </c>
      <c r="O1205" s="11">
        <v>2168.57</v>
      </c>
      <c r="Q1205" s="11" t="b">
        <v>1</v>
      </c>
    </row>
    <row r="1206">
      <c r="A1206" s="11" t="s">
        <v>3057</v>
      </c>
      <c r="B1206" s="11" t="s">
        <v>78</v>
      </c>
      <c r="C1206" s="18">
        <v>46127.0</v>
      </c>
      <c r="D1206" s="11" t="s">
        <v>192</v>
      </c>
      <c r="H1206" s="11" t="s">
        <v>7568</v>
      </c>
      <c r="J1206" s="11" t="s">
        <v>187</v>
      </c>
      <c r="O1206" s="11">
        <v>858.44</v>
      </c>
      <c r="Q1206" s="11" t="b">
        <v>1</v>
      </c>
    </row>
    <row r="1207">
      <c r="A1207" s="11" t="s">
        <v>3062</v>
      </c>
      <c r="B1207" s="11" t="s">
        <v>78</v>
      </c>
      <c r="C1207" s="18">
        <v>46127.0</v>
      </c>
      <c r="H1207" s="11" t="s">
        <v>783</v>
      </c>
      <c r="J1207" s="11" t="s">
        <v>187</v>
      </c>
      <c r="K1207" s="11" t="s">
        <v>126</v>
      </c>
      <c r="O1207" s="11">
        <v>300.0</v>
      </c>
      <c r="Q1207" s="11" t="b">
        <v>1</v>
      </c>
    </row>
    <row r="1208">
      <c r="A1208" s="11" t="s">
        <v>4899</v>
      </c>
      <c r="B1208" s="11" t="s">
        <v>78</v>
      </c>
      <c r="C1208" s="18">
        <v>46121.0</v>
      </c>
      <c r="D1208" s="11" t="s">
        <v>237</v>
      </c>
      <c r="E1208" s="11" t="s">
        <v>7572</v>
      </c>
      <c r="G1208" s="11" t="s">
        <v>7573</v>
      </c>
      <c r="H1208" s="11" t="s">
        <v>7574</v>
      </c>
      <c r="I1208" s="11" t="b">
        <v>0</v>
      </c>
      <c r="J1208" s="11" t="s">
        <v>5814</v>
      </c>
      <c r="L1208" s="11" t="s">
        <v>7577</v>
      </c>
      <c r="O1208" s="11">
        <v>7222.86</v>
      </c>
      <c r="Q1208" s="11" t="b">
        <v>1</v>
      </c>
    </row>
    <row r="1209">
      <c r="A1209" s="11" t="s">
        <v>4966</v>
      </c>
      <c r="B1209" s="11" t="s">
        <v>78</v>
      </c>
      <c r="C1209" s="18">
        <v>46129.0</v>
      </c>
      <c r="D1209" s="11" t="s">
        <v>992</v>
      </c>
      <c r="E1209" s="11" t="s">
        <v>7579</v>
      </c>
      <c r="G1209" s="11" t="s">
        <v>7580</v>
      </c>
      <c r="H1209" s="11" t="s">
        <v>3242</v>
      </c>
      <c r="I1209" s="11" t="b">
        <v>1</v>
      </c>
      <c r="J1209" s="11" t="s">
        <v>5814</v>
      </c>
      <c r="O1209" s="11">
        <v>250.0</v>
      </c>
      <c r="P1209" s="11">
        <v>2130209.0</v>
      </c>
      <c r="Q1209" s="11" t="b">
        <v>1</v>
      </c>
    </row>
    <row r="1210">
      <c r="A1210" s="11" t="s">
        <v>5431</v>
      </c>
      <c r="B1210" s="11" t="s">
        <v>78</v>
      </c>
      <c r="C1210" s="18">
        <v>46129.0</v>
      </c>
      <c r="D1210" s="11" t="s">
        <v>7583</v>
      </c>
      <c r="E1210" s="11" t="s">
        <v>7584</v>
      </c>
      <c r="G1210" s="11" t="s">
        <v>7586</v>
      </c>
      <c r="H1210" s="11" t="s">
        <v>7587</v>
      </c>
      <c r="I1210" s="11" t="b">
        <v>1</v>
      </c>
      <c r="J1210" s="11" t="s">
        <v>5814</v>
      </c>
      <c r="O1210" s="11">
        <v>22.76</v>
      </c>
      <c r="P1210" s="11">
        <v>2130607.0</v>
      </c>
      <c r="Q1210" s="11" t="b">
        <v>1</v>
      </c>
    </row>
    <row r="1211">
      <c r="A1211" s="11" t="s">
        <v>4993</v>
      </c>
      <c r="B1211" s="11" t="s">
        <v>78</v>
      </c>
      <c r="C1211" s="18">
        <v>46131.0</v>
      </c>
      <c r="D1211" s="11" t="s">
        <v>2549</v>
      </c>
      <c r="E1211" s="11" t="s">
        <v>7588</v>
      </c>
      <c r="G1211" s="11" t="s">
        <v>7589</v>
      </c>
      <c r="H1211" s="11" t="s">
        <v>7590</v>
      </c>
      <c r="I1211" s="11" t="b">
        <v>1</v>
      </c>
      <c r="J1211" s="11" t="s">
        <v>5814</v>
      </c>
      <c r="O1211" s="11">
        <v>396.0</v>
      </c>
      <c r="P1211" s="11">
        <v>2136010.0</v>
      </c>
      <c r="Q1211" s="11" t="b">
        <v>1</v>
      </c>
    </row>
    <row r="1212">
      <c r="A1212" s="11" t="s">
        <v>4997</v>
      </c>
      <c r="B1212" s="11" t="s">
        <v>78</v>
      </c>
      <c r="C1212" s="18">
        <v>46132.0</v>
      </c>
      <c r="D1212" s="11" t="s">
        <v>992</v>
      </c>
      <c r="E1212" s="11" t="s">
        <v>7592</v>
      </c>
      <c r="G1212" s="11" t="s">
        <v>7593</v>
      </c>
      <c r="H1212" s="11" t="s">
        <v>7594</v>
      </c>
      <c r="I1212" s="11" t="b">
        <v>1</v>
      </c>
      <c r="J1212" s="11" t="s">
        <v>5814</v>
      </c>
      <c r="O1212" s="11">
        <v>200.0</v>
      </c>
      <c r="P1212" s="11">
        <v>2137513.0</v>
      </c>
      <c r="Q1212" s="11" t="b">
        <v>1</v>
      </c>
    </row>
    <row r="1213">
      <c r="A1213" s="11" t="s">
        <v>5001</v>
      </c>
      <c r="B1213" s="11" t="s">
        <v>78</v>
      </c>
      <c r="C1213" s="18">
        <v>46132.0</v>
      </c>
      <c r="D1213" s="11" t="s">
        <v>7595</v>
      </c>
      <c r="E1213" s="11" t="s">
        <v>7596</v>
      </c>
      <c r="G1213" s="11" t="s">
        <v>7597</v>
      </c>
      <c r="H1213" s="11" t="s">
        <v>7598</v>
      </c>
      <c r="I1213" s="11" t="b">
        <v>1</v>
      </c>
      <c r="J1213" s="11" t="s">
        <v>5814</v>
      </c>
      <c r="O1213" s="11">
        <v>207.0</v>
      </c>
      <c r="P1213" s="11">
        <v>2138092.0</v>
      </c>
      <c r="Q1213" s="11" t="b">
        <v>1</v>
      </c>
    </row>
    <row r="1214">
      <c r="A1214" s="11" t="s">
        <v>4970</v>
      </c>
      <c r="B1214" s="11" t="s">
        <v>78</v>
      </c>
      <c r="C1214" s="18">
        <v>46129.0</v>
      </c>
      <c r="D1214" s="11" t="s">
        <v>85</v>
      </c>
      <c r="E1214" s="11" t="s">
        <v>7599</v>
      </c>
      <c r="G1214" s="11" t="s">
        <v>7600</v>
      </c>
      <c r="H1214" s="11" t="s">
        <v>3193</v>
      </c>
      <c r="I1214" s="11" t="b">
        <v>1</v>
      </c>
      <c r="J1214" s="11" t="s">
        <v>5814</v>
      </c>
      <c r="O1214" s="11">
        <v>45.41</v>
      </c>
      <c r="P1214" s="11">
        <v>2130611.0</v>
      </c>
      <c r="Q1214" s="11" t="b">
        <v>1</v>
      </c>
    </row>
    <row r="1215">
      <c r="A1215" s="11" t="s">
        <v>4979</v>
      </c>
      <c r="B1215" s="11" t="s">
        <v>78</v>
      </c>
      <c r="C1215" s="18">
        <v>46129.0</v>
      </c>
      <c r="D1215" s="11" t="s">
        <v>104</v>
      </c>
      <c r="E1215" s="11" t="s">
        <v>7603</v>
      </c>
      <c r="G1215" s="11" t="s">
        <v>7605</v>
      </c>
      <c r="H1215" s="11" t="s">
        <v>380</v>
      </c>
      <c r="I1215" s="11" t="b">
        <v>1</v>
      </c>
      <c r="J1215" s="11" t="s">
        <v>5814</v>
      </c>
      <c r="O1215" s="11">
        <v>210.94</v>
      </c>
      <c r="P1215" s="11">
        <v>2130253.0</v>
      </c>
      <c r="Q1215" s="11" t="b">
        <v>1</v>
      </c>
    </row>
    <row r="1216">
      <c r="A1216" s="11" t="s">
        <v>4961</v>
      </c>
      <c r="B1216" s="11" t="s">
        <v>78</v>
      </c>
      <c r="C1216" s="18">
        <v>46126.0</v>
      </c>
      <c r="D1216" s="11" t="s">
        <v>1076</v>
      </c>
      <c r="E1216" s="11" t="s">
        <v>7606</v>
      </c>
      <c r="G1216" s="11" t="s">
        <v>7607</v>
      </c>
      <c r="H1216" s="11" t="s">
        <v>7608</v>
      </c>
      <c r="I1216" s="11" t="b">
        <v>1</v>
      </c>
      <c r="J1216" s="11" t="s">
        <v>5814</v>
      </c>
      <c r="O1216" s="11">
        <v>1.0</v>
      </c>
      <c r="P1216" s="11">
        <v>2125490.0</v>
      </c>
      <c r="Q1216" s="11" t="b">
        <v>1</v>
      </c>
    </row>
    <row r="1217">
      <c r="A1217" s="11" t="s">
        <v>5008</v>
      </c>
      <c r="B1217" s="11" t="s">
        <v>78</v>
      </c>
      <c r="C1217" s="18">
        <v>46132.0</v>
      </c>
      <c r="D1217" s="11" t="s">
        <v>85</v>
      </c>
      <c r="E1217" s="11" t="s">
        <v>7609</v>
      </c>
      <c r="G1217" s="11" t="s">
        <v>7610</v>
      </c>
      <c r="H1217" s="11" t="s">
        <v>7611</v>
      </c>
      <c r="I1217" s="11" t="b">
        <v>1</v>
      </c>
      <c r="J1217" s="11" t="s">
        <v>5814</v>
      </c>
      <c r="O1217" s="11">
        <v>246.05</v>
      </c>
      <c r="P1217" s="11">
        <v>2138179.0</v>
      </c>
      <c r="Q1217" s="11" t="b">
        <v>1</v>
      </c>
    </row>
    <row r="1218">
      <c r="A1218" s="11" t="s">
        <v>5044</v>
      </c>
      <c r="B1218" s="11" t="s">
        <v>78</v>
      </c>
      <c r="C1218" s="18">
        <v>46132.0</v>
      </c>
      <c r="D1218" s="11" t="s">
        <v>7065</v>
      </c>
      <c r="E1218" s="11" t="s">
        <v>7613</v>
      </c>
      <c r="G1218" s="11" t="s">
        <v>7614</v>
      </c>
      <c r="H1218" s="11" t="s">
        <v>7617</v>
      </c>
      <c r="I1218" s="11" t="b">
        <v>1</v>
      </c>
      <c r="J1218" s="11" t="s">
        <v>5814</v>
      </c>
      <c r="O1218" s="11">
        <v>22.2</v>
      </c>
      <c r="P1218" s="11">
        <v>2138182.0</v>
      </c>
      <c r="Q1218" s="11" t="b">
        <v>1</v>
      </c>
    </row>
    <row r="1219">
      <c r="A1219" s="11">
        <v>1902.0</v>
      </c>
      <c r="B1219" s="11" t="s">
        <v>78</v>
      </c>
      <c r="C1219" s="18">
        <v>46132.0</v>
      </c>
      <c r="D1219" s="11" t="s">
        <v>547</v>
      </c>
      <c r="H1219" s="11" t="s">
        <v>973</v>
      </c>
      <c r="J1219" s="11" t="s">
        <v>187</v>
      </c>
      <c r="O1219" s="11">
        <v>1098.0</v>
      </c>
      <c r="Q1219" s="11" t="b">
        <v>1</v>
      </c>
    </row>
    <row r="1220">
      <c r="A1220" s="11">
        <v>1903.0</v>
      </c>
      <c r="B1220" s="11" t="s">
        <v>78</v>
      </c>
      <c r="C1220" s="18">
        <v>46132.0</v>
      </c>
      <c r="D1220" s="11" t="s">
        <v>547</v>
      </c>
      <c r="H1220" s="11" t="s">
        <v>964</v>
      </c>
      <c r="J1220" s="11" t="s">
        <v>187</v>
      </c>
      <c r="O1220" s="11">
        <v>700.0</v>
      </c>
      <c r="Q1220" s="11" t="b">
        <v>1</v>
      </c>
    </row>
    <row r="1221">
      <c r="A1221" s="11">
        <v>1904.0</v>
      </c>
      <c r="B1221" s="11" t="s">
        <v>78</v>
      </c>
      <c r="C1221" s="18">
        <v>46132.0</v>
      </c>
      <c r="D1221" s="11" t="s">
        <v>547</v>
      </c>
      <c r="H1221" s="11" t="s">
        <v>955</v>
      </c>
      <c r="J1221" s="11" t="s">
        <v>187</v>
      </c>
      <c r="O1221" s="11">
        <v>396.0</v>
      </c>
      <c r="Q1221" s="11" t="b">
        <v>1</v>
      </c>
    </row>
    <row r="1222">
      <c r="A1222" s="11">
        <v>1920.0</v>
      </c>
      <c r="B1222" s="11" t="s">
        <v>78</v>
      </c>
      <c r="C1222" s="18">
        <v>46132.0</v>
      </c>
      <c r="D1222" s="11" t="s">
        <v>1046</v>
      </c>
      <c r="H1222" s="11" t="s">
        <v>1557</v>
      </c>
      <c r="J1222" s="11" t="s">
        <v>187</v>
      </c>
      <c r="O1222" s="11">
        <v>8504.54</v>
      </c>
      <c r="Q1222" s="11" t="b">
        <v>1</v>
      </c>
    </row>
    <row r="1223">
      <c r="A1223" s="11" t="s">
        <v>3086</v>
      </c>
      <c r="B1223" s="11" t="s">
        <v>78</v>
      </c>
      <c r="C1223" s="18">
        <v>46132.0</v>
      </c>
      <c r="D1223" s="11" t="s">
        <v>237</v>
      </c>
      <c r="H1223" s="11" t="s">
        <v>7625</v>
      </c>
      <c r="J1223" s="11" t="s">
        <v>187</v>
      </c>
      <c r="O1223" s="11">
        <v>2001.0</v>
      </c>
      <c r="Q1223" s="11" t="b">
        <v>1</v>
      </c>
    </row>
    <row r="1224">
      <c r="A1224" s="11" t="s">
        <v>3090</v>
      </c>
      <c r="B1224" s="11" t="s">
        <v>78</v>
      </c>
      <c r="C1224" s="18">
        <v>46132.0</v>
      </c>
      <c r="D1224" s="11" t="s">
        <v>237</v>
      </c>
      <c r="H1224" s="11" t="s">
        <v>7627</v>
      </c>
      <c r="J1224" s="11" t="s">
        <v>187</v>
      </c>
      <c r="O1224" s="11">
        <v>1566.35</v>
      </c>
      <c r="Q1224" s="11" t="b">
        <v>1</v>
      </c>
    </row>
    <row r="1225">
      <c r="A1225" s="11">
        <v>1933.0</v>
      </c>
      <c r="B1225" s="11" t="s">
        <v>78</v>
      </c>
      <c r="C1225" s="18">
        <v>46132.0</v>
      </c>
      <c r="D1225" s="11" t="s">
        <v>415</v>
      </c>
      <c r="H1225" s="18">
        <v>46302.0</v>
      </c>
      <c r="J1225" s="11" t="s">
        <v>187</v>
      </c>
      <c r="O1225" s="11">
        <v>190.34</v>
      </c>
      <c r="Q1225" s="11" t="b">
        <v>1</v>
      </c>
    </row>
    <row r="1226">
      <c r="A1226" s="11" t="s">
        <v>5583</v>
      </c>
      <c r="B1226" s="11" t="s">
        <v>78</v>
      </c>
      <c r="C1226" s="18">
        <v>46135.0</v>
      </c>
      <c r="D1226" s="11" t="s">
        <v>104</v>
      </c>
      <c r="E1226" s="11" t="s">
        <v>7629</v>
      </c>
      <c r="G1226" s="11" t="s">
        <v>7630</v>
      </c>
      <c r="H1226" s="11" t="s">
        <v>7631</v>
      </c>
      <c r="I1226" s="11" t="b">
        <v>1</v>
      </c>
      <c r="J1226" s="11" t="s">
        <v>5814</v>
      </c>
      <c r="O1226" s="11">
        <v>180.0</v>
      </c>
      <c r="P1226" s="11">
        <v>2144557.0</v>
      </c>
      <c r="Q1226" s="11" t="b">
        <v>1</v>
      </c>
    </row>
    <row r="1227">
      <c r="A1227" s="11" t="s">
        <v>5056</v>
      </c>
      <c r="B1227" s="11" t="s">
        <v>78</v>
      </c>
      <c r="C1227" s="18">
        <v>46134.0</v>
      </c>
      <c r="D1227" s="11" t="s">
        <v>116</v>
      </c>
      <c r="E1227" s="11" t="s">
        <v>7634</v>
      </c>
      <c r="G1227" s="11" t="s">
        <v>7635</v>
      </c>
      <c r="H1227" s="11" t="s">
        <v>7636</v>
      </c>
      <c r="I1227" s="11" t="b">
        <v>1</v>
      </c>
      <c r="J1227" s="11" t="s">
        <v>5814</v>
      </c>
      <c r="O1227" s="11">
        <v>78.73</v>
      </c>
      <c r="P1227" s="11">
        <v>2142431.0</v>
      </c>
      <c r="Q1227" s="11" t="b">
        <v>1</v>
      </c>
    </row>
    <row r="1228">
      <c r="A1228" s="11" t="s">
        <v>5070</v>
      </c>
      <c r="B1228" s="11" t="s">
        <v>78</v>
      </c>
      <c r="C1228" s="18">
        <v>46134.0</v>
      </c>
      <c r="D1228" s="11" t="s">
        <v>1627</v>
      </c>
      <c r="E1228" s="11" t="s">
        <v>7639</v>
      </c>
      <c r="G1228" s="11" t="s">
        <v>7640</v>
      </c>
      <c r="H1228" s="11" t="s">
        <v>7641</v>
      </c>
      <c r="I1228" s="11" t="b">
        <v>1</v>
      </c>
      <c r="J1228" s="11" t="s">
        <v>5814</v>
      </c>
      <c r="O1228" s="11">
        <v>13.02</v>
      </c>
      <c r="P1228" s="11">
        <v>2142427.0</v>
      </c>
      <c r="Q1228" s="11" t="b">
        <v>1</v>
      </c>
    </row>
    <row r="1229">
      <c r="A1229" s="11" t="s">
        <v>5075</v>
      </c>
      <c r="B1229" s="11" t="s">
        <v>78</v>
      </c>
      <c r="C1229" s="18">
        <v>46134.0</v>
      </c>
      <c r="D1229" s="11" t="s">
        <v>237</v>
      </c>
      <c r="E1229" s="11" t="s">
        <v>7643</v>
      </c>
      <c r="G1229" s="11" t="s">
        <v>7644</v>
      </c>
      <c r="H1229" s="11" t="s">
        <v>7645</v>
      </c>
      <c r="I1229" s="11" t="b">
        <v>0</v>
      </c>
      <c r="J1229" s="11" t="s">
        <v>5814</v>
      </c>
      <c r="L1229" s="11" t="s">
        <v>7647</v>
      </c>
      <c r="O1229" s="11">
        <v>5513.51</v>
      </c>
      <c r="Q1229" s="11" t="b">
        <v>1</v>
      </c>
    </row>
    <row r="1230">
      <c r="A1230" s="11" t="s">
        <v>5083</v>
      </c>
      <c r="B1230" s="11" t="s">
        <v>78</v>
      </c>
      <c r="C1230" s="18">
        <v>46134.0</v>
      </c>
      <c r="D1230" s="11" t="s">
        <v>237</v>
      </c>
      <c r="E1230" s="11" t="s">
        <v>7649</v>
      </c>
      <c r="G1230" s="11" t="s">
        <v>7650</v>
      </c>
      <c r="H1230" s="11" t="s">
        <v>7651</v>
      </c>
      <c r="I1230" s="11" t="b">
        <v>0</v>
      </c>
      <c r="J1230" s="11" t="s">
        <v>5814</v>
      </c>
      <c r="O1230" s="11">
        <v>138.34</v>
      </c>
      <c r="Q1230" s="11" t="b">
        <v>1</v>
      </c>
    </row>
    <row r="1231">
      <c r="A1231" s="11" t="s">
        <v>5098</v>
      </c>
      <c r="B1231" s="11" t="s">
        <v>78</v>
      </c>
      <c r="C1231" s="18">
        <v>46134.0</v>
      </c>
      <c r="D1231" s="11" t="s">
        <v>237</v>
      </c>
      <c r="E1231" s="11" t="s">
        <v>7654</v>
      </c>
      <c r="G1231" s="11" t="s">
        <v>7655</v>
      </c>
      <c r="H1231" s="11" t="s">
        <v>7656</v>
      </c>
      <c r="I1231" s="11" t="b">
        <v>0</v>
      </c>
      <c r="J1231" s="11" t="s">
        <v>5814</v>
      </c>
      <c r="O1231" s="11">
        <v>8.08</v>
      </c>
      <c r="Q1231" s="11" t="b">
        <v>1</v>
      </c>
    </row>
    <row r="1232">
      <c r="A1232" s="11" t="s">
        <v>5106</v>
      </c>
      <c r="B1232" s="11" t="s">
        <v>78</v>
      </c>
      <c r="C1232" s="18">
        <v>46135.0</v>
      </c>
      <c r="D1232" s="11" t="s">
        <v>513</v>
      </c>
      <c r="E1232" s="11" t="s">
        <v>7658</v>
      </c>
      <c r="G1232" s="11" t="s">
        <v>7659</v>
      </c>
      <c r="H1232" s="11" t="s">
        <v>7660</v>
      </c>
      <c r="I1232" s="11" t="b">
        <v>1</v>
      </c>
      <c r="J1232" s="11" t="s">
        <v>5814</v>
      </c>
      <c r="O1232" s="11">
        <v>259.3</v>
      </c>
      <c r="P1232" s="11">
        <v>2145391.0</v>
      </c>
      <c r="Q1232" s="11" t="b">
        <v>1</v>
      </c>
    </row>
    <row r="1233">
      <c r="A1233" s="11" t="s">
        <v>5113</v>
      </c>
      <c r="B1233" s="11" t="s">
        <v>78</v>
      </c>
      <c r="C1233" s="18">
        <v>46135.0</v>
      </c>
      <c r="D1233" s="11" t="s">
        <v>168</v>
      </c>
      <c r="E1233" s="11" t="s">
        <v>7663</v>
      </c>
      <c r="G1233" s="11" t="s">
        <v>7664</v>
      </c>
      <c r="H1233" s="11" t="s">
        <v>7666</v>
      </c>
      <c r="I1233" s="11" t="b">
        <v>1</v>
      </c>
      <c r="J1233" s="11" t="s">
        <v>5814</v>
      </c>
      <c r="O1233" s="11">
        <v>273.0</v>
      </c>
      <c r="P1233" s="11">
        <v>2149886.0</v>
      </c>
      <c r="Q1233" s="11" t="b">
        <v>1</v>
      </c>
    </row>
    <row r="1234">
      <c r="A1234" s="11" t="s">
        <v>5127</v>
      </c>
      <c r="B1234" s="11" t="s">
        <v>78</v>
      </c>
      <c r="C1234" s="18">
        <v>46136.0</v>
      </c>
      <c r="D1234" s="11" t="s">
        <v>992</v>
      </c>
      <c r="E1234" s="11" t="s">
        <v>7669</v>
      </c>
      <c r="G1234" s="11" t="s">
        <v>7670</v>
      </c>
      <c r="H1234" s="11" t="s">
        <v>7671</v>
      </c>
      <c r="I1234" s="11" t="b">
        <v>1</v>
      </c>
      <c r="J1234" s="11" t="s">
        <v>5814</v>
      </c>
      <c r="O1234" s="11">
        <v>300.0</v>
      </c>
      <c r="P1234" s="11">
        <v>2148087.0</v>
      </c>
      <c r="Q1234" s="11" t="b">
        <v>1</v>
      </c>
    </row>
    <row r="1235">
      <c r="A1235" s="11" t="s">
        <v>5130</v>
      </c>
      <c r="B1235" s="11" t="s">
        <v>78</v>
      </c>
      <c r="C1235" s="18">
        <v>46136.0</v>
      </c>
      <c r="D1235" s="11" t="s">
        <v>85</v>
      </c>
      <c r="E1235" s="11" t="s">
        <v>7673</v>
      </c>
      <c r="G1235" s="11" t="s">
        <v>7674</v>
      </c>
      <c r="H1235" s="11" t="s">
        <v>7675</v>
      </c>
      <c r="I1235" s="11" t="b">
        <v>1</v>
      </c>
      <c r="J1235" s="11" t="s">
        <v>5814</v>
      </c>
      <c r="O1235" s="11">
        <v>41.69</v>
      </c>
      <c r="P1235" s="11">
        <v>2145652.0</v>
      </c>
      <c r="Q1235" s="11" t="b">
        <v>1</v>
      </c>
    </row>
    <row r="1236">
      <c r="A1236" s="11">
        <v>1934.0</v>
      </c>
      <c r="B1236" s="11" t="s">
        <v>78</v>
      </c>
      <c r="C1236" s="18">
        <v>46139.0</v>
      </c>
      <c r="H1236" s="11" t="s">
        <v>681</v>
      </c>
      <c r="J1236" s="11" t="s">
        <v>187</v>
      </c>
      <c r="K1236" s="11" t="s">
        <v>685</v>
      </c>
      <c r="O1236" s="11">
        <v>3728.0</v>
      </c>
      <c r="Q1236" s="11" t="b">
        <v>1</v>
      </c>
    </row>
    <row r="1237">
      <c r="A1237" s="11">
        <v>1935.0</v>
      </c>
      <c r="B1237" s="11" t="s">
        <v>78</v>
      </c>
      <c r="C1237" s="18">
        <v>46139.0</v>
      </c>
      <c r="H1237" s="11" t="s">
        <v>687</v>
      </c>
      <c r="J1237" s="11" t="s">
        <v>187</v>
      </c>
      <c r="K1237" s="11" t="s">
        <v>3675</v>
      </c>
      <c r="O1237" s="11">
        <v>312.0</v>
      </c>
      <c r="Q1237" s="11" t="b">
        <v>1</v>
      </c>
    </row>
    <row r="1238">
      <c r="A1238" s="11">
        <v>1936.0</v>
      </c>
      <c r="B1238" s="11" t="s">
        <v>78</v>
      </c>
      <c r="C1238" s="18">
        <v>46139.0</v>
      </c>
      <c r="H1238" s="11" t="s">
        <v>687</v>
      </c>
      <c r="J1238" s="11" t="s">
        <v>187</v>
      </c>
      <c r="K1238" s="11" t="s">
        <v>704</v>
      </c>
      <c r="O1238" s="11">
        <v>312.0</v>
      </c>
      <c r="Q1238" s="11" t="b">
        <v>1</v>
      </c>
    </row>
    <row r="1239">
      <c r="A1239" s="11">
        <v>1937.0</v>
      </c>
      <c r="B1239" s="11" t="s">
        <v>78</v>
      </c>
      <c r="C1239" s="18">
        <v>46139.0</v>
      </c>
      <c r="D1239" s="11" t="s">
        <v>415</v>
      </c>
      <c r="H1239" s="11" t="s">
        <v>1015</v>
      </c>
      <c r="J1239" s="11" t="s">
        <v>187</v>
      </c>
      <c r="O1239" s="11">
        <v>22.0</v>
      </c>
      <c r="Q1239" s="11" t="b">
        <v>1</v>
      </c>
    </row>
    <row r="1240">
      <c r="A1240" s="11">
        <v>1938.0</v>
      </c>
      <c r="B1240" s="11" t="s">
        <v>78</v>
      </c>
      <c r="C1240" s="18">
        <v>46139.0</v>
      </c>
      <c r="D1240" s="11" t="s">
        <v>415</v>
      </c>
      <c r="H1240" s="11" t="s">
        <v>1022</v>
      </c>
      <c r="J1240" s="11" t="s">
        <v>187</v>
      </c>
      <c r="O1240" s="11">
        <v>10.0</v>
      </c>
      <c r="Q1240" s="11" t="b">
        <v>1</v>
      </c>
    </row>
    <row r="1241">
      <c r="A1241" s="11">
        <v>1939.0</v>
      </c>
      <c r="B1241" s="11" t="s">
        <v>78</v>
      </c>
      <c r="C1241" s="18">
        <v>46139.0</v>
      </c>
      <c r="D1241" s="11" t="s">
        <v>629</v>
      </c>
      <c r="H1241" s="11" t="s">
        <v>633</v>
      </c>
      <c r="J1241" s="11" t="s">
        <v>187</v>
      </c>
      <c r="O1241" s="11">
        <v>3081.01</v>
      </c>
      <c r="Q1241" s="11" t="b">
        <v>1</v>
      </c>
    </row>
    <row r="1242">
      <c r="A1242" s="11" t="s">
        <v>3116</v>
      </c>
      <c r="B1242" s="11" t="s">
        <v>78</v>
      </c>
      <c r="C1242" s="18">
        <v>46139.0</v>
      </c>
      <c r="D1242" s="11" t="s">
        <v>237</v>
      </c>
      <c r="H1242" s="11" t="s">
        <v>7680</v>
      </c>
      <c r="J1242" s="11" t="s">
        <v>187</v>
      </c>
      <c r="O1242" s="11">
        <v>2247.18</v>
      </c>
      <c r="Q1242" s="11" t="b">
        <v>1</v>
      </c>
    </row>
    <row r="1243">
      <c r="A1243" s="11" t="s">
        <v>5142</v>
      </c>
      <c r="B1243" s="11" t="s">
        <v>78</v>
      </c>
      <c r="C1243" s="18">
        <v>46138.0</v>
      </c>
      <c r="D1243" s="11" t="s">
        <v>2549</v>
      </c>
      <c r="E1243" s="11" t="s">
        <v>7683</v>
      </c>
      <c r="G1243" s="11" t="s">
        <v>7684</v>
      </c>
      <c r="H1243" s="11" t="s">
        <v>7685</v>
      </c>
      <c r="I1243" s="11" t="b">
        <v>1</v>
      </c>
      <c r="J1243" s="11" t="s">
        <v>5814</v>
      </c>
      <c r="O1243" s="11">
        <v>588.0</v>
      </c>
      <c r="P1243" s="11">
        <v>2150955.0</v>
      </c>
      <c r="Q1243" s="11" t="b">
        <v>1</v>
      </c>
    </row>
    <row r="1244">
      <c r="A1244" s="11" t="s">
        <v>5048</v>
      </c>
      <c r="B1244" s="11" t="s">
        <v>78</v>
      </c>
      <c r="C1244" s="18">
        <v>46132.0</v>
      </c>
      <c r="D1244" s="11" t="s">
        <v>237</v>
      </c>
      <c r="E1244" s="11" t="s">
        <v>7686</v>
      </c>
      <c r="G1244" s="11" t="s">
        <v>7687</v>
      </c>
      <c r="H1244" s="11" t="s">
        <v>7688</v>
      </c>
      <c r="I1244" s="11" t="b">
        <v>0</v>
      </c>
      <c r="J1244" s="11" t="s">
        <v>5814</v>
      </c>
      <c r="O1244" s="11">
        <v>2247.18</v>
      </c>
      <c r="Q1244" s="11" t="b">
        <v>1</v>
      </c>
    </row>
    <row r="1245">
      <c r="A1245" s="11" t="s">
        <v>5146</v>
      </c>
      <c r="B1245" s="11" t="s">
        <v>78</v>
      </c>
      <c r="C1245" s="18">
        <v>46140.0</v>
      </c>
      <c r="D1245" s="11" t="s">
        <v>3805</v>
      </c>
      <c r="E1245" s="11" t="s">
        <v>7691</v>
      </c>
      <c r="G1245" s="11" t="s">
        <v>7692</v>
      </c>
      <c r="H1245" s="11" t="s">
        <v>7693</v>
      </c>
      <c r="I1245" s="11" t="b">
        <v>1</v>
      </c>
      <c r="J1245" s="11" t="s">
        <v>5814</v>
      </c>
      <c r="O1245" s="11">
        <v>180.0</v>
      </c>
      <c r="P1245" s="11">
        <v>2153841.0</v>
      </c>
      <c r="Q1245" s="11" t="b">
        <v>1</v>
      </c>
    </row>
    <row r="1246">
      <c r="A1246" s="11" t="s">
        <v>5137</v>
      </c>
      <c r="B1246" s="11" t="s">
        <v>78</v>
      </c>
      <c r="C1246" s="18">
        <v>46137.0</v>
      </c>
      <c r="D1246" s="11" t="s">
        <v>7694</v>
      </c>
      <c r="E1246" s="11" t="s">
        <v>7695</v>
      </c>
      <c r="G1246" s="11" t="s">
        <v>7696</v>
      </c>
      <c r="H1246" s="11" t="s">
        <v>7697</v>
      </c>
      <c r="I1246" s="11" t="b">
        <v>0</v>
      </c>
      <c r="J1246" s="11" t="s">
        <v>5814</v>
      </c>
      <c r="O1246" s="11">
        <v>8542.05</v>
      </c>
      <c r="Q1246" s="11" t="b">
        <v>1</v>
      </c>
    </row>
    <row r="1247">
      <c r="A1247" s="11">
        <v>1940.0</v>
      </c>
      <c r="B1247" s="11" t="s">
        <v>78</v>
      </c>
      <c r="C1247" s="18">
        <v>46142.0</v>
      </c>
      <c r="H1247" s="11" t="s">
        <v>2638</v>
      </c>
      <c r="J1247" s="11" t="s">
        <v>187</v>
      </c>
      <c r="K1247" s="11" t="s">
        <v>225</v>
      </c>
      <c r="O1247" s="11">
        <v>3197.99</v>
      </c>
      <c r="Q1247" s="11" t="b">
        <v>1</v>
      </c>
    </row>
    <row r="1248">
      <c r="A1248" s="11">
        <v>1941.0</v>
      </c>
      <c r="B1248" s="11" t="s">
        <v>78</v>
      </c>
      <c r="C1248" s="18">
        <v>46142.0</v>
      </c>
      <c r="H1248" s="11" t="s">
        <v>2638</v>
      </c>
      <c r="J1248" s="11" t="s">
        <v>187</v>
      </c>
      <c r="K1248" s="11" t="s">
        <v>113</v>
      </c>
      <c r="O1248" s="11">
        <v>1060.93</v>
      </c>
      <c r="Q1248" s="11" t="b">
        <v>1</v>
      </c>
    </row>
    <row r="1249">
      <c r="A1249" s="11">
        <v>1942.0</v>
      </c>
      <c r="B1249" s="11" t="s">
        <v>78</v>
      </c>
      <c r="C1249" s="18">
        <v>46142.0</v>
      </c>
      <c r="H1249" s="11" t="s">
        <v>2638</v>
      </c>
      <c r="J1249" s="11" t="s">
        <v>187</v>
      </c>
      <c r="K1249" s="11" t="s">
        <v>126</v>
      </c>
      <c r="O1249" s="11">
        <v>2005.88</v>
      </c>
      <c r="Q1249" s="11" t="b">
        <v>1</v>
      </c>
    </row>
    <row r="1250">
      <c r="A1250" s="11">
        <v>1943.0</v>
      </c>
      <c r="B1250" s="11" t="s">
        <v>78</v>
      </c>
      <c r="C1250" s="18">
        <v>46142.0</v>
      </c>
      <c r="H1250" s="11" t="s">
        <v>2638</v>
      </c>
      <c r="J1250" s="11" t="s">
        <v>187</v>
      </c>
      <c r="K1250" s="11" t="s">
        <v>3739</v>
      </c>
      <c r="O1250" s="11">
        <v>0.0</v>
      </c>
      <c r="Q1250" s="11" t="b">
        <v>1</v>
      </c>
    </row>
    <row r="1251">
      <c r="A1251" s="11">
        <v>1944.0</v>
      </c>
      <c r="B1251" s="11" t="s">
        <v>78</v>
      </c>
      <c r="C1251" s="18">
        <v>46142.0</v>
      </c>
      <c r="H1251" s="11" t="s">
        <v>2638</v>
      </c>
      <c r="J1251" s="11" t="s">
        <v>187</v>
      </c>
      <c r="K1251" s="11" t="s">
        <v>145</v>
      </c>
      <c r="O1251" s="11">
        <v>2077.71</v>
      </c>
      <c r="Q1251" s="11" t="b">
        <v>1</v>
      </c>
    </row>
    <row r="1252">
      <c r="A1252" s="11" t="s">
        <v>5151</v>
      </c>
      <c r="B1252" s="11" t="s">
        <v>78</v>
      </c>
      <c r="C1252" s="18">
        <v>46142.0</v>
      </c>
      <c r="D1252" s="11" t="s">
        <v>992</v>
      </c>
      <c r="E1252" s="11" t="s">
        <v>7702</v>
      </c>
      <c r="G1252" s="11" t="s">
        <v>7703</v>
      </c>
      <c r="H1252" s="11" t="s">
        <v>3641</v>
      </c>
      <c r="I1252" s="11" t="b">
        <v>1</v>
      </c>
      <c r="J1252" s="11" t="s">
        <v>5814</v>
      </c>
      <c r="O1252" s="11">
        <v>125.0</v>
      </c>
      <c r="P1252" s="11">
        <v>2157194.0</v>
      </c>
      <c r="Q1252" s="11" t="b">
        <v>1</v>
      </c>
    </row>
    <row r="1253">
      <c r="A1253" s="11" t="s">
        <v>5160</v>
      </c>
      <c r="B1253" s="11" t="s">
        <v>78</v>
      </c>
      <c r="C1253" s="18">
        <v>46143.0</v>
      </c>
      <c r="D1253" s="11" t="s">
        <v>85</v>
      </c>
      <c r="E1253" s="11" t="s">
        <v>7707</v>
      </c>
      <c r="G1253" s="11" t="s">
        <v>7708</v>
      </c>
      <c r="H1253" s="11" t="s">
        <v>7709</v>
      </c>
      <c r="I1253" s="11" t="b">
        <v>1</v>
      </c>
      <c r="J1253" s="11" t="s">
        <v>5814</v>
      </c>
      <c r="O1253" s="11">
        <v>5.44</v>
      </c>
      <c r="P1253" s="11">
        <v>2158643.0</v>
      </c>
      <c r="Q1253" s="11" t="b">
        <v>1</v>
      </c>
    </row>
    <row r="1254">
      <c r="A1254" s="11" t="s">
        <v>5171</v>
      </c>
      <c r="B1254" s="11" t="s">
        <v>78</v>
      </c>
      <c r="C1254" s="18">
        <v>46144.0</v>
      </c>
      <c r="D1254" s="11" t="s">
        <v>85</v>
      </c>
      <c r="E1254" s="11" t="s">
        <v>7710</v>
      </c>
      <c r="G1254" s="11" t="s">
        <v>7711</v>
      </c>
      <c r="H1254" s="11" t="s">
        <v>7712</v>
      </c>
      <c r="I1254" s="11" t="b">
        <v>1</v>
      </c>
      <c r="J1254" s="11" t="s">
        <v>5814</v>
      </c>
      <c r="O1254" s="11">
        <v>28.43</v>
      </c>
      <c r="P1254" s="11">
        <v>2160849.0</v>
      </c>
      <c r="Q1254" s="11" t="b">
        <v>1</v>
      </c>
    </row>
    <row r="1255">
      <c r="A1255" s="11" t="s">
        <v>5164</v>
      </c>
      <c r="B1255" s="11" t="s">
        <v>78</v>
      </c>
      <c r="C1255" s="18">
        <v>46143.0</v>
      </c>
      <c r="D1255" s="11" t="s">
        <v>85</v>
      </c>
      <c r="E1255" s="11" t="s">
        <v>7714</v>
      </c>
      <c r="G1255" s="11" t="s">
        <v>7715</v>
      </c>
      <c r="H1255" s="11" t="s">
        <v>7716</v>
      </c>
      <c r="I1255" s="11" t="b">
        <v>1</v>
      </c>
      <c r="J1255" s="11" t="s">
        <v>5814</v>
      </c>
      <c r="O1255" s="11">
        <v>20.91</v>
      </c>
      <c r="P1255" s="11">
        <v>2157915.0</v>
      </c>
      <c r="Q1255" s="11" t="b">
        <v>1</v>
      </c>
    </row>
    <row r="1256">
      <c r="A1256" s="11" t="s">
        <v>5179</v>
      </c>
      <c r="B1256" s="11" t="s">
        <v>78</v>
      </c>
      <c r="C1256" s="18">
        <v>46145.0</v>
      </c>
      <c r="D1256" s="11" t="s">
        <v>2549</v>
      </c>
      <c r="E1256" s="11" t="s">
        <v>7722</v>
      </c>
      <c r="G1256" s="11" t="s">
        <v>7723</v>
      </c>
      <c r="H1256" s="11" t="s">
        <v>7724</v>
      </c>
      <c r="I1256" s="11" t="b">
        <v>1</v>
      </c>
      <c r="J1256" s="11" t="s">
        <v>5814</v>
      </c>
      <c r="O1256" s="11">
        <v>336.0</v>
      </c>
      <c r="P1256" s="11">
        <v>2163651.0</v>
      </c>
      <c r="Q1256" s="11" t="b">
        <v>1</v>
      </c>
    </row>
    <row r="1257">
      <c r="A1257" s="11" t="s">
        <v>5184</v>
      </c>
      <c r="B1257" s="11" t="s">
        <v>78</v>
      </c>
      <c r="C1257" s="18">
        <v>46146.0</v>
      </c>
      <c r="D1257" s="11" t="s">
        <v>7726</v>
      </c>
      <c r="E1257" s="11" t="s">
        <v>7727</v>
      </c>
      <c r="G1257" s="11" t="s">
        <v>7728</v>
      </c>
      <c r="H1257" s="11" t="s">
        <v>7729</v>
      </c>
      <c r="I1257" s="11" t="b">
        <v>1</v>
      </c>
      <c r="J1257" s="11" t="s">
        <v>5814</v>
      </c>
      <c r="O1257" s="11">
        <v>50.0</v>
      </c>
      <c r="P1257" s="11">
        <v>2165106.0</v>
      </c>
      <c r="Q1257" s="11" t="b">
        <v>1</v>
      </c>
    </row>
    <row r="1258">
      <c r="A1258" s="11" t="s">
        <v>3139</v>
      </c>
      <c r="B1258" s="11" t="s">
        <v>78</v>
      </c>
      <c r="C1258" s="18">
        <v>46146.0</v>
      </c>
      <c r="D1258" s="11" t="s">
        <v>237</v>
      </c>
      <c r="H1258" s="11" t="s">
        <v>7730</v>
      </c>
      <c r="J1258" s="11" t="s">
        <v>187</v>
      </c>
      <c r="O1258" s="11">
        <v>1.75</v>
      </c>
      <c r="Q1258" s="11" t="b">
        <v>1</v>
      </c>
    </row>
    <row r="1259">
      <c r="A1259" s="11" t="s">
        <v>3143</v>
      </c>
      <c r="B1259" s="11" t="s">
        <v>78</v>
      </c>
      <c r="C1259" s="18">
        <v>46146.0</v>
      </c>
      <c r="D1259" s="11" t="s">
        <v>237</v>
      </c>
      <c r="H1259" s="11" t="s">
        <v>7733</v>
      </c>
      <c r="J1259" s="11" t="s">
        <v>187</v>
      </c>
      <c r="O1259" s="11">
        <v>30.0</v>
      </c>
      <c r="Q1259" s="11" t="b">
        <v>1</v>
      </c>
    </row>
    <row r="1260">
      <c r="A1260" s="11" t="s">
        <v>3146</v>
      </c>
      <c r="B1260" s="11" t="s">
        <v>78</v>
      </c>
      <c r="C1260" s="18">
        <v>46146.0</v>
      </c>
      <c r="D1260" s="11" t="s">
        <v>237</v>
      </c>
      <c r="H1260" s="11" t="s">
        <v>7734</v>
      </c>
      <c r="J1260" s="11" t="s">
        <v>187</v>
      </c>
      <c r="O1260" s="11">
        <v>1167.0</v>
      </c>
      <c r="Q1260" s="11" t="b">
        <v>1</v>
      </c>
    </row>
    <row r="1261">
      <c r="A1261" s="11" t="s">
        <v>3149</v>
      </c>
      <c r="B1261" s="11" t="s">
        <v>78</v>
      </c>
      <c r="C1261" s="18">
        <v>46146.0</v>
      </c>
      <c r="D1261" s="11" t="s">
        <v>237</v>
      </c>
      <c r="H1261" s="11" t="s">
        <v>7737</v>
      </c>
      <c r="J1261" s="11" t="s">
        <v>187</v>
      </c>
      <c r="O1261" s="11">
        <v>487.32</v>
      </c>
      <c r="Q1261" s="11" t="b">
        <v>1</v>
      </c>
    </row>
    <row r="1262">
      <c r="A1262" s="11">
        <v>1954.0</v>
      </c>
      <c r="B1262" s="11" t="s">
        <v>78</v>
      </c>
      <c r="C1262" s="18">
        <v>46146.0</v>
      </c>
      <c r="D1262" s="11" t="s">
        <v>176</v>
      </c>
      <c r="H1262" s="11" t="s">
        <v>1440</v>
      </c>
      <c r="J1262" s="11" t="s">
        <v>187</v>
      </c>
      <c r="O1262" s="11">
        <v>533.95</v>
      </c>
      <c r="Q1262" s="11" t="b">
        <v>1</v>
      </c>
    </row>
    <row r="1263">
      <c r="A1263" s="11">
        <v>1955.0</v>
      </c>
      <c r="B1263" s="11" t="s">
        <v>78</v>
      </c>
      <c r="C1263" s="18">
        <v>46146.0</v>
      </c>
      <c r="D1263" s="11">
        <v>3.6037127E7</v>
      </c>
      <c r="H1263" s="11" t="s">
        <v>2162</v>
      </c>
      <c r="J1263" s="11" t="s">
        <v>187</v>
      </c>
      <c r="O1263" s="11">
        <v>120.0</v>
      </c>
      <c r="Q1263" s="11" t="b">
        <v>1</v>
      </c>
    </row>
    <row r="1264">
      <c r="A1264" s="11">
        <v>1956.0</v>
      </c>
      <c r="B1264" s="11" t="s">
        <v>78</v>
      </c>
      <c r="C1264" s="18">
        <v>46146.0</v>
      </c>
      <c r="D1264" s="11" t="s">
        <v>2509</v>
      </c>
      <c r="H1264" s="11" t="s">
        <v>2638</v>
      </c>
      <c r="J1264" s="11" t="s">
        <v>187</v>
      </c>
      <c r="O1264" s="11">
        <v>221.75</v>
      </c>
      <c r="Q1264" s="11" t="b">
        <v>1</v>
      </c>
    </row>
    <row r="1265">
      <c r="A1265" s="11">
        <v>1959.0</v>
      </c>
      <c r="B1265" s="11" t="s">
        <v>78</v>
      </c>
      <c r="C1265" s="18">
        <v>46146.0</v>
      </c>
      <c r="D1265" s="11" t="s">
        <v>5965</v>
      </c>
      <c r="H1265" s="11" t="s">
        <v>7740</v>
      </c>
      <c r="J1265" s="11" t="s">
        <v>187</v>
      </c>
      <c r="O1265" s="11">
        <v>1886.71</v>
      </c>
      <c r="Q1265" s="11" t="b">
        <v>1</v>
      </c>
    </row>
    <row r="1266">
      <c r="A1266" s="11" t="s">
        <v>5188</v>
      </c>
      <c r="B1266" s="11" t="s">
        <v>78</v>
      </c>
      <c r="C1266" s="18">
        <v>46147.0</v>
      </c>
      <c r="D1266" s="11" t="s">
        <v>1251</v>
      </c>
      <c r="E1266" s="11" t="s">
        <v>7742</v>
      </c>
      <c r="G1266" s="11" t="s">
        <v>7743</v>
      </c>
      <c r="H1266" s="11" t="s">
        <v>2825</v>
      </c>
      <c r="I1266" s="11" t="b">
        <v>1</v>
      </c>
      <c r="J1266" s="11" t="s">
        <v>5814</v>
      </c>
      <c r="O1266" s="11">
        <v>6.96</v>
      </c>
      <c r="P1266" s="11">
        <v>2166271.0</v>
      </c>
      <c r="Q1266" s="11" t="b">
        <v>1</v>
      </c>
    </row>
    <row r="1267">
      <c r="A1267" s="11" t="s">
        <v>5154</v>
      </c>
      <c r="B1267" s="11" t="s">
        <v>78</v>
      </c>
      <c r="C1267" s="18">
        <v>46142.0</v>
      </c>
      <c r="D1267" s="11" t="s">
        <v>7746</v>
      </c>
      <c r="E1267" s="11" t="s">
        <v>7747</v>
      </c>
      <c r="G1267" s="11" t="s">
        <v>7748</v>
      </c>
      <c r="H1267" s="11" t="s">
        <v>7749</v>
      </c>
      <c r="I1267" s="11" t="b">
        <v>1</v>
      </c>
      <c r="J1267" s="11" t="s">
        <v>5814</v>
      </c>
      <c r="O1267" s="11">
        <v>117.99</v>
      </c>
      <c r="P1267" s="11">
        <v>2156938.0</v>
      </c>
      <c r="Q1267" s="11" t="b">
        <v>1</v>
      </c>
    </row>
    <row r="1268">
      <c r="A1268" s="11" t="s">
        <v>5193</v>
      </c>
      <c r="B1268" s="11" t="s">
        <v>78</v>
      </c>
      <c r="C1268" s="18">
        <v>46147.0</v>
      </c>
      <c r="D1268" s="11" t="s">
        <v>237</v>
      </c>
      <c r="E1268" s="11" t="s">
        <v>7750</v>
      </c>
      <c r="G1268" s="11" t="s">
        <v>7751</v>
      </c>
      <c r="H1268" s="11" t="s">
        <v>7752</v>
      </c>
      <c r="I1268" s="11" t="b">
        <v>0</v>
      </c>
      <c r="J1268" s="11" t="s">
        <v>5814</v>
      </c>
      <c r="O1268" s="11">
        <v>381.49</v>
      </c>
      <c r="Q1268" s="11" t="b">
        <v>1</v>
      </c>
    </row>
    <row r="1269">
      <c r="A1269" s="11" t="s">
        <v>5201</v>
      </c>
      <c r="B1269" s="11" t="s">
        <v>78</v>
      </c>
      <c r="C1269" s="18">
        <v>46147.0</v>
      </c>
      <c r="D1269" s="11" t="s">
        <v>237</v>
      </c>
      <c r="E1269" s="11" t="s">
        <v>7755</v>
      </c>
      <c r="G1269" s="11" t="s">
        <v>7756</v>
      </c>
      <c r="H1269" s="11" t="s">
        <v>7757</v>
      </c>
      <c r="I1269" s="11" t="b">
        <v>0</v>
      </c>
      <c r="J1269" s="11" t="s">
        <v>5814</v>
      </c>
      <c r="O1269" s="11">
        <v>260.63</v>
      </c>
      <c r="Q1269" s="11" t="b">
        <v>1</v>
      </c>
    </row>
    <row r="1270">
      <c r="A1270" s="11" t="s">
        <v>5213</v>
      </c>
      <c r="B1270" s="11" t="s">
        <v>78</v>
      </c>
      <c r="C1270" s="18">
        <v>46147.0</v>
      </c>
      <c r="D1270" s="11" t="s">
        <v>237</v>
      </c>
      <c r="E1270" s="11" t="s">
        <v>7759</v>
      </c>
      <c r="G1270" s="11" t="s">
        <v>7760</v>
      </c>
      <c r="H1270" s="11" t="s">
        <v>7761</v>
      </c>
      <c r="I1270" s="11" t="b">
        <v>0</v>
      </c>
      <c r="J1270" s="11" t="s">
        <v>5814</v>
      </c>
      <c r="L1270" s="11" t="s">
        <v>7762</v>
      </c>
      <c r="O1270" s="11">
        <v>8309.58</v>
      </c>
      <c r="Q1270" s="11" t="b">
        <v>1</v>
      </c>
      <c r="S1270" s="11">
        <v>261.53</v>
      </c>
    </row>
    <row r="1271">
      <c r="A1271" s="11" t="s">
        <v>3164</v>
      </c>
      <c r="B1271" s="11" t="s">
        <v>78</v>
      </c>
      <c r="C1271" s="18">
        <v>46149.0</v>
      </c>
      <c r="D1271" s="11" t="s">
        <v>7763</v>
      </c>
      <c r="H1271" s="11" t="s">
        <v>7764</v>
      </c>
      <c r="J1271" s="11" t="s">
        <v>235</v>
      </c>
      <c r="O1271" s="11">
        <v>1249.8</v>
      </c>
      <c r="Q1271" s="11" t="b">
        <v>1</v>
      </c>
    </row>
    <row r="1272">
      <c r="A1272" s="11" t="s">
        <v>5241</v>
      </c>
      <c r="B1272" s="11" t="s">
        <v>78</v>
      </c>
      <c r="C1272" s="18">
        <v>46153.0</v>
      </c>
      <c r="D1272" s="11" t="s">
        <v>104</v>
      </c>
      <c r="E1272" s="11" t="s">
        <v>7767</v>
      </c>
      <c r="G1272" s="11" t="s">
        <v>7768</v>
      </c>
      <c r="H1272" s="11" t="s">
        <v>7769</v>
      </c>
      <c r="I1272" s="11" t="b">
        <v>1</v>
      </c>
      <c r="J1272" s="11" t="s">
        <v>5814</v>
      </c>
      <c r="O1272" s="11">
        <v>75.29</v>
      </c>
      <c r="P1272" s="11">
        <v>2176223.0</v>
      </c>
      <c r="Q1272" s="11" t="b">
        <v>1</v>
      </c>
    </row>
    <row r="1273">
      <c r="A1273" s="11" t="s">
        <v>5122</v>
      </c>
      <c r="B1273" s="11" t="s">
        <v>78</v>
      </c>
      <c r="C1273" s="18">
        <v>46135.0</v>
      </c>
      <c r="D1273" s="11">
        <v>1.848497E7</v>
      </c>
      <c r="E1273" s="11" t="s">
        <v>7771</v>
      </c>
      <c r="G1273" s="11" t="s">
        <v>7772</v>
      </c>
      <c r="H1273" s="11" t="s">
        <v>7773</v>
      </c>
      <c r="I1273" s="11" t="b">
        <v>1</v>
      </c>
      <c r="J1273" s="11" t="s">
        <v>5814</v>
      </c>
      <c r="O1273" s="11">
        <v>332.0</v>
      </c>
      <c r="P1273" s="11">
        <v>2168075.0</v>
      </c>
      <c r="Q1273" s="11" t="b">
        <v>1</v>
      </c>
    </row>
    <row r="1274">
      <c r="A1274" s="11" t="s">
        <v>5233</v>
      </c>
      <c r="B1274" s="11" t="s">
        <v>78</v>
      </c>
      <c r="C1274" s="18">
        <v>46152.0</v>
      </c>
      <c r="D1274" s="11" t="s">
        <v>6191</v>
      </c>
      <c r="E1274" s="11" t="s">
        <v>7774</v>
      </c>
      <c r="G1274" s="11" t="s">
        <v>7775</v>
      </c>
      <c r="H1274" s="11" t="s">
        <v>7776</v>
      </c>
      <c r="I1274" s="11" t="b">
        <v>1</v>
      </c>
      <c r="J1274" s="11" t="s">
        <v>5814</v>
      </c>
      <c r="O1274" s="11">
        <v>359.0</v>
      </c>
      <c r="P1274" s="11">
        <v>2174807.0</v>
      </c>
      <c r="Q1274" s="11" t="b">
        <v>1</v>
      </c>
    </row>
    <row r="1275">
      <c r="A1275" s="11" t="s">
        <v>5237</v>
      </c>
      <c r="B1275" s="11" t="s">
        <v>78</v>
      </c>
      <c r="C1275" s="18">
        <v>46152.0</v>
      </c>
      <c r="D1275" s="11" t="s">
        <v>2549</v>
      </c>
      <c r="E1275" s="11" t="s">
        <v>7778</v>
      </c>
      <c r="G1275" s="11" t="s">
        <v>7779</v>
      </c>
      <c r="H1275" s="11" t="s">
        <v>7780</v>
      </c>
      <c r="I1275" s="11" t="b">
        <v>1</v>
      </c>
      <c r="J1275" s="11" t="s">
        <v>5814</v>
      </c>
      <c r="O1275" s="11">
        <v>378.0</v>
      </c>
      <c r="P1275" s="11">
        <v>2175064.0</v>
      </c>
      <c r="Q1275" s="11" t="b">
        <v>1</v>
      </c>
    </row>
    <row r="1276">
      <c r="A1276" s="11" t="s">
        <v>5257</v>
      </c>
      <c r="B1276" s="11" t="s">
        <v>78</v>
      </c>
      <c r="C1276" s="18">
        <v>46153.0</v>
      </c>
      <c r="D1276" s="11" t="s">
        <v>992</v>
      </c>
      <c r="E1276" s="11" t="s">
        <v>7782</v>
      </c>
      <c r="G1276" s="11" t="s">
        <v>7783</v>
      </c>
      <c r="H1276" s="11" t="s">
        <v>7200</v>
      </c>
      <c r="I1276" s="11" t="b">
        <v>1</v>
      </c>
      <c r="J1276" s="11" t="s">
        <v>5814</v>
      </c>
      <c r="O1276" s="11">
        <v>125.0</v>
      </c>
      <c r="P1276" s="11">
        <v>2176100.0</v>
      </c>
      <c r="Q1276" s="11" t="b">
        <v>1</v>
      </c>
    </row>
    <row r="1277">
      <c r="A1277" s="11">
        <v>1957.0</v>
      </c>
      <c r="B1277" s="11" t="s">
        <v>78</v>
      </c>
      <c r="C1277" s="18">
        <v>46153.0</v>
      </c>
      <c r="D1277" s="11" t="s">
        <v>1676</v>
      </c>
      <c r="H1277" s="11" t="s">
        <v>2802</v>
      </c>
      <c r="J1277" s="11" t="s">
        <v>187</v>
      </c>
      <c r="O1277" s="11">
        <v>967.67</v>
      </c>
      <c r="Q1277" s="11" t="b">
        <v>1</v>
      </c>
    </row>
    <row r="1278">
      <c r="A1278" s="11">
        <v>1958.0</v>
      </c>
      <c r="B1278" s="11" t="s">
        <v>78</v>
      </c>
      <c r="C1278" s="18">
        <v>46153.0</v>
      </c>
      <c r="D1278" s="11" t="s">
        <v>2535</v>
      </c>
      <c r="H1278" s="11" t="s">
        <v>2638</v>
      </c>
      <c r="J1278" s="11" t="s">
        <v>187</v>
      </c>
      <c r="O1278" s="11">
        <v>65.69</v>
      </c>
      <c r="Q1278" s="11" t="b">
        <v>1</v>
      </c>
    </row>
    <row r="1279">
      <c r="A1279" s="11">
        <v>1960.0</v>
      </c>
      <c r="B1279" s="11" t="s">
        <v>78</v>
      </c>
      <c r="C1279" s="18">
        <v>46153.0</v>
      </c>
      <c r="D1279" s="11" t="s">
        <v>547</v>
      </c>
      <c r="H1279" s="11" t="s">
        <v>973</v>
      </c>
      <c r="J1279" s="11" t="s">
        <v>187</v>
      </c>
      <c r="O1279" s="11">
        <v>1098.0</v>
      </c>
      <c r="Q1279" s="11" t="b">
        <v>1</v>
      </c>
    </row>
    <row r="1280">
      <c r="A1280" s="11">
        <v>1961.0</v>
      </c>
      <c r="B1280" s="11" t="s">
        <v>78</v>
      </c>
      <c r="C1280" s="18">
        <v>46153.0</v>
      </c>
      <c r="D1280" s="11" t="s">
        <v>547</v>
      </c>
      <c r="H1280" s="11" t="s">
        <v>964</v>
      </c>
      <c r="J1280" s="11" t="s">
        <v>187</v>
      </c>
      <c r="O1280" s="11">
        <v>1033.0</v>
      </c>
      <c r="Q1280" s="11" t="b">
        <v>1</v>
      </c>
    </row>
    <row r="1281">
      <c r="A1281" s="11">
        <v>1962.0</v>
      </c>
      <c r="B1281" s="11" t="s">
        <v>78</v>
      </c>
      <c r="C1281" s="18">
        <v>46153.0</v>
      </c>
      <c r="D1281" s="11" t="s">
        <v>547</v>
      </c>
      <c r="H1281" s="11" t="s">
        <v>955</v>
      </c>
      <c r="J1281" s="11" t="s">
        <v>187</v>
      </c>
      <c r="O1281" s="11">
        <v>396.0</v>
      </c>
      <c r="Q1281" s="11" t="b">
        <v>1</v>
      </c>
    </row>
    <row r="1282">
      <c r="A1282" s="11">
        <v>1963.0</v>
      </c>
      <c r="B1282" s="11" t="s">
        <v>78</v>
      </c>
      <c r="C1282" s="18">
        <v>46153.0</v>
      </c>
      <c r="D1282" s="11" t="s">
        <v>192</v>
      </c>
      <c r="H1282" s="11" t="s">
        <v>195</v>
      </c>
      <c r="J1282" s="11" t="s">
        <v>187</v>
      </c>
      <c r="O1282" s="11">
        <v>2500.0</v>
      </c>
      <c r="Q1282" s="11" t="b">
        <v>1</v>
      </c>
    </row>
    <row r="1283">
      <c r="A1283" s="11">
        <v>1964.0</v>
      </c>
      <c r="B1283" s="11" t="s">
        <v>78</v>
      </c>
      <c r="C1283" s="18">
        <v>46153.0</v>
      </c>
      <c r="D1283" s="11" t="s">
        <v>1217</v>
      </c>
      <c r="H1283" s="11" t="s">
        <v>7554</v>
      </c>
      <c r="J1283" s="11" t="s">
        <v>187</v>
      </c>
      <c r="O1283" s="11">
        <v>131.9</v>
      </c>
      <c r="Q1283" s="11" t="b">
        <v>1</v>
      </c>
    </row>
    <row r="1284">
      <c r="A1284" s="11">
        <v>1965.0</v>
      </c>
      <c r="B1284" s="11" t="s">
        <v>78</v>
      </c>
      <c r="C1284" s="18">
        <v>46153.0</v>
      </c>
      <c r="D1284" s="11" t="s">
        <v>415</v>
      </c>
      <c r="H1284" s="11" t="s">
        <v>7789</v>
      </c>
      <c r="J1284" s="11" t="s">
        <v>187</v>
      </c>
      <c r="O1284" s="11">
        <v>121.9</v>
      </c>
      <c r="Q1284" s="11" t="b">
        <v>1</v>
      </c>
    </row>
    <row r="1285">
      <c r="A1285" s="11" t="s">
        <v>3188</v>
      </c>
      <c r="B1285" s="11" t="s">
        <v>78</v>
      </c>
      <c r="C1285" s="18">
        <v>46155.0</v>
      </c>
      <c r="H1285" s="11" t="s">
        <v>7792</v>
      </c>
      <c r="J1285" s="11" t="s">
        <v>187</v>
      </c>
      <c r="K1285" s="11" t="s">
        <v>225</v>
      </c>
      <c r="O1285" s="11">
        <v>3904.33</v>
      </c>
      <c r="Q1285" s="11" t="b">
        <v>1</v>
      </c>
    </row>
    <row r="1286">
      <c r="A1286" s="11" t="s">
        <v>3195</v>
      </c>
      <c r="B1286" s="11" t="s">
        <v>78</v>
      </c>
      <c r="C1286" s="18">
        <v>46155.0</v>
      </c>
      <c r="H1286" s="11" t="s">
        <v>7793</v>
      </c>
      <c r="J1286" s="11" t="s">
        <v>187</v>
      </c>
      <c r="K1286" s="11" t="s">
        <v>126</v>
      </c>
      <c r="O1286" s="11">
        <v>500.0</v>
      </c>
      <c r="Q1286" s="11" t="b">
        <v>1</v>
      </c>
    </row>
    <row r="1287">
      <c r="A1287" s="11" t="s">
        <v>5224</v>
      </c>
      <c r="B1287" s="11" t="s">
        <v>78</v>
      </c>
      <c r="C1287" s="18">
        <v>46149.0</v>
      </c>
      <c r="D1287" s="11" t="s">
        <v>237</v>
      </c>
      <c r="E1287" s="11" t="s">
        <v>7795</v>
      </c>
      <c r="G1287" s="11" t="s">
        <v>7797</v>
      </c>
      <c r="H1287" s="11" t="s">
        <v>7798</v>
      </c>
      <c r="I1287" s="11" t="b">
        <v>0</v>
      </c>
      <c r="J1287" s="11" t="s">
        <v>5814</v>
      </c>
      <c r="O1287" s="11">
        <v>3053.59</v>
      </c>
      <c r="Q1287" s="11" t="b">
        <v>1</v>
      </c>
    </row>
    <row r="1288">
      <c r="A1288" s="11" t="s">
        <v>5261</v>
      </c>
      <c r="B1288" s="11" t="s">
        <v>78</v>
      </c>
      <c r="C1288" s="18">
        <v>46157.0</v>
      </c>
      <c r="D1288" s="11" t="s">
        <v>992</v>
      </c>
      <c r="E1288" s="11" t="s">
        <v>7800</v>
      </c>
      <c r="G1288" s="11" t="s">
        <v>7801</v>
      </c>
      <c r="H1288" s="11" t="s">
        <v>7802</v>
      </c>
      <c r="I1288" s="11" t="b">
        <v>1</v>
      </c>
      <c r="J1288" s="11" t="s">
        <v>5814</v>
      </c>
      <c r="O1288" s="11">
        <v>84.0</v>
      </c>
      <c r="P1288" s="11">
        <v>2181129.0</v>
      </c>
      <c r="Q1288" s="11" t="b">
        <v>1</v>
      </c>
    </row>
    <row r="1289">
      <c r="A1289" s="11" t="s">
        <v>5436</v>
      </c>
      <c r="B1289" s="11" t="s">
        <v>78</v>
      </c>
      <c r="C1289" s="18">
        <v>46158.0</v>
      </c>
      <c r="D1289" s="11" t="s">
        <v>7583</v>
      </c>
      <c r="E1289" s="11" t="s">
        <v>7804</v>
      </c>
      <c r="G1289" s="11" t="s">
        <v>7805</v>
      </c>
      <c r="H1289" s="11" t="s">
        <v>7806</v>
      </c>
      <c r="I1289" s="11" t="b">
        <v>1</v>
      </c>
      <c r="J1289" s="11" t="s">
        <v>5814</v>
      </c>
      <c r="O1289" s="11">
        <v>50.38</v>
      </c>
      <c r="P1289" s="11">
        <v>2182856.0</v>
      </c>
      <c r="Q1289" s="11" t="b">
        <v>1</v>
      </c>
    </row>
    <row r="1290">
      <c r="A1290" s="11" t="s">
        <v>5266</v>
      </c>
      <c r="B1290" s="11" t="s">
        <v>78</v>
      </c>
      <c r="C1290" s="18">
        <v>46158.0</v>
      </c>
      <c r="D1290" s="11" t="s">
        <v>1251</v>
      </c>
      <c r="E1290" s="11" t="s">
        <v>7807</v>
      </c>
      <c r="G1290" s="11" t="s">
        <v>7808</v>
      </c>
      <c r="H1290" s="11" t="s">
        <v>7809</v>
      </c>
      <c r="I1290" s="11" t="b">
        <v>1</v>
      </c>
      <c r="J1290" s="11" t="s">
        <v>5814</v>
      </c>
      <c r="O1290" s="11">
        <v>22.58</v>
      </c>
      <c r="P1290" s="11">
        <v>2182807.0</v>
      </c>
      <c r="Q1290" s="11" t="b">
        <v>1</v>
      </c>
    </row>
    <row r="1291">
      <c r="A1291" s="11" t="s">
        <v>3200</v>
      </c>
      <c r="B1291" s="11" t="s">
        <v>78</v>
      </c>
      <c r="C1291" s="18">
        <v>46160.0</v>
      </c>
      <c r="D1291" s="11" t="s">
        <v>237</v>
      </c>
      <c r="H1291" s="11" t="s">
        <v>7810</v>
      </c>
      <c r="J1291" s="11" t="s">
        <v>187</v>
      </c>
      <c r="O1291" s="11">
        <v>1843.2</v>
      </c>
      <c r="Q1291" s="11" t="b">
        <v>1</v>
      </c>
    </row>
    <row r="1292">
      <c r="A1292" s="11" t="s">
        <v>3204</v>
      </c>
      <c r="B1292" s="11" t="s">
        <v>78</v>
      </c>
      <c r="C1292" s="18">
        <v>46160.0</v>
      </c>
      <c r="D1292" s="11" t="s">
        <v>237</v>
      </c>
      <c r="H1292" s="11" t="s">
        <v>7811</v>
      </c>
      <c r="J1292" s="11" t="s">
        <v>187</v>
      </c>
      <c r="O1292" s="11">
        <v>82.73</v>
      </c>
      <c r="Q1292" s="11" t="b">
        <v>1</v>
      </c>
    </row>
    <row r="1293">
      <c r="A1293" s="11">
        <v>1973.0</v>
      </c>
      <c r="B1293" s="11" t="s">
        <v>78</v>
      </c>
      <c r="C1293" s="18">
        <v>46160.0</v>
      </c>
      <c r="D1293" s="11" t="s">
        <v>1046</v>
      </c>
      <c r="H1293" s="11" t="s">
        <v>1557</v>
      </c>
      <c r="J1293" s="11" t="s">
        <v>187</v>
      </c>
      <c r="O1293" s="11">
        <v>5606.9</v>
      </c>
      <c r="Q1293" s="11" t="b">
        <v>1</v>
      </c>
    </row>
    <row r="1294">
      <c r="A1294" s="11">
        <v>1974.0</v>
      </c>
      <c r="B1294" s="11" t="s">
        <v>78</v>
      </c>
      <c r="C1294" s="18">
        <v>46160.0</v>
      </c>
      <c r="D1294" s="11" t="s">
        <v>1046</v>
      </c>
      <c r="H1294" s="11" t="s">
        <v>2638</v>
      </c>
      <c r="J1294" s="11" t="s">
        <v>187</v>
      </c>
      <c r="O1294" s="11">
        <v>1513.25</v>
      </c>
      <c r="Q1294" s="11" t="b">
        <v>1</v>
      </c>
    </row>
    <row r="1295">
      <c r="A1295" s="11" t="s">
        <v>3215</v>
      </c>
      <c r="B1295" s="11" t="s">
        <v>78</v>
      </c>
      <c r="C1295" s="18">
        <v>46160.0</v>
      </c>
      <c r="D1295" s="11" t="s">
        <v>237</v>
      </c>
      <c r="H1295" s="11" t="s">
        <v>7813</v>
      </c>
      <c r="J1295" s="11" t="s">
        <v>187</v>
      </c>
      <c r="O1295" s="11">
        <v>662.2</v>
      </c>
      <c r="Q1295" s="11" t="b">
        <v>1</v>
      </c>
    </row>
    <row r="1296">
      <c r="A1296" s="11" t="s">
        <v>3220</v>
      </c>
      <c r="B1296" s="11" t="s">
        <v>78</v>
      </c>
      <c r="C1296" s="18">
        <v>46160.0</v>
      </c>
      <c r="D1296" s="11" t="s">
        <v>237</v>
      </c>
      <c r="H1296" s="11" t="s">
        <v>7814</v>
      </c>
      <c r="J1296" s="11" t="s">
        <v>187</v>
      </c>
      <c r="O1296" s="11">
        <v>56.0</v>
      </c>
      <c r="Q1296" s="11" t="b">
        <v>1</v>
      </c>
    </row>
    <row r="1297">
      <c r="A1297" s="11">
        <v>1966.0</v>
      </c>
      <c r="B1297" s="11" t="s">
        <v>78</v>
      </c>
      <c r="C1297" s="18">
        <v>46161.0</v>
      </c>
      <c r="D1297" s="11" t="s">
        <v>1046</v>
      </c>
      <c r="H1297" s="11" t="s">
        <v>7815</v>
      </c>
      <c r="J1297" s="11" t="s">
        <v>187</v>
      </c>
      <c r="O1297" s="11">
        <v>0.0</v>
      </c>
      <c r="Q1297" s="11" t="b">
        <v>1</v>
      </c>
    </row>
    <row r="1298">
      <c r="A1298" s="11" t="s">
        <v>3229</v>
      </c>
      <c r="B1298" s="11" t="s">
        <v>78</v>
      </c>
      <c r="C1298" s="18">
        <v>46161.0</v>
      </c>
      <c r="D1298" s="11" t="s">
        <v>1567</v>
      </c>
      <c r="H1298" s="11" t="s">
        <v>59</v>
      </c>
      <c r="J1298" s="11" t="s">
        <v>187</v>
      </c>
      <c r="O1298" s="11">
        <v>540.71</v>
      </c>
      <c r="Q1298" s="11" t="b">
        <v>1</v>
      </c>
    </row>
    <row r="1299">
      <c r="A1299" s="11" t="s">
        <v>5304</v>
      </c>
      <c r="B1299" s="11" t="s">
        <v>78</v>
      </c>
      <c r="C1299" s="18">
        <v>46163.0</v>
      </c>
      <c r="D1299" s="11" t="s">
        <v>104</v>
      </c>
      <c r="E1299" s="11" t="s">
        <v>7816</v>
      </c>
      <c r="G1299" s="11" t="s">
        <v>7818</v>
      </c>
      <c r="H1299" s="11" t="s">
        <v>7819</v>
      </c>
      <c r="I1299" s="11" t="b">
        <v>1</v>
      </c>
      <c r="J1299" s="11" t="s">
        <v>5814</v>
      </c>
      <c r="O1299" s="11">
        <v>51.92</v>
      </c>
      <c r="P1299" s="11">
        <v>2190120.0</v>
      </c>
      <c r="Q1299" s="11" t="b">
        <v>1</v>
      </c>
    </row>
    <row r="1300">
      <c r="A1300" s="11" t="s">
        <v>5274</v>
      </c>
      <c r="B1300" s="11" t="s">
        <v>78</v>
      </c>
      <c r="C1300" s="18">
        <v>46159.0</v>
      </c>
      <c r="D1300" s="11" t="s">
        <v>2549</v>
      </c>
      <c r="E1300" s="11" t="s">
        <v>7821</v>
      </c>
      <c r="G1300" s="11" t="s">
        <v>7822</v>
      </c>
      <c r="H1300" s="11" t="s">
        <v>7823</v>
      </c>
      <c r="I1300" s="11" t="b">
        <v>1</v>
      </c>
      <c r="J1300" s="11" t="s">
        <v>5814</v>
      </c>
      <c r="O1300" s="11">
        <v>174.0</v>
      </c>
      <c r="P1300" s="11">
        <v>2184811.0</v>
      </c>
      <c r="Q1300" s="11" t="b">
        <v>1</v>
      </c>
    </row>
    <row r="1301">
      <c r="A1301" s="11" t="s">
        <v>5280</v>
      </c>
      <c r="B1301" s="11" t="s">
        <v>78</v>
      </c>
      <c r="C1301" s="18">
        <v>46162.0</v>
      </c>
      <c r="D1301" s="11" t="s">
        <v>992</v>
      </c>
      <c r="E1301" s="11" t="s">
        <v>7824</v>
      </c>
      <c r="G1301" s="11" t="s">
        <v>7825</v>
      </c>
      <c r="H1301" s="11" t="s">
        <v>7200</v>
      </c>
      <c r="I1301" s="11" t="b">
        <v>1</v>
      </c>
      <c r="J1301" s="11" t="s">
        <v>5814</v>
      </c>
      <c r="O1301" s="11">
        <v>140.0</v>
      </c>
      <c r="P1301" s="11">
        <v>2188890.0</v>
      </c>
      <c r="Q1301" s="11" t="b">
        <v>1</v>
      </c>
    </row>
    <row r="1302">
      <c r="A1302" s="11" t="s">
        <v>5284</v>
      </c>
      <c r="B1302" s="11" t="s">
        <v>78</v>
      </c>
      <c r="C1302" s="18">
        <v>46162.0</v>
      </c>
      <c r="D1302" s="11" t="s">
        <v>237</v>
      </c>
      <c r="E1302" s="11" t="s">
        <v>7826</v>
      </c>
      <c r="G1302" s="11" t="s">
        <v>7827</v>
      </c>
      <c r="H1302" s="11" t="s">
        <v>7828</v>
      </c>
      <c r="I1302" s="11" t="b">
        <v>0</v>
      </c>
      <c r="J1302" s="11" t="s">
        <v>5814</v>
      </c>
      <c r="O1302" s="11">
        <v>1528.28</v>
      </c>
      <c r="Q1302" s="11" t="b">
        <v>1</v>
      </c>
    </row>
    <row r="1303">
      <c r="A1303" s="11" t="s">
        <v>5294</v>
      </c>
      <c r="B1303" s="11" t="s">
        <v>78</v>
      </c>
      <c r="C1303" s="18">
        <v>46162.0</v>
      </c>
      <c r="D1303" s="11" t="s">
        <v>237</v>
      </c>
      <c r="E1303" s="11" t="s">
        <v>7831</v>
      </c>
      <c r="G1303" s="11" t="s">
        <v>7832</v>
      </c>
      <c r="H1303" s="11" t="s">
        <v>7833</v>
      </c>
      <c r="I1303" s="11" t="b">
        <v>0</v>
      </c>
      <c r="J1303" s="11" t="s">
        <v>5814</v>
      </c>
      <c r="O1303" s="11">
        <v>111.35</v>
      </c>
      <c r="Q1303" s="11" t="b">
        <v>1</v>
      </c>
    </row>
    <row r="1304">
      <c r="A1304" s="11">
        <v>1980.0</v>
      </c>
      <c r="B1304" s="11" t="s">
        <v>78</v>
      </c>
      <c r="C1304" s="18">
        <v>46167.0</v>
      </c>
      <c r="D1304" s="11" t="s">
        <v>415</v>
      </c>
      <c r="H1304" s="18">
        <v>46303.0</v>
      </c>
      <c r="J1304" s="11" t="s">
        <v>187</v>
      </c>
      <c r="O1304" s="11">
        <v>190.34</v>
      </c>
      <c r="Q1304" s="11" t="b">
        <v>1</v>
      </c>
    </row>
    <row r="1305">
      <c r="A1305" s="11">
        <v>1982.0</v>
      </c>
      <c r="B1305" s="11" t="s">
        <v>78</v>
      </c>
      <c r="C1305" s="18">
        <v>46167.0</v>
      </c>
      <c r="H1305" s="11" t="s">
        <v>681</v>
      </c>
      <c r="J1305" s="11" t="s">
        <v>187</v>
      </c>
      <c r="K1305" s="11" t="s">
        <v>685</v>
      </c>
      <c r="O1305" s="11">
        <v>3727.0</v>
      </c>
      <c r="Q1305" s="11" t="b">
        <v>1</v>
      </c>
    </row>
    <row r="1306">
      <c r="A1306" s="11">
        <v>1983.0</v>
      </c>
      <c r="B1306" s="11" t="s">
        <v>78</v>
      </c>
      <c r="C1306" s="18">
        <v>46167.0</v>
      </c>
      <c r="H1306" s="11" t="s">
        <v>687</v>
      </c>
      <c r="J1306" s="11" t="s">
        <v>187</v>
      </c>
      <c r="K1306" s="11" t="s">
        <v>3675</v>
      </c>
      <c r="O1306" s="11">
        <v>312.0</v>
      </c>
      <c r="Q1306" s="11" t="b">
        <v>1</v>
      </c>
    </row>
    <row r="1307">
      <c r="A1307" s="11">
        <v>1984.0</v>
      </c>
      <c r="B1307" s="11" t="s">
        <v>78</v>
      </c>
      <c r="C1307" s="18">
        <v>46167.0</v>
      </c>
      <c r="H1307" s="11" t="s">
        <v>687</v>
      </c>
      <c r="J1307" s="11" t="s">
        <v>187</v>
      </c>
      <c r="K1307" s="11" t="s">
        <v>704</v>
      </c>
      <c r="O1307" s="11">
        <v>312.0</v>
      </c>
      <c r="Q1307" s="11" t="b">
        <v>1</v>
      </c>
    </row>
    <row r="1308">
      <c r="A1308" s="11">
        <v>1985.0</v>
      </c>
      <c r="B1308" s="11" t="s">
        <v>78</v>
      </c>
      <c r="C1308" s="18">
        <v>46167.0</v>
      </c>
      <c r="D1308" s="11" t="s">
        <v>415</v>
      </c>
      <c r="H1308" s="11" t="s">
        <v>1015</v>
      </c>
      <c r="J1308" s="11" t="s">
        <v>187</v>
      </c>
      <c r="O1308" s="11">
        <v>22.0</v>
      </c>
      <c r="Q1308" s="11" t="b">
        <v>1</v>
      </c>
    </row>
    <row r="1309">
      <c r="A1309" s="11">
        <v>1986.0</v>
      </c>
      <c r="B1309" s="11" t="s">
        <v>78</v>
      </c>
      <c r="C1309" s="18">
        <v>46167.0</v>
      </c>
      <c r="D1309" s="11" t="s">
        <v>415</v>
      </c>
      <c r="H1309" s="11" t="s">
        <v>1022</v>
      </c>
      <c r="J1309" s="11" t="s">
        <v>187</v>
      </c>
      <c r="O1309" s="11">
        <v>10.0</v>
      </c>
      <c r="Q1309" s="11" t="b">
        <v>1</v>
      </c>
    </row>
    <row r="1310">
      <c r="A1310" s="11">
        <v>1993.0</v>
      </c>
      <c r="B1310" s="11" t="s">
        <v>78</v>
      </c>
      <c r="C1310" s="18">
        <v>46167.0</v>
      </c>
      <c r="D1310" s="11" t="s">
        <v>415</v>
      </c>
      <c r="H1310" s="18">
        <v>46296.0</v>
      </c>
      <c r="J1310" s="11" t="s">
        <v>187</v>
      </c>
      <c r="O1310" s="11">
        <v>855.0</v>
      </c>
      <c r="Q1310" s="11" t="b">
        <v>1</v>
      </c>
    </row>
    <row r="1311">
      <c r="A1311" s="11" t="s">
        <v>3261</v>
      </c>
      <c r="B1311" s="11" t="s">
        <v>78</v>
      </c>
      <c r="C1311" s="18">
        <v>46167.0</v>
      </c>
      <c r="D1311" s="11" t="s">
        <v>237</v>
      </c>
      <c r="H1311" s="11" t="s">
        <v>7838</v>
      </c>
      <c r="J1311" s="11" t="s">
        <v>187</v>
      </c>
      <c r="O1311" s="11">
        <v>322.0</v>
      </c>
      <c r="Q1311" s="11" t="b">
        <v>1</v>
      </c>
    </row>
    <row r="1312">
      <c r="A1312" s="11" t="s">
        <v>5321</v>
      </c>
      <c r="B1312" s="11" t="s">
        <v>78</v>
      </c>
      <c r="C1312" s="18">
        <v>46164.0</v>
      </c>
      <c r="D1312" s="11" t="s">
        <v>85</v>
      </c>
      <c r="E1312" s="11" t="s">
        <v>7840</v>
      </c>
      <c r="G1312" s="11" t="s">
        <v>7841</v>
      </c>
      <c r="H1312" s="11" t="s">
        <v>7842</v>
      </c>
      <c r="I1312" s="11" t="b">
        <v>1</v>
      </c>
      <c r="J1312" s="11" t="s">
        <v>5814</v>
      </c>
      <c r="O1312" s="11">
        <v>25.92</v>
      </c>
      <c r="P1312" s="11">
        <v>2191353.0</v>
      </c>
      <c r="Q1312" s="11" t="b">
        <v>1</v>
      </c>
    </row>
    <row r="1313">
      <c r="A1313" s="11" t="s">
        <v>5334</v>
      </c>
      <c r="B1313" s="11" t="s">
        <v>78</v>
      </c>
      <c r="C1313" s="18">
        <v>46166.0</v>
      </c>
      <c r="D1313" s="11" t="s">
        <v>2549</v>
      </c>
      <c r="E1313" s="11" t="s">
        <v>7843</v>
      </c>
      <c r="G1313" s="11" t="s">
        <v>7844</v>
      </c>
      <c r="H1313" s="11" t="s">
        <v>7845</v>
      </c>
      <c r="I1313" s="11" t="b">
        <v>1</v>
      </c>
      <c r="J1313" s="11" t="s">
        <v>5814</v>
      </c>
      <c r="O1313" s="11">
        <v>348.0</v>
      </c>
      <c r="P1313" s="11">
        <v>2194188.0</v>
      </c>
      <c r="Q1313" s="11" t="b">
        <v>1</v>
      </c>
    </row>
    <row r="1314">
      <c r="A1314" s="11" t="s">
        <v>266</v>
      </c>
      <c r="B1314" s="11" t="s">
        <v>78</v>
      </c>
      <c r="C1314" s="18">
        <v>46170.0</v>
      </c>
      <c r="D1314" s="11" t="s">
        <v>7847</v>
      </c>
      <c r="E1314" s="11" t="s">
        <v>7848</v>
      </c>
      <c r="G1314" s="11" t="s">
        <v>7849</v>
      </c>
      <c r="H1314" s="11" t="s">
        <v>781</v>
      </c>
      <c r="I1314" s="11" t="b">
        <v>1</v>
      </c>
      <c r="J1314" s="11" t="s">
        <v>5814</v>
      </c>
      <c r="O1314" s="11">
        <v>4.0</v>
      </c>
      <c r="P1314" s="11">
        <v>2199998.0</v>
      </c>
      <c r="Q1314" s="11" t="b">
        <v>1</v>
      </c>
    </row>
    <row r="1315">
      <c r="A1315" s="11" t="s">
        <v>137</v>
      </c>
      <c r="B1315" s="11" t="s">
        <v>78</v>
      </c>
      <c r="C1315" s="18">
        <v>46168.0</v>
      </c>
      <c r="D1315" s="11" t="s">
        <v>104</v>
      </c>
      <c r="E1315" s="11" t="s">
        <v>7851</v>
      </c>
      <c r="G1315" s="11" t="s">
        <v>7852</v>
      </c>
      <c r="H1315" s="11" t="s">
        <v>7853</v>
      </c>
      <c r="I1315" s="11" t="b">
        <v>1</v>
      </c>
      <c r="J1315" s="11" t="s">
        <v>5814</v>
      </c>
      <c r="O1315" s="11">
        <v>59.66</v>
      </c>
      <c r="P1315" s="11">
        <v>2197058.0</v>
      </c>
      <c r="Q1315" s="11" t="b">
        <v>1</v>
      </c>
    </row>
    <row r="1316">
      <c r="A1316" s="11" t="s">
        <v>199</v>
      </c>
      <c r="B1316" s="11" t="s">
        <v>78</v>
      </c>
      <c r="C1316" s="18">
        <v>46169.0</v>
      </c>
      <c r="D1316" s="11" t="s">
        <v>7000</v>
      </c>
      <c r="E1316" s="11" t="s">
        <v>7854</v>
      </c>
      <c r="G1316" s="11" t="s">
        <v>7855</v>
      </c>
      <c r="H1316" s="11" t="s">
        <v>7856</v>
      </c>
      <c r="I1316" s="11" t="b">
        <v>1</v>
      </c>
      <c r="J1316" s="11" t="s">
        <v>5814</v>
      </c>
      <c r="O1316" s="11">
        <v>43.35</v>
      </c>
      <c r="P1316" s="11">
        <v>2198682.0</v>
      </c>
      <c r="Q1316" s="11" t="b">
        <v>1</v>
      </c>
    </row>
    <row r="1317">
      <c r="A1317" s="11" t="s">
        <v>293</v>
      </c>
      <c r="B1317" s="11" t="s">
        <v>78</v>
      </c>
      <c r="C1317" s="18">
        <v>46171.0</v>
      </c>
      <c r="D1317" s="11" t="s">
        <v>992</v>
      </c>
      <c r="E1317" s="11" t="s">
        <v>7858</v>
      </c>
      <c r="G1317" s="11" t="s">
        <v>7859</v>
      </c>
      <c r="H1317" s="11" t="s">
        <v>7860</v>
      </c>
      <c r="I1317" s="11" t="b">
        <v>1</v>
      </c>
      <c r="J1317" s="11" t="s">
        <v>5814</v>
      </c>
      <c r="O1317" s="11">
        <v>140.0</v>
      </c>
      <c r="P1317" s="11">
        <v>2201180.0</v>
      </c>
      <c r="Q1317" s="11" t="b">
        <v>1</v>
      </c>
    </row>
    <row r="1318">
      <c r="A1318" s="11" t="s">
        <v>330</v>
      </c>
      <c r="B1318" s="11" t="s">
        <v>78</v>
      </c>
      <c r="C1318" s="18">
        <v>46171.0</v>
      </c>
      <c r="D1318" s="11">
        <v>1.848497E7</v>
      </c>
      <c r="E1318" s="11" t="s">
        <v>7862</v>
      </c>
      <c r="G1318" s="11" t="s">
        <v>7863</v>
      </c>
      <c r="H1318" s="11" t="s">
        <v>7864</v>
      </c>
      <c r="I1318" s="11" t="b">
        <v>1</v>
      </c>
      <c r="J1318" s="11" t="s">
        <v>5814</v>
      </c>
      <c r="O1318" s="11">
        <v>32.0</v>
      </c>
      <c r="P1318" s="11">
        <v>2201216.0</v>
      </c>
      <c r="Q1318" s="11" t="b">
        <v>1</v>
      </c>
    </row>
    <row r="1319">
      <c r="A1319" s="11" t="s">
        <v>320</v>
      </c>
      <c r="B1319" s="11" t="s">
        <v>78</v>
      </c>
      <c r="C1319" s="18">
        <v>46171.0</v>
      </c>
      <c r="D1319" s="11">
        <v>1.848497E7</v>
      </c>
      <c r="E1319" s="11" t="s">
        <v>7865</v>
      </c>
      <c r="G1319" s="11" t="s">
        <v>7866</v>
      </c>
      <c r="H1319" s="11" t="s">
        <v>7867</v>
      </c>
      <c r="I1319" s="11" t="b">
        <v>1</v>
      </c>
      <c r="J1319" s="11" t="s">
        <v>5814</v>
      </c>
      <c r="O1319" s="11">
        <v>32.0</v>
      </c>
      <c r="P1319" s="11">
        <v>2201214.0</v>
      </c>
      <c r="Q1319" s="11" t="b">
        <v>1</v>
      </c>
    </row>
    <row r="1320">
      <c r="A1320" s="11" t="s">
        <v>312</v>
      </c>
      <c r="B1320" s="11" t="s">
        <v>78</v>
      </c>
      <c r="C1320" s="18">
        <v>46171.0</v>
      </c>
      <c r="D1320" s="11">
        <v>1.848497E7</v>
      </c>
      <c r="E1320" s="11" t="s">
        <v>7869</v>
      </c>
      <c r="G1320" s="11" t="s">
        <v>7870</v>
      </c>
      <c r="H1320" s="11" t="s">
        <v>7871</v>
      </c>
      <c r="I1320" s="11" t="b">
        <v>1</v>
      </c>
      <c r="J1320" s="11" t="s">
        <v>5814</v>
      </c>
      <c r="O1320" s="11">
        <v>56.0</v>
      </c>
      <c r="P1320" s="11">
        <v>2201207.0</v>
      </c>
      <c r="Q1320" s="11" t="b">
        <v>1</v>
      </c>
    </row>
    <row r="1321">
      <c r="A1321" s="11" t="s">
        <v>303</v>
      </c>
      <c r="B1321" s="11" t="s">
        <v>78</v>
      </c>
      <c r="C1321" s="18">
        <v>46171.0</v>
      </c>
      <c r="D1321" s="11" t="s">
        <v>1251</v>
      </c>
      <c r="E1321" s="11" t="s">
        <v>7872</v>
      </c>
      <c r="G1321" s="11" t="s">
        <v>7873</v>
      </c>
      <c r="H1321" s="11" t="s">
        <v>7874</v>
      </c>
      <c r="I1321" s="11" t="b">
        <v>1</v>
      </c>
      <c r="J1321" s="11" t="s">
        <v>5814</v>
      </c>
      <c r="O1321" s="11">
        <v>87.22</v>
      </c>
      <c r="P1321" s="11">
        <v>2201194.0</v>
      </c>
      <c r="Q1321" s="11" t="b">
        <v>1</v>
      </c>
    </row>
    <row r="1322">
      <c r="A1322" s="11" t="s">
        <v>5338</v>
      </c>
      <c r="B1322" s="11" t="s">
        <v>78</v>
      </c>
      <c r="C1322" s="18">
        <v>46167.0</v>
      </c>
      <c r="D1322" s="11" t="s">
        <v>7875</v>
      </c>
      <c r="E1322" s="11" t="s">
        <v>7876</v>
      </c>
      <c r="G1322" s="11" t="s">
        <v>7877</v>
      </c>
      <c r="H1322" s="11" t="s">
        <v>7878</v>
      </c>
      <c r="I1322" s="11" t="b">
        <v>0</v>
      </c>
      <c r="J1322" s="11" t="s">
        <v>5814</v>
      </c>
      <c r="O1322" s="11">
        <v>619.42</v>
      </c>
      <c r="Q1322" s="11" t="b">
        <v>1</v>
      </c>
    </row>
    <row r="1323">
      <c r="A1323" s="11">
        <v>1988.0</v>
      </c>
      <c r="B1323" s="11" t="s">
        <v>78</v>
      </c>
      <c r="C1323" s="18">
        <v>46171.0</v>
      </c>
      <c r="H1323" s="11" t="s">
        <v>2638</v>
      </c>
      <c r="J1323" s="11" t="s">
        <v>187</v>
      </c>
      <c r="K1323" s="11" t="s">
        <v>225</v>
      </c>
      <c r="O1323" s="11">
        <v>3153.84</v>
      </c>
      <c r="Q1323" s="11" t="b">
        <v>1</v>
      </c>
    </row>
    <row r="1324">
      <c r="A1324" s="11">
        <v>1989.0</v>
      </c>
      <c r="B1324" s="11" t="s">
        <v>78</v>
      </c>
      <c r="C1324" s="18">
        <v>46171.0</v>
      </c>
      <c r="H1324" s="11" t="s">
        <v>2638</v>
      </c>
      <c r="J1324" s="11" t="s">
        <v>187</v>
      </c>
      <c r="K1324" s="11" t="s">
        <v>113</v>
      </c>
      <c r="O1324" s="11">
        <v>966.21</v>
      </c>
      <c r="Q1324" s="11" t="b">
        <v>1</v>
      </c>
    </row>
    <row r="1325">
      <c r="A1325" s="11">
        <v>1990.0</v>
      </c>
      <c r="B1325" s="11" t="s">
        <v>78</v>
      </c>
      <c r="C1325" s="18">
        <v>46171.0</v>
      </c>
      <c r="H1325" s="11" t="s">
        <v>2638</v>
      </c>
      <c r="J1325" s="11" t="s">
        <v>187</v>
      </c>
      <c r="K1325" s="11" t="s">
        <v>126</v>
      </c>
      <c r="O1325" s="11">
        <v>1410.77</v>
      </c>
      <c r="Q1325" s="11" t="b">
        <v>1</v>
      </c>
    </row>
    <row r="1326">
      <c r="A1326" s="11">
        <v>1991.0</v>
      </c>
      <c r="B1326" s="11" t="s">
        <v>78</v>
      </c>
      <c r="C1326" s="18">
        <v>46171.0</v>
      </c>
      <c r="H1326" s="11" t="s">
        <v>2638</v>
      </c>
      <c r="J1326" s="11" t="s">
        <v>187</v>
      </c>
      <c r="K1326" s="11" t="s">
        <v>3739</v>
      </c>
      <c r="O1326" s="11">
        <v>0.0</v>
      </c>
      <c r="Q1326" s="11" t="b">
        <v>1</v>
      </c>
    </row>
    <row r="1327">
      <c r="A1327" s="11">
        <v>1992.0</v>
      </c>
      <c r="B1327" s="11" t="s">
        <v>78</v>
      </c>
      <c r="C1327" s="18">
        <v>46171.0</v>
      </c>
      <c r="H1327" s="11" t="s">
        <v>2638</v>
      </c>
      <c r="J1327" s="11" t="s">
        <v>187</v>
      </c>
      <c r="K1327" s="11" t="s">
        <v>145</v>
      </c>
      <c r="O1327" s="11">
        <v>1547.92</v>
      </c>
      <c r="Q1327" s="11" t="b">
        <v>1</v>
      </c>
    </row>
    <row r="1328">
      <c r="A1328" s="11" t="s">
        <v>347</v>
      </c>
      <c r="B1328" s="11" t="s">
        <v>78</v>
      </c>
      <c r="C1328" s="18">
        <v>46174.0</v>
      </c>
      <c r="D1328" s="11" t="s">
        <v>465</v>
      </c>
      <c r="E1328" s="11" t="s">
        <v>7879</v>
      </c>
      <c r="G1328" s="11" t="s">
        <v>7880</v>
      </c>
      <c r="H1328" s="11" t="s">
        <v>7881</v>
      </c>
      <c r="I1328" s="11" t="b">
        <v>1</v>
      </c>
      <c r="J1328" s="11" t="s">
        <v>5814</v>
      </c>
      <c r="O1328" s="11">
        <v>50.0</v>
      </c>
      <c r="P1328" s="19" t="s">
        <v>7882</v>
      </c>
      <c r="Q1328" s="11" t="b">
        <v>1</v>
      </c>
    </row>
    <row r="1329">
      <c r="A1329" s="11" t="s">
        <v>357</v>
      </c>
      <c r="B1329" s="11" t="s">
        <v>78</v>
      </c>
      <c r="C1329" s="18">
        <v>46174.0</v>
      </c>
      <c r="D1329" s="11" t="s">
        <v>1627</v>
      </c>
      <c r="E1329" s="11" t="s">
        <v>7883</v>
      </c>
      <c r="G1329" s="11" t="s">
        <v>7884</v>
      </c>
      <c r="H1329" s="11" t="s">
        <v>7885</v>
      </c>
      <c r="I1329" s="11" t="b">
        <v>1</v>
      </c>
      <c r="J1329" s="11" t="s">
        <v>5814</v>
      </c>
      <c r="O1329" s="11">
        <v>15.25</v>
      </c>
      <c r="P1329" s="19" t="s">
        <v>7886</v>
      </c>
      <c r="Q1329" s="11" t="b">
        <v>1</v>
      </c>
    </row>
    <row r="1330">
      <c r="A1330" s="11" t="s">
        <v>375</v>
      </c>
      <c r="B1330" s="11" t="s">
        <v>78</v>
      </c>
      <c r="C1330" s="18">
        <v>46174.0</v>
      </c>
      <c r="D1330" s="11" t="s">
        <v>2549</v>
      </c>
      <c r="E1330" s="11" t="s">
        <v>7887</v>
      </c>
      <c r="G1330" s="11" t="s">
        <v>7888</v>
      </c>
      <c r="H1330" s="11" t="s">
        <v>7889</v>
      </c>
      <c r="I1330" s="11" t="b">
        <v>1</v>
      </c>
      <c r="J1330" s="11" t="s">
        <v>5814</v>
      </c>
      <c r="O1330" s="11">
        <v>24.0</v>
      </c>
      <c r="P1330" s="19" t="s">
        <v>7890</v>
      </c>
      <c r="Q1330" s="11" t="b">
        <v>1</v>
      </c>
    </row>
    <row r="1331">
      <c r="A1331" s="11" t="s">
        <v>383</v>
      </c>
      <c r="B1331" s="11" t="s">
        <v>78</v>
      </c>
      <c r="C1331" s="18">
        <v>46174.0</v>
      </c>
      <c r="D1331" s="11" t="s">
        <v>2549</v>
      </c>
      <c r="E1331" s="11" t="s">
        <v>7891</v>
      </c>
      <c r="G1331" s="11" t="s">
        <v>7892</v>
      </c>
      <c r="H1331" s="11" t="s">
        <v>7893</v>
      </c>
      <c r="I1331" s="11" t="b">
        <v>1</v>
      </c>
      <c r="J1331" s="11" t="s">
        <v>5814</v>
      </c>
      <c r="O1331" s="11">
        <v>192.0</v>
      </c>
      <c r="P1331" s="19" t="s">
        <v>7894</v>
      </c>
      <c r="Q1331" s="11" t="b">
        <v>1</v>
      </c>
    </row>
    <row r="1332">
      <c r="A1332" s="11" t="s">
        <v>448</v>
      </c>
      <c r="B1332" s="11" t="s">
        <v>78</v>
      </c>
      <c r="C1332" s="18">
        <v>46177.0</v>
      </c>
      <c r="D1332" s="11" t="s">
        <v>992</v>
      </c>
      <c r="E1332" s="11" t="s">
        <v>7895</v>
      </c>
      <c r="G1332" s="11" t="s">
        <v>7896</v>
      </c>
      <c r="H1332" s="11" t="s">
        <v>3641</v>
      </c>
      <c r="I1332" s="11" t="b">
        <v>1</v>
      </c>
      <c r="J1332" s="11" t="s">
        <v>5814</v>
      </c>
      <c r="O1332" s="11">
        <v>140.0</v>
      </c>
      <c r="P1332" s="19" t="s">
        <v>7897</v>
      </c>
      <c r="Q1332" s="11" t="b">
        <v>1</v>
      </c>
    </row>
    <row r="1333">
      <c r="A1333" s="11" t="s">
        <v>5415</v>
      </c>
      <c r="B1333" s="11" t="s">
        <v>78</v>
      </c>
      <c r="C1333" s="18">
        <v>46177.0</v>
      </c>
      <c r="D1333" s="11" t="s">
        <v>104</v>
      </c>
      <c r="E1333" s="11" t="s">
        <v>7898</v>
      </c>
      <c r="G1333" s="11" t="s">
        <v>7899</v>
      </c>
      <c r="H1333" s="11" t="s">
        <v>380</v>
      </c>
      <c r="I1333" s="11" t="b">
        <v>1</v>
      </c>
      <c r="J1333" s="11" t="s">
        <v>5814</v>
      </c>
      <c r="O1333" s="11">
        <v>58.65</v>
      </c>
      <c r="P1333" s="19" t="s">
        <v>7900</v>
      </c>
      <c r="Q1333" s="11" t="b">
        <v>1</v>
      </c>
    </row>
    <row r="1334">
      <c r="A1334" s="11" t="s">
        <v>478</v>
      </c>
      <c r="B1334" s="11" t="s">
        <v>78</v>
      </c>
      <c r="C1334" s="18">
        <v>46180.0</v>
      </c>
      <c r="D1334" s="11" t="s">
        <v>992</v>
      </c>
      <c r="E1334" s="11" t="s">
        <v>7901</v>
      </c>
      <c r="G1334" s="11" t="s">
        <v>7902</v>
      </c>
      <c r="H1334" s="11" t="s">
        <v>7903</v>
      </c>
      <c r="I1334" s="11" t="b">
        <v>1</v>
      </c>
      <c r="J1334" s="11" t="s">
        <v>5814</v>
      </c>
      <c r="O1334" s="11">
        <v>84.0</v>
      </c>
      <c r="P1334" s="19" t="s">
        <v>7904</v>
      </c>
      <c r="Q1334" s="11" t="b">
        <v>1</v>
      </c>
    </row>
    <row r="1335">
      <c r="A1335" s="11" t="s">
        <v>492</v>
      </c>
      <c r="B1335" s="11" t="s">
        <v>78</v>
      </c>
      <c r="C1335" s="18">
        <v>46180.0</v>
      </c>
      <c r="D1335" s="11" t="s">
        <v>104</v>
      </c>
      <c r="E1335" s="11" t="s">
        <v>7905</v>
      </c>
      <c r="G1335" s="11" t="s">
        <v>7906</v>
      </c>
      <c r="H1335" s="11" t="s">
        <v>7907</v>
      </c>
      <c r="I1335" s="11" t="b">
        <v>1</v>
      </c>
      <c r="J1335" s="11" t="s">
        <v>5814</v>
      </c>
      <c r="O1335" s="11">
        <v>70.6</v>
      </c>
      <c r="P1335" s="19" t="s">
        <v>7908</v>
      </c>
      <c r="Q1335" s="11" t="b">
        <v>1</v>
      </c>
    </row>
    <row r="1336">
      <c r="A1336" s="11" t="s">
        <v>523</v>
      </c>
      <c r="B1336" s="11" t="s">
        <v>78</v>
      </c>
      <c r="C1336" s="18">
        <v>46180.0</v>
      </c>
      <c r="D1336" s="11" t="s">
        <v>85</v>
      </c>
      <c r="E1336" s="11" t="s">
        <v>7909</v>
      </c>
      <c r="G1336" s="11" t="s">
        <v>7910</v>
      </c>
      <c r="H1336" s="11" t="s">
        <v>7911</v>
      </c>
      <c r="I1336" s="11" t="b">
        <v>1</v>
      </c>
      <c r="J1336" s="11" t="s">
        <v>5814</v>
      </c>
      <c r="O1336" s="11">
        <v>57.13</v>
      </c>
      <c r="P1336" s="19" t="s">
        <v>7912</v>
      </c>
      <c r="Q1336" s="11" t="b">
        <v>1</v>
      </c>
    </row>
    <row r="1337">
      <c r="A1337" s="11" t="s">
        <v>5507</v>
      </c>
      <c r="B1337" s="11" t="s">
        <v>78</v>
      </c>
      <c r="C1337" s="18">
        <v>46182.0</v>
      </c>
      <c r="D1337" s="11" t="s">
        <v>2549</v>
      </c>
      <c r="E1337" s="11" t="s">
        <v>7913</v>
      </c>
      <c r="G1337" s="11" t="s">
        <v>7914</v>
      </c>
      <c r="H1337" s="11" t="s">
        <v>7915</v>
      </c>
      <c r="I1337" s="11" t="b">
        <v>1</v>
      </c>
      <c r="J1337" s="11" t="s">
        <v>5814</v>
      </c>
      <c r="O1337" s="11">
        <v>516.0</v>
      </c>
      <c r="P1337" s="19" t="s">
        <v>7916</v>
      </c>
      <c r="Q1337" s="11" t="b">
        <v>1</v>
      </c>
    </row>
    <row r="1338">
      <c r="A1338" s="11" t="s">
        <v>5499</v>
      </c>
      <c r="B1338" s="11" t="s">
        <v>78</v>
      </c>
      <c r="C1338" s="18">
        <v>46181.0</v>
      </c>
      <c r="D1338" s="11" t="s">
        <v>992</v>
      </c>
      <c r="E1338" s="11" t="s">
        <v>7917</v>
      </c>
      <c r="G1338" s="11" t="s">
        <v>7918</v>
      </c>
      <c r="H1338" s="11" t="s">
        <v>7594</v>
      </c>
      <c r="I1338" s="11" t="b">
        <v>1</v>
      </c>
      <c r="J1338" s="11" t="s">
        <v>5814</v>
      </c>
      <c r="O1338" s="11">
        <v>224.0</v>
      </c>
      <c r="P1338" s="19" t="s">
        <v>7919</v>
      </c>
      <c r="Q1338" s="11" t="b">
        <v>1</v>
      </c>
    </row>
    <row r="1339">
      <c r="A1339" s="11" t="s">
        <v>591</v>
      </c>
      <c r="B1339" s="11" t="s">
        <v>78</v>
      </c>
      <c r="C1339" s="18">
        <v>46181.0</v>
      </c>
      <c r="D1339" s="11" t="s">
        <v>104</v>
      </c>
      <c r="E1339" s="11" t="s">
        <v>7920</v>
      </c>
      <c r="G1339" s="11" t="s">
        <v>7921</v>
      </c>
      <c r="H1339" s="11" t="s">
        <v>110</v>
      </c>
      <c r="I1339" s="11" t="b">
        <v>1</v>
      </c>
      <c r="J1339" s="11" t="s">
        <v>5814</v>
      </c>
      <c r="O1339" s="11">
        <v>75.57</v>
      </c>
      <c r="P1339" s="19" t="s">
        <v>7922</v>
      </c>
      <c r="Q1339" s="11" t="b">
        <v>1</v>
      </c>
    </row>
    <row r="1340">
      <c r="A1340" s="11" t="s">
        <v>5509</v>
      </c>
      <c r="B1340" s="11" t="s">
        <v>78</v>
      </c>
      <c r="C1340" s="18">
        <v>46182.0</v>
      </c>
      <c r="D1340" s="11" t="s">
        <v>817</v>
      </c>
      <c r="E1340" s="11" t="s">
        <v>7923</v>
      </c>
      <c r="G1340" s="11" t="s">
        <v>7924</v>
      </c>
      <c r="H1340" s="11" t="s">
        <v>2244</v>
      </c>
      <c r="I1340" s="11" t="b">
        <v>0</v>
      </c>
      <c r="J1340" s="11" t="s">
        <v>5814</v>
      </c>
      <c r="O1340" s="11">
        <v>882.46</v>
      </c>
      <c r="Q1340" s="11" t="b">
        <v>1</v>
      </c>
    </row>
    <row r="1341">
      <c r="A1341" s="11">
        <v>1987.0</v>
      </c>
      <c r="B1341" s="11" t="s">
        <v>78</v>
      </c>
      <c r="C1341" s="18">
        <v>46175.0</v>
      </c>
      <c r="D1341" s="11" t="s">
        <v>629</v>
      </c>
      <c r="H1341" s="11" t="s">
        <v>633</v>
      </c>
      <c r="J1341" s="11" t="s">
        <v>187</v>
      </c>
      <c r="O1341" s="11">
        <v>2277.04</v>
      </c>
      <c r="Q1341" s="11" t="b">
        <v>1</v>
      </c>
    </row>
    <row r="1342">
      <c r="A1342" s="11" t="s">
        <v>5451</v>
      </c>
      <c r="B1342" s="11" t="s">
        <v>78</v>
      </c>
      <c r="C1342" s="18">
        <v>46175.0</v>
      </c>
      <c r="D1342" s="11" t="s">
        <v>237</v>
      </c>
      <c r="H1342" s="11" t="s">
        <v>7926</v>
      </c>
      <c r="J1342" s="11" t="s">
        <v>187</v>
      </c>
      <c r="O1342" s="11">
        <v>24.15</v>
      </c>
      <c r="Q1342" s="11" t="b">
        <v>1</v>
      </c>
    </row>
    <row r="1343">
      <c r="A1343" s="11">
        <v>1998.0</v>
      </c>
      <c r="B1343" s="11" t="s">
        <v>78</v>
      </c>
      <c r="C1343" s="18">
        <v>46181.0</v>
      </c>
      <c r="D1343" s="11" t="s">
        <v>176</v>
      </c>
      <c r="H1343" s="11" t="s">
        <v>1440</v>
      </c>
      <c r="J1343" s="11" t="s">
        <v>187</v>
      </c>
      <c r="O1343" s="11">
        <v>533.95</v>
      </c>
      <c r="Q1343" s="11" t="b">
        <v>1</v>
      </c>
    </row>
    <row r="1344">
      <c r="A1344" s="11">
        <v>1999.0</v>
      </c>
      <c r="B1344" s="11" t="s">
        <v>78</v>
      </c>
      <c r="C1344" s="18">
        <v>46181.0</v>
      </c>
      <c r="D1344" s="11">
        <v>3.6037127E7</v>
      </c>
      <c r="H1344" s="11" t="s">
        <v>2162</v>
      </c>
      <c r="J1344" s="11" t="s">
        <v>187</v>
      </c>
      <c r="O1344" s="11">
        <v>120.0</v>
      </c>
      <c r="Q1344" s="11" t="b">
        <v>1</v>
      </c>
    </row>
    <row r="1345">
      <c r="A1345" s="11">
        <v>11001.0</v>
      </c>
      <c r="B1345" s="11" t="s">
        <v>78</v>
      </c>
      <c r="C1345" s="18">
        <v>46181.0</v>
      </c>
      <c r="D1345" s="11" t="s">
        <v>1676</v>
      </c>
      <c r="H1345" s="11" t="s">
        <v>2802</v>
      </c>
      <c r="J1345" s="11" t="s">
        <v>187</v>
      </c>
      <c r="O1345" s="11">
        <v>709.77</v>
      </c>
      <c r="Q1345" s="11" t="b">
        <v>1</v>
      </c>
    </row>
    <row r="1346">
      <c r="A1346" s="11">
        <v>11002.0</v>
      </c>
      <c r="B1346" s="11" t="s">
        <v>78</v>
      </c>
      <c r="C1346" s="18">
        <v>46181.0</v>
      </c>
      <c r="D1346" s="11" t="s">
        <v>2535</v>
      </c>
      <c r="H1346" s="11" t="s">
        <v>2638</v>
      </c>
      <c r="J1346" s="11" t="s">
        <v>187</v>
      </c>
      <c r="O1346" s="11">
        <v>65.28</v>
      </c>
      <c r="Q1346" s="11" t="b">
        <v>1</v>
      </c>
    </row>
    <row r="1347">
      <c r="A1347" s="11">
        <v>11003.0</v>
      </c>
      <c r="B1347" s="11" t="s">
        <v>78</v>
      </c>
      <c r="C1347" s="18">
        <v>46181.0</v>
      </c>
      <c r="D1347" s="11" t="s">
        <v>5965</v>
      </c>
      <c r="H1347" s="11" t="s">
        <v>7929</v>
      </c>
      <c r="J1347" s="11" t="s">
        <v>187</v>
      </c>
      <c r="O1347" s="11">
        <v>1886.71</v>
      </c>
      <c r="Q1347" s="11" t="b">
        <v>1</v>
      </c>
    </row>
    <row r="1348">
      <c r="A1348" s="11">
        <v>11008.0</v>
      </c>
      <c r="B1348" s="11" t="s">
        <v>78</v>
      </c>
      <c r="C1348" s="18">
        <v>46181.0</v>
      </c>
      <c r="D1348" s="11" t="s">
        <v>192</v>
      </c>
      <c r="H1348" s="11" t="s">
        <v>195</v>
      </c>
      <c r="J1348" s="11" t="s">
        <v>187</v>
      </c>
      <c r="O1348" s="11">
        <v>2500.0</v>
      </c>
      <c r="Q1348" s="11" t="b">
        <v>1</v>
      </c>
    </row>
    <row r="1349">
      <c r="A1349" s="11">
        <v>11009.0</v>
      </c>
      <c r="B1349" s="11" t="s">
        <v>78</v>
      </c>
      <c r="C1349" s="18">
        <v>46181.0</v>
      </c>
      <c r="D1349" s="11" t="s">
        <v>1217</v>
      </c>
      <c r="H1349" s="11" t="s">
        <v>7554</v>
      </c>
      <c r="J1349" s="11" t="s">
        <v>187</v>
      </c>
      <c r="O1349" s="11">
        <v>131.9</v>
      </c>
      <c r="Q1349" s="11" t="b">
        <v>1</v>
      </c>
    </row>
    <row r="1350">
      <c r="A1350" s="11">
        <v>11010.0</v>
      </c>
      <c r="B1350" s="11" t="s">
        <v>78</v>
      </c>
      <c r="C1350" s="18">
        <v>46181.0</v>
      </c>
      <c r="D1350" s="11" t="s">
        <v>415</v>
      </c>
      <c r="H1350" s="11" t="s">
        <v>7932</v>
      </c>
      <c r="J1350" s="11" t="s">
        <v>187</v>
      </c>
      <c r="O1350" s="11">
        <v>121.9</v>
      </c>
      <c r="Q1350" s="11" t="b">
        <v>1</v>
      </c>
    </row>
    <row r="1351">
      <c r="A1351" s="11" t="s">
        <v>5462</v>
      </c>
      <c r="B1351" s="11" t="s">
        <v>78</v>
      </c>
      <c r="C1351" s="18">
        <v>46181.0</v>
      </c>
      <c r="D1351" s="11" t="s">
        <v>7933</v>
      </c>
      <c r="H1351" s="11" t="s">
        <v>7934</v>
      </c>
      <c r="J1351" s="11" t="s">
        <v>235</v>
      </c>
      <c r="O1351" s="11">
        <v>76.0</v>
      </c>
      <c r="Q1351" s="11" t="b">
        <v>1</v>
      </c>
    </row>
    <row r="1352">
      <c r="A1352" s="11" t="s">
        <v>5464</v>
      </c>
      <c r="B1352" s="11" t="s">
        <v>78</v>
      </c>
      <c r="C1352" s="18">
        <v>46182.0</v>
      </c>
      <c r="D1352" s="11">
        <v>3.6037127E7</v>
      </c>
      <c r="H1352" s="11" t="s">
        <v>7936</v>
      </c>
      <c r="J1352" s="11" t="s">
        <v>187</v>
      </c>
      <c r="O1352" s="11">
        <v>50.0</v>
      </c>
      <c r="Q1352" s="11" t="b">
        <v>1</v>
      </c>
    </row>
    <row r="1353">
      <c r="A1353" s="11">
        <v>1.52509255E8</v>
      </c>
      <c r="B1353" s="11" t="s">
        <v>78</v>
      </c>
      <c r="C1353" s="18">
        <v>46182.0</v>
      </c>
      <c r="D1353" s="11" t="s">
        <v>2535</v>
      </c>
      <c r="H1353" s="11" t="s">
        <v>7937</v>
      </c>
      <c r="J1353" s="11" t="s">
        <v>187</v>
      </c>
      <c r="O1353" s="11">
        <v>60.0</v>
      </c>
      <c r="Q1353" s="11" t="b">
        <v>1</v>
      </c>
    </row>
    <row r="1354">
      <c r="A1354" s="11" t="s">
        <v>5469</v>
      </c>
      <c r="B1354" s="11" t="s">
        <v>78</v>
      </c>
      <c r="C1354" s="18">
        <v>46183.0</v>
      </c>
      <c r="H1354" s="11" t="s">
        <v>7939</v>
      </c>
      <c r="J1354" s="11" t="s">
        <v>187</v>
      </c>
      <c r="K1354" s="11" t="s">
        <v>126</v>
      </c>
      <c r="O1354" s="11">
        <v>500.0</v>
      </c>
      <c r="Q1354" s="11" t="b">
        <v>1</v>
      </c>
    </row>
    <row r="1355">
      <c r="A1355" s="11" t="s">
        <v>5471</v>
      </c>
      <c r="B1355" s="11" t="s">
        <v>78</v>
      </c>
      <c r="C1355" s="18">
        <v>46183.0</v>
      </c>
      <c r="H1355" s="11" t="s">
        <v>7939</v>
      </c>
      <c r="J1355" s="11" t="s">
        <v>187</v>
      </c>
      <c r="K1355" s="11" t="s">
        <v>145</v>
      </c>
      <c r="O1355" s="11">
        <v>300.0</v>
      </c>
      <c r="Q1355" s="11" t="b">
        <v>1</v>
      </c>
    </row>
    <row r="1356">
      <c r="A1356" s="11" t="s">
        <v>695</v>
      </c>
      <c r="B1356" s="11" t="s">
        <v>78</v>
      </c>
      <c r="C1356" s="18">
        <v>46185.0</v>
      </c>
      <c r="D1356" s="11" t="s">
        <v>104</v>
      </c>
      <c r="E1356" s="11" t="s">
        <v>7940</v>
      </c>
      <c r="G1356" s="11" t="s">
        <v>7941</v>
      </c>
      <c r="H1356" s="11" t="s">
        <v>7942</v>
      </c>
      <c r="I1356" s="11" t="b">
        <v>1</v>
      </c>
      <c r="J1356" s="11" t="s">
        <v>5814</v>
      </c>
      <c r="O1356" s="11">
        <v>149.5</v>
      </c>
      <c r="P1356" s="19" t="s">
        <v>7943</v>
      </c>
      <c r="Q1356" s="11" t="b">
        <v>1</v>
      </c>
    </row>
    <row r="1357">
      <c r="A1357" s="11" t="s">
        <v>703</v>
      </c>
      <c r="B1357" s="11" t="s">
        <v>78</v>
      </c>
      <c r="C1357" s="18">
        <v>46186.0</v>
      </c>
      <c r="D1357" s="11" t="s">
        <v>992</v>
      </c>
      <c r="E1357" s="11" t="s">
        <v>7944</v>
      </c>
      <c r="G1357" s="11" t="s">
        <v>7945</v>
      </c>
      <c r="H1357" s="11" t="s">
        <v>7946</v>
      </c>
      <c r="I1357" s="11" t="b">
        <v>1</v>
      </c>
      <c r="J1357" s="11" t="s">
        <v>5814</v>
      </c>
      <c r="O1357" s="11">
        <v>252.0</v>
      </c>
      <c r="P1357" s="19" t="s">
        <v>7947</v>
      </c>
      <c r="Q1357" s="11" t="b">
        <v>1</v>
      </c>
    </row>
    <row r="1358">
      <c r="A1358" s="11" t="s">
        <v>5480</v>
      </c>
      <c r="B1358" s="11" t="s">
        <v>78</v>
      </c>
      <c r="C1358" s="18">
        <v>46175.0</v>
      </c>
      <c r="D1358" s="19" t="s">
        <v>7948</v>
      </c>
      <c r="E1358" s="11" t="s">
        <v>7949</v>
      </c>
      <c r="G1358" s="11" t="s">
        <v>7950</v>
      </c>
      <c r="H1358" s="11" t="s">
        <v>7951</v>
      </c>
      <c r="I1358" s="11" t="b">
        <v>0</v>
      </c>
      <c r="J1358" s="11" t="s">
        <v>5814</v>
      </c>
      <c r="O1358" s="11">
        <v>1909.6</v>
      </c>
      <c r="Q1358" s="11" t="b">
        <v>1</v>
      </c>
    </row>
    <row r="1359">
      <c r="A1359" s="11" t="s">
        <v>719</v>
      </c>
      <c r="B1359" s="11" t="s">
        <v>78</v>
      </c>
      <c r="C1359" s="18">
        <v>46186.0</v>
      </c>
      <c r="D1359" s="11" t="s">
        <v>7952</v>
      </c>
      <c r="E1359" s="11" t="s">
        <v>7953</v>
      </c>
      <c r="G1359" s="11" t="s">
        <v>7954</v>
      </c>
      <c r="H1359" s="11" t="s">
        <v>7955</v>
      </c>
      <c r="I1359" s="11" t="b">
        <v>1</v>
      </c>
      <c r="J1359" s="11" t="s">
        <v>5814</v>
      </c>
      <c r="O1359" s="11">
        <v>11.0</v>
      </c>
      <c r="P1359" s="19" t="s">
        <v>7956</v>
      </c>
      <c r="Q1359" s="11" t="b">
        <v>1</v>
      </c>
      <c r="S1359" s="11">
        <v>2.13</v>
      </c>
    </row>
    <row r="1360">
      <c r="A1360" s="11">
        <v>11005.0</v>
      </c>
      <c r="B1360" s="11" t="s">
        <v>78</v>
      </c>
      <c r="C1360" s="23">
        <v>46188.0</v>
      </c>
      <c r="D1360" s="11" t="s">
        <v>547</v>
      </c>
      <c r="F1360" s="11" t="s">
        <v>973</v>
      </c>
      <c r="H1360" s="11" t="s">
        <v>973</v>
      </c>
      <c r="J1360" s="11" t="s">
        <v>187</v>
      </c>
      <c r="O1360" s="20">
        <v>1098.0</v>
      </c>
      <c r="Q1360" s="11" t="b">
        <v>1</v>
      </c>
      <c r="R1360" s="11" t="b">
        <v>0</v>
      </c>
    </row>
    <row r="1361">
      <c r="A1361" s="11">
        <v>11006.0</v>
      </c>
      <c r="B1361" s="11" t="s">
        <v>78</v>
      </c>
      <c r="C1361" s="23">
        <v>46188.0</v>
      </c>
      <c r="D1361" s="11" t="s">
        <v>547</v>
      </c>
      <c r="F1361" s="11" t="s">
        <v>964</v>
      </c>
      <c r="H1361" s="11" t="s">
        <v>964</v>
      </c>
      <c r="J1361" s="11" t="s">
        <v>187</v>
      </c>
      <c r="O1361" s="20">
        <v>1110.0</v>
      </c>
      <c r="Q1361" s="11" t="b">
        <v>1</v>
      </c>
      <c r="R1361" s="11" t="b">
        <v>0</v>
      </c>
    </row>
    <row r="1362">
      <c r="A1362" s="11">
        <v>11007.0</v>
      </c>
      <c r="B1362" s="11" t="s">
        <v>78</v>
      </c>
      <c r="C1362" s="23">
        <v>46188.0</v>
      </c>
      <c r="D1362" s="11" t="s">
        <v>547</v>
      </c>
      <c r="F1362" s="11" t="s">
        <v>955</v>
      </c>
      <c r="H1362" s="11" t="s">
        <v>955</v>
      </c>
      <c r="J1362" s="11" t="s">
        <v>187</v>
      </c>
      <c r="O1362" s="20">
        <v>396.0</v>
      </c>
      <c r="Q1362" s="11" t="b">
        <v>1</v>
      </c>
      <c r="R1362" s="11" t="b">
        <v>0</v>
      </c>
    </row>
    <row r="1363">
      <c r="A1363" s="11" t="s">
        <v>5518</v>
      </c>
      <c r="B1363" s="11" t="s">
        <v>78</v>
      </c>
      <c r="C1363" s="23">
        <v>46188.0</v>
      </c>
      <c r="D1363" s="11">
        <v>3.6037127E7</v>
      </c>
      <c r="F1363" s="11" t="s">
        <v>7957</v>
      </c>
      <c r="H1363" s="11" t="s">
        <v>7957</v>
      </c>
      <c r="J1363" s="11" t="s">
        <v>187</v>
      </c>
      <c r="O1363" s="20">
        <v>50.0</v>
      </c>
      <c r="Q1363" s="11" t="b">
        <v>1</v>
      </c>
      <c r="R1363" s="11" t="b">
        <v>0</v>
      </c>
    </row>
    <row r="1364">
      <c r="A1364" s="11">
        <v>11011.0</v>
      </c>
      <c r="B1364" s="11" t="s">
        <v>78</v>
      </c>
      <c r="C1364" s="23">
        <v>46189.0</v>
      </c>
      <c r="D1364" s="11" t="s">
        <v>1046</v>
      </c>
      <c r="F1364" s="11" t="s">
        <v>2638</v>
      </c>
      <c r="H1364" s="11" t="s">
        <v>2638</v>
      </c>
      <c r="J1364" s="11" t="s">
        <v>187</v>
      </c>
      <c r="O1364" s="20">
        <v>960.48</v>
      </c>
      <c r="Q1364" s="11" t="b">
        <v>1</v>
      </c>
      <c r="R1364" s="11" t="b">
        <v>0</v>
      </c>
    </row>
    <row r="1365">
      <c r="A1365" s="11">
        <v>11017.0</v>
      </c>
      <c r="B1365" s="11" t="s">
        <v>78</v>
      </c>
      <c r="C1365" s="23">
        <v>46189.0</v>
      </c>
      <c r="D1365" s="11" t="s">
        <v>1046</v>
      </c>
      <c r="F1365" s="11" t="s">
        <v>2638</v>
      </c>
      <c r="H1365" s="11" t="s">
        <v>2638</v>
      </c>
      <c r="J1365" s="11" t="s">
        <v>187</v>
      </c>
      <c r="O1365" s="20">
        <v>1410.53</v>
      </c>
      <c r="Q1365" s="11" t="b">
        <v>1</v>
      </c>
      <c r="R1365" s="11" t="b">
        <v>0</v>
      </c>
    </row>
    <row r="1366">
      <c r="A1366" s="19" t="s">
        <v>5522</v>
      </c>
      <c r="B1366" s="11" t="s">
        <v>78</v>
      </c>
      <c r="C1366" s="18">
        <v>46189.0</v>
      </c>
      <c r="D1366" s="11" t="s">
        <v>237</v>
      </c>
      <c r="E1366" s="11" t="s">
        <v>7958</v>
      </c>
      <c r="F1366" s="11" t="s">
        <v>2277</v>
      </c>
      <c r="G1366" s="11" t="s">
        <v>7959</v>
      </c>
      <c r="H1366" s="11" t="s">
        <v>3713</v>
      </c>
      <c r="I1366" s="11" t="b">
        <v>0</v>
      </c>
      <c r="J1366" s="11" t="s">
        <v>5814</v>
      </c>
      <c r="K1366" s="11"/>
      <c r="L1366" s="11" t="s">
        <v>7960</v>
      </c>
      <c r="M1366" s="11" t="s">
        <v>7961</v>
      </c>
      <c r="O1366" s="11">
        <v>4659.83</v>
      </c>
      <c r="Q1366" s="11" t="b">
        <v>1</v>
      </c>
      <c r="S1366" s="11">
        <v>112.85</v>
      </c>
    </row>
    <row r="1367">
      <c r="A1367" s="11" t="s">
        <v>5527</v>
      </c>
      <c r="B1367" s="11" t="s">
        <v>78</v>
      </c>
      <c r="C1367" s="18">
        <v>46191.0</v>
      </c>
      <c r="D1367" s="11" t="s">
        <v>237</v>
      </c>
      <c r="E1367" s="11" t="s">
        <v>7962</v>
      </c>
      <c r="F1367" s="11" t="s">
        <v>2291</v>
      </c>
      <c r="G1367" s="11" t="s">
        <v>7963</v>
      </c>
      <c r="H1367" s="11" t="s">
        <v>2291</v>
      </c>
      <c r="I1367" s="11" t="b">
        <v>0</v>
      </c>
      <c r="J1367" s="11" t="s">
        <v>5814</v>
      </c>
      <c r="K1367" s="11"/>
      <c r="L1367" s="11" t="s">
        <v>7964</v>
      </c>
      <c r="O1367" s="11">
        <v>276.68</v>
      </c>
      <c r="Q1367" s="11" t="b">
        <v>1</v>
      </c>
    </row>
    <row r="1368">
      <c r="A1368" s="11" t="s">
        <v>5530</v>
      </c>
      <c r="B1368" s="11" t="s">
        <v>78</v>
      </c>
      <c r="C1368" s="18">
        <v>46191.0</v>
      </c>
      <c r="D1368" s="11" t="s">
        <v>237</v>
      </c>
      <c r="E1368" s="11" t="s">
        <v>7965</v>
      </c>
      <c r="F1368" s="11" t="s">
        <v>2291</v>
      </c>
      <c r="G1368" s="11" t="s">
        <v>7966</v>
      </c>
      <c r="H1368" s="11" t="s">
        <v>7967</v>
      </c>
      <c r="I1368" s="11" t="b">
        <v>0</v>
      </c>
      <c r="J1368" s="11" t="s">
        <v>5814</v>
      </c>
      <c r="K1368" s="11"/>
      <c r="L1368" s="11" t="s">
        <v>7968</v>
      </c>
      <c r="O1368" s="11">
        <v>207.51</v>
      </c>
      <c r="Q1368" s="11" t="b">
        <v>1</v>
      </c>
    </row>
    <row r="1369">
      <c r="A1369" s="11" t="s">
        <v>5536</v>
      </c>
      <c r="B1369" s="11" t="s">
        <v>78</v>
      </c>
      <c r="C1369" s="23">
        <v>46191.0</v>
      </c>
      <c r="F1369" s="11" t="s">
        <v>7969</v>
      </c>
      <c r="H1369" s="11" t="s">
        <v>7969</v>
      </c>
      <c r="J1369" s="11" t="s">
        <v>187</v>
      </c>
      <c r="K1369" s="11" t="s">
        <v>113</v>
      </c>
      <c r="O1369" s="20">
        <v>128.0</v>
      </c>
      <c r="Q1369" s="11" t="b">
        <v>1</v>
      </c>
      <c r="R1369" s="11" t="b">
        <v>0</v>
      </c>
    </row>
    <row r="1370">
      <c r="A1370" s="11">
        <v>1.10965434E8</v>
      </c>
      <c r="B1370" s="11" t="s">
        <v>78</v>
      </c>
      <c r="C1370" s="23">
        <v>46191.0</v>
      </c>
      <c r="F1370" s="11" t="s">
        <v>7970</v>
      </c>
      <c r="H1370" s="11" t="s">
        <v>7970</v>
      </c>
      <c r="J1370" s="11" t="s">
        <v>187</v>
      </c>
      <c r="K1370" s="11" t="s">
        <v>113</v>
      </c>
      <c r="O1370" s="20">
        <v>2141.15</v>
      </c>
      <c r="Q1370" s="11" t="b">
        <v>1</v>
      </c>
      <c r="R1370" s="11" t="b">
        <v>0</v>
      </c>
    </row>
    <row r="1371">
      <c r="A1371" s="11" t="s">
        <v>836</v>
      </c>
      <c r="B1371" s="11" t="s">
        <v>78</v>
      </c>
      <c r="C1371" s="18">
        <v>46192.0</v>
      </c>
      <c r="D1371" s="11" t="s">
        <v>85</v>
      </c>
      <c r="E1371" s="11" t="s">
        <v>7971</v>
      </c>
      <c r="G1371" s="11" t="s">
        <v>7972</v>
      </c>
      <c r="H1371" s="11" t="s">
        <v>7973</v>
      </c>
      <c r="I1371" s="11" t="b">
        <v>1</v>
      </c>
      <c r="J1371" s="11" t="s">
        <v>5814</v>
      </c>
      <c r="O1371" s="11">
        <v>65.05</v>
      </c>
      <c r="P1371" s="19" t="s">
        <v>7974</v>
      </c>
      <c r="Q1371" s="11" t="b">
        <v>1</v>
      </c>
    </row>
    <row r="1372">
      <c r="A1372" s="11" t="s">
        <v>5543</v>
      </c>
      <c r="B1372" s="11" t="s">
        <v>78</v>
      </c>
      <c r="C1372" s="18">
        <v>46191.0</v>
      </c>
      <c r="D1372" s="11" t="s">
        <v>104</v>
      </c>
      <c r="E1372" s="11" t="s">
        <v>7975</v>
      </c>
      <c r="G1372" s="11" t="s">
        <v>7976</v>
      </c>
      <c r="H1372" s="11" t="s">
        <v>7977</v>
      </c>
      <c r="I1372" s="11" t="b">
        <v>1</v>
      </c>
      <c r="J1372" s="11" t="s">
        <v>5814</v>
      </c>
      <c r="O1372" s="11">
        <v>15.35</v>
      </c>
      <c r="P1372" s="19" t="s">
        <v>7978</v>
      </c>
      <c r="Q1372" s="11" t="b">
        <v>1</v>
      </c>
    </row>
    <row r="1373">
      <c r="A1373" s="11">
        <v>11016.0</v>
      </c>
      <c r="B1373" s="11" t="s">
        <v>78</v>
      </c>
      <c r="C1373" s="23">
        <v>46195.0</v>
      </c>
      <c r="D1373" s="11" t="s">
        <v>1046</v>
      </c>
      <c r="F1373" s="11" t="s">
        <v>1557</v>
      </c>
      <c r="H1373" s="11" t="s">
        <v>1557</v>
      </c>
      <c r="J1373" s="11" t="s">
        <v>187</v>
      </c>
      <c r="O1373" s="20">
        <v>2901.41</v>
      </c>
      <c r="Q1373" s="11" t="b">
        <v>1</v>
      </c>
      <c r="R1373" s="11" t="b">
        <v>0</v>
      </c>
    </row>
    <row r="1374">
      <c r="A1374" s="11">
        <v>1.35307112E8</v>
      </c>
      <c r="B1374" s="11" t="s">
        <v>78</v>
      </c>
      <c r="C1374" s="23">
        <v>46195.0</v>
      </c>
      <c r="D1374" s="11" t="s">
        <v>404</v>
      </c>
      <c r="F1374" s="11" t="s">
        <v>7980</v>
      </c>
      <c r="H1374" s="11" t="s">
        <v>7980</v>
      </c>
      <c r="J1374" s="11" t="s">
        <v>187</v>
      </c>
      <c r="O1374" s="20">
        <v>772.8</v>
      </c>
      <c r="Q1374" s="11" t="b">
        <v>1</v>
      </c>
      <c r="R1374" s="11" t="b">
        <v>0</v>
      </c>
    </row>
    <row r="1375">
      <c r="A1375" s="11" t="s">
        <v>5548</v>
      </c>
      <c r="B1375" s="11" t="s">
        <v>78</v>
      </c>
      <c r="C1375" s="23">
        <v>46195.0</v>
      </c>
      <c r="D1375" s="11" t="s">
        <v>451</v>
      </c>
      <c r="F1375" s="11" t="s">
        <v>7982</v>
      </c>
      <c r="H1375" s="11" t="s">
        <v>7982</v>
      </c>
      <c r="J1375" s="11" t="s">
        <v>187</v>
      </c>
      <c r="O1375" s="20">
        <v>1481.3</v>
      </c>
      <c r="Q1375" s="11" t="b">
        <v>1</v>
      </c>
      <c r="R1375" s="11" t="b">
        <v>0</v>
      </c>
    </row>
    <row r="1376">
      <c r="A1376" s="11">
        <v>11025.0</v>
      </c>
      <c r="B1376" s="11" t="s">
        <v>78</v>
      </c>
      <c r="C1376" s="23">
        <v>46195.0</v>
      </c>
      <c r="D1376" s="11" t="s">
        <v>415</v>
      </c>
      <c r="F1376" s="23">
        <v>46304.0</v>
      </c>
      <c r="H1376" s="23">
        <v>46304.0</v>
      </c>
      <c r="J1376" s="11" t="s">
        <v>187</v>
      </c>
      <c r="O1376" s="20">
        <v>190.34</v>
      </c>
      <c r="Q1376" s="11" t="b">
        <v>1</v>
      </c>
      <c r="R1376" s="11" t="b">
        <v>0</v>
      </c>
    </row>
    <row r="1377">
      <c r="A1377" s="11">
        <v>11031.0</v>
      </c>
      <c r="B1377" s="11" t="s">
        <v>78</v>
      </c>
      <c r="C1377" s="23">
        <v>46195.0</v>
      </c>
      <c r="D1377" s="11" t="s">
        <v>415</v>
      </c>
      <c r="F1377" s="11" t="s">
        <v>1015</v>
      </c>
      <c r="H1377" s="11" t="s">
        <v>1015</v>
      </c>
      <c r="J1377" s="11" t="s">
        <v>187</v>
      </c>
      <c r="O1377" s="20">
        <v>22.0</v>
      </c>
      <c r="Q1377" s="11" t="b">
        <v>1</v>
      </c>
      <c r="R1377" s="11" t="b">
        <v>0</v>
      </c>
    </row>
    <row r="1378">
      <c r="A1378" s="11">
        <v>11032.0</v>
      </c>
      <c r="B1378" s="11" t="s">
        <v>78</v>
      </c>
      <c r="C1378" s="23">
        <v>46195.0</v>
      </c>
      <c r="D1378" s="11" t="s">
        <v>415</v>
      </c>
      <c r="F1378" s="11" t="s">
        <v>1022</v>
      </c>
      <c r="H1378" s="11" t="s">
        <v>1022</v>
      </c>
      <c r="J1378" s="11" t="s">
        <v>187</v>
      </c>
      <c r="O1378" s="20">
        <v>10.0</v>
      </c>
      <c r="Q1378" s="11" t="b">
        <v>1</v>
      </c>
      <c r="R1378" s="11" t="b">
        <v>0</v>
      </c>
    </row>
    <row r="1379">
      <c r="A1379" s="11" t="s">
        <v>5554</v>
      </c>
      <c r="B1379" s="11" t="s">
        <v>78</v>
      </c>
      <c r="C1379" s="23">
        <v>46195.0</v>
      </c>
      <c r="D1379" s="11" t="s">
        <v>237</v>
      </c>
      <c r="F1379" s="11" t="s">
        <v>7985</v>
      </c>
      <c r="H1379" s="11" t="s">
        <v>7985</v>
      </c>
      <c r="J1379" s="11" t="s">
        <v>187</v>
      </c>
      <c r="O1379" s="20">
        <v>387.72</v>
      </c>
      <c r="Q1379" s="11" t="b">
        <v>1</v>
      </c>
      <c r="R1379" s="11" t="b">
        <v>0</v>
      </c>
    </row>
    <row r="1380">
      <c r="A1380" s="11" t="s">
        <v>5556</v>
      </c>
      <c r="B1380" s="11" t="s">
        <v>78</v>
      </c>
      <c r="C1380" s="23">
        <v>46195.0</v>
      </c>
      <c r="D1380" s="11" t="s">
        <v>1567</v>
      </c>
      <c r="F1380" s="11" t="s">
        <v>59</v>
      </c>
      <c r="H1380" s="11" t="s">
        <v>59</v>
      </c>
      <c r="J1380" s="11" t="s">
        <v>187</v>
      </c>
      <c r="O1380" s="20">
        <v>455.44</v>
      </c>
      <c r="Q1380" s="11" t="b">
        <v>1</v>
      </c>
      <c r="R1380" s="11" t="b">
        <v>0</v>
      </c>
    </row>
    <row r="1381">
      <c r="A1381" s="11" t="s">
        <v>5558</v>
      </c>
      <c r="B1381" s="11" t="s">
        <v>78</v>
      </c>
      <c r="C1381" s="23">
        <v>46195.0</v>
      </c>
      <c r="D1381" s="11" t="s">
        <v>237</v>
      </c>
      <c r="F1381" s="11" t="s">
        <v>7988</v>
      </c>
      <c r="H1381" s="11" t="s">
        <v>7988</v>
      </c>
      <c r="J1381" s="11" t="s">
        <v>187</v>
      </c>
      <c r="O1381" s="20">
        <v>55.82</v>
      </c>
      <c r="Q1381" s="11" t="b">
        <v>1</v>
      </c>
      <c r="R1381" s="11" t="b">
        <v>0</v>
      </c>
    </row>
    <row r="1382">
      <c r="A1382" s="11" t="s">
        <v>5560</v>
      </c>
      <c r="B1382" s="11" t="s">
        <v>78</v>
      </c>
      <c r="C1382" s="23">
        <v>46195.0</v>
      </c>
      <c r="D1382" s="11" t="s">
        <v>237</v>
      </c>
      <c r="F1382" s="11" t="s">
        <v>7989</v>
      </c>
      <c r="H1382" s="11" t="s">
        <v>7989</v>
      </c>
      <c r="J1382" s="11" t="s">
        <v>187</v>
      </c>
      <c r="O1382" s="20">
        <v>2124.64</v>
      </c>
      <c r="Q1382" s="11" t="b">
        <v>1</v>
      </c>
      <c r="R1382" s="11" t="b">
        <v>0</v>
      </c>
    </row>
    <row r="1383">
      <c r="A1383" s="11" t="s">
        <v>5572</v>
      </c>
      <c r="B1383" s="11" t="s">
        <v>78</v>
      </c>
      <c r="C1383" s="18">
        <v>46195.0</v>
      </c>
      <c r="D1383" s="11" t="s">
        <v>104</v>
      </c>
      <c r="E1383" s="11" t="s">
        <v>7991</v>
      </c>
      <c r="G1383" s="11" t="s">
        <v>7992</v>
      </c>
      <c r="H1383" s="11" t="s">
        <v>7993</v>
      </c>
      <c r="I1383" s="11" t="b">
        <v>1</v>
      </c>
      <c r="J1383" s="11" t="s">
        <v>5814</v>
      </c>
      <c r="O1383" s="11">
        <v>20.47</v>
      </c>
      <c r="P1383" s="19" t="s">
        <v>7994</v>
      </c>
      <c r="Q1383" s="11" t="b">
        <v>1</v>
      </c>
    </row>
    <row r="1384">
      <c r="A1384" s="11" t="s">
        <v>5575</v>
      </c>
      <c r="B1384" s="11" t="s">
        <v>78</v>
      </c>
      <c r="C1384" s="18">
        <v>46195.0</v>
      </c>
      <c r="D1384" s="11" t="s">
        <v>1251</v>
      </c>
      <c r="E1384" s="11" t="s">
        <v>7996</v>
      </c>
      <c r="G1384" s="11" t="s">
        <v>7997</v>
      </c>
      <c r="H1384" s="11" t="s">
        <v>7998</v>
      </c>
      <c r="I1384" s="11" t="b">
        <v>1</v>
      </c>
      <c r="J1384" s="11" t="s">
        <v>5814</v>
      </c>
      <c r="O1384" s="11">
        <v>9.99</v>
      </c>
      <c r="P1384" s="19" t="s">
        <v>7999</v>
      </c>
      <c r="Q1384" s="11" t="b">
        <v>1</v>
      </c>
    </row>
    <row r="1385">
      <c r="A1385" s="11" t="s">
        <v>5578</v>
      </c>
      <c r="B1385" s="11" t="s">
        <v>78</v>
      </c>
      <c r="C1385" s="18">
        <v>46195.0</v>
      </c>
      <c r="D1385" s="19" t="s">
        <v>6565</v>
      </c>
      <c r="E1385" s="11" t="s">
        <v>8001</v>
      </c>
      <c r="G1385" s="11" t="s">
        <v>8002</v>
      </c>
      <c r="H1385" s="11" t="s">
        <v>8003</v>
      </c>
      <c r="I1385" s="11" t="b">
        <v>1</v>
      </c>
      <c r="J1385" s="11" t="s">
        <v>5814</v>
      </c>
      <c r="O1385" s="11">
        <v>16.0</v>
      </c>
      <c r="P1385" s="19" t="s">
        <v>8004</v>
      </c>
      <c r="Q1385" s="11" t="b">
        <v>1</v>
      </c>
    </row>
    <row r="1386">
      <c r="A1386" s="11" t="s">
        <v>5562</v>
      </c>
      <c r="B1386" s="11" t="s">
        <v>78</v>
      </c>
      <c r="C1386" s="18">
        <v>46187.0</v>
      </c>
      <c r="D1386" s="11" t="s">
        <v>2549</v>
      </c>
      <c r="E1386" s="11" t="s">
        <v>8005</v>
      </c>
      <c r="G1386" s="11" t="s">
        <v>8006</v>
      </c>
      <c r="H1386" s="11" t="s">
        <v>8007</v>
      </c>
      <c r="I1386" s="11" t="b">
        <v>1</v>
      </c>
      <c r="J1386" s="11" t="s">
        <v>5814</v>
      </c>
      <c r="O1386" s="11">
        <v>390.0</v>
      </c>
      <c r="P1386" s="19" t="s">
        <v>8009</v>
      </c>
      <c r="Q1386" s="11" t="b">
        <v>1</v>
      </c>
    </row>
    <row r="1387">
      <c r="A1387" s="11"/>
      <c r="B1387" s="11"/>
      <c r="C1387" s="18"/>
      <c r="D1387" s="11"/>
      <c r="E1387" s="11"/>
      <c r="G1387" s="11"/>
      <c r="H1387" s="11"/>
      <c r="I1387" s="11"/>
      <c r="J1387" s="11"/>
      <c r="P1387" s="11"/>
      <c r="Q1387" s="11"/>
    </row>
    <row r="1388">
      <c r="A1388" s="11" t="s">
        <v>5564</v>
      </c>
      <c r="B1388" s="11" t="s">
        <v>78</v>
      </c>
      <c r="C1388" s="18">
        <v>46188.0</v>
      </c>
      <c r="D1388" s="11" t="s">
        <v>237</v>
      </c>
      <c r="E1388" s="11" t="s">
        <v>8010</v>
      </c>
      <c r="G1388" s="11" t="s">
        <v>8011</v>
      </c>
      <c r="H1388" s="11" t="s">
        <v>8012</v>
      </c>
      <c r="I1388" s="11" t="b">
        <v>0</v>
      </c>
      <c r="J1388" s="11" t="s">
        <v>5814</v>
      </c>
      <c r="O1388" s="11">
        <v>55.82</v>
      </c>
      <c r="Q1388" s="11" t="b">
        <v>1</v>
      </c>
    </row>
    <row r="1389">
      <c r="A1389" s="11"/>
      <c r="B1389" s="11"/>
      <c r="C1389" s="18"/>
      <c r="D1389" s="11"/>
      <c r="E1389" s="11"/>
      <c r="G1389" s="11"/>
      <c r="H1389" s="11"/>
      <c r="I1389" s="11"/>
      <c r="J1389" s="11"/>
      <c r="Q1389" s="11"/>
    </row>
    <row r="1390">
      <c r="A1390" s="11" t="s">
        <v>5567</v>
      </c>
      <c r="B1390" s="11" t="s">
        <v>78</v>
      </c>
      <c r="C1390" s="18">
        <v>46189.0</v>
      </c>
      <c r="D1390" s="11" t="s">
        <v>237</v>
      </c>
      <c r="E1390" s="11" t="s">
        <v>8013</v>
      </c>
      <c r="G1390" s="11" t="s">
        <v>8014</v>
      </c>
      <c r="H1390" s="11" t="s">
        <v>2291</v>
      </c>
      <c r="I1390" s="11" t="b">
        <v>0</v>
      </c>
      <c r="J1390" s="11" t="s">
        <v>5814</v>
      </c>
      <c r="L1390" s="11" t="s">
        <v>8015</v>
      </c>
      <c r="O1390" s="11">
        <v>4659.83</v>
      </c>
      <c r="Q1390" s="11" t="b">
        <v>1</v>
      </c>
      <c r="S1390" s="11">
        <v>112.85</v>
      </c>
    </row>
    <row r="1391">
      <c r="A1391" s="11" t="s">
        <v>5585</v>
      </c>
      <c r="B1391" s="11" t="s">
        <v>78</v>
      </c>
      <c r="C1391" s="18">
        <v>46196.0</v>
      </c>
      <c r="D1391" s="11" t="s">
        <v>237</v>
      </c>
      <c r="E1391" s="11" t="s">
        <v>8016</v>
      </c>
      <c r="G1391" s="11" t="s">
        <v>8017</v>
      </c>
      <c r="H1391" s="11" t="s">
        <v>8018</v>
      </c>
      <c r="I1391" s="11" t="b">
        <v>0</v>
      </c>
      <c r="J1391" s="11" t="s">
        <v>5814</v>
      </c>
      <c r="O1391" s="11">
        <v>2048.11</v>
      </c>
      <c r="Q1391" s="11" t="b">
        <v>1</v>
      </c>
      <c r="S1391" s="11">
        <v>87.3</v>
      </c>
    </row>
    <row r="1392">
      <c r="A1392" s="11">
        <v>11028.0</v>
      </c>
      <c r="B1392" s="11" t="s">
        <v>78</v>
      </c>
      <c r="C1392" s="23">
        <v>46202.0</v>
      </c>
      <c r="F1392" s="11" t="s">
        <v>681</v>
      </c>
      <c r="H1392" s="11" t="s">
        <v>681</v>
      </c>
      <c r="J1392" s="11" t="s">
        <v>187</v>
      </c>
      <c r="K1392" s="11" t="s">
        <v>685</v>
      </c>
      <c r="O1392" s="20">
        <v>3727.0</v>
      </c>
      <c r="Q1392" s="11" t="b">
        <v>1</v>
      </c>
      <c r="R1392" s="11" t="b">
        <v>0</v>
      </c>
    </row>
    <row r="1393">
      <c r="A1393" s="11">
        <v>11029.0</v>
      </c>
      <c r="B1393" s="11" t="s">
        <v>78</v>
      </c>
      <c r="C1393" s="23">
        <v>46202.0</v>
      </c>
      <c r="F1393" s="11" t="s">
        <v>687</v>
      </c>
      <c r="H1393" s="11" t="s">
        <v>687</v>
      </c>
      <c r="J1393" s="11" t="s">
        <v>187</v>
      </c>
      <c r="K1393" s="11" t="s">
        <v>3675</v>
      </c>
      <c r="O1393" s="20">
        <v>312.0</v>
      </c>
      <c r="Q1393" s="11" t="b">
        <v>1</v>
      </c>
      <c r="R1393" s="11" t="b">
        <v>0</v>
      </c>
    </row>
    <row r="1394">
      <c r="A1394" s="11">
        <v>11030.0</v>
      </c>
      <c r="B1394" s="11" t="s">
        <v>78</v>
      </c>
      <c r="C1394" s="23">
        <v>46202.0</v>
      </c>
      <c r="F1394" s="11" t="s">
        <v>687</v>
      </c>
      <c r="H1394" s="11" t="s">
        <v>687</v>
      </c>
      <c r="J1394" s="11" t="s">
        <v>187</v>
      </c>
      <c r="K1394" s="11" t="s">
        <v>704</v>
      </c>
      <c r="O1394" s="20">
        <v>312.0</v>
      </c>
      <c r="Q1394" s="11" t="b">
        <v>1</v>
      </c>
      <c r="R1394" s="11" t="b">
        <v>0</v>
      </c>
    </row>
    <row r="1395">
      <c r="A1395" s="11">
        <v>11038.0</v>
      </c>
      <c r="B1395" s="11" t="s">
        <v>78</v>
      </c>
      <c r="C1395" s="23">
        <v>46199.0</v>
      </c>
      <c r="F1395" s="11" t="s">
        <v>2638</v>
      </c>
      <c r="H1395" s="11" t="s">
        <v>2638</v>
      </c>
      <c r="J1395" s="11" t="s">
        <v>187</v>
      </c>
      <c r="K1395" s="11" t="s">
        <v>145</v>
      </c>
      <c r="O1395" s="20">
        <v>1767.02</v>
      </c>
      <c r="Q1395" s="11" t="b">
        <v>1</v>
      </c>
      <c r="R1395" s="11" t="b">
        <v>0</v>
      </c>
    </row>
    <row r="1396">
      <c r="A1396" s="11">
        <v>11039.0</v>
      </c>
      <c r="B1396" s="11" t="s">
        <v>78</v>
      </c>
      <c r="C1396" s="23">
        <v>46202.0</v>
      </c>
      <c r="D1396" s="11" t="s">
        <v>415</v>
      </c>
      <c r="F1396" s="23">
        <v>46297.0</v>
      </c>
      <c r="H1396" s="23">
        <v>46297.0</v>
      </c>
      <c r="J1396" s="11" t="s">
        <v>187</v>
      </c>
      <c r="O1396" s="20">
        <v>855.0</v>
      </c>
      <c r="Q1396" s="11" t="b">
        <v>1</v>
      </c>
      <c r="R1396" s="11" t="b">
        <v>0</v>
      </c>
    </row>
    <row r="1397">
      <c r="A1397" s="11" t="s">
        <v>5594</v>
      </c>
      <c r="B1397" s="11" t="s">
        <v>78</v>
      </c>
      <c r="C1397" s="23">
        <v>46202.0</v>
      </c>
      <c r="D1397" s="11" t="s">
        <v>237</v>
      </c>
      <c r="F1397" s="11" t="s">
        <v>8019</v>
      </c>
      <c r="H1397" s="11" t="s">
        <v>8019</v>
      </c>
      <c r="J1397" s="11" t="s">
        <v>187</v>
      </c>
      <c r="O1397" s="20">
        <v>991.97</v>
      </c>
      <c r="Q1397" s="11" t="b">
        <v>1</v>
      </c>
      <c r="R1397" s="11" t="b">
        <v>0</v>
      </c>
    </row>
    <row r="1398">
      <c r="A1398" s="11" t="s">
        <v>5596</v>
      </c>
      <c r="B1398" s="11" t="s">
        <v>78</v>
      </c>
      <c r="C1398" s="23">
        <v>46202.0</v>
      </c>
      <c r="D1398" s="11" t="s">
        <v>237</v>
      </c>
      <c r="F1398" s="11" t="s">
        <v>8021</v>
      </c>
      <c r="H1398" s="11" t="s">
        <v>8021</v>
      </c>
      <c r="J1398" s="11" t="s">
        <v>187</v>
      </c>
      <c r="O1398" s="20">
        <v>12.11</v>
      </c>
      <c r="Q1398" s="11" t="b">
        <v>1</v>
      </c>
      <c r="R1398" s="11" t="b">
        <v>0</v>
      </c>
    </row>
    <row r="1399">
      <c r="A1399" s="11" t="s">
        <v>5598</v>
      </c>
      <c r="B1399" s="11" t="s">
        <v>78</v>
      </c>
      <c r="C1399" s="23">
        <v>46202.0</v>
      </c>
      <c r="D1399" s="11" t="s">
        <v>237</v>
      </c>
      <c r="F1399" s="11" t="s">
        <v>8022</v>
      </c>
      <c r="H1399" s="11" t="s">
        <v>8022</v>
      </c>
      <c r="J1399" s="11" t="s">
        <v>187</v>
      </c>
      <c r="O1399" s="20">
        <v>60.0</v>
      </c>
      <c r="Q1399" s="11" t="b">
        <v>1</v>
      </c>
      <c r="R1399" s="11" t="b">
        <v>0</v>
      </c>
    </row>
    <row r="1400">
      <c r="A1400" s="11" t="s">
        <v>5601</v>
      </c>
      <c r="B1400" s="11" t="s">
        <v>78</v>
      </c>
      <c r="C1400" s="23">
        <v>46202.0</v>
      </c>
      <c r="D1400" s="11" t="s">
        <v>237</v>
      </c>
      <c r="F1400" s="11" t="s">
        <v>8024</v>
      </c>
      <c r="H1400" s="11" t="s">
        <v>8024</v>
      </c>
      <c r="J1400" s="11" t="s">
        <v>187</v>
      </c>
      <c r="O1400" s="20">
        <v>45.0</v>
      </c>
      <c r="Q1400" s="11" t="b">
        <v>1</v>
      </c>
      <c r="R1400" s="11" t="b">
        <v>0</v>
      </c>
    </row>
    <row r="1401">
      <c r="A1401" s="11" t="s">
        <v>5603</v>
      </c>
      <c r="B1401" s="11" t="s">
        <v>78</v>
      </c>
      <c r="C1401" s="23">
        <v>46202.0</v>
      </c>
      <c r="D1401" s="11" t="s">
        <v>237</v>
      </c>
      <c r="F1401" s="11" t="s">
        <v>8025</v>
      </c>
      <c r="H1401" s="11" t="s">
        <v>8025</v>
      </c>
      <c r="J1401" s="11" t="s">
        <v>187</v>
      </c>
      <c r="O1401" s="20">
        <v>276.68</v>
      </c>
      <c r="Q1401" s="11" t="b">
        <v>1</v>
      </c>
      <c r="R1401" s="11" t="b">
        <v>0</v>
      </c>
    </row>
    <row r="1402">
      <c r="A1402" s="11" t="s">
        <v>5605</v>
      </c>
      <c r="B1402" s="11" t="s">
        <v>78</v>
      </c>
      <c r="C1402" s="23">
        <v>46202.0</v>
      </c>
      <c r="D1402" s="11" t="s">
        <v>237</v>
      </c>
      <c r="F1402" s="11" t="s">
        <v>8027</v>
      </c>
      <c r="H1402" s="11" t="s">
        <v>8027</v>
      </c>
      <c r="J1402" s="11" t="s">
        <v>187</v>
      </c>
      <c r="O1402" s="20">
        <v>207.51</v>
      </c>
      <c r="Q1402" s="11" t="b">
        <v>1</v>
      </c>
      <c r="R1402" s="11" t="b">
        <v>0</v>
      </c>
    </row>
    <row r="1403">
      <c r="A1403" s="11" t="s">
        <v>5608</v>
      </c>
      <c r="B1403" s="11" t="s">
        <v>78</v>
      </c>
      <c r="C1403" s="18">
        <v>46189.0</v>
      </c>
      <c r="D1403" s="11" t="s">
        <v>237</v>
      </c>
      <c r="E1403" s="11" t="s">
        <v>8013</v>
      </c>
      <c r="G1403" s="11" t="s">
        <v>8028</v>
      </c>
      <c r="H1403" s="11" t="s">
        <v>2291</v>
      </c>
      <c r="I1403" s="11" t="b">
        <v>0</v>
      </c>
      <c r="J1403" s="11" t="s">
        <v>5814</v>
      </c>
      <c r="O1403" s="11">
        <v>207.51</v>
      </c>
      <c r="Q1403" s="11" t="b">
        <v>1</v>
      </c>
    </row>
    <row r="1404">
      <c r="A1404" s="11" t="s">
        <v>5614</v>
      </c>
      <c r="B1404" s="11" t="s">
        <v>78</v>
      </c>
      <c r="C1404" s="18">
        <v>46189.0</v>
      </c>
      <c r="D1404" s="11" t="s">
        <v>237</v>
      </c>
      <c r="E1404" s="11" t="s">
        <v>8013</v>
      </c>
      <c r="G1404" s="11" t="s">
        <v>8029</v>
      </c>
      <c r="H1404" s="11" t="s">
        <v>2291</v>
      </c>
      <c r="I1404" s="11" t="b">
        <v>0</v>
      </c>
      <c r="J1404" s="11" t="s">
        <v>5814</v>
      </c>
      <c r="O1404" s="11">
        <v>276.68</v>
      </c>
      <c r="Q1404" s="11" t="b">
        <v>1</v>
      </c>
    </row>
    <row r="1405">
      <c r="A1405" s="11" t="s">
        <v>5621</v>
      </c>
      <c r="B1405" s="11" t="s">
        <v>78</v>
      </c>
      <c r="C1405" s="18">
        <v>46198.0</v>
      </c>
      <c r="D1405" s="11" t="s">
        <v>8030</v>
      </c>
      <c r="E1405" s="11" t="s">
        <v>8031</v>
      </c>
      <c r="G1405" s="11" t="s">
        <v>8032</v>
      </c>
      <c r="H1405" s="11" t="s">
        <v>8033</v>
      </c>
      <c r="I1405" s="11" t="b">
        <v>1</v>
      </c>
      <c r="J1405" s="11" t="s">
        <v>5814</v>
      </c>
      <c r="O1405" s="11">
        <v>39.0</v>
      </c>
      <c r="P1405" s="19" t="s">
        <v>8034</v>
      </c>
      <c r="Q1405" s="11" t="b">
        <v>1</v>
      </c>
    </row>
    <row r="1406">
      <c r="A1406" s="11" t="s">
        <v>5625</v>
      </c>
      <c r="B1406" s="11" t="s">
        <v>78</v>
      </c>
      <c r="C1406" s="18">
        <v>46199.0</v>
      </c>
      <c r="D1406" s="11" t="s">
        <v>1011</v>
      </c>
      <c r="E1406" s="11" t="s">
        <v>8035</v>
      </c>
      <c r="G1406" s="11" t="s">
        <v>8036</v>
      </c>
      <c r="H1406" s="11" t="s">
        <v>8037</v>
      </c>
      <c r="I1406" s="11" t="b">
        <v>1</v>
      </c>
      <c r="J1406" s="11" t="s">
        <v>5814</v>
      </c>
      <c r="O1406" s="11">
        <v>72.77</v>
      </c>
      <c r="P1406" s="19" t="s">
        <v>8038</v>
      </c>
      <c r="Q1406" s="11" t="b">
        <v>1</v>
      </c>
    </row>
    <row r="1407">
      <c r="A1407" s="11" t="s">
        <v>5652</v>
      </c>
      <c r="B1407" s="11" t="s">
        <v>78</v>
      </c>
      <c r="C1407" s="18">
        <v>46202.0</v>
      </c>
      <c r="D1407" s="11" t="s">
        <v>104</v>
      </c>
      <c r="E1407" s="11" t="s">
        <v>8039</v>
      </c>
      <c r="G1407" s="11" t="s">
        <v>8040</v>
      </c>
      <c r="H1407" s="11" t="s">
        <v>110</v>
      </c>
      <c r="I1407" s="11" t="b">
        <v>1</v>
      </c>
      <c r="J1407" s="11" t="s">
        <v>5814</v>
      </c>
      <c r="O1407" s="11">
        <v>94.5</v>
      </c>
      <c r="P1407" s="19" t="s">
        <v>8042</v>
      </c>
      <c r="Q1407" s="11" t="b">
        <v>1</v>
      </c>
    </row>
    <row r="1408">
      <c r="A1408" s="11" t="s">
        <v>5643</v>
      </c>
      <c r="B1408" s="11" t="s">
        <v>78</v>
      </c>
      <c r="C1408" s="18">
        <v>46199.0</v>
      </c>
      <c r="D1408" s="11" t="s">
        <v>992</v>
      </c>
      <c r="E1408" s="11" t="s">
        <v>8043</v>
      </c>
      <c r="G1408" s="11" t="s">
        <v>8044</v>
      </c>
      <c r="H1408" s="11" t="s">
        <v>8045</v>
      </c>
      <c r="I1408" s="11" t="b">
        <v>1</v>
      </c>
      <c r="J1408" s="11" t="s">
        <v>5814</v>
      </c>
      <c r="O1408" s="11">
        <v>112.0</v>
      </c>
      <c r="P1408" s="19" t="s">
        <v>8046</v>
      </c>
      <c r="Q1408" s="11" t="b">
        <v>1</v>
      </c>
    </row>
    <row r="1409">
      <c r="A1409" s="11" t="s">
        <v>5647</v>
      </c>
      <c r="B1409" s="11" t="s">
        <v>78</v>
      </c>
      <c r="C1409" s="18">
        <v>46201.0</v>
      </c>
      <c r="D1409" s="11" t="s">
        <v>2549</v>
      </c>
      <c r="E1409" s="11" t="s">
        <v>8048</v>
      </c>
      <c r="G1409" s="11" t="s">
        <v>8049</v>
      </c>
      <c r="H1409" s="11" t="s">
        <v>8050</v>
      </c>
      <c r="I1409" s="11" t="b">
        <v>1</v>
      </c>
      <c r="J1409" s="11" t="s">
        <v>5814</v>
      </c>
      <c r="O1409" s="11">
        <v>342.0</v>
      </c>
      <c r="P1409" s="19" t="s">
        <v>8051</v>
      </c>
      <c r="Q1409" s="11" t="b">
        <v>1</v>
      </c>
    </row>
    <row r="1410">
      <c r="A1410" s="11" t="s">
        <v>1061</v>
      </c>
      <c r="B1410" s="11" t="s">
        <v>78</v>
      </c>
      <c r="C1410" s="18">
        <v>46203.0</v>
      </c>
      <c r="D1410" s="11" t="s">
        <v>739</v>
      </c>
      <c r="E1410" s="11" t="s">
        <v>8053</v>
      </c>
      <c r="G1410" s="11" t="s">
        <v>8054</v>
      </c>
      <c r="H1410" s="11" t="s">
        <v>8055</v>
      </c>
      <c r="I1410" s="11" t="b">
        <v>1</v>
      </c>
      <c r="J1410" s="11" t="s">
        <v>5814</v>
      </c>
      <c r="O1410" s="11">
        <v>6.0</v>
      </c>
      <c r="P1410" s="19" t="s">
        <v>8056</v>
      </c>
      <c r="Q1410" s="11" t="b">
        <v>1</v>
      </c>
    </row>
    <row r="1411">
      <c r="A1411" s="11">
        <v>11033.0</v>
      </c>
      <c r="B1411" s="11" t="s">
        <v>78</v>
      </c>
      <c r="C1411" s="23">
        <v>46205.0</v>
      </c>
      <c r="D1411" s="11" t="s">
        <v>629</v>
      </c>
      <c r="F1411" s="11" t="s">
        <v>633</v>
      </c>
      <c r="H1411" s="11" t="s">
        <v>633</v>
      </c>
      <c r="J1411" s="11" t="s">
        <v>187</v>
      </c>
      <c r="O1411" s="20">
        <v>1612.99</v>
      </c>
      <c r="Q1411" s="11" t="b">
        <v>1</v>
      </c>
      <c r="R1411" s="11" t="b">
        <v>0</v>
      </c>
    </row>
    <row r="1412">
      <c r="A1412" s="11">
        <v>11034.0</v>
      </c>
      <c r="B1412" s="11" t="s">
        <v>78</v>
      </c>
      <c r="C1412" s="23">
        <v>46205.0</v>
      </c>
      <c r="F1412" s="11" t="s">
        <v>2638</v>
      </c>
      <c r="H1412" s="11" t="s">
        <v>2638</v>
      </c>
      <c r="J1412" s="11" t="s">
        <v>187</v>
      </c>
      <c r="K1412" s="11" t="s">
        <v>225</v>
      </c>
      <c r="O1412" s="20">
        <v>1668.16</v>
      </c>
      <c r="Q1412" s="11" t="b">
        <v>1</v>
      </c>
      <c r="R1412" s="11" t="b">
        <v>0</v>
      </c>
    </row>
    <row r="1413">
      <c r="A1413" s="11">
        <v>11036.0</v>
      </c>
      <c r="B1413" s="11" t="s">
        <v>78</v>
      </c>
      <c r="C1413" s="23">
        <v>46205.0</v>
      </c>
      <c r="F1413" s="11" t="s">
        <v>2638</v>
      </c>
      <c r="H1413" s="11" t="s">
        <v>2638</v>
      </c>
      <c r="J1413" s="11" t="s">
        <v>187</v>
      </c>
      <c r="K1413" s="11" t="s">
        <v>126</v>
      </c>
      <c r="O1413" s="20">
        <v>1470.7</v>
      </c>
      <c r="Q1413" s="11" t="b">
        <v>1</v>
      </c>
      <c r="R1413" s="11" t="b">
        <v>0</v>
      </c>
    </row>
    <row r="1414">
      <c r="A1414" s="11">
        <v>11037.0</v>
      </c>
      <c r="B1414" s="11" t="s">
        <v>78</v>
      </c>
      <c r="C1414" s="23">
        <v>46205.0</v>
      </c>
      <c r="F1414" s="11" t="s">
        <v>2638</v>
      </c>
      <c r="H1414" s="11" t="s">
        <v>2638</v>
      </c>
      <c r="J1414" s="11" t="s">
        <v>187</v>
      </c>
      <c r="K1414" s="11" t="s">
        <v>3739</v>
      </c>
      <c r="O1414" s="20">
        <v>0.0</v>
      </c>
      <c r="Q1414" s="11" t="b">
        <v>1</v>
      </c>
      <c r="R1414" s="11" t="b">
        <v>0</v>
      </c>
    </row>
    <row r="1415">
      <c r="A1415" s="11"/>
      <c r="B1415" s="11"/>
      <c r="C1415" s="18"/>
      <c r="D1415" s="11"/>
      <c r="E1415" s="11"/>
      <c r="G1415" s="11"/>
      <c r="H1415" s="11"/>
      <c r="I1415" s="11"/>
      <c r="J1415" s="11"/>
      <c r="Q1415" s="11"/>
    </row>
    <row r="1416">
      <c r="A1416" s="11" t="s">
        <v>5671</v>
      </c>
      <c r="B1416" s="11" t="s">
        <v>78</v>
      </c>
      <c r="C1416" s="18">
        <v>46188.0</v>
      </c>
      <c r="D1416" s="11" t="s">
        <v>237</v>
      </c>
      <c r="E1416" s="11" t="s">
        <v>8058</v>
      </c>
      <c r="G1416" s="11" t="s">
        <v>8059</v>
      </c>
      <c r="H1416" s="11" t="s">
        <v>8018</v>
      </c>
      <c r="I1416" s="11" t="b">
        <v>0</v>
      </c>
      <c r="J1416" s="11" t="s">
        <v>5814</v>
      </c>
      <c r="O1416" s="11">
        <v>2124.64</v>
      </c>
      <c r="Q1416" s="11" t="b">
        <v>1</v>
      </c>
    </row>
    <row r="1417">
      <c r="A1417" s="11" t="s">
        <v>5733</v>
      </c>
      <c r="B1417" s="11" t="s">
        <v>78</v>
      </c>
      <c r="C1417" s="18">
        <v>46208.0</v>
      </c>
      <c r="D1417" s="11" t="s">
        <v>85</v>
      </c>
      <c r="E1417" s="11" t="s">
        <v>8060</v>
      </c>
      <c r="G1417" s="11" t="s">
        <v>8061</v>
      </c>
      <c r="H1417" s="11" t="s">
        <v>8062</v>
      </c>
      <c r="I1417" s="11" t="b">
        <v>1</v>
      </c>
      <c r="J1417" s="11" t="s">
        <v>5814</v>
      </c>
      <c r="O1417" s="11">
        <v>35.18</v>
      </c>
      <c r="P1417" s="19" t="s">
        <v>8063</v>
      </c>
      <c r="Q1417" s="11" t="b">
        <v>1</v>
      </c>
    </row>
    <row r="1418">
      <c r="A1418" s="11" t="s">
        <v>5716</v>
      </c>
      <c r="B1418" s="11" t="s">
        <v>78</v>
      </c>
      <c r="C1418" s="18">
        <v>46206.0</v>
      </c>
      <c r="D1418" s="11" t="s">
        <v>85</v>
      </c>
      <c r="E1418" s="11" t="s">
        <v>8064</v>
      </c>
      <c r="G1418" s="11" t="s">
        <v>8065</v>
      </c>
      <c r="H1418" s="11" t="s">
        <v>3193</v>
      </c>
      <c r="I1418" s="11" t="b">
        <v>1</v>
      </c>
      <c r="J1418" s="11" t="s">
        <v>5814</v>
      </c>
      <c r="O1418" s="11">
        <v>11.99</v>
      </c>
      <c r="P1418" s="19" t="s">
        <v>8066</v>
      </c>
      <c r="Q1418" s="11" t="b">
        <v>1</v>
      </c>
    </row>
    <row r="1419">
      <c r="A1419" s="11" t="s">
        <v>5722</v>
      </c>
      <c r="B1419" s="11" t="s">
        <v>78</v>
      </c>
      <c r="C1419" s="18">
        <v>46206.0</v>
      </c>
      <c r="D1419" s="11" t="s">
        <v>85</v>
      </c>
      <c r="E1419" s="11" t="s">
        <v>8064</v>
      </c>
      <c r="G1419" s="11" t="s">
        <v>8067</v>
      </c>
      <c r="H1419" s="11" t="s">
        <v>3193</v>
      </c>
      <c r="I1419" s="11" t="b">
        <v>1</v>
      </c>
      <c r="J1419" s="11" t="s">
        <v>5814</v>
      </c>
      <c r="O1419" s="11">
        <v>52.53</v>
      </c>
      <c r="P1419" s="19" t="s">
        <v>8068</v>
      </c>
      <c r="Q1419" s="11" t="b">
        <v>1</v>
      </c>
    </row>
    <row r="1420">
      <c r="A1420" s="11" t="s">
        <v>5695</v>
      </c>
      <c r="B1420" s="11" t="s">
        <v>78</v>
      </c>
      <c r="C1420" s="18">
        <v>46205.0</v>
      </c>
      <c r="D1420" s="11" t="s">
        <v>104</v>
      </c>
      <c r="E1420" s="11" t="s">
        <v>8069</v>
      </c>
      <c r="G1420" s="11" t="s">
        <v>8070</v>
      </c>
      <c r="H1420" s="11" t="s">
        <v>8071</v>
      </c>
      <c r="I1420" s="11" t="b">
        <v>1</v>
      </c>
      <c r="J1420" s="11" t="s">
        <v>5814</v>
      </c>
      <c r="O1420" s="11">
        <v>104.67</v>
      </c>
      <c r="P1420" s="19" t="s">
        <v>8072</v>
      </c>
      <c r="Q1420" s="11" t="b">
        <v>1</v>
      </c>
    </row>
    <row r="1421">
      <c r="A1421" s="11" t="s">
        <v>5709</v>
      </c>
      <c r="B1421" s="11" t="s">
        <v>78</v>
      </c>
      <c r="C1421" s="18">
        <v>46205.0</v>
      </c>
      <c r="D1421" s="11" t="s">
        <v>7206</v>
      </c>
      <c r="E1421" s="11" t="s">
        <v>8073</v>
      </c>
      <c r="G1421" s="11" t="s">
        <v>8074</v>
      </c>
      <c r="H1421" s="11" t="s">
        <v>8075</v>
      </c>
      <c r="I1421" s="11" t="b">
        <v>1</v>
      </c>
      <c r="J1421" s="11" t="s">
        <v>5814</v>
      </c>
      <c r="O1421" s="11">
        <v>69.9</v>
      </c>
      <c r="P1421" s="19" t="s">
        <v>8076</v>
      </c>
      <c r="Q1421" s="11" t="b">
        <v>1</v>
      </c>
    </row>
    <row r="1422">
      <c r="A1422" s="11" t="s">
        <v>5684</v>
      </c>
      <c r="B1422" s="11" t="s">
        <v>78</v>
      </c>
      <c r="C1422" s="18">
        <v>46204.0</v>
      </c>
      <c r="D1422" s="11" t="s">
        <v>116</v>
      </c>
      <c r="E1422" s="11" t="s">
        <v>8077</v>
      </c>
      <c r="G1422" s="11" t="s">
        <v>8078</v>
      </c>
      <c r="H1422" s="11" t="s">
        <v>8079</v>
      </c>
      <c r="I1422" s="11" t="b">
        <v>1</v>
      </c>
      <c r="J1422" s="11" t="s">
        <v>5814</v>
      </c>
      <c r="O1422" s="11">
        <v>20.75</v>
      </c>
      <c r="P1422" s="19" t="s">
        <v>8080</v>
      </c>
      <c r="Q1422" s="11" t="b">
        <v>1</v>
      </c>
    </row>
    <row r="1423">
      <c r="A1423" s="11" t="s">
        <v>5687</v>
      </c>
      <c r="B1423" s="11" t="s">
        <v>78</v>
      </c>
      <c r="C1423" s="18">
        <v>46204.0</v>
      </c>
      <c r="D1423" s="11" t="s">
        <v>8081</v>
      </c>
      <c r="E1423" s="11" t="s">
        <v>8082</v>
      </c>
      <c r="G1423" s="11" t="s">
        <v>8084</v>
      </c>
      <c r="H1423" s="11" t="s">
        <v>8085</v>
      </c>
      <c r="I1423" s="11" t="b">
        <v>1</v>
      </c>
      <c r="J1423" s="11" t="s">
        <v>5814</v>
      </c>
      <c r="O1423" s="11">
        <v>10.0</v>
      </c>
      <c r="P1423" s="19" t="s">
        <v>8086</v>
      </c>
      <c r="Q1423" s="11" t="b">
        <v>1</v>
      </c>
    </row>
    <row r="1424">
      <c r="A1424" s="11" t="s">
        <v>5691</v>
      </c>
      <c r="B1424" s="11" t="s">
        <v>78</v>
      </c>
      <c r="C1424" s="18">
        <v>46204.0</v>
      </c>
      <c r="D1424" s="11" t="s">
        <v>992</v>
      </c>
      <c r="E1424" s="11" t="s">
        <v>8087</v>
      </c>
      <c r="G1424" s="11" t="s">
        <v>8088</v>
      </c>
      <c r="H1424" s="11" t="s">
        <v>8089</v>
      </c>
      <c r="I1424" s="11" t="b">
        <v>1</v>
      </c>
      <c r="J1424" s="11" t="s">
        <v>5814</v>
      </c>
      <c r="O1424" s="11">
        <v>140.0</v>
      </c>
      <c r="P1424" s="19" t="s">
        <v>8090</v>
      </c>
      <c r="Q1424" s="11" t="b">
        <v>1</v>
      </c>
    </row>
    <row r="1425">
      <c r="A1425" s="11" t="s">
        <v>5713</v>
      </c>
      <c r="B1425" s="11" t="s">
        <v>78</v>
      </c>
      <c r="C1425" s="18">
        <v>46205.0</v>
      </c>
      <c r="D1425" s="11" t="s">
        <v>3805</v>
      </c>
      <c r="E1425" s="11" t="s">
        <v>8091</v>
      </c>
      <c r="G1425" s="11" t="s">
        <v>8093</v>
      </c>
      <c r="H1425" s="11" t="s">
        <v>8094</v>
      </c>
      <c r="I1425" s="11" t="b">
        <v>1</v>
      </c>
      <c r="J1425" s="11" t="s">
        <v>5814</v>
      </c>
      <c r="O1425" s="11">
        <v>175.0</v>
      </c>
      <c r="P1425" s="19" t="s">
        <v>8095</v>
      </c>
      <c r="Q1425" s="11" t="b">
        <v>1</v>
      </c>
    </row>
    <row r="1426">
      <c r="A1426" s="11" t="s">
        <v>5730</v>
      </c>
      <c r="B1426" s="11" t="s">
        <v>78</v>
      </c>
      <c r="C1426" s="18">
        <v>46206.0</v>
      </c>
      <c r="D1426" s="11" t="s">
        <v>992</v>
      </c>
      <c r="E1426" s="11" t="s">
        <v>8096</v>
      </c>
      <c r="G1426" s="11" t="s">
        <v>8097</v>
      </c>
      <c r="H1426" s="11" t="s">
        <v>4338</v>
      </c>
      <c r="I1426" s="11" t="b">
        <v>1</v>
      </c>
      <c r="J1426" s="11" t="s">
        <v>5814</v>
      </c>
      <c r="O1426" s="11">
        <v>112.0</v>
      </c>
      <c r="P1426" s="19" t="s">
        <v>8098</v>
      </c>
      <c r="Q1426" s="11" t="b">
        <v>1</v>
      </c>
    </row>
    <row r="1427">
      <c r="A1427" s="11" t="s">
        <v>5737</v>
      </c>
      <c r="B1427" s="11" t="s">
        <v>78</v>
      </c>
      <c r="C1427" s="18">
        <v>46208.0</v>
      </c>
      <c r="D1427" s="11" t="s">
        <v>2549</v>
      </c>
      <c r="E1427" s="11" t="s">
        <v>8099</v>
      </c>
      <c r="G1427" s="11" t="s">
        <v>8100</v>
      </c>
      <c r="H1427" s="11" t="s">
        <v>8101</v>
      </c>
      <c r="I1427" s="11" t="b">
        <v>1</v>
      </c>
      <c r="J1427" s="11" t="s">
        <v>5814</v>
      </c>
      <c r="O1427" s="11">
        <v>336.0</v>
      </c>
      <c r="P1427" s="19" t="s">
        <v>8102</v>
      </c>
      <c r="Q1427" s="11" t="b">
        <v>1</v>
      </c>
    </row>
    <row r="1428">
      <c r="A1428" s="11" t="s">
        <v>5677</v>
      </c>
      <c r="B1428" s="11" t="s">
        <v>78</v>
      </c>
      <c r="C1428" s="18">
        <v>46198.0</v>
      </c>
      <c r="D1428" s="11" t="s">
        <v>817</v>
      </c>
      <c r="E1428" s="11" t="s">
        <v>8103</v>
      </c>
      <c r="G1428" s="11" t="s">
        <v>8104</v>
      </c>
      <c r="H1428" s="11" t="s">
        <v>2244</v>
      </c>
      <c r="I1428" s="11" t="b">
        <v>0</v>
      </c>
      <c r="J1428" s="11" t="s">
        <v>5814</v>
      </c>
      <c r="O1428" s="11">
        <v>821.61</v>
      </c>
      <c r="Q1428" s="11" t="b">
        <v>1</v>
      </c>
    </row>
    <row r="1429">
      <c r="A1429" s="11" t="s">
        <v>5681</v>
      </c>
      <c r="B1429" s="11" t="s">
        <v>78</v>
      </c>
      <c r="C1429" s="18">
        <v>46200.0</v>
      </c>
      <c r="D1429" s="11" t="s">
        <v>7583</v>
      </c>
      <c r="E1429" s="11" t="s">
        <v>8105</v>
      </c>
      <c r="G1429" s="11" t="s">
        <v>8106</v>
      </c>
      <c r="H1429" s="11" t="s">
        <v>8107</v>
      </c>
      <c r="I1429" s="11" t="b">
        <v>1</v>
      </c>
      <c r="J1429" s="11" t="s">
        <v>5814</v>
      </c>
      <c r="O1429" s="11">
        <v>37.48</v>
      </c>
      <c r="P1429" s="19" t="s">
        <v>8108</v>
      </c>
      <c r="Q1429" s="11" t="b">
        <v>1</v>
      </c>
    </row>
    <row r="1430">
      <c r="A1430" s="11" t="s">
        <v>5740</v>
      </c>
      <c r="B1430" s="11" t="s">
        <v>78</v>
      </c>
      <c r="C1430" s="23">
        <v>46210.0</v>
      </c>
      <c r="D1430" s="11" t="s">
        <v>237</v>
      </c>
      <c r="F1430" s="11" t="s">
        <v>8109</v>
      </c>
      <c r="H1430" s="11" t="s">
        <v>8109</v>
      </c>
      <c r="J1430" s="11" t="s">
        <v>187</v>
      </c>
      <c r="O1430" s="20">
        <v>308.7</v>
      </c>
      <c r="Q1430" s="11" t="b">
        <v>1</v>
      </c>
      <c r="R1430" s="11" t="b">
        <v>0</v>
      </c>
    </row>
    <row r="1431">
      <c r="A1431" s="11">
        <v>11055.0</v>
      </c>
      <c r="B1431" s="11" t="s">
        <v>78</v>
      </c>
      <c r="C1431" s="23">
        <v>46210.0</v>
      </c>
      <c r="D1431" s="11" t="s">
        <v>176</v>
      </c>
      <c r="F1431" s="11" t="s">
        <v>1440</v>
      </c>
      <c r="H1431" s="11" t="s">
        <v>1440</v>
      </c>
      <c r="J1431" s="11" t="s">
        <v>187</v>
      </c>
      <c r="O1431" s="20">
        <v>533.95</v>
      </c>
      <c r="Q1431" s="11" t="b">
        <v>1</v>
      </c>
      <c r="R1431" s="11" t="b">
        <v>0</v>
      </c>
    </row>
    <row r="1432">
      <c r="A1432" s="11">
        <v>11056.0</v>
      </c>
      <c r="B1432" s="11" t="s">
        <v>78</v>
      </c>
      <c r="C1432" s="23">
        <v>46210.0</v>
      </c>
      <c r="D1432" s="20">
        <v>3.6037127E7</v>
      </c>
      <c r="F1432" s="11" t="s">
        <v>2162</v>
      </c>
      <c r="H1432" s="11" t="s">
        <v>2162</v>
      </c>
      <c r="J1432" s="11" t="s">
        <v>187</v>
      </c>
      <c r="O1432" s="20">
        <v>120.0</v>
      </c>
      <c r="Q1432" s="11" t="b">
        <v>1</v>
      </c>
      <c r="R1432" s="11" t="b">
        <v>0</v>
      </c>
    </row>
    <row r="1433">
      <c r="A1433" s="11">
        <v>11058.0</v>
      </c>
      <c r="B1433" s="11" t="s">
        <v>78</v>
      </c>
      <c r="C1433" s="23">
        <v>46210.0</v>
      </c>
      <c r="D1433" s="11" t="s">
        <v>2535</v>
      </c>
      <c r="F1433" s="11" t="s">
        <v>2638</v>
      </c>
      <c r="H1433" s="11" t="s">
        <v>2638</v>
      </c>
      <c r="J1433" s="11" t="s">
        <v>187</v>
      </c>
      <c r="O1433" s="20">
        <v>65.65</v>
      </c>
      <c r="Q1433" s="11" t="b">
        <v>1</v>
      </c>
      <c r="R1433" s="11" t="b">
        <v>0</v>
      </c>
    </row>
    <row r="1434">
      <c r="A1434" s="11" t="s">
        <v>5750</v>
      </c>
      <c r="B1434" s="11" t="s">
        <v>78</v>
      </c>
      <c r="C1434" s="18">
        <v>46210.0</v>
      </c>
      <c r="D1434" s="11" t="s">
        <v>237</v>
      </c>
      <c r="E1434" s="11" t="s">
        <v>8110</v>
      </c>
      <c r="G1434" s="11" t="s">
        <v>8111</v>
      </c>
      <c r="H1434" s="11" t="s">
        <v>3713</v>
      </c>
      <c r="I1434" s="11" t="b">
        <v>0</v>
      </c>
      <c r="J1434" s="11" t="s">
        <v>5814</v>
      </c>
      <c r="O1434" s="11">
        <v>5249.3</v>
      </c>
      <c r="Q1434" s="11" t="b">
        <v>1</v>
      </c>
      <c r="S1434" s="11">
        <v>336.79</v>
      </c>
    </row>
    <row r="1435">
      <c r="A1435" s="11" t="s">
        <v>5778</v>
      </c>
      <c r="B1435" s="11" t="s">
        <v>78</v>
      </c>
      <c r="C1435" s="18">
        <v>46213.0</v>
      </c>
      <c r="D1435" s="11" t="s">
        <v>992</v>
      </c>
      <c r="E1435" s="11" t="s">
        <v>8112</v>
      </c>
      <c r="G1435" s="11" t="s">
        <v>8113</v>
      </c>
      <c r="H1435" s="11" t="s">
        <v>8114</v>
      </c>
      <c r="I1435" s="11" t="b">
        <v>1</v>
      </c>
      <c r="J1435" s="11" t="s">
        <v>5814</v>
      </c>
      <c r="O1435" s="11">
        <v>84.0</v>
      </c>
      <c r="P1435" s="19" t="s">
        <v>8116</v>
      </c>
      <c r="Q1435" s="11" t="b">
        <v>1</v>
      </c>
    </row>
    <row r="1436">
      <c r="A1436" s="11" t="s">
        <v>5787</v>
      </c>
      <c r="B1436" s="11" t="s">
        <v>78</v>
      </c>
      <c r="C1436" s="18">
        <v>46215.0</v>
      </c>
      <c r="D1436" s="11" t="s">
        <v>2549</v>
      </c>
      <c r="E1436" s="11" t="s">
        <v>8117</v>
      </c>
      <c r="G1436" s="11" t="s">
        <v>8118</v>
      </c>
      <c r="H1436" s="11" t="s">
        <v>8119</v>
      </c>
      <c r="I1436" s="11" t="b">
        <v>1</v>
      </c>
      <c r="J1436" s="11" t="s">
        <v>8120</v>
      </c>
      <c r="O1436" s="11">
        <v>390.0</v>
      </c>
      <c r="P1436" s="19" t="s">
        <v>8122</v>
      </c>
      <c r="Q1436" s="11" t="b">
        <v>1</v>
      </c>
    </row>
    <row r="1437">
      <c r="A1437" s="11" t="s">
        <v>1335</v>
      </c>
      <c r="B1437" s="11" t="s">
        <v>78</v>
      </c>
      <c r="C1437" s="18">
        <v>46216.0</v>
      </c>
      <c r="D1437" s="11" t="s">
        <v>992</v>
      </c>
      <c r="E1437" s="11" t="s">
        <v>8123</v>
      </c>
      <c r="G1437" s="11" t="s">
        <v>8124</v>
      </c>
      <c r="H1437" s="11" t="s">
        <v>4538</v>
      </c>
      <c r="I1437" s="11" t="b">
        <v>1</v>
      </c>
      <c r="J1437" s="11" t="s">
        <v>5814</v>
      </c>
      <c r="O1437" s="11">
        <v>84.0</v>
      </c>
      <c r="P1437" s="19" t="s">
        <v>8125</v>
      </c>
      <c r="Q1437" s="11" t="b">
        <v>1</v>
      </c>
    </row>
    <row r="1438">
      <c r="A1438" s="11" t="s">
        <v>5783</v>
      </c>
      <c r="B1438" s="11" t="s">
        <v>78</v>
      </c>
      <c r="C1438" s="18">
        <v>46213.0</v>
      </c>
      <c r="D1438" s="11" t="s">
        <v>85</v>
      </c>
      <c r="E1438" s="11" t="s">
        <v>8127</v>
      </c>
      <c r="G1438" s="11" t="s">
        <v>8128</v>
      </c>
      <c r="H1438" s="11" t="s">
        <v>8129</v>
      </c>
      <c r="I1438" s="11" t="b">
        <v>1</v>
      </c>
      <c r="J1438" s="11" t="s">
        <v>5814</v>
      </c>
      <c r="O1438" s="11">
        <v>10.7</v>
      </c>
      <c r="P1438" s="19" t="s">
        <v>8130</v>
      </c>
      <c r="Q1438" s="11" t="b">
        <v>1</v>
      </c>
    </row>
    <row r="1439">
      <c r="A1439" s="11" t="s">
        <v>5763</v>
      </c>
      <c r="B1439" s="11" t="s">
        <v>78</v>
      </c>
      <c r="C1439" s="18">
        <v>46212.0</v>
      </c>
      <c r="D1439" s="11" t="s">
        <v>1251</v>
      </c>
      <c r="E1439" s="11" t="s">
        <v>8132</v>
      </c>
      <c r="G1439" s="11" t="s">
        <v>8133</v>
      </c>
      <c r="H1439" s="11" t="s">
        <v>8134</v>
      </c>
      <c r="I1439" s="11" t="b">
        <v>1</v>
      </c>
      <c r="J1439" s="11" t="s">
        <v>5814</v>
      </c>
      <c r="O1439" s="11">
        <v>86.1</v>
      </c>
      <c r="P1439" s="19" t="s">
        <v>8135</v>
      </c>
      <c r="Q1439" s="11" t="b">
        <v>1</v>
      </c>
    </row>
    <row r="1440">
      <c r="A1440" s="11" t="s">
        <v>5793</v>
      </c>
      <c r="B1440" s="11" t="s">
        <v>78</v>
      </c>
      <c r="C1440" s="18">
        <v>46216.0</v>
      </c>
      <c r="D1440" s="11" t="s">
        <v>104</v>
      </c>
      <c r="E1440" s="11" t="s">
        <v>8136</v>
      </c>
      <c r="G1440" s="11" t="s">
        <v>8137</v>
      </c>
      <c r="H1440" s="11" t="s">
        <v>8139</v>
      </c>
      <c r="I1440" s="11" t="b">
        <v>1</v>
      </c>
      <c r="J1440" s="11" t="s">
        <v>5814</v>
      </c>
      <c r="O1440" s="11">
        <v>56.37</v>
      </c>
      <c r="P1440" s="19" t="s">
        <v>8140</v>
      </c>
      <c r="Q1440" s="11" t="b">
        <v>1</v>
      </c>
    </row>
    <row r="1441">
      <c r="A1441" s="11" t="s">
        <v>1341</v>
      </c>
      <c r="B1441" s="11" t="s">
        <v>78</v>
      </c>
      <c r="C1441" s="18">
        <v>46216.0</v>
      </c>
      <c r="D1441" s="11" t="s">
        <v>104</v>
      </c>
      <c r="E1441" s="11" t="s">
        <v>8141</v>
      </c>
      <c r="G1441" s="11" t="s">
        <v>8142</v>
      </c>
      <c r="H1441" s="11" t="s">
        <v>8143</v>
      </c>
      <c r="I1441" s="11" t="b">
        <v>1</v>
      </c>
      <c r="J1441" s="11" t="s">
        <v>5814</v>
      </c>
      <c r="O1441" s="11">
        <v>50.85</v>
      </c>
      <c r="P1441" s="19" t="s">
        <v>8144</v>
      </c>
      <c r="Q1441" s="11" t="b">
        <v>1</v>
      </c>
    </row>
    <row r="1442">
      <c r="A1442" s="11" t="s">
        <v>5820</v>
      </c>
      <c r="B1442" s="11" t="s">
        <v>78</v>
      </c>
      <c r="C1442" s="18">
        <v>46211.0</v>
      </c>
      <c r="D1442" s="11" t="s">
        <v>237</v>
      </c>
      <c r="E1442" s="11" t="s">
        <v>8146</v>
      </c>
      <c r="G1442" s="11" t="s">
        <v>8147</v>
      </c>
      <c r="H1442" s="11" t="s">
        <v>3135</v>
      </c>
      <c r="I1442" s="11" t="b">
        <v>0</v>
      </c>
      <c r="J1442" s="11" t="s">
        <v>5814</v>
      </c>
      <c r="O1442" s="11">
        <v>837.53</v>
      </c>
      <c r="Q1442" s="11" t="b">
        <v>1</v>
      </c>
    </row>
    <row r="1443">
      <c r="A1443" s="11" t="s">
        <v>5816</v>
      </c>
      <c r="B1443" s="11" t="s">
        <v>78</v>
      </c>
      <c r="C1443" s="18">
        <v>46217.0</v>
      </c>
      <c r="D1443" s="11" t="s">
        <v>8148</v>
      </c>
      <c r="E1443" s="11" t="s">
        <v>8149</v>
      </c>
      <c r="G1443" s="11" t="s">
        <v>8150</v>
      </c>
      <c r="H1443" s="11" t="s">
        <v>8151</v>
      </c>
      <c r="I1443" s="11" t="b">
        <v>0</v>
      </c>
      <c r="J1443" s="11" t="s">
        <v>5814</v>
      </c>
      <c r="O1443" s="11">
        <v>430.0</v>
      </c>
      <c r="Q1443" s="11" t="b">
        <v>1</v>
      </c>
    </row>
    <row r="1444">
      <c r="A1444" s="11" t="s">
        <v>1360</v>
      </c>
      <c r="B1444" s="11" t="s">
        <v>78</v>
      </c>
      <c r="C1444" s="18">
        <v>46217.0</v>
      </c>
      <c r="D1444" s="11" t="s">
        <v>7583</v>
      </c>
      <c r="E1444" s="11" t="s">
        <v>8152</v>
      </c>
      <c r="G1444" s="11" t="s">
        <v>8153</v>
      </c>
      <c r="H1444" s="11" t="s">
        <v>8154</v>
      </c>
      <c r="I1444" s="11" t="b">
        <v>1</v>
      </c>
      <c r="J1444" s="11" t="s">
        <v>5814</v>
      </c>
      <c r="O1444" s="11">
        <v>37.56</v>
      </c>
      <c r="P1444" s="19" t="s">
        <v>8155</v>
      </c>
      <c r="Q1444" s="11" t="b">
        <v>1</v>
      </c>
    </row>
    <row r="1445">
      <c r="A1445" s="11">
        <v>11057.0</v>
      </c>
      <c r="B1445" s="11" t="s">
        <v>78</v>
      </c>
      <c r="C1445" s="23">
        <v>46217.0</v>
      </c>
      <c r="D1445" s="11" t="s">
        <v>1676</v>
      </c>
      <c r="F1445" s="11" t="s">
        <v>2802</v>
      </c>
      <c r="H1445" s="11" t="s">
        <v>2802</v>
      </c>
      <c r="J1445" s="11" t="s">
        <v>187</v>
      </c>
      <c r="O1445" s="20">
        <v>629.49</v>
      </c>
      <c r="Q1445" s="11" t="b">
        <v>1</v>
      </c>
      <c r="R1445" s="11" t="b">
        <v>0</v>
      </c>
    </row>
    <row r="1446">
      <c r="A1446" s="11">
        <v>11059.0</v>
      </c>
      <c r="B1446" s="11" t="s">
        <v>78</v>
      </c>
      <c r="C1446" s="23">
        <v>46217.0</v>
      </c>
      <c r="D1446" s="11" t="s">
        <v>5965</v>
      </c>
      <c r="F1446" s="11" t="s">
        <v>8156</v>
      </c>
      <c r="H1446" s="11" t="s">
        <v>8156</v>
      </c>
      <c r="J1446" s="11" t="s">
        <v>187</v>
      </c>
      <c r="O1446" s="20">
        <v>1465.34</v>
      </c>
      <c r="Q1446" s="11" t="b">
        <v>1</v>
      </c>
      <c r="R1446" s="11" t="b">
        <v>0</v>
      </c>
    </row>
    <row r="1447">
      <c r="A1447" s="11">
        <v>11061.0</v>
      </c>
      <c r="B1447" s="11" t="s">
        <v>78</v>
      </c>
      <c r="C1447" s="23">
        <v>46217.0</v>
      </c>
      <c r="D1447" s="11" t="s">
        <v>547</v>
      </c>
      <c r="F1447" s="11" t="s">
        <v>973</v>
      </c>
      <c r="H1447" s="11" t="s">
        <v>973</v>
      </c>
      <c r="J1447" s="11" t="s">
        <v>187</v>
      </c>
      <c r="O1447" s="20">
        <v>1098.0</v>
      </c>
      <c r="Q1447" s="11" t="b">
        <v>1</v>
      </c>
      <c r="R1447" s="11" t="b">
        <v>0</v>
      </c>
    </row>
    <row r="1448">
      <c r="A1448" s="11">
        <v>11062.0</v>
      </c>
      <c r="B1448" s="11" t="s">
        <v>78</v>
      </c>
      <c r="C1448" s="23">
        <v>46217.0</v>
      </c>
      <c r="D1448" s="11" t="s">
        <v>547</v>
      </c>
      <c r="F1448" s="11" t="s">
        <v>964</v>
      </c>
      <c r="H1448" s="11" t="s">
        <v>964</v>
      </c>
      <c r="J1448" s="11" t="s">
        <v>187</v>
      </c>
      <c r="O1448" s="20">
        <v>1110.0</v>
      </c>
      <c r="Q1448" s="11" t="b">
        <v>1</v>
      </c>
      <c r="R1448" s="11" t="b">
        <v>0</v>
      </c>
    </row>
    <row r="1449">
      <c r="A1449" s="11">
        <v>11063.0</v>
      </c>
      <c r="B1449" s="11" t="s">
        <v>78</v>
      </c>
      <c r="C1449" s="23">
        <v>46217.0</v>
      </c>
      <c r="D1449" s="11" t="s">
        <v>547</v>
      </c>
      <c r="F1449" s="11" t="s">
        <v>955</v>
      </c>
      <c r="H1449" s="11" t="s">
        <v>955</v>
      </c>
      <c r="J1449" s="11" t="s">
        <v>187</v>
      </c>
      <c r="O1449" s="20">
        <v>396.0</v>
      </c>
      <c r="Q1449" s="11" t="b">
        <v>1</v>
      </c>
      <c r="R1449" s="11" t="b">
        <v>0</v>
      </c>
    </row>
    <row r="1450">
      <c r="A1450" s="11">
        <v>11064.0</v>
      </c>
      <c r="B1450" s="11" t="s">
        <v>78</v>
      </c>
      <c r="C1450" s="23">
        <v>46217.0</v>
      </c>
      <c r="D1450" s="11" t="s">
        <v>192</v>
      </c>
      <c r="F1450" s="11" t="s">
        <v>195</v>
      </c>
      <c r="H1450" s="11" t="s">
        <v>195</v>
      </c>
      <c r="J1450" s="11" t="s">
        <v>187</v>
      </c>
      <c r="O1450" s="20">
        <v>2500.0</v>
      </c>
      <c r="Q1450" s="11" t="b">
        <v>1</v>
      </c>
      <c r="R1450" s="11" t="b">
        <v>0</v>
      </c>
    </row>
    <row r="1451">
      <c r="A1451" s="11">
        <v>11065.0</v>
      </c>
      <c r="B1451" s="11" t="s">
        <v>78</v>
      </c>
      <c r="C1451" s="23">
        <v>46217.0</v>
      </c>
      <c r="D1451" s="11" t="s">
        <v>1217</v>
      </c>
      <c r="F1451" s="11" t="s">
        <v>7554</v>
      </c>
      <c r="H1451" s="11" t="s">
        <v>7554</v>
      </c>
      <c r="J1451" s="11" t="s">
        <v>187</v>
      </c>
      <c r="O1451" s="20">
        <v>119.9</v>
      </c>
      <c r="Q1451" s="11" t="b">
        <v>1</v>
      </c>
      <c r="R1451" s="11" t="b">
        <v>0</v>
      </c>
    </row>
    <row r="1452">
      <c r="A1452" s="11">
        <v>11066.0</v>
      </c>
      <c r="B1452" s="11" t="s">
        <v>78</v>
      </c>
      <c r="C1452" s="23">
        <v>46217.0</v>
      </c>
      <c r="D1452" s="11" t="s">
        <v>415</v>
      </c>
      <c r="F1452" s="11" t="s">
        <v>8157</v>
      </c>
      <c r="H1452" s="11" t="s">
        <v>8157</v>
      </c>
      <c r="J1452" s="11" t="s">
        <v>187</v>
      </c>
      <c r="O1452" s="20">
        <v>121.9</v>
      </c>
      <c r="Q1452" s="11" t="b">
        <v>1</v>
      </c>
      <c r="R1452" s="11" t="b">
        <v>0</v>
      </c>
    </row>
    <row r="1453">
      <c r="A1453" s="11" t="s">
        <v>5811</v>
      </c>
      <c r="B1453" s="11" t="s">
        <v>78</v>
      </c>
      <c r="C1453" s="23">
        <v>46217.0</v>
      </c>
      <c r="D1453" s="11" t="s">
        <v>5465</v>
      </c>
      <c r="F1453" s="11" t="s">
        <v>8158</v>
      </c>
      <c r="H1453" s="11" t="s">
        <v>8158</v>
      </c>
      <c r="J1453" s="11" t="s">
        <v>187</v>
      </c>
      <c r="O1453" s="20">
        <v>130.0</v>
      </c>
      <c r="Q1453" s="11" t="b">
        <v>1</v>
      </c>
      <c r="R1453" s="11" t="b">
        <v>0</v>
      </c>
    </row>
    <row r="1454">
      <c r="A1454" s="11" t="s">
        <v>5813</v>
      </c>
      <c r="B1454" s="11" t="s">
        <v>78</v>
      </c>
      <c r="C1454" s="23">
        <v>46218.0</v>
      </c>
      <c r="E1454" s="11" t="s">
        <v>8159</v>
      </c>
      <c r="F1454" s="11" t="s">
        <v>8160</v>
      </c>
      <c r="H1454" s="11" t="s">
        <v>8160</v>
      </c>
      <c r="J1454" s="11" t="s">
        <v>8120</v>
      </c>
      <c r="K1454" s="11" t="s">
        <v>126</v>
      </c>
      <c r="O1454" s="20">
        <v>500.0</v>
      </c>
      <c r="Q1454" s="11" t="b">
        <v>1</v>
      </c>
      <c r="R1454" s="11" t="b">
        <v>0</v>
      </c>
    </row>
    <row r="1455">
      <c r="A1455" s="11">
        <v>11068.0</v>
      </c>
      <c r="B1455" s="11" t="s">
        <v>78</v>
      </c>
      <c r="C1455" s="23">
        <v>46223.0</v>
      </c>
      <c r="D1455" s="11" t="s">
        <v>1046</v>
      </c>
      <c r="F1455" s="11" t="s">
        <v>2638</v>
      </c>
      <c r="H1455" s="11" t="s">
        <v>2638</v>
      </c>
      <c r="J1455" s="11" t="s">
        <v>187</v>
      </c>
      <c r="O1455" s="20">
        <v>371.8</v>
      </c>
      <c r="Q1455" s="11" t="b">
        <v>1</v>
      </c>
      <c r="R1455" s="11" t="b">
        <v>0</v>
      </c>
    </row>
    <row r="1456">
      <c r="A1456" s="11">
        <v>11076.0</v>
      </c>
      <c r="B1456" s="11" t="s">
        <v>78</v>
      </c>
      <c r="C1456" s="23">
        <v>46223.0</v>
      </c>
      <c r="D1456" s="11" t="s">
        <v>1046</v>
      </c>
      <c r="F1456" s="11" t="s">
        <v>1557</v>
      </c>
      <c r="H1456" s="11" t="s">
        <v>1557</v>
      </c>
      <c r="J1456" s="11" t="s">
        <v>187</v>
      </c>
      <c r="O1456" s="20">
        <v>3397.02</v>
      </c>
      <c r="Q1456" s="11" t="b">
        <v>1</v>
      </c>
      <c r="R1456" s="11" t="b">
        <v>0</v>
      </c>
    </row>
    <row r="1457">
      <c r="A1457" s="11">
        <v>11077.0</v>
      </c>
      <c r="B1457" s="11" t="s">
        <v>78</v>
      </c>
      <c r="C1457" s="23">
        <v>46223.0</v>
      </c>
      <c r="D1457" s="11" t="s">
        <v>1046</v>
      </c>
      <c r="F1457" s="11" t="s">
        <v>2638</v>
      </c>
      <c r="H1457" s="11" t="s">
        <v>2638</v>
      </c>
      <c r="J1457" s="11" t="s">
        <v>187</v>
      </c>
      <c r="O1457" s="20">
        <v>1291.37</v>
      </c>
      <c r="Q1457" s="11" t="b">
        <v>1</v>
      </c>
      <c r="R1457" s="11" t="b">
        <v>0</v>
      </c>
    </row>
    <row r="1458">
      <c r="A1458" s="11" t="s">
        <v>5826</v>
      </c>
      <c r="B1458" s="11" t="s">
        <v>78</v>
      </c>
      <c r="C1458" s="23">
        <v>46224.0</v>
      </c>
      <c r="D1458" s="11" t="s">
        <v>237</v>
      </c>
      <c r="F1458" s="11" t="s">
        <v>8163</v>
      </c>
      <c r="H1458" s="11" t="s">
        <v>8163</v>
      </c>
      <c r="J1458" s="11" t="s">
        <v>187</v>
      </c>
      <c r="O1458" s="20">
        <v>5249.3</v>
      </c>
      <c r="Q1458" s="11" t="b">
        <v>1</v>
      </c>
      <c r="R1458" s="11" t="b">
        <v>0</v>
      </c>
    </row>
    <row r="1459">
      <c r="A1459" s="11" t="s">
        <v>5828</v>
      </c>
      <c r="B1459" s="11" t="s">
        <v>78</v>
      </c>
      <c r="C1459" s="23">
        <v>46224.0</v>
      </c>
      <c r="D1459" s="11" t="s">
        <v>237</v>
      </c>
      <c r="F1459" s="11" t="s">
        <v>8164</v>
      </c>
      <c r="H1459" s="11" t="s">
        <v>8164</v>
      </c>
      <c r="J1459" s="11" t="s">
        <v>187</v>
      </c>
      <c r="O1459" s="20">
        <v>1181.0</v>
      </c>
      <c r="Q1459" s="11" t="b">
        <v>1</v>
      </c>
      <c r="R1459" s="11" t="b">
        <v>0</v>
      </c>
    </row>
    <row r="1460">
      <c r="A1460" s="11" t="s">
        <v>5830</v>
      </c>
      <c r="B1460" s="11" t="s">
        <v>78</v>
      </c>
      <c r="C1460" s="23">
        <v>46224.0</v>
      </c>
      <c r="D1460" s="11" t="s">
        <v>237</v>
      </c>
      <c r="F1460" s="11" t="s">
        <v>8165</v>
      </c>
      <c r="H1460" s="11" t="s">
        <v>8165</v>
      </c>
      <c r="J1460" s="11" t="s">
        <v>187</v>
      </c>
      <c r="O1460" s="20">
        <v>837.53</v>
      </c>
      <c r="Q1460" s="11" t="b">
        <v>1</v>
      </c>
      <c r="R1460" s="11" t="b">
        <v>0</v>
      </c>
    </row>
    <row r="1461">
      <c r="A1461" s="11" t="s">
        <v>5832</v>
      </c>
      <c r="B1461" s="11" t="s">
        <v>78</v>
      </c>
      <c r="C1461" s="23">
        <v>46224.0</v>
      </c>
      <c r="D1461" s="11" t="s">
        <v>237</v>
      </c>
      <c r="F1461" s="11" t="s">
        <v>8166</v>
      </c>
      <c r="H1461" s="11" t="s">
        <v>8166</v>
      </c>
      <c r="J1461" s="11" t="s">
        <v>187</v>
      </c>
      <c r="O1461" s="20">
        <v>181.63</v>
      </c>
      <c r="Q1461" s="11" t="b">
        <v>1</v>
      </c>
      <c r="R1461" s="11" t="b">
        <v>0</v>
      </c>
    </row>
    <row r="1462">
      <c r="A1462" s="11" t="s">
        <v>5834</v>
      </c>
      <c r="B1462" s="11" t="s">
        <v>78</v>
      </c>
      <c r="C1462" s="23">
        <v>46224.0</v>
      </c>
      <c r="D1462" s="11" t="s">
        <v>237</v>
      </c>
      <c r="F1462" s="11" t="s">
        <v>8167</v>
      </c>
      <c r="H1462" s="11" t="s">
        <v>8167</v>
      </c>
      <c r="J1462" s="11" t="s">
        <v>187</v>
      </c>
      <c r="O1462" s="20">
        <v>865.07</v>
      </c>
      <c r="Q1462" s="11" t="b">
        <v>1</v>
      </c>
      <c r="R1462" s="11" t="b">
        <v>0</v>
      </c>
    </row>
    <row r="1463">
      <c r="A1463" s="11" t="s">
        <v>5836</v>
      </c>
      <c r="B1463" s="11" t="s">
        <v>78</v>
      </c>
      <c r="C1463" s="23">
        <v>46224.0</v>
      </c>
      <c r="D1463" s="11" t="s">
        <v>237</v>
      </c>
      <c r="F1463" s="11" t="s">
        <v>8168</v>
      </c>
      <c r="H1463" s="11" t="s">
        <v>8168</v>
      </c>
      <c r="J1463" s="11" t="s">
        <v>187</v>
      </c>
      <c r="O1463" s="20">
        <v>187.6</v>
      </c>
      <c r="Q1463" s="11" t="b">
        <v>1</v>
      </c>
      <c r="R1463" s="11" t="b">
        <v>0</v>
      </c>
    </row>
    <row r="1464">
      <c r="A1464" s="11" t="s">
        <v>5838</v>
      </c>
      <c r="B1464" s="11" t="s">
        <v>78</v>
      </c>
      <c r="C1464" s="23">
        <v>46224.0</v>
      </c>
      <c r="D1464" s="11" t="s">
        <v>5965</v>
      </c>
      <c r="F1464" s="11" t="s">
        <v>8169</v>
      </c>
      <c r="H1464" s="11" t="s">
        <v>8169</v>
      </c>
      <c r="J1464" s="11" t="s">
        <v>187</v>
      </c>
      <c r="O1464" s="20">
        <v>421.37</v>
      </c>
      <c r="Q1464" s="11" t="b">
        <v>1</v>
      </c>
      <c r="R1464" s="11" t="b">
        <v>0</v>
      </c>
    </row>
    <row r="1465">
      <c r="A1465" s="11" t="s">
        <v>5931</v>
      </c>
      <c r="B1465" s="11" t="s">
        <v>78</v>
      </c>
      <c r="C1465" s="18">
        <v>46224.0</v>
      </c>
      <c r="D1465" s="11" t="s">
        <v>1251</v>
      </c>
      <c r="E1465" s="11" t="s">
        <v>8170</v>
      </c>
      <c r="G1465" s="11" t="s">
        <v>8171</v>
      </c>
      <c r="H1465" s="11" t="s">
        <v>8172</v>
      </c>
      <c r="I1465" s="11" t="b">
        <v>1</v>
      </c>
      <c r="J1465" s="11" t="s">
        <v>5814</v>
      </c>
      <c r="O1465" s="11">
        <v>256.89</v>
      </c>
      <c r="P1465" s="19" t="s">
        <v>8174</v>
      </c>
      <c r="Q1465" s="11" t="b">
        <v>1</v>
      </c>
    </row>
    <row r="1466">
      <c r="A1466" s="11" t="s">
        <v>5842</v>
      </c>
      <c r="B1466" s="11" t="s">
        <v>78</v>
      </c>
      <c r="C1466" s="18">
        <v>46211.0</v>
      </c>
      <c r="D1466" s="11" t="s">
        <v>237</v>
      </c>
      <c r="E1466" s="11" t="s">
        <v>8175</v>
      </c>
      <c r="G1466" s="11" t="s">
        <v>8176</v>
      </c>
      <c r="H1466" s="11" t="s">
        <v>2510</v>
      </c>
      <c r="I1466" s="11" t="b">
        <v>0</v>
      </c>
      <c r="J1466" s="11" t="s">
        <v>5814</v>
      </c>
      <c r="O1466" s="11">
        <v>865.07</v>
      </c>
      <c r="Q1466" s="11" t="b">
        <v>1</v>
      </c>
    </row>
    <row r="1467">
      <c r="A1467" s="11" t="s">
        <v>5914</v>
      </c>
      <c r="B1467" s="11" t="s">
        <v>78</v>
      </c>
      <c r="C1467" s="18">
        <v>46222.0</v>
      </c>
      <c r="D1467" s="11" t="s">
        <v>1201</v>
      </c>
      <c r="E1467" s="11" t="s">
        <v>8178</v>
      </c>
      <c r="G1467" s="11" t="s">
        <v>8179</v>
      </c>
      <c r="H1467" s="11" t="s">
        <v>8180</v>
      </c>
      <c r="I1467" s="11" t="b">
        <v>1</v>
      </c>
      <c r="J1467" s="11" t="s">
        <v>5814</v>
      </c>
      <c r="O1467" s="11">
        <v>123.48</v>
      </c>
      <c r="P1467" s="19" t="s">
        <v>8181</v>
      </c>
      <c r="Q1467" s="11" t="b">
        <v>1</v>
      </c>
    </row>
    <row r="1468">
      <c r="A1468" s="11" t="s">
        <v>5856</v>
      </c>
      <c r="B1468" s="11" t="s">
        <v>78</v>
      </c>
      <c r="C1468" s="18">
        <v>46220.0</v>
      </c>
      <c r="D1468" s="11" t="s">
        <v>1201</v>
      </c>
      <c r="E1468" s="11" t="s">
        <v>8183</v>
      </c>
      <c r="G1468" s="11" t="s">
        <v>8184</v>
      </c>
      <c r="H1468" s="11" t="s">
        <v>8185</v>
      </c>
      <c r="I1468" s="11" t="b">
        <v>1</v>
      </c>
      <c r="J1468" s="11" t="s">
        <v>5814</v>
      </c>
      <c r="O1468" s="11">
        <v>351.83</v>
      </c>
      <c r="P1468" s="19" t="s">
        <v>8186</v>
      </c>
      <c r="Q1468" s="11" t="b">
        <v>1</v>
      </c>
    </row>
    <row r="1469">
      <c r="A1469" s="11" t="s">
        <v>5848</v>
      </c>
      <c r="B1469" s="11" t="s">
        <v>78</v>
      </c>
      <c r="C1469" s="18">
        <v>46219.0</v>
      </c>
      <c r="D1469" s="11" t="s">
        <v>1201</v>
      </c>
      <c r="E1469" s="11" t="s">
        <v>8188</v>
      </c>
      <c r="G1469" s="11" t="s">
        <v>8189</v>
      </c>
      <c r="H1469" s="11" t="s">
        <v>8180</v>
      </c>
      <c r="I1469" s="11" t="b">
        <v>1</v>
      </c>
      <c r="J1469" s="11" t="s">
        <v>5814</v>
      </c>
      <c r="O1469" s="11">
        <v>39.96</v>
      </c>
      <c r="P1469" s="19" t="s">
        <v>8190</v>
      </c>
      <c r="Q1469" s="11" t="b">
        <v>1</v>
      </c>
    </row>
    <row r="1470">
      <c r="A1470" s="19" t="s">
        <v>5906</v>
      </c>
      <c r="B1470" s="11" t="s">
        <v>78</v>
      </c>
      <c r="C1470" s="18">
        <v>46220.0</v>
      </c>
      <c r="D1470" s="11" t="s">
        <v>992</v>
      </c>
      <c r="E1470" s="11" t="s">
        <v>8191</v>
      </c>
      <c r="G1470" s="11" t="s">
        <v>8192</v>
      </c>
      <c r="H1470" s="11" t="s">
        <v>7200</v>
      </c>
      <c r="I1470" s="11" t="b">
        <v>1</v>
      </c>
      <c r="J1470" s="11" t="s">
        <v>5814</v>
      </c>
      <c r="O1470" s="11">
        <v>140.0</v>
      </c>
      <c r="P1470" s="19" t="s">
        <v>8194</v>
      </c>
      <c r="Q1470" s="11" t="b">
        <v>1</v>
      </c>
    </row>
    <row r="1471">
      <c r="A1471" s="11" t="s">
        <v>5910</v>
      </c>
      <c r="B1471" s="11" t="s">
        <v>78</v>
      </c>
      <c r="C1471" s="18">
        <v>46221.0</v>
      </c>
      <c r="D1471" s="11" t="s">
        <v>7221</v>
      </c>
      <c r="E1471" s="11" t="s">
        <v>8195</v>
      </c>
      <c r="G1471" s="11" t="s">
        <v>8196</v>
      </c>
      <c r="H1471" s="11" t="s">
        <v>8197</v>
      </c>
      <c r="I1471" s="11" t="b">
        <v>1</v>
      </c>
      <c r="J1471" s="11" t="s">
        <v>5814</v>
      </c>
      <c r="O1471" s="11">
        <v>125.0</v>
      </c>
      <c r="P1471" s="19" t="s">
        <v>8198</v>
      </c>
      <c r="Q1471" s="11" t="b">
        <v>1</v>
      </c>
    </row>
    <row r="1472">
      <c r="A1472" s="11" t="s">
        <v>5923</v>
      </c>
      <c r="B1472" s="11" t="s">
        <v>78</v>
      </c>
      <c r="C1472" s="18">
        <v>46222.0</v>
      </c>
      <c r="D1472" s="11" t="s">
        <v>2549</v>
      </c>
      <c r="E1472" s="11" t="s">
        <v>8199</v>
      </c>
      <c r="G1472" s="11" t="s">
        <v>8200</v>
      </c>
      <c r="H1472" s="11" t="s">
        <v>8201</v>
      </c>
      <c r="I1472" s="11" t="b">
        <v>1</v>
      </c>
      <c r="J1472" s="11" t="s">
        <v>5814</v>
      </c>
      <c r="O1472" s="11">
        <v>510.0</v>
      </c>
      <c r="P1472" s="19" t="s">
        <v>8202</v>
      </c>
      <c r="Q1472" s="11" t="b">
        <v>1</v>
      </c>
    </row>
    <row r="1473">
      <c r="A1473" s="11" t="s">
        <v>5928</v>
      </c>
      <c r="B1473" s="11" t="s">
        <v>78</v>
      </c>
      <c r="C1473" s="18">
        <v>46223.0</v>
      </c>
      <c r="D1473" s="11" t="s">
        <v>992</v>
      </c>
      <c r="E1473" s="11" t="s">
        <v>8203</v>
      </c>
      <c r="G1473" s="11" t="s">
        <v>8204</v>
      </c>
      <c r="H1473" s="11" t="s">
        <v>8205</v>
      </c>
      <c r="I1473" s="11" t="b">
        <v>1</v>
      </c>
      <c r="J1473" s="11" t="s">
        <v>5814</v>
      </c>
      <c r="O1473" s="11">
        <v>140.0</v>
      </c>
      <c r="P1473" s="19" t="s">
        <v>8206</v>
      </c>
      <c r="Q1473" s="11" t="b">
        <v>1</v>
      </c>
    </row>
    <row r="1474">
      <c r="A1474" s="11">
        <v>11083.0</v>
      </c>
      <c r="B1474" s="11" t="s">
        <v>78</v>
      </c>
      <c r="C1474" s="23">
        <v>46225.0</v>
      </c>
      <c r="D1474" s="11" t="s">
        <v>415</v>
      </c>
      <c r="F1474" s="23">
        <v>46305.0</v>
      </c>
      <c r="H1474" s="23">
        <v>46305.0</v>
      </c>
      <c r="J1474" s="11" t="s">
        <v>187</v>
      </c>
      <c r="O1474" s="20">
        <v>190.34</v>
      </c>
      <c r="Q1474" s="11" t="b">
        <v>1</v>
      </c>
      <c r="R1474" s="11" t="b">
        <v>0</v>
      </c>
    </row>
    <row r="1475">
      <c r="A1475" s="11" t="s">
        <v>5952</v>
      </c>
      <c r="B1475" s="11" t="s">
        <v>78</v>
      </c>
      <c r="C1475" s="18">
        <v>46224.0</v>
      </c>
      <c r="D1475" s="11" t="s">
        <v>237</v>
      </c>
      <c r="E1475" s="11" t="s">
        <v>8207</v>
      </c>
      <c r="G1475" s="11" t="s">
        <v>8208</v>
      </c>
      <c r="H1475" s="11" t="s">
        <v>2291</v>
      </c>
      <c r="I1475" s="11" t="b">
        <v>0</v>
      </c>
      <c r="J1475" s="11" t="s">
        <v>5814</v>
      </c>
      <c r="L1475" s="11" t="s">
        <v>8209</v>
      </c>
      <c r="O1475" s="11">
        <v>10724.62</v>
      </c>
      <c r="Q1475" s="11" t="b">
        <v>1</v>
      </c>
    </row>
    <row r="1476">
      <c r="A1476" s="11" t="s">
        <v>5956</v>
      </c>
      <c r="B1476" s="11" t="s">
        <v>78</v>
      </c>
      <c r="C1476" s="18">
        <v>46224.0</v>
      </c>
      <c r="D1476" s="11" t="s">
        <v>237</v>
      </c>
      <c r="E1476" s="11" t="s">
        <v>8210</v>
      </c>
      <c r="G1476" s="11" t="s">
        <v>8211</v>
      </c>
      <c r="H1476" s="11" t="s">
        <v>2510</v>
      </c>
      <c r="I1476" s="11" t="b">
        <v>0</v>
      </c>
      <c r="J1476" s="11" t="s">
        <v>5814</v>
      </c>
      <c r="L1476" s="11" t="s">
        <v>8212</v>
      </c>
      <c r="O1476" s="11">
        <v>3735.16</v>
      </c>
      <c r="Q1476" s="11" t="b">
        <v>1</v>
      </c>
    </row>
    <row r="1477">
      <c r="A1477" s="11" t="s">
        <v>1500</v>
      </c>
      <c r="B1477" s="11" t="s">
        <v>78</v>
      </c>
      <c r="C1477" s="18">
        <v>46227.0</v>
      </c>
      <c r="D1477" s="11" t="s">
        <v>992</v>
      </c>
      <c r="E1477" s="11" t="s">
        <v>8213</v>
      </c>
      <c r="G1477" s="11" t="s">
        <v>8214</v>
      </c>
      <c r="H1477" s="11" t="s">
        <v>8215</v>
      </c>
      <c r="I1477" s="11" t="b">
        <v>1</v>
      </c>
      <c r="J1477" s="11" t="s">
        <v>5814</v>
      </c>
      <c r="O1477" s="11">
        <v>112.0</v>
      </c>
      <c r="P1477" s="19" t="s">
        <v>8216</v>
      </c>
      <c r="Q1477" s="11" t="b">
        <v>1</v>
      </c>
    </row>
    <row r="1478">
      <c r="A1478" s="11" t="s">
        <v>5959</v>
      </c>
      <c r="B1478" s="11" t="s">
        <v>78</v>
      </c>
      <c r="C1478" s="18">
        <v>46225.0</v>
      </c>
      <c r="D1478" s="11" t="s">
        <v>992</v>
      </c>
      <c r="E1478" s="11" t="s">
        <v>8217</v>
      </c>
      <c r="G1478" s="11" t="s">
        <v>8218</v>
      </c>
      <c r="H1478" s="11" t="s">
        <v>7860</v>
      </c>
      <c r="I1478" s="11" t="b">
        <v>1</v>
      </c>
      <c r="J1478" s="11" t="s">
        <v>5814</v>
      </c>
      <c r="O1478" s="11">
        <v>140.0</v>
      </c>
      <c r="P1478" s="19" t="s">
        <v>8219</v>
      </c>
      <c r="Q1478" s="11" t="b">
        <v>1</v>
      </c>
    </row>
    <row r="1479">
      <c r="A1479" s="19" t="s">
        <v>5948</v>
      </c>
      <c r="B1479" s="11" t="s">
        <v>78</v>
      </c>
      <c r="C1479" s="18">
        <v>46211.0</v>
      </c>
      <c r="D1479" s="11" t="s">
        <v>237</v>
      </c>
      <c r="E1479" s="11" t="s">
        <v>8175</v>
      </c>
      <c r="G1479" s="11" t="s">
        <v>8220</v>
      </c>
      <c r="H1479" s="11" t="s">
        <v>2510</v>
      </c>
      <c r="I1479" s="11" t="b">
        <v>0</v>
      </c>
      <c r="J1479" s="11" t="s">
        <v>5814</v>
      </c>
      <c r="O1479" s="11">
        <v>865.07</v>
      </c>
      <c r="Q1479" s="11" t="b">
        <v>1</v>
      </c>
    </row>
    <row r="1480">
      <c r="A1480" s="11">
        <v>11089.0</v>
      </c>
      <c r="B1480" s="11" t="s">
        <v>78</v>
      </c>
      <c r="C1480" s="18">
        <v>46230.0</v>
      </c>
      <c r="D1480" s="11" t="s">
        <v>629</v>
      </c>
      <c r="E1480" s="11"/>
      <c r="F1480" s="11" t="s">
        <v>633</v>
      </c>
      <c r="H1480" s="11" t="s">
        <v>633</v>
      </c>
      <c r="I1480" s="11"/>
      <c r="J1480" s="11" t="s">
        <v>187</v>
      </c>
      <c r="O1480" s="20">
        <v>1708.8</v>
      </c>
      <c r="Q1480" s="11" t="b">
        <v>1</v>
      </c>
      <c r="R1480" s="11" t="b">
        <v>0</v>
      </c>
    </row>
    <row r="1481">
      <c r="A1481" s="11" t="s">
        <v>5964</v>
      </c>
      <c r="B1481" s="11" t="s">
        <v>78</v>
      </c>
      <c r="C1481" s="23">
        <v>46230.0</v>
      </c>
      <c r="D1481" s="11" t="s">
        <v>1567</v>
      </c>
      <c r="F1481" s="11" t="s">
        <v>59</v>
      </c>
      <c r="H1481" s="11" t="s">
        <v>59</v>
      </c>
      <c r="J1481" s="11" t="s">
        <v>187</v>
      </c>
      <c r="O1481" s="20">
        <v>529.4</v>
      </c>
      <c r="Q1481" s="11" t="b">
        <v>1</v>
      </c>
      <c r="R1481" s="11" t="b">
        <v>0</v>
      </c>
    </row>
    <row r="1482">
      <c r="A1482" s="11">
        <v>11084.0</v>
      </c>
      <c r="B1482" s="11" t="s">
        <v>78</v>
      </c>
      <c r="C1482" s="23">
        <v>46231.0</v>
      </c>
      <c r="F1482" s="11" t="s">
        <v>681</v>
      </c>
      <c r="H1482" s="11" t="s">
        <v>681</v>
      </c>
      <c r="J1482" s="11" t="s">
        <v>187</v>
      </c>
      <c r="K1482" s="11" t="s">
        <v>685</v>
      </c>
      <c r="O1482" s="20">
        <v>3727.0</v>
      </c>
      <c r="Q1482" s="11" t="b">
        <v>1</v>
      </c>
      <c r="R1482" s="11" t="b">
        <v>0</v>
      </c>
    </row>
    <row r="1483">
      <c r="A1483" s="11">
        <v>11085.0</v>
      </c>
      <c r="B1483" s="11" t="s">
        <v>78</v>
      </c>
      <c r="C1483" s="23">
        <v>46231.0</v>
      </c>
      <c r="F1483" s="11" t="s">
        <v>687</v>
      </c>
      <c r="H1483" s="11" t="s">
        <v>687</v>
      </c>
      <c r="J1483" s="11" t="s">
        <v>187</v>
      </c>
      <c r="K1483" s="11" t="s">
        <v>3675</v>
      </c>
      <c r="O1483" s="20">
        <v>312.0</v>
      </c>
      <c r="Q1483" s="11" t="b">
        <v>1</v>
      </c>
      <c r="R1483" s="11" t="b">
        <v>0</v>
      </c>
    </row>
    <row r="1484">
      <c r="A1484" s="11">
        <v>11086.0</v>
      </c>
      <c r="B1484" s="11" t="s">
        <v>78</v>
      </c>
      <c r="C1484" s="23">
        <v>46231.0</v>
      </c>
      <c r="F1484" s="11" t="s">
        <v>687</v>
      </c>
      <c r="H1484" s="11" t="s">
        <v>687</v>
      </c>
      <c r="J1484" s="11" t="s">
        <v>187</v>
      </c>
      <c r="K1484" s="11" t="s">
        <v>704</v>
      </c>
      <c r="O1484" s="20">
        <v>312.0</v>
      </c>
      <c r="Q1484" s="11" t="b">
        <v>1</v>
      </c>
      <c r="R1484" s="11" t="b">
        <v>0</v>
      </c>
    </row>
    <row r="1485">
      <c r="A1485" s="11">
        <v>11087.0</v>
      </c>
      <c r="B1485" s="11" t="s">
        <v>78</v>
      </c>
      <c r="C1485" s="23">
        <v>46231.0</v>
      </c>
      <c r="D1485" s="11" t="s">
        <v>415</v>
      </c>
      <c r="F1485" s="11" t="s">
        <v>1015</v>
      </c>
      <c r="H1485" s="11" t="s">
        <v>1015</v>
      </c>
      <c r="J1485" s="11" t="s">
        <v>187</v>
      </c>
      <c r="O1485" s="20">
        <v>22.0</v>
      </c>
      <c r="Q1485" s="11" t="b">
        <v>1</v>
      </c>
      <c r="R1485" s="11" t="b">
        <v>0</v>
      </c>
    </row>
    <row r="1486">
      <c r="A1486" s="11">
        <v>11088.0</v>
      </c>
      <c r="B1486" s="11" t="s">
        <v>78</v>
      </c>
      <c r="C1486" s="23">
        <v>46231.0</v>
      </c>
      <c r="D1486" s="11" t="s">
        <v>415</v>
      </c>
      <c r="F1486" s="11" t="s">
        <v>1022</v>
      </c>
      <c r="H1486" s="11" t="s">
        <v>1022</v>
      </c>
      <c r="J1486" s="11" t="s">
        <v>187</v>
      </c>
      <c r="O1486" s="20">
        <v>10.0</v>
      </c>
      <c r="Q1486" s="11" t="b">
        <v>1</v>
      </c>
      <c r="R1486" s="11" t="b">
        <v>0</v>
      </c>
    </row>
    <row r="1487">
      <c r="A1487" s="11">
        <v>11095.0</v>
      </c>
      <c r="B1487" s="11" t="s">
        <v>78</v>
      </c>
      <c r="C1487" s="23">
        <v>46231.0</v>
      </c>
      <c r="D1487" s="11" t="s">
        <v>415</v>
      </c>
      <c r="F1487" s="23">
        <v>46298.0</v>
      </c>
      <c r="H1487" s="23">
        <v>46298.0</v>
      </c>
      <c r="J1487" s="11" t="s">
        <v>187</v>
      </c>
      <c r="O1487" s="20">
        <v>855.0</v>
      </c>
      <c r="Q1487" s="11" t="b">
        <v>1</v>
      </c>
      <c r="R1487" s="11" t="b">
        <v>0</v>
      </c>
    </row>
    <row r="1488">
      <c r="A1488" s="19" t="s">
        <v>6012</v>
      </c>
      <c r="B1488" s="11" t="s">
        <v>78</v>
      </c>
      <c r="C1488" s="18">
        <v>46231.0</v>
      </c>
      <c r="D1488" s="11" t="s">
        <v>168</v>
      </c>
      <c r="E1488" s="11" t="s">
        <v>8223</v>
      </c>
      <c r="G1488" s="11" t="s">
        <v>8224</v>
      </c>
      <c r="H1488" s="11" t="s">
        <v>8225</v>
      </c>
      <c r="I1488" s="11" t="b">
        <v>1</v>
      </c>
      <c r="J1488" s="11" t="s">
        <v>5814</v>
      </c>
      <c r="O1488" s="11">
        <v>401.86</v>
      </c>
      <c r="P1488" s="19" t="s">
        <v>8226</v>
      </c>
      <c r="Q1488" s="11" t="b">
        <v>1</v>
      </c>
    </row>
    <row r="1489">
      <c r="A1489" s="11" t="s">
        <v>6005</v>
      </c>
      <c r="B1489" s="11" t="s">
        <v>78</v>
      </c>
      <c r="C1489" s="18">
        <v>46229.0</v>
      </c>
      <c r="D1489" s="11" t="s">
        <v>2549</v>
      </c>
      <c r="E1489" s="11" t="s">
        <v>8228</v>
      </c>
      <c r="G1489" s="11" t="s">
        <v>8229</v>
      </c>
      <c r="H1489" s="11" t="s">
        <v>8230</v>
      </c>
      <c r="I1489" s="11" t="b">
        <v>1</v>
      </c>
      <c r="J1489" s="11" t="s">
        <v>5814</v>
      </c>
      <c r="O1489" s="11">
        <v>450.0</v>
      </c>
      <c r="P1489" s="19" t="s">
        <v>8231</v>
      </c>
      <c r="Q1489" s="11" t="b">
        <v>1</v>
      </c>
    </row>
    <row r="1490">
      <c r="A1490" s="11" t="s">
        <v>6008</v>
      </c>
      <c r="B1490" s="11" t="s">
        <v>78</v>
      </c>
      <c r="C1490" s="18">
        <v>46230.0</v>
      </c>
      <c r="D1490" s="11" t="s">
        <v>992</v>
      </c>
      <c r="E1490" s="11" t="s">
        <v>8232</v>
      </c>
      <c r="G1490" s="11" t="s">
        <v>8233</v>
      </c>
      <c r="H1490" s="11" t="s">
        <v>8045</v>
      </c>
      <c r="I1490" s="11" t="b">
        <v>1</v>
      </c>
      <c r="J1490" s="11" t="s">
        <v>5814</v>
      </c>
      <c r="O1490" s="11">
        <v>112.0</v>
      </c>
      <c r="P1490" s="19" t="s">
        <v>8234</v>
      </c>
      <c r="Q1490" s="11" t="b">
        <v>1</v>
      </c>
    </row>
    <row r="1491">
      <c r="A1491" s="11" t="s">
        <v>6034</v>
      </c>
      <c r="B1491" s="11" t="s">
        <v>78</v>
      </c>
      <c r="C1491" s="18">
        <v>46231.0</v>
      </c>
      <c r="D1491" s="11" t="s">
        <v>8235</v>
      </c>
      <c r="E1491" s="11" t="s">
        <v>8236</v>
      </c>
      <c r="G1491" s="11" t="s">
        <v>8237</v>
      </c>
      <c r="H1491" s="11" t="s">
        <v>8238</v>
      </c>
      <c r="I1491" s="11" t="b">
        <v>1</v>
      </c>
      <c r="J1491" s="11" t="s">
        <v>5814</v>
      </c>
      <c r="O1491" s="11">
        <v>585.0</v>
      </c>
      <c r="P1491" s="19" t="s">
        <v>8239</v>
      </c>
      <c r="Q1491" s="11" t="b">
        <v>1</v>
      </c>
    </row>
    <row r="1492">
      <c r="A1492" s="11" t="s">
        <v>6038</v>
      </c>
      <c r="B1492" s="11" t="s">
        <v>78</v>
      </c>
      <c r="C1492" s="18">
        <v>46231.0</v>
      </c>
      <c r="D1492" s="11" t="s">
        <v>1201</v>
      </c>
      <c r="E1492" s="11" t="s">
        <v>8240</v>
      </c>
      <c r="G1492" s="11" t="s">
        <v>8241</v>
      </c>
      <c r="H1492" s="11" t="s">
        <v>8242</v>
      </c>
      <c r="I1492" s="11" t="b">
        <v>1</v>
      </c>
      <c r="J1492" s="11" t="s">
        <v>5814</v>
      </c>
      <c r="O1492" s="11">
        <v>136.76</v>
      </c>
      <c r="P1492" s="19" t="s">
        <v>8243</v>
      </c>
      <c r="Q1492" s="11" t="b">
        <v>1</v>
      </c>
    </row>
    <row r="1493">
      <c r="A1493" s="11" t="s">
        <v>5980</v>
      </c>
      <c r="B1493" s="11" t="s">
        <v>78</v>
      </c>
      <c r="C1493" s="18">
        <v>46227.0</v>
      </c>
      <c r="D1493" s="11" t="s">
        <v>1201</v>
      </c>
      <c r="E1493" s="11" t="s">
        <v>8244</v>
      </c>
      <c r="G1493" s="11" t="s">
        <v>8245</v>
      </c>
      <c r="H1493" s="11" t="s">
        <v>8246</v>
      </c>
      <c r="I1493" s="11" t="b">
        <v>1</v>
      </c>
      <c r="J1493" s="11" t="s">
        <v>5814</v>
      </c>
      <c r="O1493" s="11">
        <v>254.68</v>
      </c>
      <c r="P1493" s="19" t="s">
        <v>8247</v>
      </c>
      <c r="Q1493" s="11" t="b">
        <v>1</v>
      </c>
    </row>
    <row r="1494">
      <c r="A1494" s="11" t="s">
        <v>1598</v>
      </c>
      <c r="B1494" s="11" t="s">
        <v>78</v>
      </c>
      <c r="C1494" s="18">
        <v>46232.0</v>
      </c>
      <c r="D1494" s="11" t="s">
        <v>116</v>
      </c>
      <c r="E1494" s="11" t="s">
        <v>8248</v>
      </c>
      <c r="G1494" s="11" t="s">
        <v>8249</v>
      </c>
      <c r="H1494" s="11" t="s">
        <v>8250</v>
      </c>
      <c r="I1494" s="11" t="b">
        <v>1</v>
      </c>
      <c r="J1494" s="11" t="s">
        <v>5814</v>
      </c>
      <c r="O1494" s="11">
        <v>35.94</v>
      </c>
      <c r="P1494" s="19" t="s">
        <v>8251</v>
      </c>
      <c r="Q1494" s="11" t="b">
        <v>1</v>
      </c>
    </row>
    <row r="1495">
      <c r="A1495" s="11" t="s">
        <v>1606</v>
      </c>
      <c r="B1495" s="11" t="s">
        <v>78</v>
      </c>
      <c r="C1495" s="18">
        <v>46232.0</v>
      </c>
      <c r="D1495" s="11" t="s">
        <v>2480</v>
      </c>
      <c r="E1495" s="11" t="s">
        <v>8252</v>
      </c>
      <c r="G1495" s="11" t="s">
        <v>8253</v>
      </c>
      <c r="H1495" s="11" t="s">
        <v>8254</v>
      </c>
      <c r="I1495" s="11" t="b">
        <v>1</v>
      </c>
      <c r="J1495" s="11" t="s">
        <v>5814</v>
      </c>
      <c r="O1495" s="11">
        <v>39.0</v>
      </c>
      <c r="P1495" s="19" t="s">
        <v>8255</v>
      </c>
      <c r="Q1495" s="11" t="b">
        <v>1</v>
      </c>
    </row>
    <row r="1496">
      <c r="A1496" s="11" t="s">
        <v>1611</v>
      </c>
      <c r="B1496" s="11" t="s">
        <v>78</v>
      </c>
      <c r="C1496" s="18">
        <v>46232.0</v>
      </c>
      <c r="D1496" s="11" t="s">
        <v>992</v>
      </c>
      <c r="E1496" s="11" t="s">
        <v>8256</v>
      </c>
      <c r="G1496" s="11" t="s">
        <v>8257</v>
      </c>
      <c r="H1496" s="11" t="s">
        <v>7200</v>
      </c>
      <c r="I1496" s="11" t="b">
        <v>1</v>
      </c>
      <c r="J1496" s="11" t="s">
        <v>5814</v>
      </c>
      <c r="O1496" s="11">
        <v>140.0</v>
      </c>
      <c r="P1496" s="19" t="s">
        <v>8258</v>
      </c>
      <c r="Q1496" s="11" t="b">
        <v>1</v>
      </c>
    </row>
    <row r="1497">
      <c r="A1497" s="11" t="s">
        <v>1621</v>
      </c>
      <c r="B1497" s="11" t="s">
        <v>78</v>
      </c>
      <c r="C1497" s="18">
        <v>46232.0</v>
      </c>
      <c r="D1497" s="11" t="s">
        <v>513</v>
      </c>
      <c r="E1497" s="11" t="s">
        <v>8259</v>
      </c>
      <c r="G1497" s="11" t="s">
        <v>8260</v>
      </c>
      <c r="H1497" s="11" t="s">
        <v>2809</v>
      </c>
      <c r="I1497" s="11" t="b">
        <v>1</v>
      </c>
      <c r="J1497" s="11" t="s">
        <v>5814</v>
      </c>
      <c r="O1497" s="11">
        <v>379.63</v>
      </c>
      <c r="P1497" s="19" t="s">
        <v>8261</v>
      </c>
      <c r="Q1497" s="11" t="b">
        <v>1</v>
      </c>
    </row>
    <row r="1498">
      <c r="A1498" s="11" t="s">
        <v>1633</v>
      </c>
      <c r="B1498" s="11" t="s">
        <v>78</v>
      </c>
      <c r="C1498" s="18">
        <v>46233.0</v>
      </c>
      <c r="D1498" s="11" t="s">
        <v>1076</v>
      </c>
      <c r="E1498" s="11" t="s">
        <v>8262</v>
      </c>
      <c r="G1498" s="11" t="s">
        <v>8263</v>
      </c>
      <c r="H1498" s="11" t="s">
        <v>8264</v>
      </c>
      <c r="I1498" s="11" t="b">
        <v>1</v>
      </c>
      <c r="J1498" s="11" t="s">
        <v>5814</v>
      </c>
      <c r="O1498" s="11">
        <v>1.0</v>
      </c>
      <c r="P1498" s="19" t="s">
        <v>8265</v>
      </c>
      <c r="Q1498" s="11" t="b">
        <v>1</v>
      </c>
    </row>
    <row r="1499">
      <c r="A1499" s="11">
        <v>11090.0</v>
      </c>
      <c r="B1499" s="11" t="s">
        <v>78</v>
      </c>
      <c r="C1499" s="23">
        <v>46237.0</v>
      </c>
      <c r="F1499" s="11" t="s">
        <v>2638</v>
      </c>
      <c r="H1499" s="11" t="s">
        <v>2638</v>
      </c>
      <c r="J1499" s="11" t="s">
        <v>187</v>
      </c>
      <c r="K1499" s="11" t="s">
        <v>225</v>
      </c>
      <c r="O1499" s="20">
        <v>3130.38</v>
      </c>
      <c r="Q1499" s="11" t="b">
        <v>1</v>
      </c>
      <c r="R1499" s="11" t="b">
        <v>0</v>
      </c>
    </row>
    <row r="1500">
      <c r="A1500" s="11">
        <v>11091.0</v>
      </c>
      <c r="B1500" s="11" t="s">
        <v>78</v>
      </c>
      <c r="C1500" s="23">
        <v>46237.0</v>
      </c>
      <c r="F1500" s="11" t="s">
        <v>2638</v>
      </c>
      <c r="H1500" s="11" t="s">
        <v>2638</v>
      </c>
      <c r="J1500" s="11" t="s">
        <v>187</v>
      </c>
      <c r="K1500" s="11" t="s">
        <v>1273</v>
      </c>
      <c r="O1500" s="20">
        <v>1679.44</v>
      </c>
      <c r="Q1500" s="11" t="b">
        <v>1</v>
      </c>
      <c r="R1500" s="11" t="b">
        <v>0</v>
      </c>
    </row>
    <row r="1501">
      <c r="A1501" s="11">
        <v>11092.0</v>
      </c>
      <c r="B1501" s="11" t="s">
        <v>78</v>
      </c>
      <c r="C1501" s="23">
        <v>46237.0</v>
      </c>
      <c r="F1501" s="11" t="s">
        <v>2638</v>
      </c>
      <c r="H1501" s="11" t="s">
        <v>2638</v>
      </c>
      <c r="J1501" s="11" t="s">
        <v>187</v>
      </c>
      <c r="K1501" s="11" t="s">
        <v>126</v>
      </c>
      <c r="O1501" s="20">
        <v>1325.09</v>
      </c>
      <c r="Q1501" s="11" t="b">
        <v>1</v>
      </c>
      <c r="R1501" s="11" t="b">
        <v>0</v>
      </c>
    </row>
    <row r="1502">
      <c r="A1502" s="11">
        <v>11093.0</v>
      </c>
      <c r="B1502" s="11" t="s">
        <v>78</v>
      </c>
      <c r="C1502" s="23">
        <v>46237.0</v>
      </c>
      <c r="F1502" s="11" t="s">
        <v>2638</v>
      </c>
      <c r="H1502" s="11" t="s">
        <v>2638</v>
      </c>
      <c r="J1502" s="11" t="s">
        <v>187</v>
      </c>
      <c r="K1502" s="11" t="s">
        <v>3739</v>
      </c>
      <c r="O1502" s="20">
        <v>0.0</v>
      </c>
      <c r="Q1502" s="11" t="b">
        <v>1</v>
      </c>
      <c r="R1502" s="11" t="b">
        <v>0</v>
      </c>
    </row>
    <row r="1503">
      <c r="A1503" s="11">
        <v>11102.0</v>
      </c>
      <c r="B1503" s="11" t="s">
        <v>78</v>
      </c>
      <c r="C1503" s="23">
        <v>46237.0</v>
      </c>
      <c r="D1503" s="11" t="s">
        <v>176</v>
      </c>
      <c r="F1503" s="11" t="s">
        <v>1440</v>
      </c>
      <c r="H1503" s="11" t="s">
        <v>1440</v>
      </c>
      <c r="J1503" s="11" t="s">
        <v>187</v>
      </c>
      <c r="O1503" s="20">
        <v>588.95</v>
      </c>
      <c r="Q1503" s="11" t="b">
        <v>1</v>
      </c>
      <c r="R1503" s="11" t="b">
        <v>0</v>
      </c>
    </row>
    <row r="1504">
      <c r="A1504" s="11">
        <v>11103.0</v>
      </c>
      <c r="B1504" s="11" t="s">
        <v>78</v>
      </c>
      <c r="C1504" s="23">
        <v>46237.0</v>
      </c>
      <c r="D1504" s="20">
        <v>3.6037127E7</v>
      </c>
      <c r="F1504" s="11" t="s">
        <v>2162</v>
      </c>
      <c r="H1504" s="11" t="s">
        <v>2162</v>
      </c>
      <c r="J1504" s="11" t="s">
        <v>187</v>
      </c>
      <c r="O1504" s="20">
        <v>120.0</v>
      </c>
      <c r="Q1504" s="11" t="b">
        <v>1</v>
      </c>
      <c r="R1504" s="11" t="b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>
    <row r="1">
      <c r="A1" s="29" t="s">
        <v>0</v>
      </c>
      <c r="B1" s="29" t="s">
        <v>5</v>
      </c>
      <c r="C1" s="29" t="s">
        <v>1852</v>
      </c>
      <c r="D1" s="29" t="s">
        <v>1853</v>
      </c>
      <c r="E1" s="29" t="s">
        <v>51</v>
      </c>
      <c r="F1" s="29" t="s">
        <v>1855</v>
      </c>
    </row>
    <row r="2">
      <c r="A2" s="11" t="s">
        <v>1856</v>
      </c>
      <c r="B2" s="11" t="s">
        <v>1857</v>
      </c>
      <c r="C2" s="11" t="s">
        <v>376</v>
      </c>
      <c r="D2" s="11">
        <v>1.0</v>
      </c>
      <c r="E2" s="11">
        <v>3136.22</v>
      </c>
      <c r="F2" s="11">
        <v>3136.22</v>
      </c>
    </row>
    <row r="3">
      <c r="A3" s="11" t="s">
        <v>1858</v>
      </c>
      <c r="B3" s="11" t="s">
        <v>1859</v>
      </c>
      <c r="C3" s="11" t="s">
        <v>376</v>
      </c>
      <c r="D3" s="11">
        <v>1.0</v>
      </c>
      <c r="E3" s="11">
        <v>1517.65</v>
      </c>
      <c r="F3" s="11">
        <v>1517.65</v>
      </c>
    </row>
    <row r="4">
      <c r="A4" s="11" t="s">
        <v>1860</v>
      </c>
      <c r="B4" s="11" t="s">
        <v>1861</v>
      </c>
      <c r="C4" s="11" t="s">
        <v>376</v>
      </c>
      <c r="D4" s="11">
        <v>1.0</v>
      </c>
      <c r="E4" s="11">
        <v>1851.79</v>
      </c>
      <c r="F4" s="11">
        <v>1851.79</v>
      </c>
    </row>
    <row r="5">
      <c r="A5" s="11" t="s">
        <v>1862</v>
      </c>
      <c r="B5" s="11" t="s">
        <v>1863</v>
      </c>
      <c r="C5" s="11" t="s">
        <v>795</v>
      </c>
      <c r="D5" s="11">
        <v>1.0</v>
      </c>
      <c r="E5" s="11">
        <v>50.0</v>
      </c>
      <c r="F5" s="11">
        <v>50.0</v>
      </c>
    </row>
    <row r="6">
      <c r="A6" s="11" t="s">
        <v>1864</v>
      </c>
      <c r="B6" s="11" t="s">
        <v>1865</v>
      </c>
      <c r="C6" s="11" t="s">
        <v>1867</v>
      </c>
      <c r="D6" s="11">
        <v>1.0</v>
      </c>
      <c r="E6" s="11">
        <v>95.57</v>
      </c>
      <c r="F6" s="11">
        <v>95.57</v>
      </c>
    </row>
    <row r="7">
      <c r="A7" s="11" t="s">
        <v>1869</v>
      </c>
      <c r="B7" s="11" t="s">
        <v>1871</v>
      </c>
      <c r="C7" s="11" t="s">
        <v>609</v>
      </c>
      <c r="D7" s="11">
        <v>1.0</v>
      </c>
      <c r="E7" s="11">
        <v>4250.0</v>
      </c>
      <c r="F7" s="11">
        <v>4250.0</v>
      </c>
    </row>
    <row r="8">
      <c r="A8" s="11" t="s">
        <v>1872</v>
      </c>
      <c r="B8" s="11" t="s">
        <v>1873</v>
      </c>
      <c r="C8" s="11" t="s">
        <v>1874</v>
      </c>
      <c r="D8" s="11">
        <v>1.0</v>
      </c>
      <c r="E8" s="11">
        <v>36.91</v>
      </c>
      <c r="F8" s="11">
        <v>36.91</v>
      </c>
    </row>
    <row r="9">
      <c r="A9" s="11" t="s">
        <v>1876</v>
      </c>
      <c r="B9" s="11" t="s">
        <v>1877</v>
      </c>
      <c r="C9" s="11" t="s">
        <v>788</v>
      </c>
      <c r="D9" s="11">
        <v>1.0</v>
      </c>
      <c r="E9" s="11">
        <v>2509.63</v>
      </c>
      <c r="F9" s="11">
        <v>2509.63</v>
      </c>
    </row>
    <row r="10">
      <c r="A10" s="11" t="s">
        <v>1879</v>
      </c>
      <c r="B10" s="11" t="s">
        <v>1880</v>
      </c>
      <c r="C10" s="11" t="s">
        <v>788</v>
      </c>
      <c r="D10" s="11">
        <v>1.0</v>
      </c>
      <c r="E10" s="11">
        <v>12957.17</v>
      </c>
      <c r="F10" s="11">
        <v>12957.17</v>
      </c>
    </row>
    <row r="11">
      <c r="A11" s="11" t="s">
        <v>1881</v>
      </c>
      <c r="B11" s="11" t="s">
        <v>1882</v>
      </c>
      <c r="C11" s="11" t="s">
        <v>1884</v>
      </c>
      <c r="D11" s="11">
        <v>1.0</v>
      </c>
      <c r="E11" s="11">
        <v>2308.5</v>
      </c>
      <c r="F11" s="11">
        <v>2308.5</v>
      </c>
    </row>
    <row r="12">
      <c r="A12" s="11" t="s">
        <v>1885</v>
      </c>
      <c r="B12" s="11" t="s">
        <v>1886</v>
      </c>
      <c r="C12" s="11" t="s">
        <v>788</v>
      </c>
      <c r="D12" s="11">
        <v>1.0</v>
      </c>
      <c r="E12" s="11">
        <v>1049.75</v>
      </c>
      <c r="F12" s="11">
        <v>1049.75</v>
      </c>
    </row>
    <row r="13">
      <c r="A13" s="11" t="s">
        <v>1888</v>
      </c>
      <c r="B13" s="11" t="s">
        <v>1889</v>
      </c>
      <c r="C13" s="11" t="s">
        <v>419</v>
      </c>
      <c r="D13" s="11">
        <v>1.0</v>
      </c>
      <c r="E13" s="11">
        <v>829.44</v>
      </c>
      <c r="F13" s="11">
        <v>829.44</v>
      </c>
    </row>
    <row r="14">
      <c r="A14" s="11" t="s">
        <v>1891</v>
      </c>
      <c r="B14" s="11" t="s">
        <v>1892</v>
      </c>
      <c r="C14" s="11" t="s">
        <v>179</v>
      </c>
      <c r="D14" s="11">
        <v>1.0</v>
      </c>
      <c r="E14" s="11">
        <v>500.0</v>
      </c>
      <c r="F14" s="11">
        <v>500.0</v>
      </c>
    </row>
    <row r="15">
      <c r="A15" s="11" t="s">
        <v>1894</v>
      </c>
      <c r="B15" s="11" t="s">
        <v>1895</v>
      </c>
      <c r="C15" s="11" t="s">
        <v>1726</v>
      </c>
      <c r="D15" s="11">
        <v>1.0</v>
      </c>
      <c r="E15" s="11">
        <v>120.0</v>
      </c>
      <c r="F15" s="11">
        <v>120.0</v>
      </c>
    </row>
    <row r="16">
      <c r="A16" s="11" t="s">
        <v>1896</v>
      </c>
      <c r="B16" s="11" t="s">
        <v>1897</v>
      </c>
      <c r="C16" s="11" t="s">
        <v>1898</v>
      </c>
      <c r="D16" s="11">
        <v>1.0</v>
      </c>
      <c r="E16" s="11">
        <v>104.4</v>
      </c>
      <c r="F16" s="11">
        <v>104.4</v>
      </c>
    </row>
    <row r="17">
      <c r="A17" s="11" t="s">
        <v>1900</v>
      </c>
      <c r="B17" s="11" t="s">
        <v>1901</v>
      </c>
      <c r="C17" s="11" t="s">
        <v>1902</v>
      </c>
      <c r="D17" s="11">
        <v>1.0</v>
      </c>
      <c r="E17" s="11">
        <v>1381.2</v>
      </c>
      <c r="F17" s="11">
        <v>1381.2</v>
      </c>
    </row>
    <row r="18">
      <c r="A18" s="11" t="s">
        <v>1904</v>
      </c>
      <c r="B18" s="11" t="s">
        <v>1905</v>
      </c>
      <c r="C18" s="11" t="s">
        <v>1906</v>
      </c>
      <c r="D18" s="11">
        <v>1.0</v>
      </c>
      <c r="E18" s="11">
        <v>59.97</v>
      </c>
      <c r="F18" s="11">
        <v>59.97</v>
      </c>
    </row>
    <row r="19">
      <c r="A19" s="11" t="s">
        <v>1907</v>
      </c>
      <c r="B19" s="11" t="s">
        <v>1908</v>
      </c>
      <c r="C19" s="11" t="s">
        <v>1909</v>
      </c>
      <c r="D19" s="11">
        <v>1.0</v>
      </c>
      <c r="E19" s="11">
        <v>99.0</v>
      </c>
      <c r="F19" s="11">
        <v>99.0</v>
      </c>
    </row>
    <row r="20">
      <c r="A20" s="11" t="s">
        <v>1910</v>
      </c>
      <c r="B20" s="11" t="s">
        <v>1911</v>
      </c>
      <c r="C20" s="11" t="s">
        <v>350</v>
      </c>
      <c r="D20" s="11">
        <v>1.0</v>
      </c>
      <c r="E20" s="11">
        <v>480.0</v>
      </c>
      <c r="F20" s="11">
        <v>480.0</v>
      </c>
    </row>
    <row r="21">
      <c r="A21" s="11" t="s">
        <v>1914</v>
      </c>
      <c r="B21" s="11" t="s">
        <v>1915</v>
      </c>
      <c r="C21" s="11" t="s">
        <v>1917</v>
      </c>
      <c r="D21" s="11">
        <v>1.0</v>
      </c>
      <c r="E21" s="11">
        <v>72.5</v>
      </c>
      <c r="F21" s="11">
        <v>72.5</v>
      </c>
    </row>
    <row r="22">
      <c r="A22" s="11" t="s">
        <v>1918</v>
      </c>
      <c r="B22" s="11" t="s">
        <v>1919</v>
      </c>
      <c r="C22" s="11" t="s">
        <v>975</v>
      </c>
      <c r="D22" s="11">
        <v>1.0</v>
      </c>
      <c r="E22" s="11">
        <v>1045.0</v>
      </c>
      <c r="F22" s="11">
        <v>1045.0</v>
      </c>
    </row>
    <row r="23">
      <c r="A23" s="11" t="s">
        <v>1920</v>
      </c>
      <c r="B23" s="11" t="s">
        <v>1921</v>
      </c>
      <c r="C23" s="11" t="s">
        <v>648</v>
      </c>
      <c r="D23" s="11">
        <v>1.0</v>
      </c>
      <c r="E23" s="11">
        <v>625.0</v>
      </c>
      <c r="F23" s="11">
        <v>625.0</v>
      </c>
    </row>
    <row r="24">
      <c r="A24" s="11" t="s">
        <v>1922</v>
      </c>
      <c r="B24" s="11" t="s">
        <v>1923</v>
      </c>
      <c r="C24" s="11" t="s">
        <v>957</v>
      </c>
      <c r="D24" s="11">
        <v>1.0</v>
      </c>
      <c r="E24" s="11">
        <v>375.0</v>
      </c>
      <c r="F24" s="11">
        <v>375.0</v>
      </c>
    </row>
    <row r="25">
      <c r="A25" s="11" t="s">
        <v>1925</v>
      </c>
      <c r="B25" s="11" t="s">
        <v>1926</v>
      </c>
      <c r="C25" s="11" t="s">
        <v>196</v>
      </c>
      <c r="D25" s="11">
        <v>1.0</v>
      </c>
      <c r="E25" s="11">
        <v>2500.0</v>
      </c>
      <c r="F25" s="11">
        <v>2500.0</v>
      </c>
    </row>
    <row r="26">
      <c r="A26" s="11" t="s">
        <v>1928</v>
      </c>
      <c r="B26" s="11" t="s">
        <v>1929</v>
      </c>
      <c r="C26" s="11" t="s">
        <v>502</v>
      </c>
      <c r="D26" s="11">
        <v>1.0</v>
      </c>
      <c r="E26" s="11">
        <v>131.9</v>
      </c>
      <c r="F26" s="11">
        <v>131.9</v>
      </c>
    </row>
    <row r="27">
      <c r="A27" s="11" t="s">
        <v>1930</v>
      </c>
      <c r="B27" s="11" t="s">
        <v>1931</v>
      </c>
      <c r="C27" s="11" t="s">
        <v>1497</v>
      </c>
      <c r="D27" s="11">
        <v>1.0</v>
      </c>
      <c r="E27" s="11">
        <v>253.0</v>
      </c>
      <c r="F27" s="11">
        <v>253.0</v>
      </c>
    </row>
    <row r="28">
      <c r="A28" s="11" t="s">
        <v>1932</v>
      </c>
      <c r="B28" s="11" t="s">
        <v>1934</v>
      </c>
      <c r="C28" s="11" t="s">
        <v>1936</v>
      </c>
      <c r="D28" s="11">
        <v>1.0</v>
      </c>
      <c r="E28" s="11">
        <v>877.04</v>
      </c>
      <c r="F28" s="11">
        <v>877.04</v>
      </c>
    </row>
    <row r="29">
      <c r="A29" s="11" t="s">
        <v>1938</v>
      </c>
      <c r="B29" s="11" t="s">
        <v>1939</v>
      </c>
      <c r="C29" s="11">
        <v>7.9792017E7</v>
      </c>
      <c r="D29" s="11">
        <v>1.0</v>
      </c>
      <c r="E29" s="11">
        <v>1178.55</v>
      </c>
      <c r="F29" s="11">
        <v>1178.55</v>
      </c>
    </row>
    <row r="30">
      <c r="A30" s="11" t="s">
        <v>1940</v>
      </c>
      <c r="B30" s="11">
        <v>1551.0</v>
      </c>
      <c r="C30" s="11" t="s">
        <v>1049</v>
      </c>
      <c r="D30" s="11">
        <v>1.0</v>
      </c>
      <c r="E30" s="11">
        <v>7597.32</v>
      </c>
      <c r="F30" s="11">
        <v>7597.32</v>
      </c>
    </row>
    <row r="31">
      <c r="A31" s="11" t="s">
        <v>1942</v>
      </c>
      <c r="B31" s="11">
        <v>1552.0</v>
      </c>
      <c r="C31" s="11" t="s">
        <v>1944</v>
      </c>
      <c r="D31" s="11">
        <v>1.0</v>
      </c>
      <c r="E31" s="11">
        <v>558.41</v>
      </c>
      <c r="F31" s="11">
        <v>558.41</v>
      </c>
    </row>
    <row r="32">
      <c r="A32" s="11" t="s">
        <v>1946</v>
      </c>
      <c r="B32" s="11" t="s">
        <v>1947</v>
      </c>
      <c r="C32" s="11" t="s">
        <v>350</v>
      </c>
      <c r="D32" s="11">
        <v>1.0</v>
      </c>
      <c r="E32" s="11">
        <v>500.0</v>
      </c>
      <c r="F32" s="11">
        <v>500.0</v>
      </c>
    </row>
    <row r="33">
      <c r="A33" s="11" t="s">
        <v>1950</v>
      </c>
      <c r="B33" s="11" t="s">
        <v>1951</v>
      </c>
      <c r="C33" s="11" t="s">
        <v>527</v>
      </c>
      <c r="D33" s="11">
        <v>1.0</v>
      </c>
      <c r="E33" s="11">
        <v>80.0</v>
      </c>
      <c r="F33" s="11">
        <v>80.0</v>
      </c>
    </row>
    <row r="34">
      <c r="A34" s="11" t="s">
        <v>1953</v>
      </c>
      <c r="B34" s="11" t="s">
        <v>1954</v>
      </c>
      <c r="C34" s="11" t="s">
        <v>788</v>
      </c>
      <c r="D34" s="11">
        <v>1.0</v>
      </c>
      <c r="E34" s="11">
        <v>1521.94</v>
      </c>
      <c r="F34" s="11">
        <v>1521.94</v>
      </c>
    </row>
    <row r="35">
      <c r="A35" s="11" t="s">
        <v>1955</v>
      </c>
      <c r="B35" s="11" t="s">
        <v>1956</v>
      </c>
      <c r="C35" s="11" t="s">
        <v>1958</v>
      </c>
      <c r="D35" s="11">
        <v>1.0</v>
      </c>
      <c r="E35" s="11">
        <v>4749.09</v>
      </c>
      <c r="F35" s="11">
        <v>4749.09</v>
      </c>
    </row>
    <row r="36">
      <c r="A36" s="11" t="s">
        <v>1961</v>
      </c>
      <c r="B36" s="11" t="s">
        <v>1962</v>
      </c>
      <c r="C36" s="11" t="s">
        <v>1958</v>
      </c>
      <c r="D36" s="11">
        <v>1.0</v>
      </c>
      <c r="E36" s="11">
        <v>1030.77</v>
      </c>
      <c r="F36" s="11">
        <v>1030.77</v>
      </c>
    </row>
    <row r="37">
      <c r="A37" s="11" t="s">
        <v>1965</v>
      </c>
      <c r="B37" s="11" t="s">
        <v>1966</v>
      </c>
      <c r="C37" s="11">
        <v>7.9792017E7</v>
      </c>
      <c r="D37" s="11">
        <v>1.0</v>
      </c>
      <c r="E37" s="11">
        <v>1196.41</v>
      </c>
      <c r="F37" s="11">
        <v>1196.41</v>
      </c>
    </row>
    <row r="38">
      <c r="A38" s="11" t="s">
        <v>1969</v>
      </c>
      <c r="B38" s="11" t="s">
        <v>1970</v>
      </c>
      <c r="C38" s="11" t="s">
        <v>1971</v>
      </c>
      <c r="D38" s="11">
        <v>1.0</v>
      </c>
      <c r="E38" s="11">
        <v>317.34</v>
      </c>
      <c r="F38" s="11">
        <v>317.34</v>
      </c>
    </row>
    <row r="39">
      <c r="A39" s="11" t="s">
        <v>1974</v>
      </c>
      <c r="B39" s="11" t="s">
        <v>1975</v>
      </c>
      <c r="C39" s="11" t="s">
        <v>1971</v>
      </c>
      <c r="D39" s="11">
        <v>1.0</v>
      </c>
      <c r="E39" s="11">
        <v>371.54</v>
      </c>
      <c r="F39" s="11">
        <v>371.54</v>
      </c>
    </row>
    <row r="40">
      <c r="A40" s="11" t="s">
        <v>1978</v>
      </c>
      <c r="B40" s="11" t="s">
        <v>1979</v>
      </c>
      <c r="C40" s="11">
        <v>7.9792017E7</v>
      </c>
      <c r="D40" s="11">
        <v>1.0</v>
      </c>
      <c r="E40" s="11">
        <v>45.7</v>
      </c>
      <c r="F40" s="11">
        <v>45.7</v>
      </c>
    </row>
    <row r="41">
      <c r="A41" s="11" t="s">
        <v>1981</v>
      </c>
      <c r="B41" s="11">
        <v>1566.0</v>
      </c>
      <c r="C41" s="11" t="s">
        <v>1971</v>
      </c>
      <c r="D41" s="11">
        <v>1.0</v>
      </c>
      <c r="E41" s="11">
        <v>190.34</v>
      </c>
      <c r="F41" s="11">
        <v>190.34</v>
      </c>
    </row>
    <row r="42">
      <c r="A42" s="11" t="s">
        <v>1984</v>
      </c>
      <c r="B42" s="11">
        <v>1567.0</v>
      </c>
      <c r="C42" s="11" t="s">
        <v>1971</v>
      </c>
      <c r="D42" s="11">
        <v>1.0</v>
      </c>
      <c r="E42" s="11">
        <v>52.36</v>
      </c>
      <c r="F42" s="11">
        <v>52.36</v>
      </c>
    </row>
    <row r="43">
      <c r="A43" s="11" t="s">
        <v>1986</v>
      </c>
      <c r="B43" s="11" t="s">
        <v>1988</v>
      </c>
      <c r="C43" s="11">
        <v>2.3273172E7</v>
      </c>
      <c r="D43" s="11">
        <v>1.0</v>
      </c>
      <c r="E43" s="11">
        <v>700.0</v>
      </c>
      <c r="F43" s="11">
        <v>700.0</v>
      </c>
    </row>
    <row r="44">
      <c r="A44" s="11" t="s">
        <v>1991</v>
      </c>
      <c r="B44" s="11" t="s">
        <v>1992</v>
      </c>
      <c r="C44" s="11" t="s">
        <v>1958</v>
      </c>
      <c r="D44" s="11">
        <v>1.0</v>
      </c>
      <c r="E44" s="11">
        <v>285.6</v>
      </c>
      <c r="F44" s="11">
        <v>285.6</v>
      </c>
    </row>
    <row r="45">
      <c r="A45" s="11" t="s">
        <v>2000</v>
      </c>
      <c r="B45" s="11">
        <v>1569.0</v>
      </c>
      <c r="C45" s="11" t="s">
        <v>376</v>
      </c>
      <c r="D45" s="11">
        <v>1.0</v>
      </c>
      <c r="E45" s="11">
        <v>3498.0</v>
      </c>
      <c r="F45" s="11">
        <v>3498.0</v>
      </c>
    </row>
    <row r="46">
      <c r="A46" s="11" t="s">
        <v>2003</v>
      </c>
      <c r="B46" s="11">
        <v>1570.0</v>
      </c>
      <c r="C46" s="11" t="s">
        <v>376</v>
      </c>
      <c r="D46" s="11">
        <v>1.0</v>
      </c>
      <c r="E46" s="11">
        <v>292.0</v>
      </c>
      <c r="F46" s="11">
        <v>292.0</v>
      </c>
    </row>
    <row r="47">
      <c r="A47" s="11" t="s">
        <v>2006</v>
      </c>
      <c r="B47" s="11">
        <v>1571.0</v>
      </c>
      <c r="C47" s="11" t="s">
        <v>376</v>
      </c>
      <c r="D47" s="11">
        <v>1.0</v>
      </c>
      <c r="E47" s="11">
        <v>292.0</v>
      </c>
      <c r="F47" s="11">
        <v>292.0</v>
      </c>
    </row>
    <row r="48">
      <c r="A48" s="11" t="s">
        <v>2010</v>
      </c>
      <c r="B48" s="11">
        <v>1572.0</v>
      </c>
      <c r="C48" s="11" t="s">
        <v>1017</v>
      </c>
      <c r="D48" s="11">
        <v>1.0</v>
      </c>
      <c r="E48" s="11">
        <v>22.0</v>
      </c>
      <c r="F48" s="11">
        <v>22.0</v>
      </c>
    </row>
    <row r="49">
      <c r="A49" s="11" t="s">
        <v>2013</v>
      </c>
      <c r="B49" s="11">
        <v>1573.0</v>
      </c>
      <c r="C49" s="11" t="s">
        <v>1023</v>
      </c>
      <c r="D49" s="11">
        <v>1.0</v>
      </c>
      <c r="E49" s="11">
        <v>10.0</v>
      </c>
      <c r="F49" s="11">
        <v>10.0</v>
      </c>
    </row>
    <row r="50">
      <c r="A50" s="11" t="s">
        <v>2017</v>
      </c>
      <c r="B50" s="11">
        <v>1574.0</v>
      </c>
      <c r="C50" s="11" t="s">
        <v>1870</v>
      </c>
      <c r="D50" s="11">
        <v>1.0</v>
      </c>
      <c r="E50" s="11">
        <v>2430.62</v>
      </c>
      <c r="F50" s="11">
        <v>2430.62</v>
      </c>
    </row>
    <row r="51">
      <c r="A51" s="11" t="s">
        <v>2020</v>
      </c>
      <c r="B51" s="11">
        <v>1575.0</v>
      </c>
      <c r="C51" s="11" t="s">
        <v>376</v>
      </c>
      <c r="D51" s="11">
        <v>1.0</v>
      </c>
      <c r="E51" s="11">
        <v>1.0</v>
      </c>
      <c r="F51" s="11">
        <v>1.0</v>
      </c>
    </row>
    <row r="52">
      <c r="A52" s="11" t="s">
        <v>2023</v>
      </c>
      <c r="B52" s="11">
        <v>1576.0</v>
      </c>
      <c r="C52" s="11" t="s">
        <v>376</v>
      </c>
      <c r="D52" s="11">
        <v>1.0</v>
      </c>
      <c r="E52" s="11">
        <v>1.0</v>
      </c>
      <c r="F52" s="11">
        <v>1.0</v>
      </c>
    </row>
    <row r="53">
      <c r="A53" s="11" t="s">
        <v>2027</v>
      </c>
      <c r="B53" s="11">
        <v>1577.0</v>
      </c>
      <c r="C53" s="11" t="s">
        <v>376</v>
      </c>
      <c r="D53" s="11">
        <v>1.0</v>
      </c>
      <c r="E53" s="11">
        <v>1.0</v>
      </c>
      <c r="F53" s="11">
        <v>1.0</v>
      </c>
    </row>
    <row r="54">
      <c r="A54" s="11" t="s">
        <v>2030</v>
      </c>
      <c r="B54" s="11">
        <v>1578.0</v>
      </c>
      <c r="C54" s="11" t="s">
        <v>376</v>
      </c>
      <c r="D54" s="11">
        <v>1.0</v>
      </c>
      <c r="E54" s="11">
        <v>1.0</v>
      </c>
      <c r="F54" s="11">
        <v>1.0</v>
      </c>
    </row>
    <row r="55">
      <c r="A55" s="11" t="s">
        <v>2033</v>
      </c>
      <c r="B55" s="11">
        <v>1.71608141E8</v>
      </c>
      <c r="C55" s="11">
        <v>7.9792017E7</v>
      </c>
      <c r="D55" s="11">
        <v>1.0</v>
      </c>
      <c r="E55" s="11">
        <v>82.03</v>
      </c>
      <c r="F55" s="11">
        <v>82.03</v>
      </c>
    </row>
    <row r="56">
      <c r="A56" s="11" t="s">
        <v>2036</v>
      </c>
      <c r="B56" s="11" t="s">
        <v>2038</v>
      </c>
      <c r="C56" s="11" t="s">
        <v>2040</v>
      </c>
      <c r="D56" s="11">
        <v>1.0</v>
      </c>
      <c r="E56" s="11">
        <v>3195.9</v>
      </c>
      <c r="F56" s="11">
        <v>3195.9</v>
      </c>
    </row>
    <row r="57">
      <c r="A57" s="11" t="s">
        <v>2042</v>
      </c>
      <c r="B57" s="11" t="s">
        <v>2043</v>
      </c>
      <c r="C57" s="11" t="s">
        <v>1958</v>
      </c>
      <c r="D57" s="11">
        <v>1.0</v>
      </c>
      <c r="E57" s="11">
        <v>1176.13</v>
      </c>
      <c r="F57" s="11">
        <v>1176.13</v>
      </c>
    </row>
    <row r="58">
      <c r="A58" s="11" t="s">
        <v>2046</v>
      </c>
      <c r="B58" s="11" t="s">
        <v>2047</v>
      </c>
      <c r="C58" s="11" t="s">
        <v>350</v>
      </c>
      <c r="D58" s="11">
        <v>1.0</v>
      </c>
      <c r="E58" s="11">
        <v>500.0</v>
      </c>
      <c r="F58" s="11">
        <v>500.0</v>
      </c>
    </row>
    <row r="59">
      <c r="A59" s="11" t="s">
        <v>2050</v>
      </c>
      <c r="B59" s="11">
        <v>1587.0</v>
      </c>
      <c r="C59" s="11" t="s">
        <v>179</v>
      </c>
      <c r="D59" s="11">
        <v>1.0</v>
      </c>
      <c r="E59" s="11">
        <v>550.0</v>
      </c>
      <c r="F59" s="11">
        <v>550.0</v>
      </c>
    </row>
    <row r="60">
      <c r="A60" s="11" t="s">
        <v>2052</v>
      </c>
      <c r="B60" s="11">
        <v>1588.0</v>
      </c>
      <c r="C60" s="11" t="s">
        <v>1726</v>
      </c>
      <c r="D60" s="11">
        <v>1.0</v>
      </c>
      <c r="E60" s="11">
        <v>120.0</v>
      </c>
      <c r="F60" s="11">
        <v>120.0</v>
      </c>
    </row>
    <row r="61">
      <c r="A61" s="11" t="s">
        <v>2058</v>
      </c>
      <c r="B61" s="11">
        <v>1589.0</v>
      </c>
      <c r="C61" s="11" t="s">
        <v>1898</v>
      </c>
      <c r="D61" s="11">
        <v>1.0</v>
      </c>
      <c r="E61" s="11">
        <v>130.5</v>
      </c>
      <c r="F61" s="11">
        <v>130.5</v>
      </c>
    </row>
    <row r="62">
      <c r="A62" s="11" t="s">
        <v>2063</v>
      </c>
      <c r="B62" s="11">
        <v>1590.0</v>
      </c>
      <c r="C62" s="11" t="s">
        <v>1902</v>
      </c>
      <c r="D62" s="11">
        <v>1.0</v>
      </c>
      <c r="E62" s="11">
        <v>1.0</v>
      </c>
      <c r="F62" s="11">
        <v>1.0</v>
      </c>
    </row>
    <row r="63">
      <c r="A63" s="11" t="s">
        <v>2068</v>
      </c>
      <c r="B63" s="11">
        <v>1591.0</v>
      </c>
      <c r="C63" s="11" t="s">
        <v>1906</v>
      </c>
      <c r="D63" s="11">
        <v>1.0</v>
      </c>
      <c r="E63" s="11">
        <v>70.0</v>
      </c>
      <c r="F63" s="11">
        <v>70.0</v>
      </c>
    </row>
    <row r="64">
      <c r="A64" s="11" t="s">
        <v>2072</v>
      </c>
      <c r="B64" s="11" t="s">
        <v>2074</v>
      </c>
      <c r="C64" s="11" t="s">
        <v>975</v>
      </c>
      <c r="D64" s="11">
        <v>1.0</v>
      </c>
      <c r="E64" s="11">
        <v>1045.0</v>
      </c>
      <c r="F64" s="11">
        <v>1045.0</v>
      </c>
    </row>
    <row r="65">
      <c r="A65" s="11" t="s">
        <v>2078</v>
      </c>
      <c r="B65" s="11">
        <v>1592.0</v>
      </c>
      <c r="C65" s="11" t="s">
        <v>648</v>
      </c>
      <c r="D65" s="11">
        <v>1.0</v>
      </c>
      <c r="E65" s="11">
        <v>625.0</v>
      </c>
      <c r="F65" s="11">
        <v>625.0</v>
      </c>
    </row>
    <row r="66">
      <c r="A66" s="11" t="s">
        <v>2080</v>
      </c>
      <c r="B66" s="11">
        <v>1593.0</v>
      </c>
      <c r="C66" s="11" t="s">
        <v>957</v>
      </c>
      <c r="D66" s="11">
        <v>1.0</v>
      </c>
      <c r="E66" s="11">
        <v>375.0</v>
      </c>
      <c r="F66" s="11">
        <v>375.0</v>
      </c>
    </row>
    <row r="67">
      <c r="A67" s="11" t="s">
        <v>2084</v>
      </c>
      <c r="B67" s="11">
        <v>1594.0</v>
      </c>
      <c r="C67" s="11" t="s">
        <v>196</v>
      </c>
      <c r="D67" s="11">
        <v>1.0</v>
      </c>
      <c r="E67" s="11">
        <v>2500.0</v>
      </c>
      <c r="F67" s="11">
        <v>2500.0</v>
      </c>
    </row>
    <row r="68">
      <c r="A68" s="11" t="s">
        <v>2089</v>
      </c>
      <c r="B68" s="11">
        <v>1595.0</v>
      </c>
      <c r="C68" s="11" t="s">
        <v>502</v>
      </c>
      <c r="D68" s="11">
        <v>1.0</v>
      </c>
      <c r="E68" s="11">
        <v>119.0</v>
      </c>
      <c r="F68" s="11">
        <v>119.0</v>
      </c>
    </row>
    <row r="69">
      <c r="A69" s="11" t="s">
        <v>2091</v>
      </c>
      <c r="B69" s="11">
        <v>1596.0</v>
      </c>
      <c r="C69" s="11" t="s">
        <v>1497</v>
      </c>
      <c r="D69" s="11">
        <v>1.0</v>
      </c>
      <c r="E69" s="11">
        <v>253.0</v>
      </c>
      <c r="F69" s="11">
        <v>253.0</v>
      </c>
    </row>
    <row r="70">
      <c r="A70" s="11" t="s">
        <v>2095</v>
      </c>
      <c r="B70" s="11" t="s">
        <v>2096</v>
      </c>
      <c r="C70" s="11" t="s">
        <v>2099</v>
      </c>
      <c r="D70" s="11">
        <v>1.0</v>
      </c>
      <c r="E70" s="11">
        <v>7546.84</v>
      </c>
      <c r="F70" s="11">
        <v>7546.84</v>
      </c>
    </row>
    <row r="71">
      <c r="A71" s="11" t="s">
        <v>2101</v>
      </c>
      <c r="B71" s="11" t="s">
        <v>2102</v>
      </c>
      <c r="C71" s="11" t="s">
        <v>1694</v>
      </c>
      <c r="D71" s="11">
        <v>1.0</v>
      </c>
      <c r="E71" s="11">
        <v>565.74</v>
      </c>
      <c r="F71" s="11">
        <v>565.74</v>
      </c>
    </row>
    <row r="72">
      <c r="A72" s="11" t="s">
        <v>2104</v>
      </c>
      <c r="B72" s="11" t="s">
        <v>2105</v>
      </c>
      <c r="C72" s="11" t="s">
        <v>2106</v>
      </c>
      <c r="D72" s="11">
        <v>1.0</v>
      </c>
      <c r="E72" s="11">
        <v>536.03</v>
      </c>
      <c r="F72" s="11">
        <v>536.03</v>
      </c>
    </row>
    <row r="73">
      <c r="A73" s="11" t="s">
        <v>2108</v>
      </c>
      <c r="B73" s="11">
        <v>1603.0</v>
      </c>
      <c r="C73" s="11" t="s">
        <v>1936</v>
      </c>
      <c r="D73" s="11">
        <v>1.0</v>
      </c>
      <c r="E73" s="11">
        <v>1.0</v>
      </c>
      <c r="F73" s="11">
        <v>1.0</v>
      </c>
    </row>
    <row r="74">
      <c r="A74" s="11" t="s">
        <v>2114</v>
      </c>
      <c r="B74" s="11" t="s">
        <v>2116</v>
      </c>
      <c r="C74" s="11" t="s">
        <v>350</v>
      </c>
      <c r="D74" s="11">
        <v>1.0</v>
      </c>
      <c r="E74" s="11">
        <v>200.0</v>
      </c>
      <c r="F74" s="11">
        <v>200.0</v>
      </c>
    </row>
    <row r="75">
      <c r="A75" s="11" t="s">
        <v>2118</v>
      </c>
      <c r="B75" s="11" t="s">
        <v>2120</v>
      </c>
      <c r="C75" s="11" t="s">
        <v>1874</v>
      </c>
      <c r="D75" s="11">
        <v>1.0</v>
      </c>
      <c r="E75" s="11">
        <v>10.0</v>
      </c>
      <c r="F75" s="11">
        <v>10.0</v>
      </c>
    </row>
    <row r="76">
      <c r="A76" s="11" t="s">
        <v>2123</v>
      </c>
      <c r="B76" s="11" t="s">
        <v>2124</v>
      </c>
      <c r="C76" s="11" t="s">
        <v>2040</v>
      </c>
      <c r="D76" s="11">
        <v>1.0</v>
      </c>
      <c r="E76" s="11">
        <v>1315.0</v>
      </c>
      <c r="F76" s="11">
        <v>1315.0</v>
      </c>
    </row>
    <row r="77">
      <c r="A77" s="11" t="s">
        <v>2127</v>
      </c>
      <c r="B77" s="11" t="s">
        <v>2128</v>
      </c>
      <c r="C77" s="11" t="s">
        <v>1958</v>
      </c>
      <c r="D77" s="11">
        <v>1.0</v>
      </c>
      <c r="E77" s="11">
        <v>670.17</v>
      </c>
      <c r="F77" s="11">
        <v>670.17</v>
      </c>
    </row>
    <row r="78">
      <c r="A78" s="11" t="s">
        <v>2132</v>
      </c>
      <c r="B78" s="11">
        <v>1608.0</v>
      </c>
      <c r="C78" s="11" t="s">
        <v>1049</v>
      </c>
      <c r="D78" s="11">
        <v>1.0</v>
      </c>
      <c r="E78" s="11">
        <v>1.0</v>
      </c>
      <c r="F78" s="11">
        <v>1.0</v>
      </c>
    </row>
    <row r="79">
      <c r="A79" s="11" t="s">
        <v>2135</v>
      </c>
      <c r="B79" s="11">
        <v>1609.0</v>
      </c>
      <c r="C79" s="11" t="s">
        <v>1944</v>
      </c>
      <c r="D79" s="11">
        <v>1.0</v>
      </c>
      <c r="E79" s="11">
        <v>1.0</v>
      </c>
      <c r="F79" s="11">
        <v>1.0</v>
      </c>
    </row>
    <row r="80">
      <c r="A80" s="11" t="s">
        <v>2138</v>
      </c>
      <c r="B80" s="11" t="s">
        <v>2139</v>
      </c>
      <c r="C80" s="11" t="s">
        <v>350</v>
      </c>
      <c r="D80" s="11">
        <v>1.0</v>
      </c>
      <c r="E80" s="11">
        <v>480.0</v>
      </c>
      <c r="F80" s="11">
        <v>480.0</v>
      </c>
    </row>
    <row r="81">
      <c r="A81" s="11" t="s">
        <v>2142</v>
      </c>
      <c r="B81" s="11" t="s">
        <v>2143</v>
      </c>
      <c r="C81" s="11" t="s">
        <v>1694</v>
      </c>
      <c r="D81" s="11">
        <v>1.0</v>
      </c>
      <c r="E81" s="11">
        <v>99.98</v>
      </c>
      <c r="F81" s="11">
        <v>99.98</v>
      </c>
    </row>
    <row r="82">
      <c r="A82" s="11" t="s">
        <v>2147</v>
      </c>
      <c r="B82" s="11">
        <v>1613.0</v>
      </c>
      <c r="C82" s="11" t="s">
        <v>2149</v>
      </c>
      <c r="D82" s="11">
        <v>1.0</v>
      </c>
      <c r="E82" s="11">
        <v>1.0</v>
      </c>
      <c r="F82" s="11">
        <v>1.0</v>
      </c>
    </row>
    <row r="83">
      <c r="A83" s="11" t="s">
        <v>2150</v>
      </c>
      <c r="B83" s="11" t="s">
        <v>2152</v>
      </c>
      <c r="C83" s="11" t="s">
        <v>350</v>
      </c>
      <c r="D83" s="11">
        <v>1.0</v>
      </c>
      <c r="E83" s="11">
        <v>300.0</v>
      </c>
      <c r="F83" s="11">
        <v>300.0</v>
      </c>
    </row>
    <row r="84">
      <c r="A84" s="11" t="s">
        <v>2153</v>
      </c>
      <c r="B84" s="11">
        <v>1615.0</v>
      </c>
      <c r="C84" s="11" t="s">
        <v>1971</v>
      </c>
      <c r="D84" s="11">
        <v>1.0</v>
      </c>
      <c r="E84" s="11">
        <v>190.34</v>
      </c>
      <c r="F84" s="11">
        <v>190.34</v>
      </c>
    </row>
    <row r="85">
      <c r="A85" s="11" t="s">
        <v>2156</v>
      </c>
      <c r="B85" s="11">
        <v>1616.0</v>
      </c>
      <c r="C85" s="11" t="s">
        <v>1971</v>
      </c>
      <c r="D85" s="11">
        <v>1.0</v>
      </c>
      <c r="E85" s="11">
        <v>52.36</v>
      </c>
      <c r="F85" s="11">
        <v>52.36</v>
      </c>
    </row>
    <row r="86">
      <c r="A86" s="11" t="s">
        <v>2158</v>
      </c>
      <c r="B86" s="11">
        <v>1617.0</v>
      </c>
      <c r="C86" s="11" t="s">
        <v>1971</v>
      </c>
      <c r="D86" s="11">
        <v>1.0</v>
      </c>
      <c r="E86" s="11">
        <v>190.34</v>
      </c>
      <c r="F86" s="11">
        <v>190.34</v>
      </c>
    </row>
    <row r="87">
      <c r="A87" s="11" t="s">
        <v>2160</v>
      </c>
      <c r="B87" s="11">
        <v>1618.0</v>
      </c>
      <c r="C87" s="11" t="s">
        <v>1971</v>
      </c>
      <c r="D87" s="11">
        <v>1.0</v>
      </c>
      <c r="E87" s="11">
        <v>52.36</v>
      </c>
      <c r="F87" s="11">
        <v>52.36</v>
      </c>
    </row>
    <row r="88">
      <c r="A88" s="11" t="s">
        <v>2163</v>
      </c>
      <c r="B88" s="11" t="s">
        <v>2165</v>
      </c>
      <c r="C88" s="11">
        <v>7.9792017E7</v>
      </c>
      <c r="D88" s="11">
        <v>1.0</v>
      </c>
      <c r="E88" s="11">
        <v>1136.65</v>
      </c>
      <c r="F88" s="11">
        <v>1136.65</v>
      </c>
    </row>
    <row r="89">
      <c r="A89" s="11" t="s">
        <v>2167</v>
      </c>
      <c r="B89" s="11" t="s">
        <v>2169</v>
      </c>
      <c r="C89" s="11" t="s">
        <v>2170</v>
      </c>
      <c r="D89" s="11">
        <v>1.0</v>
      </c>
      <c r="E89" s="11">
        <v>134.0</v>
      </c>
      <c r="F89" s="11">
        <v>134.0</v>
      </c>
    </row>
    <row r="90">
      <c r="A90" s="11" t="s">
        <v>2173</v>
      </c>
      <c r="B90" s="11" t="s">
        <v>2176</v>
      </c>
      <c r="C90" s="11" t="s">
        <v>419</v>
      </c>
      <c r="D90" s="11">
        <v>1.0</v>
      </c>
      <c r="E90" s="11">
        <v>905.44</v>
      </c>
      <c r="F90" s="11">
        <v>905.44</v>
      </c>
    </row>
    <row r="91">
      <c r="A91" s="11" t="s">
        <v>2179</v>
      </c>
      <c r="B91" s="11" t="s">
        <v>2180</v>
      </c>
      <c r="C91" s="11" t="s">
        <v>2181</v>
      </c>
      <c r="D91" s="11">
        <v>1.0</v>
      </c>
      <c r="E91" s="11">
        <v>66.0</v>
      </c>
      <c r="F91" s="11">
        <v>66.0</v>
      </c>
    </row>
    <row r="92">
      <c r="A92" s="11" t="s">
        <v>2183</v>
      </c>
      <c r="B92" s="11" t="s">
        <v>2185</v>
      </c>
      <c r="C92" s="11" t="s">
        <v>2186</v>
      </c>
      <c r="D92" s="11">
        <v>1.0</v>
      </c>
      <c r="E92" s="11">
        <v>20.0</v>
      </c>
      <c r="F92" s="11">
        <v>20.0</v>
      </c>
    </row>
    <row r="93">
      <c r="A93" s="11" t="s">
        <v>2188</v>
      </c>
      <c r="B93" s="11" t="s">
        <v>2189</v>
      </c>
      <c r="C93" s="11" t="s">
        <v>376</v>
      </c>
      <c r="D93" s="11">
        <v>1.0</v>
      </c>
      <c r="E93" s="11">
        <v>1291.83</v>
      </c>
      <c r="F93" s="11">
        <v>1291.83</v>
      </c>
    </row>
    <row r="94">
      <c r="A94" s="11" t="s">
        <v>2192</v>
      </c>
      <c r="B94" s="11" t="s">
        <v>2193</v>
      </c>
      <c r="C94" s="11" t="s">
        <v>376</v>
      </c>
      <c r="D94" s="11">
        <v>1.0</v>
      </c>
      <c r="E94" s="11">
        <v>0.01</v>
      </c>
      <c r="F94" s="11">
        <v>0.01</v>
      </c>
    </row>
    <row r="95">
      <c r="A95" s="11" t="s">
        <v>2195</v>
      </c>
      <c r="B95" s="11" t="s">
        <v>2197</v>
      </c>
      <c r="C95" s="11" t="s">
        <v>376</v>
      </c>
      <c r="D95" s="11">
        <v>1.0</v>
      </c>
      <c r="E95" s="11">
        <v>182.1</v>
      </c>
      <c r="F95" s="11">
        <v>182.1</v>
      </c>
    </row>
    <row r="96">
      <c r="A96" s="11" t="s">
        <v>2198</v>
      </c>
      <c r="B96" s="11" t="s">
        <v>2200</v>
      </c>
      <c r="C96" s="11" t="s">
        <v>376</v>
      </c>
      <c r="D96" s="11">
        <v>1.0</v>
      </c>
      <c r="E96" s="11">
        <v>0.01</v>
      </c>
      <c r="F96" s="11">
        <v>0.01</v>
      </c>
    </row>
    <row r="97">
      <c r="A97" s="11" t="s">
        <v>2202</v>
      </c>
      <c r="B97" s="11" t="s">
        <v>2203</v>
      </c>
      <c r="C97" s="11" t="s">
        <v>376</v>
      </c>
      <c r="D97" s="11">
        <v>1.0</v>
      </c>
      <c r="E97" s="11">
        <v>781.75</v>
      </c>
      <c r="F97" s="11">
        <v>781.75</v>
      </c>
    </row>
    <row r="98">
      <c r="A98" s="11" t="s">
        <v>2205</v>
      </c>
      <c r="B98" s="11" t="s">
        <v>2207</v>
      </c>
      <c r="C98" s="11" t="s">
        <v>376</v>
      </c>
      <c r="D98" s="11">
        <v>1.0</v>
      </c>
      <c r="E98" s="11">
        <v>0.01</v>
      </c>
      <c r="F98" s="11">
        <v>0.01</v>
      </c>
    </row>
    <row r="99">
      <c r="A99" s="11" t="s">
        <v>2208</v>
      </c>
      <c r="B99" s="11" t="s">
        <v>2210</v>
      </c>
      <c r="C99" s="11" t="s">
        <v>376</v>
      </c>
      <c r="D99" s="11">
        <v>1.0</v>
      </c>
      <c r="E99" s="11">
        <v>418.04</v>
      </c>
      <c r="F99" s="11">
        <v>418.04</v>
      </c>
    </row>
    <row r="100">
      <c r="A100" s="11" t="s">
        <v>2213</v>
      </c>
      <c r="B100" s="11" t="s">
        <v>2214</v>
      </c>
      <c r="C100" s="11" t="s">
        <v>376</v>
      </c>
      <c r="D100" s="11">
        <v>1.0</v>
      </c>
      <c r="E100" s="11">
        <v>0.01</v>
      </c>
      <c r="F100" s="11">
        <v>0.01</v>
      </c>
    </row>
    <row r="101">
      <c r="A101" s="11" t="s">
        <v>2217</v>
      </c>
      <c r="B101" s="11" t="s">
        <v>2218</v>
      </c>
      <c r="C101" s="11" t="s">
        <v>376</v>
      </c>
      <c r="D101" s="11">
        <v>1.0</v>
      </c>
      <c r="E101" s="11">
        <v>1749.0</v>
      </c>
      <c r="F101" s="11">
        <v>1749.0</v>
      </c>
    </row>
    <row r="102">
      <c r="A102" s="11" t="s">
        <v>2219</v>
      </c>
      <c r="B102" s="11" t="s">
        <v>2221</v>
      </c>
      <c r="C102" s="11" t="s">
        <v>376</v>
      </c>
      <c r="D102" s="11">
        <v>1.0</v>
      </c>
      <c r="E102" s="11">
        <v>1749.0</v>
      </c>
      <c r="F102" s="11">
        <v>1749.0</v>
      </c>
    </row>
    <row r="103">
      <c r="A103" s="11" t="s">
        <v>2223</v>
      </c>
      <c r="B103" s="11" t="s">
        <v>2224</v>
      </c>
      <c r="C103" s="11" t="s">
        <v>376</v>
      </c>
      <c r="D103" s="11">
        <v>1.0</v>
      </c>
      <c r="E103" s="11">
        <v>146.0</v>
      </c>
      <c r="F103" s="11">
        <v>146.0</v>
      </c>
    </row>
    <row r="104">
      <c r="A104" s="11" t="s">
        <v>2227</v>
      </c>
      <c r="B104" s="11" t="s">
        <v>2228</v>
      </c>
      <c r="C104" s="11" t="s">
        <v>376</v>
      </c>
      <c r="D104" s="11">
        <v>1.0</v>
      </c>
      <c r="E104" s="11">
        <v>146.0</v>
      </c>
      <c r="F104" s="11">
        <v>146.0</v>
      </c>
    </row>
    <row r="105">
      <c r="A105" s="11" t="s">
        <v>2230</v>
      </c>
      <c r="B105" s="11" t="s">
        <v>2231</v>
      </c>
      <c r="C105" s="11" t="s">
        <v>376</v>
      </c>
      <c r="D105" s="11">
        <v>1.0</v>
      </c>
      <c r="E105" s="11">
        <v>146.0</v>
      </c>
      <c r="F105" s="11">
        <v>146.0</v>
      </c>
    </row>
    <row r="106">
      <c r="A106" s="11" t="s">
        <v>2234</v>
      </c>
      <c r="B106" s="11" t="s">
        <v>2235</v>
      </c>
      <c r="C106" s="11" t="s">
        <v>376</v>
      </c>
      <c r="D106" s="11">
        <v>1.0</v>
      </c>
      <c r="E106" s="11">
        <v>146.0</v>
      </c>
      <c r="F106" s="11">
        <v>146.0</v>
      </c>
    </row>
    <row r="107">
      <c r="A107" s="11" t="s">
        <v>2238</v>
      </c>
      <c r="B107" s="11">
        <v>1638.0</v>
      </c>
      <c r="C107" s="11" t="s">
        <v>376</v>
      </c>
      <c r="D107" s="11">
        <v>1.0</v>
      </c>
      <c r="E107" s="11">
        <v>3498.0</v>
      </c>
      <c r="F107" s="11">
        <v>3498.0</v>
      </c>
    </row>
    <row r="108">
      <c r="A108" s="11" t="s">
        <v>2241</v>
      </c>
      <c r="B108" s="11">
        <v>1639.0</v>
      </c>
      <c r="C108" s="11" t="s">
        <v>376</v>
      </c>
      <c r="D108" s="11">
        <v>1.0</v>
      </c>
      <c r="E108" s="11">
        <v>292.0</v>
      </c>
      <c r="F108" s="11">
        <v>292.0</v>
      </c>
    </row>
    <row r="109">
      <c r="A109" s="11" t="s">
        <v>2242</v>
      </c>
      <c r="B109" s="11">
        <v>1640.0</v>
      </c>
      <c r="C109" s="11" t="s">
        <v>376</v>
      </c>
      <c r="D109" s="11">
        <v>1.0</v>
      </c>
      <c r="E109" s="11">
        <v>292.0</v>
      </c>
      <c r="F109" s="11">
        <v>292.0</v>
      </c>
    </row>
    <row r="110">
      <c r="A110" s="11" t="s">
        <v>2245</v>
      </c>
      <c r="B110" s="11">
        <v>1641.0</v>
      </c>
      <c r="C110" s="11" t="s">
        <v>1017</v>
      </c>
      <c r="D110" s="11">
        <v>1.0</v>
      </c>
      <c r="E110" s="11">
        <v>22.0</v>
      </c>
      <c r="F110" s="11">
        <v>22.0</v>
      </c>
    </row>
    <row r="111">
      <c r="A111" s="11" t="s">
        <v>2247</v>
      </c>
      <c r="B111" s="11">
        <v>1642.0</v>
      </c>
      <c r="C111" s="11" t="s">
        <v>1023</v>
      </c>
      <c r="D111" s="11">
        <v>1.0</v>
      </c>
      <c r="E111" s="11">
        <v>10.0</v>
      </c>
      <c r="F111" s="11">
        <v>10.0</v>
      </c>
    </row>
    <row r="112">
      <c r="A112" s="11" t="s">
        <v>2249</v>
      </c>
      <c r="B112" s="11">
        <v>1643.0</v>
      </c>
      <c r="C112" s="11" t="s">
        <v>1870</v>
      </c>
      <c r="D112" s="11">
        <v>1.0</v>
      </c>
      <c r="E112" s="11">
        <v>1.0</v>
      </c>
      <c r="F112" s="11">
        <v>1.0</v>
      </c>
    </row>
    <row r="113">
      <c r="A113" s="11" t="s">
        <v>2253</v>
      </c>
      <c r="B113" s="11">
        <v>1644.0</v>
      </c>
      <c r="C113" s="11" t="s">
        <v>376</v>
      </c>
      <c r="D113" s="11">
        <v>1.0</v>
      </c>
      <c r="E113" s="11">
        <v>1.0</v>
      </c>
      <c r="F113" s="11">
        <v>1.0</v>
      </c>
    </row>
    <row r="114">
      <c r="A114" s="11" t="s">
        <v>2258</v>
      </c>
      <c r="B114" s="11">
        <v>1645.0</v>
      </c>
      <c r="C114" s="11" t="s">
        <v>376</v>
      </c>
      <c r="D114" s="11">
        <v>1.0</v>
      </c>
      <c r="E114" s="11">
        <v>1.0</v>
      </c>
      <c r="F114" s="11">
        <v>1.0</v>
      </c>
    </row>
    <row r="115">
      <c r="A115" s="11" t="s">
        <v>2260</v>
      </c>
      <c r="B115" s="11">
        <v>1646.0</v>
      </c>
      <c r="C115" s="11" t="s">
        <v>376</v>
      </c>
      <c r="D115" s="11">
        <v>1.0</v>
      </c>
      <c r="E115" s="11">
        <v>1.0</v>
      </c>
      <c r="F115" s="11">
        <v>1.0</v>
      </c>
    </row>
    <row r="116">
      <c r="A116" s="11" t="s">
        <v>2264</v>
      </c>
      <c r="B116" s="11">
        <v>1647.0</v>
      </c>
      <c r="C116" s="11" t="s">
        <v>376</v>
      </c>
      <c r="D116" s="11">
        <v>1.0</v>
      </c>
      <c r="E116" s="11">
        <v>1.0</v>
      </c>
      <c r="F116" s="11">
        <v>1.0</v>
      </c>
    </row>
    <row r="117">
      <c r="A117" s="11" t="s">
        <v>2267</v>
      </c>
      <c r="B117" s="11" t="s">
        <v>2269</v>
      </c>
      <c r="C117" s="11" t="s">
        <v>2040</v>
      </c>
      <c r="D117" s="11">
        <v>1.0</v>
      </c>
      <c r="E117" s="11">
        <v>111.0</v>
      </c>
      <c r="F117" s="11">
        <v>111.0</v>
      </c>
    </row>
    <row r="118">
      <c r="A118" s="11" t="s">
        <v>2271</v>
      </c>
      <c r="B118" s="11" t="s">
        <v>2272</v>
      </c>
      <c r="C118" s="11" t="s">
        <v>2040</v>
      </c>
      <c r="D118" s="11">
        <v>1.0</v>
      </c>
      <c r="E118" s="11">
        <v>4371.0</v>
      </c>
      <c r="F118" s="11">
        <v>4371.0</v>
      </c>
    </row>
    <row r="119">
      <c r="A119" s="11" t="s">
        <v>2274</v>
      </c>
      <c r="B119" s="11" t="s">
        <v>2275</v>
      </c>
      <c r="C119" s="11" t="s">
        <v>1958</v>
      </c>
      <c r="D119" s="11">
        <v>1.0</v>
      </c>
      <c r="E119" s="11">
        <v>2934.84</v>
      </c>
      <c r="F119" s="11">
        <v>2934.84</v>
      </c>
    </row>
    <row r="120">
      <c r="A120" s="11" t="s">
        <v>2278</v>
      </c>
      <c r="B120" s="11" t="s">
        <v>2279</v>
      </c>
      <c r="C120" s="11" t="s">
        <v>350</v>
      </c>
      <c r="D120" s="11">
        <v>1.0</v>
      </c>
      <c r="E120" s="11">
        <v>500.0</v>
      </c>
      <c r="F120" s="11">
        <v>500.0</v>
      </c>
    </row>
    <row r="121">
      <c r="A121" s="11" t="s">
        <v>2282</v>
      </c>
      <c r="B121" s="11" t="s">
        <v>2283</v>
      </c>
      <c r="C121" s="11" t="s">
        <v>648</v>
      </c>
      <c r="D121" s="11">
        <v>1.0</v>
      </c>
      <c r="E121" s="11">
        <v>63.5</v>
      </c>
      <c r="F121" s="11">
        <v>63.5</v>
      </c>
    </row>
    <row r="122">
      <c r="A122" s="11" t="s">
        <v>2287</v>
      </c>
      <c r="B122" s="11" t="s">
        <v>2288</v>
      </c>
      <c r="C122" s="11" t="s">
        <v>2289</v>
      </c>
      <c r="D122" s="11">
        <v>1.0</v>
      </c>
      <c r="E122" s="11">
        <v>83.75</v>
      </c>
      <c r="F122" s="11">
        <v>83.75</v>
      </c>
    </row>
    <row r="123">
      <c r="A123" s="11" t="s">
        <v>2292</v>
      </c>
      <c r="B123" s="11" t="s">
        <v>2293</v>
      </c>
      <c r="C123" s="11" t="s">
        <v>1958</v>
      </c>
      <c r="D123" s="11">
        <v>1.0</v>
      </c>
      <c r="E123" s="11">
        <v>386.17</v>
      </c>
      <c r="F123" s="11">
        <v>386.17</v>
      </c>
    </row>
    <row r="124">
      <c r="A124" s="11" t="s">
        <v>2296</v>
      </c>
      <c r="B124" s="11" t="s">
        <v>2297</v>
      </c>
      <c r="C124" s="11" t="s">
        <v>2289</v>
      </c>
      <c r="D124" s="11">
        <v>1.0</v>
      </c>
      <c r="E124" s="11">
        <v>278.11</v>
      </c>
      <c r="F124" s="11">
        <v>278.11</v>
      </c>
    </row>
    <row r="125">
      <c r="A125" s="11" t="s">
        <v>2300</v>
      </c>
      <c r="B125" s="11" t="s">
        <v>2302</v>
      </c>
      <c r="C125" s="11" t="s">
        <v>2289</v>
      </c>
      <c r="D125" s="11">
        <v>1.0</v>
      </c>
      <c r="E125" s="11">
        <v>60.31</v>
      </c>
      <c r="F125" s="11">
        <v>60.31</v>
      </c>
    </row>
    <row r="126">
      <c r="A126" s="11" t="s">
        <v>2305</v>
      </c>
      <c r="B126" s="11" t="s">
        <v>2306</v>
      </c>
      <c r="C126" s="11" t="s">
        <v>851</v>
      </c>
      <c r="D126" s="11">
        <v>1.0</v>
      </c>
      <c r="E126" s="11">
        <v>500.0</v>
      </c>
      <c r="F126" s="11">
        <v>500.0</v>
      </c>
    </row>
    <row r="127">
      <c r="A127" s="11" t="s">
        <v>2309</v>
      </c>
      <c r="B127" s="11" t="s">
        <v>2310</v>
      </c>
      <c r="C127" s="11" t="s">
        <v>350</v>
      </c>
      <c r="D127" s="11">
        <v>1.0</v>
      </c>
      <c r="E127" s="11">
        <v>300.0</v>
      </c>
      <c r="F127" s="11">
        <v>300.0</v>
      </c>
    </row>
    <row r="128">
      <c r="A128" s="11" t="s">
        <v>2312</v>
      </c>
      <c r="B128" s="11" t="s">
        <v>2313</v>
      </c>
      <c r="C128" s="11" t="s">
        <v>621</v>
      </c>
      <c r="D128" s="11">
        <v>1.0</v>
      </c>
      <c r="E128" s="11">
        <v>201.99</v>
      </c>
      <c r="F128" s="11">
        <v>201.99</v>
      </c>
    </row>
    <row r="129">
      <c r="A129" s="11" t="s">
        <v>2316</v>
      </c>
      <c r="B129" s="11" t="s">
        <v>2317</v>
      </c>
      <c r="C129" s="11" t="s">
        <v>2318</v>
      </c>
      <c r="D129" s="11">
        <v>1.0</v>
      </c>
      <c r="E129" s="11">
        <v>71.96</v>
      </c>
      <c r="F129" s="11">
        <v>71.96</v>
      </c>
    </row>
    <row r="130">
      <c r="A130" s="11" t="s">
        <v>2320</v>
      </c>
      <c r="B130" s="11">
        <v>1655.0</v>
      </c>
      <c r="C130" s="11" t="s">
        <v>179</v>
      </c>
      <c r="D130" s="11">
        <v>1.0</v>
      </c>
      <c r="E130" s="11">
        <v>1000.0</v>
      </c>
      <c r="F130" s="11">
        <v>1000.0</v>
      </c>
    </row>
    <row r="131">
      <c r="A131" s="11" t="s">
        <v>2323</v>
      </c>
      <c r="B131" s="11">
        <v>1656.0</v>
      </c>
      <c r="C131" s="11" t="s">
        <v>1726</v>
      </c>
      <c r="D131" s="11">
        <v>1.0</v>
      </c>
      <c r="E131" s="11">
        <v>120.0</v>
      </c>
      <c r="F131" s="11">
        <v>120.0</v>
      </c>
    </row>
    <row r="132">
      <c r="A132" s="11" t="s">
        <v>2326</v>
      </c>
      <c r="B132" s="11">
        <v>1657.0</v>
      </c>
      <c r="C132" s="11" t="s">
        <v>1898</v>
      </c>
      <c r="D132" s="11">
        <v>1.0</v>
      </c>
      <c r="E132" s="11">
        <v>104.4</v>
      </c>
      <c r="F132" s="11">
        <v>104.4</v>
      </c>
    </row>
    <row r="133">
      <c r="A133" s="11" t="s">
        <v>2327</v>
      </c>
      <c r="B133" s="11">
        <v>1658.0</v>
      </c>
      <c r="C133" s="11" t="s">
        <v>1902</v>
      </c>
      <c r="D133" s="11">
        <v>1.0</v>
      </c>
      <c r="E133" s="11">
        <v>1249.67</v>
      </c>
      <c r="F133" s="11">
        <v>1249.67</v>
      </c>
    </row>
    <row r="134">
      <c r="A134" s="11" t="s">
        <v>2329</v>
      </c>
      <c r="B134" s="11">
        <v>1659.0</v>
      </c>
      <c r="C134" s="11" t="s">
        <v>1906</v>
      </c>
      <c r="D134" s="11">
        <v>1.0</v>
      </c>
      <c r="E134" s="11">
        <v>59.8</v>
      </c>
      <c r="F134" s="11">
        <v>59.8</v>
      </c>
    </row>
    <row r="135">
      <c r="A135" s="11" t="s">
        <v>2331</v>
      </c>
      <c r="B135" s="11">
        <v>1660.0</v>
      </c>
      <c r="C135" s="11" t="s">
        <v>2099</v>
      </c>
      <c r="D135" s="11">
        <v>1.0</v>
      </c>
      <c r="E135" s="11">
        <v>1886.71</v>
      </c>
      <c r="F135" s="11">
        <v>1886.71</v>
      </c>
    </row>
    <row r="136">
      <c r="A136" s="11" t="s">
        <v>2335</v>
      </c>
      <c r="B136" s="11" t="s">
        <v>2337</v>
      </c>
      <c r="C136" s="11" t="s">
        <v>1958</v>
      </c>
      <c r="D136" s="11">
        <v>1.0</v>
      </c>
      <c r="E136" s="11">
        <v>136.96</v>
      </c>
      <c r="F136" s="11">
        <v>136.96</v>
      </c>
    </row>
    <row r="137">
      <c r="A137" s="11" t="s">
        <v>2338</v>
      </c>
      <c r="B137" s="11">
        <v>1675.0</v>
      </c>
      <c r="C137" s="11" t="s">
        <v>196</v>
      </c>
      <c r="D137" s="11">
        <v>1.0</v>
      </c>
      <c r="E137" s="11">
        <v>2500.0</v>
      </c>
      <c r="F137" s="11">
        <v>2500.0</v>
      </c>
    </row>
    <row r="138">
      <c r="A138" s="11" t="s">
        <v>2341</v>
      </c>
      <c r="B138" s="11">
        <v>1676.0</v>
      </c>
      <c r="C138" s="11" t="s">
        <v>502</v>
      </c>
      <c r="D138" s="11">
        <v>1.0</v>
      </c>
      <c r="E138" s="11">
        <v>131.9</v>
      </c>
      <c r="F138" s="11">
        <v>131.9</v>
      </c>
    </row>
    <row r="139">
      <c r="A139" s="11" t="s">
        <v>2344</v>
      </c>
      <c r="B139" s="11" t="s">
        <v>2345</v>
      </c>
      <c r="C139" s="11" t="s">
        <v>2346</v>
      </c>
      <c r="D139" s="11">
        <v>1.0</v>
      </c>
      <c r="E139" s="11">
        <v>950.0</v>
      </c>
      <c r="F139" s="11">
        <v>950.0</v>
      </c>
    </row>
    <row r="140">
      <c r="A140" s="11" t="s">
        <v>2348</v>
      </c>
      <c r="B140" s="11">
        <v>1672.0</v>
      </c>
      <c r="C140" s="11" t="s">
        <v>975</v>
      </c>
      <c r="D140" s="11">
        <v>1.0</v>
      </c>
      <c r="E140" s="11">
        <v>1045.0</v>
      </c>
      <c r="F140" s="11">
        <v>1045.0</v>
      </c>
    </row>
    <row r="141">
      <c r="A141" s="11" t="s">
        <v>2352</v>
      </c>
      <c r="B141" s="11">
        <v>1674.0</v>
      </c>
      <c r="C141" s="11" t="s">
        <v>957</v>
      </c>
      <c r="D141" s="11">
        <v>1.0</v>
      </c>
      <c r="E141" s="11">
        <v>375.0</v>
      </c>
      <c r="F141" s="11">
        <v>375.0</v>
      </c>
    </row>
    <row r="142">
      <c r="A142" s="11" t="s">
        <v>2356</v>
      </c>
      <c r="B142" s="11" t="s">
        <v>2357</v>
      </c>
      <c r="C142" s="11" t="s">
        <v>2360</v>
      </c>
      <c r="D142" s="11">
        <v>1.0</v>
      </c>
      <c r="E142" s="11">
        <v>1153.66</v>
      </c>
      <c r="F142" s="11">
        <v>1153.66</v>
      </c>
    </row>
    <row r="143">
      <c r="A143" s="11" t="s">
        <v>2362</v>
      </c>
      <c r="B143" s="11" t="s">
        <v>2363</v>
      </c>
      <c r="C143" s="11" t="s">
        <v>2360</v>
      </c>
      <c r="D143" s="11">
        <v>1.0</v>
      </c>
      <c r="E143" s="11">
        <v>4446.88</v>
      </c>
      <c r="F143" s="11">
        <v>4446.88</v>
      </c>
    </row>
    <row r="144">
      <c r="A144" s="11" t="s">
        <v>2366</v>
      </c>
      <c r="B144" s="11">
        <v>1678.0</v>
      </c>
      <c r="C144" s="11" t="s">
        <v>1936</v>
      </c>
      <c r="D144" s="11">
        <v>1.0</v>
      </c>
      <c r="E144" s="11">
        <v>1042.0</v>
      </c>
      <c r="F144" s="11">
        <v>1042.0</v>
      </c>
    </row>
    <row r="145">
      <c r="A145" s="11" t="s">
        <v>2369</v>
      </c>
      <c r="B145" s="11">
        <v>1683.0</v>
      </c>
      <c r="C145" s="11" t="s">
        <v>1049</v>
      </c>
      <c r="D145" s="11">
        <v>1.0</v>
      </c>
      <c r="E145" s="11">
        <v>9767.16</v>
      </c>
      <c r="F145" s="11">
        <v>9767.16</v>
      </c>
    </row>
    <row r="146">
      <c r="A146" s="11" t="s">
        <v>2372</v>
      </c>
      <c r="B146" s="11">
        <v>1684.0</v>
      </c>
      <c r="C146" s="11" t="s">
        <v>1944</v>
      </c>
      <c r="D146" s="11">
        <v>1.0</v>
      </c>
      <c r="E146" s="11">
        <v>1038.78</v>
      </c>
      <c r="F146" s="11">
        <v>1038.78</v>
      </c>
    </row>
    <row r="147">
      <c r="A147" s="11" t="s">
        <v>2375</v>
      </c>
      <c r="B147" s="11" t="s">
        <v>2376</v>
      </c>
      <c r="C147" s="11" t="s">
        <v>1936</v>
      </c>
      <c r="D147" s="11">
        <v>1.0</v>
      </c>
      <c r="E147" s="11">
        <v>492.21</v>
      </c>
      <c r="F147" s="11">
        <v>492.21</v>
      </c>
    </row>
    <row r="148">
      <c r="A148" s="11" t="s">
        <v>2381</v>
      </c>
      <c r="B148" s="11" t="s">
        <v>2383</v>
      </c>
      <c r="C148" s="11" t="s">
        <v>1958</v>
      </c>
      <c r="D148" s="11">
        <v>1.0</v>
      </c>
      <c r="E148" s="11">
        <v>1818.52</v>
      </c>
      <c r="F148" s="11">
        <v>1818.52</v>
      </c>
    </row>
    <row r="149">
      <c r="A149" s="11" t="s">
        <v>2386</v>
      </c>
      <c r="B149" s="11" t="s">
        <v>2387</v>
      </c>
      <c r="C149" s="11" t="s">
        <v>2106</v>
      </c>
      <c r="D149" s="11">
        <v>1.0</v>
      </c>
      <c r="E149" s="11">
        <v>617.67</v>
      </c>
      <c r="F149" s="11">
        <v>617.67</v>
      </c>
    </row>
    <row r="150">
      <c r="A150" s="11" t="s">
        <v>2391</v>
      </c>
      <c r="B150" s="11" t="s">
        <v>2392</v>
      </c>
      <c r="C150" s="11" t="s">
        <v>1958</v>
      </c>
      <c r="D150" s="11">
        <v>1.0</v>
      </c>
      <c r="E150" s="11">
        <v>8385.65</v>
      </c>
      <c r="F150" s="11">
        <v>8385.65</v>
      </c>
    </row>
    <row r="151">
      <c r="A151" s="11" t="s">
        <v>2398</v>
      </c>
      <c r="B151" s="11">
        <v>1699.0</v>
      </c>
      <c r="C151" s="11" t="s">
        <v>1971</v>
      </c>
      <c r="D151" s="11">
        <v>1.0</v>
      </c>
      <c r="E151" s="11">
        <v>190.34</v>
      </c>
      <c r="F151" s="11">
        <v>190.34</v>
      </c>
    </row>
    <row r="152">
      <c r="A152" s="11" t="s">
        <v>2402</v>
      </c>
      <c r="B152" s="11">
        <v>1700.0</v>
      </c>
      <c r="C152" s="11" t="s">
        <v>1971</v>
      </c>
      <c r="D152" s="11">
        <v>1.0</v>
      </c>
      <c r="E152" s="11">
        <v>52.36</v>
      </c>
      <c r="F152" s="11">
        <v>52.36</v>
      </c>
    </row>
    <row r="153">
      <c r="A153" s="11" t="s">
        <v>2406</v>
      </c>
      <c r="B153" s="11" t="s">
        <v>2408</v>
      </c>
      <c r="C153" s="11" t="s">
        <v>2040</v>
      </c>
      <c r="D153" s="11">
        <v>1.0</v>
      </c>
      <c r="E153" s="11">
        <v>3760.8</v>
      </c>
      <c r="F153" s="11">
        <v>3760.8</v>
      </c>
    </row>
    <row r="154">
      <c r="A154" s="11" t="s">
        <v>2412</v>
      </c>
      <c r="B154" s="11">
        <v>1707.0</v>
      </c>
      <c r="C154" s="11" t="s">
        <v>1017</v>
      </c>
      <c r="D154" s="11">
        <v>1.0</v>
      </c>
      <c r="E154" s="11">
        <v>22.0</v>
      </c>
      <c r="F154" s="11">
        <v>22.0</v>
      </c>
    </row>
    <row r="155">
      <c r="A155" s="11" t="s">
        <v>2415</v>
      </c>
      <c r="B155" s="11">
        <v>1708.0</v>
      </c>
      <c r="C155" s="11" t="s">
        <v>1023</v>
      </c>
      <c r="D155" s="11">
        <v>1.0</v>
      </c>
      <c r="E155" s="11">
        <v>10.0</v>
      </c>
      <c r="F155" s="11">
        <v>10.0</v>
      </c>
    </row>
    <row r="156">
      <c r="A156" s="11" t="s">
        <v>2420</v>
      </c>
      <c r="B156" s="11" t="s">
        <v>2421</v>
      </c>
      <c r="C156" s="11" t="s">
        <v>609</v>
      </c>
      <c r="D156" s="11">
        <v>1.0</v>
      </c>
      <c r="E156" s="11">
        <v>283.1</v>
      </c>
      <c r="F156" s="11">
        <v>283.1</v>
      </c>
    </row>
    <row r="157">
      <c r="A157" s="11" t="s">
        <v>2423</v>
      </c>
      <c r="B157" s="11" t="s">
        <v>2425</v>
      </c>
      <c r="C157" s="11" t="s">
        <v>738</v>
      </c>
      <c r="D157" s="11">
        <v>1.0</v>
      </c>
      <c r="E157" s="11">
        <v>763.05</v>
      </c>
      <c r="F157" s="11">
        <v>763.05</v>
      </c>
    </row>
    <row r="158">
      <c r="A158" s="11" t="s">
        <v>2428</v>
      </c>
      <c r="B158" s="11" t="s">
        <v>2429</v>
      </c>
      <c r="C158" s="11" t="s">
        <v>738</v>
      </c>
      <c r="D158" s="11">
        <v>1.0</v>
      </c>
      <c r="E158" s="11">
        <v>64.95</v>
      </c>
      <c r="F158" s="11">
        <v>64.95</v>
      </c>
    </row>
    <row r="159">
      <c r="A159" s="11" t="s">
        <v>2432</v>
      </c>
      <c r="B159" s="11">
        <v>1.91335743E8</v>
      </c>
      <c r="C159" s="11" t="s">
        <v>738</v>
      </c>
      <c r="D159" s="11">
        <v>1.0</v>
      </c>
      <c r="E159" s="11">
        <v>139.5</v>
      </c>
      <c r="F159" s="11">
        <v>139.5</v>
      </c>
    </row>
    <row r="160">
      <c r="A160" s="11" t="s">
        <v>2436</v>
      </c>
      <c r="B160" s="11" t="s">
        <v>2438</v>
      </c>
      <c r="C160" s="11" t="s">
        <v>350</v>
      </c>
      <c r="D160" s="11">
        <v>1.0</v>
      </c>
      <c r="E160" s="11">
        <v>500.0</v>
      </c>
      <c r="F160" s="11">
        <v>500.0</v>
      </c>
    </row>
    <row r="161">
      <c r="A161" s="11" t="s">
        <v>2439</v>
      </c>
      <c r="B161" s="11" t="s">
        <v>2440</v>
      </c>
      <c r="C161" s="11" t="s">
        <v>2443</v>
      </c>
      <c r="D161" s="11">
        <v>1.0</v>
      </c>
      <c r="E161" s="11">
        <v>50.0</v>
      </c>
      <c r="F161" s="11">
        <v>50.0</v>
      </c>
    </row>
    <row r="162">
      <c r="A162" s="11" t="s">
        <v>2445</v>
      </c>
      <c r="B162" s="11" t="s">
        <v>2447</v>
      </c>
      <c r="C162" s="11" t="s">
        <v>1958</v>
      </c>
      <c r="D162" s="11">
        <v>1.0</v>
      </c>
      <c r="E162" s="11">
        <v>2375.72</v>
      </c>
      <c r="F162" s="11">
        <v>2375.72</v>
      </c>
    </row>
    <row r="163">
      <c r="A163" s="11" t="s">
        <v>2450</v>
      </c>
      <c r="B163" s="11">
        <v>1704.0</v>
      </c>
      <c r="C163" s="11" t="s">
        <v>376</v>
      </c>
      <c r="D163" s="11">
        <v>1.0</v>
      </c>
      <c r="E163" s="11">
        <v>3498.0</v>
      </c>
      <c r="F163" s="11">
        <v>3498.0</v>
      </c>
    </row>
    <row r="164">
      <c r="A164" s="11" t="s">
        <v>2454</v>
      </c>
      <c r="B164" s="11">
        <v>1705.0</v>
      </c>
      <c r="C164" s="11" t="s">
        <v>376</v>
      </c>
      <c r="D164" s="11">
        <v>1.0</v>
      </c>
      <c r="E164" s="11">
        <v>292.0</v>
      </c>
      <c r="F164" s="11">
        <v>292.0</v>
      </c>
    </row>
    <row r="165">
      <c r="A165" s="11" t="s">
        <v>2461</v>
      </c>
      <c r="B165" s="11">
        <v>1706.0</v>
      </c>
      <c r="C165" s="11" t="s">
        <v>376</v>
      </c>
      <c r="D165" s="11">
        <v>1.0</v>
      </c>
      <c r="E165" s="11">
        <v>292.0</v>
      </c>
      <c r="F165" s="11">
        <v>292.0</v>
      </c>
    </row>
    <row r="166">
      <c r="A166" s="11" t="s">
        <v>2463</v>
      </c>
      <c r="B166" s="11">
        <v>1709.0</v>
      </c>
      <c r="C166" s="11" t="s">
        <v>1870</v>
      </c>
      <c r="D166" s="11">
        <v>1.0</v>
      </c>
      <c r="E166" s="11">
        <v>3135.75</v>
      </c>
      <c r="F166" s="11">
        <v>3135.75</v>
      </c>
    </row>
    <row r="167">
      <c r="A167" s="11" t="s">
        <v>2466</v>
      </c>
      <c r="B167" s="11">
        <v>1710.0</v>
      </c>
      <c r="C167" s="11" t="s">
        <v>376</v>
      </c>
      <c r="D167" s="11">
        <v>1.0</v>
      </c>
      <c r="E167" s="11">
        <v>3389.14</v>
      </c>
      <c r="F167" s="11">
        <v>3389.14</v>
      </c>
    </row>
    <row r="168">
      <c r="A168" s="11" t="s">
        <v>2471</v>
      </c>
      <c r="B168" s="11">
        <v>1711.0</v>
      </c>
      <c r="C168" s="11" t="s">
        <v>376</v>
      </c>
      <c r="D168" s="11">
        <v>1.0</v>
      </c>
      <c r="E168" s="11">
        <v>1375.5</v>
      </c>
      <c r="F168" s="11">
        <v>1375.5</v>
      </c>
    </row>
    <row r="169">
      <c r="A169" s="11" t="s">
        <v>2474</v>
      </c>
      <c r="B169" s="11">
        <v>1712.0</v>
      </c>
      <c r="C169" s="11" t="s">
        <v>376</v>
      </c>
      <c r="D169" s="11">
        <v>1.0</v>
      </c>
      <c r="E169" s="11">
        <v>1493.78</v>
      </c>
      <c r="F169" s="11">
        <v>1493.78</v>
      </c>
    </row>
    <row r="170">
      <c r="A170" s="11" t="s">
        <v>2478</v>
      </c>
      <c r="B170" s="11">
        <v>1713.0</v>
      </c>
      <c r="C170" s="11" t="s">
        <v>376</v>
      </c>
      <c r="D170" s="11">
        <v>1.0</v>
      </c>
      <c r="E170" s="11">
        <v>2004.6</v>
      </c>
      <c r="F170" s="11">
        <v>2004.6</v>
      </c>
    </row>
    <row r="171">
      <c r="A171" s="11" t="s">
        <v>2483</v>
      </c>
      <c r="B171" s="11" t="s">
        <v>2485</v>
      </c>
      <c r="C171" s="11" t="s">
        <v>1958</v>
      </c>
      <c r="D171" s="11">
        <v>1.0</v>
      </c>
      <c r="E171" s="11">
        <v>10955.07</v>
      </c>
      <c r="F171" s="11">
        <v>10955.07</v>
      </c>
    </row>
    <row r="172">
      <c r="A172" s="11" t="s">
        <v>2489</v>
      </c>
      <c r="B172" s="11">
        <v>1673.0</v>
      </c>
      <c r="C172" s="11" t="s">
        <v>648</v>
      </c>
      <c r="D172" s="11">
        <v>1.0</v>
      </c>
      <c r="E172" s="11">
        <v>625.0</v>
      </c>
      <c r="F172" s="11">
        <v>625.0</v>
      </c>
    </row>
    <row r="173">
      <c r="A173" s="11" t="s">
        <v>2492</v>
      </c>
      <c r="B173" s="11" t="s">
        <v>2494</v>
      </c>
      <c r="C173" s="11" t="s">
        <v>2040</v>
      </c>
      <c r="D173" s="11">
        <v>1.0</v>
      </c>
      <c r="E173" s="11">
        <v>3174.0</v>
      </c>
      <c r="F173" s="11">
        <v>3174.0</v>
      </c>
    </row>
    <row r="174">
      <c r="A174" s="11" t="s">
        <v>2497</v>
      </c>
      <c r="B174" s="11">
        <v>1722.0</v>
      </c>
      <c r="C174" s="11" t="s">
        <v>179</v>
      </c>
      <c r="D174" s="11">
        <v>1.0</v>
      </c>
      <c r="E174" s="11">
        <v>500.0</v>
      </c>
      <c r="F174" s="11">
        <v>500.0</v>
      </c>
    </row>
    <row r="175">
      <c r="A175" s="11" t="s">
        <v>2501</v>
      </c>
      <c r="B175" s="11">
        <v>1723.0</v>
      </c>
      <c r="C175" s="11" t="s">
        <v>1726</v>
      </c>
      <c r="D175" s="11">
        <v>1.0</v>
      </c>
      <c r="E175" s="11">
        <v>120.0</v>
      </c>
      <c r="F175" s="11">
        <v>120.0</v>
      </c>
    </row>
    <row r="176">
      <c r="A176" s="11" t="s">
        <v>2504</v>
      </c>
      <c r="B176" s="11">
        <v>1724.0</v>
      </c>
      <c r="C176" s="11" t="s">
        <v>1898</v>
      </c>
      <c r="D176" s="11">
        <v>1.0</v>
      </c>
      <c r="E176" s="11">
        <v>104.4</v>
      </c>
      <c r="F176" s="11">
        <v>104.4</v>
      </c>
    </row>
    <row r="177">
      <c r="A177" s="11" t="s">
        <v>2507</v>
      </c>
      <c r="B177" s="11">
        <v>1726.0</v>
      </c>
      <c r="C177" s="11" t="s">
        <v>1906</v>
      </c>
      <c r="D177" s="11">
        <v>1.0</v>
      </c>
      <c r="E177" s="11">
        <v>59.76</v>
      </c>
      <c r="F177" s="11">
        <v>59.76</v>
      </c>
    </row>
    <row r="178">
      <c r="A178" s="11" t="s">
        <v>2512</v>
      </c>
      <c r="B178" s="11">
        <v>1727.0</v>
      </c>
      <c r="C178" s="11" t="s">
        <v>2099</v>
      </c>
      <c r="D178" s="11">
        <v>1.0</v>
      </c>
      <c r="E178" s="11">
        <v>1886.71</v>
      </c>
      <c r="F178" s="11">
        <v>1886.71</v>
      </c>
    </row>
    <row r="179">
      <c r="A179" s="11" t="s">
        <v>2516</v>
      </c>
      <c r="B179" s="11" t="s">
        <v>2517</v>
      </c>
      <c r="C179" s="11" t="s">
        <v>1958</v>
      </c>
      <c r="D179" s="11">
        <v>1.0</v>
      </c>
      <c r="E179" s="11">
        <v>1195.13</v>
      </c>
      <c r="F179" s="11">
        <v>1195.13</v>
      </c>
    </row>
    <row r="180">
      <c r="A180" s="11" t="s">
        <v>2519</v>
      </c>
      <c r="B180" s="11">
        <v>1725.0</v>
      </c>
      <c r="C180" s="11" t="s">
        <v>1902</v>
      </c>
      <c r="D180" s="11">
        <v>1.0</v>
      </c>
      <c r="E180" s="11">
        <v>1892.5</v>
      </c>
      <c r="F180" s="11">
        <v>1892.5</v>
      </c>
    </row>
    <row r="181">
      <c r="A181" s="11" t="s">
        <v>2522</v>
      </c>
      <c r="B181" s="11" t="s">
        <v>2524</v>
      </c>
      <c r="C181" s="11" t="s">
        <v>2318</v>
      </c>
      <c r="D181" s="11">
        <v>1.0</v>
      </c>
      <c r="E181" s="11">
        <v>44.61</v>
      </c>
      <c r="F181" s="11">
        <v>44.61</v>
      </c>
    </row>
    <row r="182">
      <c r="A182" s="11" t="s">
        <v>2527</v>
      </c>
      <c r="B182" s="11" t="s">
        <v>2529</v>
      </c>
      <c r="C182" s="11" t="s">
        <v>1944</v>
      </c>
      <c r="D182" s="11">
        <v>1.0</v>
      </c>
      <c r="E182" s="11">
        <v>284.47</v>
      </c>
      <c r="F182" s="11">
        <v>284.47</v>
      </c>
    </row>
    <row r="183">
      <c r="A183" s="11" t="s">
        <v>2532</v>
      </c>
      <c r="B183" s="11" t="s">
        <v>2534</v>
      </c>
      <c r="C183" s="11" t="s">
        <v>2360</v>
      </c>
      <c r="D183" s="11">
        <v>1.0</v>
      </c>
      <c r="E183" s="11">
        <v>1153.66</v>
      </c>
      <c r="F183" s="11">
        <v>1153.66</v>
      </c>
    </row>
    <row r="184">
      <c r="A184" s="11" t="s">
        <v>2539</v>
      </c>
      <c r="B184" s="11" t="s">
        <v>2540</v>
      </c>
      <c r="C184" s="11" t="s">
        <v>2360</v>
      </c>
      <c r="D184" s="11">
        <v>1.0</v>
      </c>
      <c r="E184" s="11">
        <v>4446.88</v>
      </c>
      <c r="F184" s="11">
        <v>4446.88</v>
      </c>
    </row>
    <row r="185">
      <c r="A185" s="11" t="s">
        <v>2542</v>
      </c>
      <c r="B185" s="11" t="s">
        <v>2543</v>
      </c>
      <c r="C185" s="11" t="s">
        <v>2040</v>
      </c>
      <c r="D185" s="11">
        <v>1.0</v>
      </c>
      <c r="E185" s="11">
        <v>3866.0</v>
      </c>
      <c r="F185" s="11">
        <v>3866.0</v>
      </c>
    </row>
    <row r="186">
      <c r="A186" s="11" t="s">
        <v>2548</v>
      </c>
      <c r="B186" s="11">
        <v>1734.0</v>
      </c>
      <c r="C186" s="11" t="s">
        <v>196</v>
      </c>
      <c r="D186" s="11">
        <v>1.0</v>
      </c>
      <c r="E186" s="11">
        <v>2500.0</v>
      </c>
      <c r="F186" s="11">
        <v>2500.0</v>
      </c>
    </row>
    <row r="187">
      <c r="A187" s="11" t="s">
        <v>2553</v>
      </c>
      <c r="B187" s="11">
        <v>1735.0</v>
      </c>
      <c r="C187" s="11" t="s">
        <v>502</v>
      </c>
      <c r="D187" s="11">
        <v>1.0</v>
      </c>
      <c r="E187" s="11">
        <v>131.9</v>
      </c>
      <c r="F187" s="11">
        <v>131.9</v>
      </c>
    </row>
    <row r="188">
      <c r="A188" s="11" t="s">
        <v>2557</v>
      </c>
      <c r="B188" s="11">
        <v>1.38784331E8</v>
      </c>
      <c r="C188" s="11" t="s">
        <v>2106</v>
      </c>
      <c r="D188" s="11">
        <v>1.0</v>
      </c>
      <c r="E188" s="11">
        <v>701.64</v>
      </c>
      <c r="F188" s="11">
        <v>701.64</v>
      </c>
    </row>
    <row r="189">
      <c r="A189" s="11" t="s">
        <v>2559</v>
      </c>
      <c r="B189" s="11" t="s">
        <v>2560</v>
      </c>
      <c r="C189" s="11" t="s">
        <v>1049</v>
      </c>
      <c r="D189" s="11">
        <v>1.0</v>
      </c>
      <c r="E189" s="11">
        <v>257.99</v>
      </c>
      <c r="F189" s="11">
        <v>257.99</v>
      </c>
    </row>
    <row r="190">
      <c r="A190" s="11" t="s">
        <v>2563</v>
      </c>
      <c r="B190" s="11">
        <v>1742.0</v>
      </c>
      <c r="C190" s="11" t="s">
        <v>1049</v>
      </c>
      <c r="D190" s="11">
        <v>1.0</v>
      </c>
      <c r="E190" s="11">
        <v>11845.59</v>
      </c>
      <c r="F190" s="11">
        <v>11845.59</v>
      </c>
    </row>
    <row r="191">
      <c r="A191" s="11" t="s">
        <v>2567</v>
      </c>
      <c r="B191" s="11">
        <v>1743.0</v>
      </c>
      <c r="C191" s="11" t="s">
        <v>1944</v>
      </c>
      <c r="D191" s="11">
        <v>1.0</v>
      </c>
      <c r="E191" s="11">
        <v>695.47</v>
      </c>
      <c r="F191" s="11">
        <v>695.47</v>
      </c>
    </row>
    <row r="192">
      <c r="A192" s="11" t="s">
        <v>2570</v>
      </c>
      <c r="B192" s="11">
        <v>1753.0</v>
      </c>
      <c r="C192" s="11" t="s">
        <v>1971</v>
      </c>
      <c r="D192" s="11">
        <v>1.0</v>
      </c>
      <c r="E192" s="11">
        <v>52.36</v>
      </c>
      <c r="F192" s="11">
        <v>52.36</v>
      </c>
    </row>
    <row r="193">
      <c r="A193" s="11" t="s">
        <v>2574</v>
      </c>
      <c r="B193" s="11">
        <v>1739.0</v>
      </c>
      <c r="C193" s="11" t="s">
        <v>1936</v>
      </c>
      <c r="D193" s="11">
        <v>1.0</v>
      </c>
      <c r="E193" s="11">
        <v>21.59</v>
      </c>
      <c r="F193" s="11">
        <v>21.59</v>
      </c>
    </row>
    <row r="194">
      <c r="A194" s="11" t="s">
        <v>2577</v>
      </c>
      <c r="B194" s="11">
        <v>1752.0</v>
      </c>
      <c r="C194" s="11" t="s">
        <v>1971</v>
      </c>
      <c r="D194" s="11">
        <v>1.0</v>
      </c>
      <c r="E194" s="11">
        <v>190.34</v>
      </c>
      <c r="F194" s="11">
        <v>190.34</v>
      </c>
    </row>
    <row r="195">
      <c r="A195" s="11" t="s">
        <v>2581</v>
      </c>
      <c r="B195" s="11" t="s">
        <v>2582</v>
      </c>
      <c r="C195" s="11" t="s">
        <v>350</v>
      </c>
      <c r="D195" s="11">
        <v>1.0</v>
      </c>
      <c r="E195" s="11">
        <v>1100.0</v>
      </c>
      <c r="F195" s="11">
        <v>1100.0</v>
      </c>
    </row>
    <row r="196">
      <c r="A196" s="11" t="s">
        <v>2585</v>
      </c>
      <c r="B196" s="11">
        <v>1754.0</v>
      </c>
      <c r="C196" s="11" t="s">
        <v>376</v>
      </c>
      <c r="D196" s="11">
        <v>1.0</v>
      </c>
      <c r="E196" s="11">
        <v>3498.0</v>
      </c>
      <c r="F196" s="11">
        <v>3498.0</v>
      </c>
    </row>
    <row r="197">
      <c r="A197" s="11" t="s">
        <v>2587</v>
      </c>
      <c r="B197" s="11">
        <v>1757.0</v>
      </c>
      <c r="C197" s="11" t="s">
        <v>1017</v>
      </c>
      <c r="D197" s="11">
        <v>1.0</v>
      </c>
      <c r="E197" s="11">
        <v>22.0</v>
      </c>
      <c r="F197" s="11">
        <v>22.0</v>
      </c>
    </row>
    <row r="198">
      <c r="A198" s="11" t="s">
        <v>2590</v>
      </c>
      <c r="B198" s="11">
        <v>1758.0</v>
      </c>
      <c r="C198" s="11" t="s">
        <v>1023</v>
      </c>
      <c r="D198" s="11">
        <v>1.0</v>
      </c>
      <c r="E198" s="11">
        <v>10.0</v>
      </c>
      <c r="F198" s="11">
        <v>10.0</v>
      </c>
    </row>
    <row r="199">
      <c r="A199" s="11" t="s">
        <v>2593</v>
      </c>
      <c r="B199" s="11">
        <v>1759.0</v>
      </c>
      <c r="C199" s="11" t="s">
        <v>1870</v>
      </c>
      <c r="D199" s="11">
        <v>1.0</v>
      </c>
      <c r="E199" s="11">
        <v>4243.75</v>
      </c>
      <c r="F199" s="11">
        <v>4243.75</v>
      </c>
    </row>
    <row r="200">
      <c r="A200" s="11" t="s">
        <v>2596</v>
      </c>
      <c r="B200" s="11" t="s">
        <v>2598</v>
      </c>
      <c r="C200" s="11" t="s">
        <v>350</v>
      </c>
      <c r="D200" s="11">
        <v>1.0</v>
      </c>
      <c r="E200" s="11">
        <v>500.0</v>
      </c>
      <c r="F200" s="11">
        <v>500.0</v>
      </c>
    </row>
    <row r="201">
      <c r="A201" s="11" t="s">
        <v>2601</v>
      </c>
      <c r="B201" s="11" t="s">
        <v>2602</v>
      </c>
      <c r="C201" s="11" t="s">
        <v>350</v>
      </c>
      <c r="D201" s="11">
        <v>1.0</v>
      </c>
      <c r="E201" s="11">
        <v>500.0</v>
      </c>
      <c r="F201" s="11">
        <v>500.0</v>
      </c>
    </row>
    <row r="202">
      <c r="A202" s="11" t="s">
        <v>2604</v>
      </c>
      <c r="B202" s="11">
        <v>1755.0</v>
      </c>
      <c r="C202" s="11" t="s">
        <v>376</v>
      </c>
      <c r="D202" s="11">
        <v>1.0</v>
      </c>
      <c r="E202" s="11">
        <v>292.0</v>
      </c>
      <c r="F202" s="11">
        <v>292.0</v>
      </c>
    </row>
    <row r="203">
      <c r="A203" s="11" t="s">
        <v>2607</v>
      </c>
      <c r="B203" s="11">
        <v>1756.0</v>
      </c>
      <c r="C203" s="11" t="s">
        <v>376</v>
      </c>
      <c r="D203" s="11">
        <v>1.0</v>
      </c>
      <c r="E203" s="11">
        <v>292.0</v>
      </c>
      <c r="F203" s="11">
        <v>292.0</v>
      </c>
    </row>
    <row r="204">
      <c r="A204" s="11" t="s">
        <v>2611</v>
      </c>
      <c r="B204" s="11">
        <v>1760.0</v>
      </c>
      <c r="C204" s="11" t="s">
        <v>376</v>
      </c>
      <c r="D204" s="11">
        <v>1.0</v>
      </c>
      <c r="E204" s="11">
        <v>3083.46</v>
      </c>
      <c r="F204" s="11">
        <v>3083.46</v>
      </c>
    </row>
    <row r="205">
      <c r="A205" s="11" t="s">
        <v>2614</v>
      </c>
      <c r="B205" s="11">
        <v>1761.0</v>
      </c>
      <c r="C205" s="11" t="s">
        <v>376</v>
      </c>
      <c r="D205" s="11">
        <v>1.0</v>
      </c>
      <c r="E205" s="11">
        <v>1927.64</v>
      </c>
      <c r="F205" s="11">
        <v>1927.64</v>
      </c>
    </row>
    <row r="206">
      <c r="A206" s="11" t="s">
        <v>2617</v>
      </c>
      <c r="B206" s="11">
        <v>1762.0</v>
      </c>
      <c r="C206" s="11" t="s">
        <v>376</v>
      </c>
      <c r="D206" s="11">
        <v>1.0</v>
      </c>
      <c r="E206" s="11">
        <v>1454.04</v>
      </c>
      <c r="F206" s="11">
        <v>1454.04</v>
      </c>
    </row>
    <row r="207">
      <c r="A207" s="11" t="s">
        <v>2620</v>
      </c>
      <c r="B207" s="11">
        <v>1763.0</v>
      </c>
      <c r="C207" s="11" t="s">
        <v>376</v>
      </c>
      <c r="D207" s="11">
        <v>1.0</v>
      </c>
      <c r="E207" s="11">
        <v>1965.33</v>
      </c>
      <c r="F207" s="11">
        <v>1965.33</v>
      </c>
    </row>
    <row r="208">
      <c r="A208" s="11" t="s">
        <v>2624</v>
      </c>
      <c r="B208" s="11" t="s">
        <v>2625</v>
      </c>
      <c r="C208" s="11" t="s">
        <v>376</v>
      </c>
      <c r="D208" s="11">
        <v>1.0</v>
      </c>
      <c r="E208" s="11">
        <v>1660.39</v>
      </c>
      <c r="F208" s="11">
        <v>1660.39</v>
      </c>
    </row>
    <row r="209">
      <c r="A209" s="11" t="s">
        <v>2626</v>
      </c>
      <c r="B209" s="11" t="s">
        <v>2627</v>
      </c>
      <c r="C209" s="11" t="s">
        <v>2186</v>
      </c>
      <c r="D209" s="11">
        <v>1.0</v>
      </c>
      <c r="E209" s="11">
        <v>20.0</v>
      </c>
      <c r="F209" s="11">
        <v>20.0</v>
      </c>
    </row>
    <row r="210">
      <c r="A210" s="11" t="s">
        <v>2628</v>
      </c>
      <c r="B210" s="11" t="s">
        <v>2629</v>
      </c>
      <c r="C210" s="11" t="s">
        <v>2040</v>
      </c>
      <c r="D210" s="11">
        <v>1.0</v>
      </c>
      <c r="E210" s="11">
        <v>538.09</v>
      </c>
      <c r="F210" s="11">
        <v>538.09</v>
      </c>
    </row>
    <row r="211">
      <c r="A211" s="11" t="s">
        <v>2630</v>
      </c>
      <c r="B211" s="11">
        <v>1773.0</v>
      </c>
      <c r="C211" s="11" t="s">
        <v>179</v>
      </c>
      <c r="D211" s="11">
        <v>1.0</v>
      </c>
      <c r="E211" s="11">
        <v>533.95</v>
      </c>
      <c r="F211" s="11">
        <v>533.95</v>
      </c>
    </row>
    <row r="212">
      <c r="A212" s="11" t="s">
        <v>2631</v>
      </c>
      <c r="B212" s="11">
        <v>1774.0</v>
      </c>
      <c r="C212" s="11" t="s">
        <v>1726</v>
      </c>
      <c r="D212" s="11">
        <v>1.0</v>
      </c>
      <c r="E212" s="11">
        <v>120.0</v>
      </c>
      <c r="F212" s="11">
        <v>120.0</v>
      </c>
    </row>
    <row r="213">
      <c r="A213" s="11" t="s">
        <v>2633</v>
      </c>
      <c r="B213" s="11">
        <v>1775.0</v>
      </c>
      <c r="C213" s="11" t="s">
        <v>1898</v>
      </c>
      <c r="D213" s="11">
        <v>1.0</v>
      </c>
      <c r="E213" s="11">
        <v>104.4</v>
      </c>
      <c r="F213" s="11">
        <v>104.4</v>
      </c>
    </row>
    <row r="214">
      <c r="A214" s="11" t="s">
        <v>2637</v>
      </c>
      <c r="B214" s="11">
        <v>1777.0</v>
      </c>
      <c r="C214" s="11" t="s">
        <v>1906</v>
      </c>
      <c r="D214" s="11">
        <v>1.0</v>
      </c>
      <c r="E214" s="11">
        <v>59.85</v>
      </c>
      <c r="F214" s="11">
        <v>59.85</v>
      </c>
    </row>
    <row r="215">
      <c r="A215" s="11" t="s">
        <v>2640</v>
      </c>
      <c r="B215" s="11">
        <v>1778.0</v>
      </c>
      <c r="C215" s="11" t="s">
        <v>2099</v>
      </c>
      <c r="D215" s="11">
        <v>1.0</v>
      </c>
      <c r="E215" s="11">
        <v>1886.71</v>
      </c>
      <c r="F215" s="11">
        <v>1886.71</v>
      </c>
    </row>
    <row r="216">
      <c r="A216" s="11" t="s">
        <v>2642</v>
      </c>
      <c r="B216" s="11" t="s">
        <v>2643</v>
      </c>
      <c r="C216" s="11" t="s">
        <v>2644</v>
      </c>
      <c r="D216" s="11">
        <v>1.0</v>
      </c>
      <c r="E216" s="11">
        <v>16.6</v>
      </c>
      <c r="F216" s="11">
        <v>16.6</v>
      </c>
    </row>
    <row r="217">
      <c r="A217" s="11" t="s">
        <v>2645</v>
      </c>
      <c r="B217" s="11">
        <v>1788.0</v>
      </c>
      <c r="C217" s="11" t="s">
        <v>1936</v>
      </c>
      <c r="D217" s="11">
        <v>1.0</v>
      </c>
      <c r="E217" s="11">
        <v>0.01</v>
      </c>
      <c r="F217" s="11">
        <v>0.01</v>
      </c>
    </row>
    <row r="218">
      <c r="A218" s="11" t="s">
        <v>2648</v>
      </c>
      <c r="B218" s="11">
        <v>1785.0</v>
      </c>
      <c r="C218" s="11" t="s">
        <v>196</v>
      </c>
      <c r="D218" s="11">
        <v>1.0</v>
      </c>
      <c r="E218" s="11">
        <v>2500.0</v>
      </c>
      <c r="F218" s="11">
        <v>2500.0</v>
      </c>
    </row>
    <row r="219">
      <c r="A219" s="11" t="s">
        <v>2651</v>
      </c>
      <c r="B219" s="11">
        <v>1786.0</v>
      </c>
      <c r="C219" s="11" t="s">
        <v>502</v>
      </c>
      <c r="D219" s="11">
        <v>1.0</v>
      </c>
      <c r="E219" s="11">
        <v>131.9</v>
      </c>
      <c r="F219" s="11">
        <v>131.9</v>
      </c>
    </row>
    <row r="220">
      <c r="A220" s="11" t="s">
        <v>2654</v>
      </c>
      <c r="B220" s="11">
        <v>1787.0</v>
      </c>
      <c r="C220" s="11" t="s">
        <v>761</v>
      </c>
      <c r="D220" s="11">
        <v>1.0</v>
      </c>
      <c r="E220" s="11">
        <v>121.9</v>
      </c>
      <c r="F220" s="11">
        <v>121.9</v>
      </c>
    </row>
    <row r="221">
      <c r="A221" s="11" t="s">
        <v>2656</v>
      </c>
      <c r="B221" s="11">
        <v>1.49954597E8</v>
      </c>
      <c r="C221" s="11" t="s">
        <v>2360</v>
      </c>
      <c r="D221" s="11">
        <v>1.0</v>
      </c>
      <c r="E221" s="11">
        <v>1153.66</v>
      </c>
      <c r="F221" s="11">
        <v>1153.66</v>
      </c>
    </row>
    <row r="222">
      <c r="A222" s="11" t="s">
        <v>2658</v>
      </c>
      <c r="B222" s="11" t="s">
        <v>2660</v>
      </c>
      <c r="C222" s="11" t="s">
        <v>2360</v>
      </c>
      <c r="D222" s="11">
        <v>1.0</v>
      </c>
      <c r="E222" s="11">
        <v>4446.87</v>
      </c>
      <c r="F222" s="11">
        <v>4446.87</v>
      </c>
    </row>
    <row r="223">
      <c r="A223" s="11" t="s">
        <v>2662</v>
      </c>
      <c r="B223" s="11">
        <v>1776.0</v>
      </c>
      <c r="C223" s="11" t="s">
        <v>1902</v>
      </c>
      <c r="D223" s="11">
        <v>1.0</v>
      </c>
      <c r="E223" s="11">
        <v>1744.55</v>
      </c>
      <c r="F223" s="11">
        <v>1744.55</v>
      </c>
    </row>
    <row r="224">
      <c r="A224" s="11" t="s">
        <v>2665</v>
      </c>
      <c r="B224" s="11">
        <v>1.85031018E8</v>
      </c>
      <c r="C224" s="11" t="s">
        <v>2318</v>
      </c>
      <c r="D224" s="11">
        <v>1.0</v>
      </c>
      <c r="E224" s="11">
        <v>29.45</v>
      </c>
      <c r="F224" s="11">
        <v>29.45</v>
      </c>
    </row>
    <row r="225">
      <c r="A225" s="11" t="s">
        <v>2668</v>
      </c>
      <c r="B225" s="11" t="s">
        <v>2669</v>
      </c>
      <c r="C225" s="11" t="s">
        <v>648</v>
      </c>
      <c r="D225" s="11">
        <v>1.0</v>
      </c>
      <c r="E225" s="11">
        <v>1000.0</v>
      </c>
      <c r="F225" s="11">
        <v>1000.0</v>
      </c>
    </row>
    <row r="226">
      <c r="A226" s="11" t="s">
        <v>2670</v>
      </c>
      <c r="B226" s="11" t="s">
        <v>2671</v>
      </c>
      <c r="C226" s="11">
        <v>7.9792017E7</v>
      </c>
      <c r="D226" s="11">
        <v>1.0</v>
      </c>
      <c r="E226" s="11">
        <v>205.16</v>
      </c>
      <c r="F226" s="11">
        <v>205.16</v>
      </c>
    </row>
    <row r="227">
      <c r="A227" s="11" t="s">
        <v>2673</v>
      </c>
      <c r="B227" s="11">
        <v>1789.0</v>
      </c>
      <c r="C227" s="11" t="s">
        <v>1049</v>
      </c>
      <c r="D227" s="11">
        <v>1.0</v>
      </c>
      <c r="E227" s="11">
        <v>9594.98</v>
      </c>
      <c r="F227" s="11">
        <v>9594.98</v>
      </c>
    </row>
    <row r="228">
      <c r="A228" s="11" t="s">
        <v>2675</v>
      </c>
      <c r="B228" s="11">
        <v>1790.0</v>
      </c>
      <c r="C228" s="11" t="s">
        <v>1944</v>
      </c>
      <c r="D228" s="11">
        <v>1.0</v>
      </c>
      <c r="E228" s="11">
        <v>839.22</v>
      </c>
      <c r="F228" s="11">
        <v>839.22</v>
      </c>
    </row>
    <row r="229">
      <c r="A229" s="11" t="s">
        <v>2676</v>
      </c>
      <c r="B229" s="11" t="s">
        <v>2677</v>
      </c>
      <c r="C229" s="11" t="s">
        <v>2106</v>
      </c>
      <c r="D229" s="11">
        <v>1.0</v>
      </c>
      <c r="E229" s="11">
        <v>997.86</v>
      </c>
      <c r="F229" s="11">
        <v>997.86</v>
      </c>
    </row>
    <row r="230">
      <c r="A230" s="11" t="s">
        <v>2678</v>
      </c>
      <c r="B230" s="11" t="s">
        <v>2679</v>
      </c>
      <c r="C230" s="11" t="s">
        <v>2040</v>
      </c>
      <c r="D230" s="11">
        <v>1.0</v>
      </c>
      <c r="E230" s="11">
        <v>1858.96</v>
      </c>
      <c r="F230" s="11">
        <v>1858.96</v>
      </c>
    </row>
    <row r="231">
      <c r="A231" s="11" t="s">
        <v>2682</v>
      </c>
      <c r="B231" s="11" t="s">
        <v>2684</v>
      </c>
      <c r="C231" s="11">
        <v>7.9792017E7</v>
      </c>
      <c r="D231" s="11">
        <v>1.0</v>
      </c>
      <c r="E231" s="11">
        <v>134.64</v>
      </c>
      <c r="F231" s="11">
        <v>134.64</v>
      </c>
    </row>
    <row r="232">
      <c r="A232" s="11" t="s">
        <v>2686</v>
      </c>
      <c r="B232" s="11">
        <v>1804.0</v>
      </c>
      <c r="C232" s="11" t="s">
        <v>1971</v>
      </c>
      <c r="D232" s="11">
        <v>1.0</v>
      </c>
      <c r="E232" s="11">
        <v>190.34</v>
      </c>
      <c r="F232" s="11">
        <v>190.34</v>
      </c>
    </row>
    <row r="233">
      <c r="A233" s="11" t="s">
        <v>2690</v>
      </c>
      <c r="B233" s="11">
        <v>1731.0</v>
      </c>
      <c r="C233" s="11" t="s">
        <v>975</v>
      </c>
      <c r="D233" s="11">
        <v>1.0</v>
      </c>
      <c r="E233" s="11">
        <v>1098.0</v>
      </c>
      <c r="F233" s="11">
        <v>1098.0</v>
      </c>
    </row>
    <row r="234">
      <c r="A234" s="11" t="s">
        <v>2693</v>
      </c>
      <c r="B234" s="11">
        <v>1732.0</v>
      </c>
      <c r="C234" s="11" t="s">
        <v>648</v>
      </c>
      <c r="D234" s="11">
        <v>1.0</v>
      </c>
      <c r="E234" s="11">
        <v>625.0</v>
      </c>
      <c r="F234" s="11">
        <v>625.0</v>
      </c>
    </row>
    <row r="235">
      <c r="A235" s="11" t="s">
        <v>2695</v>
      </c>
      <c r="B235" s="11">
        <v>1733.0</v>
      </c>
      <c r="C235" s="11" t="s">
        <v>957</v>
      </c>
      <c r="D235" s="11">
        <v>1.0</v>
      </c>
      <c r="E235" s="11">
        <v>375.0</v>
      </c>
      <c r="F235" s="11">
        <v>375.0</v>
      </c>
    </row>
    <row r="236">
      <c r="A236" s="11" t="s">
        <v>2698</v>
      </c>
      <c r="B236" s="11" t="s">
        <v>2700</v>
      </c>
      <c r="C236" s="11" t="s">
        <v>2040</v>
      </c>
      <c r="D236" s="11">
        <v>1.0</v>
      </c>
      <c r="E236" s="11">
        <v>1568.0</v>
      </c>
      <c r="F236" s="11">
        <v>1568.0</v>
      </c>
    </row>
    <row r="237">
      <c r="A237" s="11" t="s">
        <v>2702</v>
      </c>
      <c r="B237" s="11" t="s">
        <v>2703</v>
      </c>
      <c r="C237" s="11" t="s">
        <v>1958</v>
      </c>
      <c r="D237" s="11">
        <v>1.0</v>
      </c>
      <c r="E237" s="11">
        <v>2162.53</v>
      </c>
      <c r="F237" s="11">
        <v>2162.53</v>
      </c>
    </row>
    <row r="238">
      <c r="A238" s="11" t="s">
        <v>2706</v>
      </c>
      <c r="B238" s="11" t="s">
        <v>2708</v>
      </c>
      <c r="C238" s="11" t="s">
        <v>1958</v>
      </c>
      <c r="D238" s="11">
        <v>1.0</v>
      </c>
      <c r="E238" s="11">
        <v>783.63</v>
      </c>
      <c r="F238" s="11">
        <v>783.63</v>
      </c>
    </row>
    <row r="239">
      <c r="A239" s="11" t="s">
        <v>2711</v>
      </c>
      <c r="B239" s="11" t="s">
        <v>2712</v>
      </c>
      <c r="C239" s="11">
        <v>7.9792017E7</v>
      </c>
      <c r="D239" s="11">
        <v>1.0</v>
      </c>
      <c r="E239" s="11">
        <v>177.71</v>
      </c>
      <c r="F239" s="11">
        <v>177.71</v>
      </c>
    </row>
    <row r="240">
      <c r="A240" s="11" t="s">
        <v>2714</v>
      </c>
      <c r="B240" s="11">
        <v>1807.0</v>
      </c>
      <c r="C240" s="11" t="s">
        <v>376</v>
      </c>
      <c r="D240" s="11">
        <v>1.0</v>
      </c>
      <c r="E240" s="11">
        <v>3498.0</v>
      </c>
      <c r="F240" s="11">
        <v>3498.0</v>
      </c>
    </row>
    <row r="241">
      <c r="A241" s="11" t="s">
        <v>2717</v>
      </c>
      <c r="B241" s="11">
        <v>1808.0</v>
      </c>
      <c r="C241" s="11" t="s">
        <v>376</v>
      </c>
      <c r="D241" s="11">
        <v>1.0</v>
      </c>
      <c r="E241" s="11">
        <v>292.0</v>
      </c>
      <c r="F241" s="11">
        <v>292.0</v>
      </c>
    </row>
    <row r="242">
      <c r="A242" s="11" t="s">
        <v>2719</v>
      </c>
      <c r="B242" s="11">
        <v>1809.0</v>
      </c>
      <c r="C242" s="11" t="s">
        <v>376</v>
      </c>
      <c r="D242" s="11">
        <v>1.0</v>
      </c>
      <c r="E242" s="11">
        <v>292.0</v>
      </c>
      <c r="F242" s="11">
        <v>292.0</v>
      </c>
    </row>
    <row r="243">
      <c r="A243" s="11" t="s">
        <v>2722</v>
      </c>
      <c r="B243" s="11">
        <v>1810.0</v>
      </c>
      <c r="C243" s="11" t="s">
        <v>1017</v>
      </c>
      <c r="D243" s="11">
        <v>1.0</v>
      </c>
      <c r="E243" s="11">
        <v>22.0</v>
      </c>
      <c r="F243" s="11">
        <v>22.0</v>
      </c>
    </row>
    <row r="244">
      <c r="A244" s="11" t="s">
        <v>2725</v>
      </c>
      <c r="B244" s="11">
        <v>1811.0</v>
      </c>
      <c r="C244" s="11" t="s">
        <v>1023</v>
      </c>
      <c r="D244" s="11">
        <v>1.0</v>
      </c>
      <c r="E244" s="11">
        <v>10.0</v>
      </c>
      <c r="F244" s="11">
        <v>10.0</v>
      </c>
    </row>
    <row r="245">
      <c r="A245" s="11" t="s">
        <v>2728</v>
      </c>
      <c r="B245" s="11">
        <v>1812.0</v>
      </c>
      <c r="C245" s="11" t="s">
        <v>1870</v>
      </c>
      <c r="D245" s="11">
        <v>1.0</v>
      </c>
      <c r="E245" s="11">
        <v>3415.57</v>
      </c>
      <c r="F245" s="11">
        <v>3415.57</v>
      </c>
    </row>
    <row r="246">
      <c r="A246" s="11" t="s">
        <v>2732</v>
      </c>
      <c r="B246" s="11" t="s">
        <v>2734</v>
      </c>
      <c r="C246" s="11" t="s">
        <v>1958</v>
      </c>
      <c r="D246" s="11">
        <v>1.0</v>
      </c>
      <c r="E246" s="11">
        <v>389.56</v>
      </c>
      <c r="F246" s="11">
        <v>389.56</v>
      </c>
    </row>
    <row r="247">
      <c r="A247" s="11" t="s">
        <v>2735</v>
      </c>
      <c r="B247" s="11" t="s">
        <v>2737</v>
      </c>
      <c r="C247" s="11" t="s">
        <v>2040</v>
      </c>
      <c r="D247" s="11">
        <v>1.0</v>
      </c>
      <c r="E247" s="11">
        <v>116.0</v>
      </c>
      <c r="F247" s="11">
        <v>116.0</v>
      </c>
    </row>
    <row r="248">
      <c r="A248" s="11" t="s">
        <v>2739</v>
      </c>
      <c r="B248" s="11" t="s">
        <v>2741</v>
      </c>
      <c r="C248" s="11" t="s">
        <v>2040</v>
      </c>
      <c r="D248" s="11">
        <v>1.0</v>
      </c>
      <c r="E248" s="11">
        <v>3339.0</v>
      </c>
      <c r="F248" s="11">
        <v>3339.0</v>
      </c>
    </row>
    <row r="249">
      <c r="A249" s="11" t="s">
        <v>2742</v>
      </c>
      <c r="B249" s="11" t="s">
        <v>2743</v>
      </c>
      <c r="C249" s="11" t="s">
        <v>1958</v>
      </c>
      <c r="D249" s="11">
        <v>1.0</v>
      </c>
      <c r="E249" s="11">
        <v>1950.64</v>
      </c>
      <c r="F249" s="11">
        <v>1950.64</v>
      </c>
    </row>
    <row r="250">
      <c r="A250" s="11" t="s">
        <v>2746</v>
      </c>
      <c r="B250" s="11" t="s">
        <v>2748</v>
      </c>
      <c r="C250" s="11" t="s">
        <v>2040</v>
      </c>
      <c r="D250" s="11">
        <v>1.0</v>
      </c>
      <c r="E250" s="11">
        <v>70.77</v>
      </c>
      <c r="F250" s="11">
        <v>70.77</v>
      </c>
    </row>
    <row r="251">
      <c r="A251" s="11" t="s">
        <v>2751</v>
      </c>
      <c r="B251" s="11" t="s">
        <v>2752</v>
      </c>
      <c r="C251" s="11" t="s">
        <v>350</v>
      </c>
      <c r="D251" s="11">
        <v>1.0</v>
      </c>
      <c r="E251" s="11">
        <v>500.0</v>
      </c>
      <c r="F251" s="11">
        <v>500.0</v>
      </c>
    </row>
    <row r="252">
      <c r="A252" s="11" t="s">
        <v>2756</v>
      </c>
      <c r="B252" s="11">
        <v>1813.0</v>
      </c>
      <c r="C252" s="11" t="s">
        <v>376</v>
      </c>
      <c r="D252" s="11">
        <v>1.0</v>
      </c>
      <c r="E252" s="11">
        <v>2898.46</v>
      </c>
      <c r="F252" s="11">
        <v>2898.46</v>
      </c>
    </row>
    <row r="253">
      <c r="A253" s="11" t="s">
        <v>2762</v>
      </c>
      <c r="B253" s="11">
        <v>1814.0</v>
      </c>
      <c r="C253" s="11" t="s">
        <v>376</v>
      </c>
      <c r="D253" s="11">
        <v>1.0</v>
      </c>
      <c r="E253" s="11">
        <v>1927.64</v>
      </c>
      <c r="F253" s="11">
        <v>1927.64</v>
      </c>
    </row>
    <row r="254">
      <c r="A254" s="11" t="s">
        <v>2765</v>
      </c>
      <c r="B254" s="11">
        <v>1815.0</v>
      </c>
      <c r="C254" s="11" t="s">
        <v>376</v>
      </c>
      <c r="D254" s="11">
        <v>1.0</v>
      </c>
      <c r="E254" s="11">
        <v>1404.87</v>
      </c>
      <c r="F254" s="11">
        <v>1404.87</v>
      </c>
    </row>
    <row r="255">
      <c r="A255" s="11" t="s">
        <v>2768</v>
      </c>
      <c r="B255" s="11">
        <v>1816.0</v>
      </c>
      <c r="C255" s="11" t="s">
        <v>376</v>
      </c>
      <c r="D255" s="11">
        <v>1.0</v>
      </c>
      <c r="E255" s="11">
        <v>1976.4</v>
      </c>
      <c r="F255" s="11">
        <v>1976.4</v>
      </c>
    </row>
    <row r="256">
      <c r="A256" s="11" t="s">
        <v>2771</v>
      </c>
      <c r="B256" s="11">
        <v>1817.0</v>
      </c>
      <c r="C256" s="11" t="s">
        <v>376</v>
      </c>
      <c r="D256" s="11">
        <v>1.0</v>
      </c>
      <c r="E256" s="11">
        <v>2120.33</v>
      </c>
      <c r="F256" s="11">
        <v>2120.33</v>
      </c>
    </row>
    <row r="257">
      <c r="A257" s="11" t="s">
        <v>2774</v>
      </c>
      <c r="B257" s="11" t="s">
        <v>2775</v>
      </c>
      <c r="C257" s="11" t="s">
        <v>2776</v>
      </c>
      <c r="D257" s="11">
        <v>1.0</v>
      </c>
      <c r="E257" s="11">
        <v>150.3</v>
      </c>
      <c r="F257" s="11">
        <v>150.3</v>
      </c>
    </row>
    <row r="258">
      <c r="A258" s="11" t="s">
        <v>2779</v>
      </c>
      <c r="B258" s="11">
        <v>1829.0</v>
      </c>
      <c r="C258" s="11" t="s">
        <v>179</v>
      </c>
      <c r="D258" s="11">
        <v>1.0</v>
      </c>
      <c r="E258" s="11">
        <v>533.95</v>
      </c>
      <c r="F258" s="11">
        <v>533.95</v>
      </c>
    </row>
    <row r="259">
      <c r="A259" s="11" t="s">
        <v>2782</v>
      </c>
      <c r="B259" s="11">
        <v>1830.0</v>
      </c>
      <c r="C259" s="11" t="s">
        <v>1726</v>
      </c>
      <c r="D259" s="11">
        <v>1.0</v>
      </c>
      <c r="E259" s="11">
        <v>120.0</v>
      </c>
      <c r="F259" s="11">
        <v>120.0</v>
      </c>
    </row>
    <row r="260">
      <c r="A260" s="11" t="s">
        <v>2783</v>
      </c>
      <c r="B260" s="11">
        <v>1831.0</v>
      </c>
      <c r="C260" s="11" t="s">
        <v>1898</v>
      </c>
      <c r="D260" s="11">
        <v>1.0</v>
      </c>
      <c r="E260" s="11">
        <v>130.5</v>
      </c>
      <c r="F260" s="11">
        <v>130.5</v>
      </c>
    </row>
    <row r="261">
      <c r="A261" s="11" t="s">
        <v>2786</v>
      </c>
      <c r="B261" s="11">
        <v>1834.0</v>
      </c>
      <c r="C261" s="11" t="s">
        <v>2099</v>
      </c>
      <c r="D261" s="11">
        <v>1.0</v>
      </c>
      <c r="E261" s="11">
        <v>1886.71</v>
      </c>
      <c r="F261" s="11">
        <v>1886.71</v>
      </c>
    </row>
    <row r="262">
      <c r="A262" s="11" t="s">
        <v>2789</v>
      </c>
      <c r="B262" s="11" t="s">
        <v>2790</v>
      </c>
      <c r="C262" s="11" t="s">
        <v>376</v>
      </c>
      <c r="D262" s="11">
        <v>1.0</v>
      </c>
      <c r="E262" s="11">
        <v>100.0</v>
      </c>
      <c r="F262" s="11">
        <v>100.0</v>
      </c>
    </row>
    <row r="263">
      <c r="A263" s="11" t="s">
        <v>2792</v>
      </c>
      <c r="B263" s="11" t="s">
        <v>2793</v>
      </c>
      <c r="C263" s="11" t="s">
        <v>376</v>
      </c>
      <c r="D263" s="11">
        <v>1.0</v>
      </c>
      <c r="E263" s="11">
        <v>100.0</v>
      </c>
      <c r="F263" s="11">
        <v>100.0</v>
      </c>
    </row>
    <row r="264">
      <c r="A264" s="11" t="s">
        <v>2796</v>
      </c>
      <c r="B264" s="11" t="s">
        <v>2797</v>
      </c>
      <c r="C264" s="11" t="s">
        <v>376</v>
      </c>
      <c r="D264" s="11">
        <v>1.0</v>
      </c>
      <c r="E264" s="11">
        <v>100.0</v>
      </c>
      <c r="F264" s="11">
        <v>100.0</v>
      </c>
    </row>
    <row r="265">
      <c r="A265" s="11" t="s">
        <v>2799</v>
      </c>
      <c r="B265" s="11" t="s">
        <v>2800</v>
      </c>
      <c r="C265" s="11" t="s">
        <v>376</v>
      </c>
      <c r="D265" s="11">
        <v>1.0</v>
      </c>
      <c r="E265" s="11">
        <v>100.0</v>
      </c>
      <c r="F265" s="11">
        <v>100.0</v>
      </c>
    </row>
    <row r="266">
      <c r="A266" s="11" t="s">
        <v>2803</v>
      </c>
      <c r="B266" s="11" t="s">
        <v>2805</v>
      </c>
      <c r="C266" s="11" t="s">
        <v>350</v>
      </c>
      <c r="D266" s="11">
        <v>1.0</v>
      </c>
      <c r="E266" s="11">
        <v>500.0</v>
      </c>
      <c r="F266" s="11">
        <v>500.0</v>
      </c>
    </row>
    <row r="267">
      <c r="A267" s="11" t="s">
        <v>2808</v>
      </c>
      <c r="B267" s="11" t="s">
        <v>2810</v>
      </c>
      <c r="C267" s="11" t="s">
        <v>419</v>
      </c>
      <c r="D267" s="11">
        <v>1.0</v>
      </c>
      <c r="E267" s="11">
        <v>1241.33</v>
      </c>
      <c r="F267" s="11">
        <v>1241.33</v>
      </c>
    </row>
    <row r="268">
      <c r="A268" s="11" t="s">
        <v>2812</v>
      </c>
      <c r="B268" s="11">
        <v>1832.0</v>
      </c>
      <c r="C268" s="11" t="s">
        <v>1902</v>
      </c>
      <c r="D268" s="11">
        <v>1.0</v>
      </c>
      <c r="E268" s="11">
        <v>1410.94</v>
      </c>
      <c r="F268" s="11">
        <v>1410.94</v>
      </c>
    </row>
    <row r="269">
      <c r="A269" s="11" t="s">
        <v>2814</v>
      </c>
      <c r="B269" s="11">
        <v>1833.0</v>
      </c>
      <c r="C269" s="11" t="s">
        <v>1906</v>
      </c>
      <c r="D269" s="11">
        <v>1.0</v>
      </c>
      <c r="E269" s="11">
        <v>60.01</v>
      </c>
      <c r="F269" s="11">
        <v>60.01</v>
      </c>
    </row>
    <row r="270">
      <c r="A270" s="11" t="s">
        <v>2817</v>
      </c>
      <c r="B270" s="11">
        <v>1851.0</v>
      </c>
      <c r="C270" s="11" t="s">
        <v>1936</v>
      </c>
      <c r="D270" s="11">
        <v>1.0</v>
      </c>
      <c r="E270" s="11">
        <v>0.0</v>
      </c>
      <c r="F270" s="11">
        <v>0.0</v>
      </c>
    </row>
    <row r="271">
      <c r="A271" s="11" t="s">
        <v>2819</v>
      </c>
      <c r="B271" s="11" t="s">
        <v>2821</v>
      </c>
      <c r="C271" s="11" t="s">
        <v>1705</v>
      </c>
      <c r="D271" s="11">
        <v>1.0</v>
      </c>
      <c r="E271" s="11">
        <v>119.7</v>
      </c>
      <c r="F271" s="11">
        <v>119.7</v>
      </c>
    </row>
    <row r="272">
      <c r="A272" s="11" t="s">
        <v>2824</v>
      </c>
      <c r="B272" s="11" t="s">
        <v>2826</v>
      </c>
      <c r="C272" s="11" t="s">
        <v>419</v>
      </c>
      <c r="D272" s="11">
        <v>1.0</v>
      </c>
      <c r="E272" s="11">
        <v>335.9</v>
      </c>
      <c r="F272" s="11">
        <v>335.9</v>
      </c>
    </row>
    <row r="273">
      <c r="A273" s="11" t="s">
        <v>2828</v>
      </c>
      <c r="B273" s="11" t="s">
        <v>2830</v>
      </c>
      <c r="C273" s="11" t="s">
        <v>1570</v>
      </c>
      <c r="D273" s="11">
        <v>1.0</v>
      </c>
      <c r="E273" s="11">
        <v>178.0</v>
      </c>
      <c r="F273" s="11">
        <v>178.0</v>
      </c>
    </row>
    <row r="274">
      <c r="A274" s="11" t="s">
        <v>2832</v>
      </c>
      <c r="B274" s="11" t="s">
        <v>2833</v>
      </c>
      <c r="C274" s="11" t="s">
        <v>2106</v>
      </c>
      <c r="D274" s="11">
        <v>1.0</v>
      </c>
      <c r="E274" s="11">
        <v>609.16</v>
      </c>
      <c r="F274" s="11">
        <v>609.16</v>
      </c>
    </row>
    <row r="275">
      <c r="A275" s="11" t="s">
        <v>2836</v>
      </c>
      <c r="B275" s="11">
        <v>1847.0</v>
      </c>
      <c r="C275" s="11" t="s">
        <v>196</v>
      </c>
      <c r="D275" s="11">
        <v>1.0</v>
      </c>
      <c r="E275" s="11">
        <v>2500.0</v>
      </c>
      <c r="F275" s="11">
        <v>2500.0</v>
      </c>
    </row>
    <row r="276">
      <c r="A276" s="11" t="s">
        <v>2839</v>
      </c>
      <c r="B276" s="11">
        <v>1848.0</v>
      </c>
      <c r="C276" s="11" t="s">
        <v>502</v>
      </c>
      <c r="D276" s="11">
        <v>1.0</v>
      </c>
      <c r="E276" s="11">
        <v>131.9</v>
      </c>
      <c r="F276" s="11">
        <v>131.9</v>
      </c>
    </row>
    <row r="277">
      <c r="A277" s="11" t="s">
        <v>2842</v>
      </c>
      <c r="B277" s="11">
        <v>1849.0</v>
      </c>
      <c r="C277" s="11" t="s">
        <v>761</v>
      </c>
      <c r="D277" s="11">
        <v>1.0</v>
      </c>
      <c r="E277" s="11">
        <v>121.9</v>
      </c>
      <c r="F277" s="11">
        <v>121.9</v>
      </c>
    </row>
    <row r="278">
      <c r="A278" s="11" t="s">
        <v>2845</v>
      </c>
      <c r="B278" s="11" t="s">
        <v>2847</v>
      </c>
      <c r="C278" s="11" t="s">
        <v>1958</v>
      </c>
      <c r="D278" s="11">
        <v>1.0</v>
      </c>
      <c r="E278" s="11">
        <v>1386.67</v>
      </c>
      <c r="F278" s="11">
        <v>1386.67</v>
      </c>
    </row>
    <row r="279">
      <c r="A279" s="11" t="s">
        <v>2849</v>
      </c>
      <c r="B279" s="11" t="s">
        <v>2852</v>
      </c>
      <c r="C279" s="11" t="s">
        <v>2854</v>
      </c>
      <c r="D279" s="11">
        <v>1.0</v>
      </c>
      <c r="E279" s="11">
        <v>390.0</v>
      </c>
      <c r="F279" s="11">
        <v>390.0</v>
      </c>
    </row>
    <row r="280">
      <c r="A280" s="11" t="s">
        <v>2857</v>
      </c>
      <c r="B280" s="11" t="s">
        <v>2858</v>
      </c>
      <c r="C280" s="11" t="s">
        <v>2040</v>
      </c>
      <c r="D280" s="11">
        <v>1.0</v>
      </c>
      <c r="E280" s="11">
        <v>2348.98</v>
      </c>
      <c r="F280" s="11">
        <v>2348.98</v>
      </c>
    </row>
    <row r="281">
      <c r="A281" s="11" t="s">
        <v>2861</v>
      </c>
      <c r="B281" s="11" t="s">
        <v>2862</v>
      </c>
      <c r="C281" s="11" t="s">
        <v>1958</v>
      </c>
      <c r="D281" s="11">
        <v>1.0</v>
      </c>
      <c r="E281" s="11">
        <v>146.65</v>
      </c>
      <c r="F281" s="11">
        <v>146.65</v>
      </c>
    </row>
    <row r="282">
      <c r="A282" s="11" t="s">
        <v>2864</v>
      </c>
      <c r="B282" s="11">
        <v>1855.0</v>
      </c>
      <c r="C282" s="11" t="s">
        <v>1049</v>
      </c>
      <c r="D282" s="11">
        <v>1.0</v>
      </c>
      <c r="E282" s="11">
        <v>7333.34</v>
      </c>
      <c r="F282" s="11">
        <v>7333.34</v>
      </c>
    </row>
    <row r="283">
      <c r="A283" s="11" t="s">
        <v>2868</v>
      </c>
      <c r="B283" s="11">
        <v>1856.0</v>
      </c>
      <c r="C283" s="11" t="s">
        <v>1944</v>
      </c>
      <c r="D283" s="11">
        <v>1.0</v>
      </c>
      <c r="E283" s="11">
        <v>871.79</v>
      </c>
      <c r="F283" s="11">
        <v>871.79</v>
      </c>
    </row>
    <row r="284">
      <c r="A284" s="11" t="s">
        <v>2871</v>
      </c>
      <c r="B284" s="11" t="s">
        <v>2873</v>
      </c>
      <c r="C284" s="11" t="s">
        <v>1958</v>
      </c>
      <c r="D284" s="11">
        <v>1.0</v>
      </c>
      <c r="E284" s="11">
        <v>507.24</v>
      </c>
      <c r="F284" s="11">
        <v>507.24</v>
      </c>
    </row>
    <row r="285">
      <c r="A285" s="11" t="s">
        <v>2876</v>
      </c>
      <c r="B285" s="11" t="s">
        <v>2878</v>
      </c>
      <c r="C285" s="11" t="s">
        <v>1958</v>
      </c>
      <c r="D285" s="11">
        <v>1.0</v>
      </c>
      <c r="E285" s="11">
        <v>3.6</v>
      </c>
      <c r="F285" s="11">
        <v>3.6</v>
      </c>
    </row>
    <row r="286">
      <c r="A286" s="11" t="s">
        <v>2881</v>
      </c>
      <c r="B286" s="11" t="s">
        <v>2882</v>
      </c>
      <c r="C286" s="11" t="s">
        <v>2884</v>
      </c>
      <c r="D286" s="11">
        <v>1.0</v>
      </c>
      <c r="E286" s="11">
        <v>92.0</v>
      </c>
      <c r="F286" s="11">
        <v>92.0</v>
      </c>
    </row>
    <row r="287">
      <c r="A287" s="11" t="s">
        <v>2887</v>
      </c>
      <c r="B287" s="11">
        <v>1782.0</v>
      </c>
      <c r="C287" s="11" t="s">
        <v>975</v>
      </c>
      <c r="D287" s="11">
        <v>1.0</v>
      </c>
      <c r="E287" s="11">
        <v>1098.0</v>
      </c>
      <c r="F287" s="11">
        <v>1098.0</v>
      </c>
    </row>
    <row r="288">
      <c r="A288" s="11" t="s">
        <v>2890</v>
      </c>
      <c r="B288" s="11">
        <v>1783.0</v>
      </c>
      <c r="C288" s="11" t="s">
        <v>648</v>
      </c>
      <c r="D288" s="11">
        <v>1.0</v>
      </c>
      <c r="E288" s="11">
        <v>700.0</v>
      </c>
      <c r="F288" s="11">
        <v>700.0</v>
      </c>
    </row>
    <row r="289">
      <c r="A289" s="11" t="s">
        <v>2893</v>
      </c>
      <c r="B289" s="11">
        <v>1784.0</v>
      </c>
      <c r="C289" s="11" t="s">
        <v>957</v>
      </c>
      <c r="D289" s="11">
        <v>1.0</v>
      </c>
      <c r="E289" s="11">
        <v>396.0</v>
      </c>
      <c r="F289" s="11">
        <v>396.0</v>
      </c>
    </row>
    <row r="290">
      <c r="A290" s="11" t="s">
        <v>2897</v>
      </c>
      <c r="B290" s="11" t="s">
        <v>2898</v>
      </c>
      <c r="C290" s="11" t="s">
        <v>2040</v>
      </c>
      <c r="D290" s="11">
        <v>1.0</v>
      </c>
      <c r="E290" s="11">
        <v>1462.0</v>
      </c>
      <c r="F290" s="11">
        <v>1462.0</v>
      </c>
    </row>
    <row r="291">
      <c r="A291" s="11" t="s">
        <v>2901</v>
      </c>
      <c r="B291" s="11" t="s">
        <v>2902</v>
      </c>
      <c r="C291" s="11" t="s">
        <v>1958</v>
      </c>
      <c r="D291" s="11">
        <v>1.0</v>
      </c>
      <c r="E291" s="11">
        <v>61.83</v>
      </c>
      <c r="F291" s="11">
        <v>61.83</v>
      </c>
    </row>
    <row r="292">
      <c r="A292" s="11" t="s">
        <v>2905</v>
      </c>
      <c r="B292" s="11">
        <v>1868.0</v>
      </c>
      <c r="C292" s="11" t="s">
        <v>1971</v>
      </c>
      <c r="D292" s="11">
        <v>1.0</v>
      </c>
      <c r="E292" s="11">
        <v>190.34</v>
      </c>
      <c r="F292" s="11">
        <v>190.34</v>
      </c>
    </row>
    <row r="293">
      <c r="A293" s="11" t="s">
        <v>2908</v>
      </c>
      <c r="B293" s="11">
        <v>1844.0</v>
      </c>
      <c r="C293" s="11" t="s">
        <v>975</v>
      </c>
      <c r="D293" s="11">
        <v>1.0</v>
      </c>
      <c r="E293" s="11">
        <v>1098.0</v>
      </c>
      <c r="F293" s="11">
        <v>1098.0</v>
      </c>
    </row>
    <row r="294">
      <c r="A294" s="11" t="s">
        <v>2912</v>
      </c>
      <c r="B294" s="11">
        <v>1845.0</v>
      </c>
      <c r="C294" s="11" t="s">
        <v>648</v>
      </c>
      <c r="D294" s="11">
        <v>1.0</v>
      </c>
      <c r="E294" s="11">
        <v>700.0</v>
      </c>
      <c r="F294" s="11">
        <v>700.0</v>
      </c>
    </row>
    <row r="295">
      <c r="A295" s="11" t="s">
        <v>2915</v>
      </c>
      <c r="B295" s="11">
        <v>1846.0</v>
      </c>
      <c r="C295" s="11" t="s">
        <v>957</v>
      </c>
      <c r="D295" s="11">
        <v>1.0</v>
      </c>
      <c r="E295" s="11">
        <v>396.0</v>
      </c>
      <c r="F295" s="11">
        <v>396.0</v>
      </c>
    </row>
    <row r="296">
      <c r="A296" s="11" t="s">
        <v>2918</v>
      </c>
      <c r="B296" s="11">
        <v>1869.0</v>
      </c>
      <c r="C296" s="11" t="s">
        <v>376</v>
      </c>
      <c r="D296" s="11">
        <v>1.0</v>
      </c>
      <c r="E296" s="11">
        <v>3498.0</v>
      </c>
      <c r="F296" s="11">
        <v>3498.0</v>
      </c>
    </row>
    <row r="297">
      <c r="A297" s="11" t="s">
        <v>2922</v>
      </c>
      <c r="B297" s="11">
        <v>1870.0</v>
      </c>
      <c r="C297" s="11" t="s">
        <v>376</v>
      </c>
      <c r="D297" s="11">
        <v>1.0</v>
      </c>
      <c r="E297" s="11">
        <v>352.0</v>
      </c>
      <c r="F297" s="11">
        <v>352.0</v>
      </c>
    </row>
    <row r="298">
      <c r="A298" s="11" t="s">
        <v>2924</v>
      </c>
      <c r="B298" s="11">
        <v>1871.0</v>
      </c>
      <c r="C298" s="11" t="s">
        <v>376</v>
      </c>
      <c r="D298" s="11">
        <v>1.0</v>
      </c>
      <c r="E298" s="11">
        <v>352.0</v>
      </c>
      <c r="F298" s="11">
        <v>352.0</v>
      </c>
    </row>
    <row r="299">
      <c r="A299" s="11" t="s">
        <v>2927</v>
      </c>
      <c r="B299" s="11">
        <v>1872.0</v>
      </c>
      <c r="C299" s="11" t="s">
        <v>1017</v>
      </c>
      <c r="D299" s="11">
        <v>1.0</v>
      </c>
      <c r="E299" s="11">
        <v>22.0</v>
      </c>
      <c r="F299" s="11">
        <v>22.0</v>
      </c>
    </row>
    <row r="300">
      <c r="A300" s="11" t="s">
        <v>2930</v>
      </c>
      <c r="B300" s="11">
        <v>1873.0</v>
      </c>
      <c r="C300" s="11" t="s">
        <v>1023</v>
      </c>
      <c r="D300" s="11">
        <v>1.0</v>
      </c>
      <c r="E300" s="11">
        <v>10.0</v>
      </c>
      <c r="F300" s="11">
        <v>10.0</v>
      </c>
    </row>
    <row r="301">
      <c r="A301" s="11" t="s">
        <v>2934</v>
      </c>
      <c r="B301" s="11">
        <v>1874.0</v>
      </c>
      <c r="C301" s="11" t="s">
        <v>1870</v>
      </c>
      <c r="D301" s="11">
        <v>1.0</v>
      </c>
      <c r="E301" s="11">
        <v>3330.37</v>
      </c>
      <c r="F301" s="11">
        <v>3330.37</v>
      </c>
    </row>
    <row r="302">
      <c r="A302" s="11" t="s">
        <v>2938</v>
      </c>
      <c r="B302" s="11" t="s">
        <v>2939</v>
      </c>
      <c r="C302" s="11">
        <v>7.9792017E7</v>
      </c>
      <c r="D302" s="11">
        <v>1.0</v>
      </c>
      <c r="E302" s="11">
        <v>1792.85</v>
      </c>
      <c r="F302" s="11">
        <v>1792.85</v>
      </c>
    </row>
    <row r="303">
      <c r="A303" s="11" t="s">
        <v>2942</v>
      </c>
      <c r="B303" s="11" t="s">
        <v>2943</v>
      </c>
      <c r="C303" s="11">
        <v>7.9792017E7</v>
      </c>
      <c r="D303" s="11">
        <v>1.0</v>
      </c>
      <c r="E303" s="11">
        <v>247.87</v>
      </c>
      <c r="F303" s="11">
        <v>247.87</v>
      </c>
    </row>
    <row r="304">
      <c r="A304" s="11" t="s">
        <v>2947</v>
      </c>
      <c r="B304" s="11" t="s">
        <v>2949</v>
      </c>
      <c r="C304" s="11" t="s">
        <v>376</v>
      </c>
      <c r="D304" s="11">
        <v>1.0</v>
      </c>
      <c r="E304" s="11">
        <v>690.0</v>
      </c>
      <c r="F304" s="11">
        <v>690.0</v>
      </c>
    </row>
    <row r="305">
      <c r="A305" s="11" t="s">
        <v>2952</v>
      </c>
      <c r="B305" s="11">
        <v>1875.0</v>
      </c>
      <c r="C305" s="11" t="s">
        <v>376</v>
      </c>
      <c r="D305" s="11">
        <v>1.0</v>
      </c>
      <c r="E305" s="11">
        <v>3340.32</v>
      </c>
      <c r="F305" s="11">
        <v>3340.32</v>
      </c>
    </row>
    <row r="306">
      <c r="A306" s="11" t="s">
        <v>2954</v>
      </c>
      <c r="B306" s="11">
        <v>1876.0</v>
      </c>
      <c r="C306" s="11" t="s">
        <v>376</v>
      </c>
      <c r="D306" s="11">
        <v>1.0</v>
      </c>
      <c r="E306" s="11">
        <v>1781.96</v>
      </c>
      <c r="F306" s="11">
        <v>1781.96</v>
      </c>
    </row>
    <row r="307">
      <c r="A307" s="11" t="s">
        <v>2958</v>
      </c>
      <c r="B307" s="11">
        <v>1877.0</v>
      </c>
      <c r="C307" s="11" t="s">
        <v>376</v>
      </c>
      <c r="D307" s="11">
        <v>1.0</v>
      </c>
      <c r="E307" s="11">
        <v>1741.53</v>
      </c>
      <c r="F307" s="11">
        <v>1741.53</v>
      </c>
    </row>
    <row r="308">
      <c r="A308" s="11" t="s">
        <v>2961</v>
      </c>
      <c r="B308" s="11">
        <v>1878.0</v>
      </c>
      <c r="C308" s="11" t="s">
        <v>376</v>
      </c>
      <c r="D308" s="11">
        <v>1.0</v>
      </c>
      <c r="E308" s="11">
        <v>300.95</v>
      </c>
      <c r="F308" s="11">
        <v>300.95</v>
      </c>
    </row>
    <row r="309">
      <c r="A309" s="11" t="s">
        <v>2965</v>
      </c>
      <c r="B309" s="11">
        <v>1879.0</v>
      </c>
      <c r="C309" s="11" t="s">
        <v>376</v>
      </c>
      <c r="D309" s="11">
        <v>1.0</v>
      </c>
      <c r="E309" s="11">
        <v>2470.64</v>
      </c>
      <c r="F309" s="11">
        <v>2470.64</v>
      </c>
    </row>
    <row r="310">
      <c r="A310" s="11" t="s">
        <v>2969</v>
      </c>
      <c r="B310" s="11" t="s">
        <v>2970</v>
      </c>
      <c r="C310" s="11" t="s">
        <v>2972</v>
      </c>
      <c r="D310" s="11">
        <v>1.0</v>
      </c>
      <c r="E310" s="11">
        <v>131.62</v>
      </c>
      <c r="F310" s="11">
        <v>131.62</v>
      </c>
    </row>
    <row r="311">
      <c r="A311" s="11" t="s">
        <v>2976</v>
      </c>
      <c r="B311" s="11" t="s">
        <v>2978</v>
      </c>
      <c r="C311" s="11" t="s">
        <v>2040</v>
      </c>
      <c r="D311" s="11">
        <v>1.0</v>
      </c>
      <c r="E311" s="11">
        <v>387.35</v>
      </c>
      <c r="F311" s="11">
        <v>387.35</v>
      </c>
    </row>
    <row r="312">
      <c r="A312" s="11" t="s">
        <v>2980</v>
      </c>
      <c r="B312" s="11" t="s">
        <v>2982</v>
      </c>
      <c r="C312" s="11" t="s">
        <v>1570</v>
      </c>
      <c r="D312" s="11">
        <v>1.0</v>
      </c>
      <c r="E312" s="11">
        <v>210.0</v>
      </c>
      <c r="F312" s="11">
        <v>210.0</v>
      </c>
    </row>
    <row r="313">
      <c r="A313" s="11" t="s">
        <v>2986</v>
      </c>
      <c r="B313" s="11" t="s">
        <v>2988</v>
      </c>
      <c r="C313" s="11" t="s">
        <v>2040</v>
      </c>
      <c r="D313" s="11">
        <v>1.0</v>
      </c>
      <c r="E313" s="11">
        <v>2518.0</v>
      </c>
      <c r="F313" s="11">
        <v>2518.0</v>
      </c>
    </row>
    <row r="314">
      <c r="A314" s="11" t="s">
        <v>2990</v>
      </c>
      <c r="B314" s="11" t="s">
        <v>2992</v>
      </c>
      <c r="C314" s="11" t="s">
        <v>1958</v>
      </c>
      <c r="D314" s="11">
        <v>1.0</v>
      </c>
      <c r="E314" s="11">
        <v>1168.42</v>
      </c>
      <c r="F314" s="11">
        <v>1168.42</v>
      </c>
    </row>
    <row r="315">
      <c r="A315" s="11" t="s">
        <v>2996</v>
      </c>
      <c r="B315" s="11" t="s">
        <v>2997</v>
      </c>
      <c r="C315" s="11" t="s">
        <v>2040</v>
      </c>
      <c r="D315" s="11">
        <v>1.0</v>
      </c>
      <c r="E315" s="11">
        <v>84.0</v>
      </c>
      <c r="F315" s="11">
        <v>84.0</v>
      </c>
    </row>
    <row r="316">
      <c r="A316" s="11" t="s">
        <v>3000</v>
      </c>
      <c r="B316" s="11">
        <v>1892.0</v>
      </c>
      <c r="C316" s="11" t="s">
        <v>179</v>
      </c>
      <c r="D316" s="11">
        <v>1.0</v>
      </c>
      <c r="E316" s="11">
        <v>533.95</v>
      </c>
      <c r="F316" s="11">
        <v>533.95</v>
      </c>
    </row>
    <row r="317">
      <c r="A317" s="11" t="s">
        <v>3005</v>
      </c>
      <c r="B317" s="11">
        <v>1893.0</v>
      </c>
      <c r="C317" s="11" t="s">
        <v>1726</v>
      </c>
      <c r="D317" s="11">
        <v>1.0</v>
      </c>
      <c r="E317" s="11">
        <v>120.0</v>
      </c>
      <c r="F317" s="11">
        <v>120.0</v>
      </c>
    </row>
    <row r="318">
      <c r="A318" s="11" t="s">
        <v>3010</v>
      </c>
      <c r="B318" s="11">
        <v>1894.0</v>
      </c>
      <c r="C318" s="11" t="s">
        <v>1898</v>
      </c>
      <c r="D318" s="11">
        <v>1.0</v>
      </c>
      <c r="E318" s="11">
        <v>130.5</v>
      </c>
      <c r="F318" s="11">
        <v>130.5</v>
      </c>
    </row>
    <row r="319">
      <c r="A319" s="11" t="s">
        <v>3014</v>
      </c>
      <c r="B319" s="11">
        <v>1896.0</v>
      </c>
      <c r="C319" s="11" t="s">
        <v>1906</v>
      </c>
      <c r="D319" s="11">
        <v>1.0</v>
      </c>
      <c r="E319" s="11">
        <v>73.72</v>
      </c>
      <c r="F319" s="11">
        <v>73.72</v>
      </c>
    </row>
    <row r="320">
      <c r="A320" s="11" t="s">
        <v>3019</v>
      </c>
      <c r="B320" s="11">
        <v>1897.0</v>
      </c>
      <c r="C320" s="11" t="s">
        <v>2099</v>
      </c>
      <c r="D320" s="11">
        <v>1.0</v>
      </c>
      <c r="E320" s="11">
        <v>1886.71</v>
      </c>
      <c r="F320" s="11">
        <v>1886.71</v>
      </c>
    </row>
    <row r="321">
      <c r="A321" s="11" t="s">
        <v>3022</v>
      </c>
      <c r="B321" s="11" t="s">
        <v>3023</v>
      </c>
      <c r="C321" s="11" t="s">
        <v>376</v>
      </c>
      <c r="D321" s="11">
        <v>1.0</v>
      </c>
      <c r="E321" s="11">
        <v>2190.78</v>
      </c>
      <c r="F321" s="11">
        <v>2190.78</v>
      </c>
    </row>
    <row r="322">
      <c r="A322" s="11" t="s">
        <v>3026</v>
      </c>
      <c r="B322" s="11">
        <v>1895.0</v>
      </c>
      <c r="C322" s="11" t="s">
        <v>1902</v>
      </c>
      <c r="D322" s="11">
        <v>1.0</v>
      </c>
      <c r="E322" s="11">
        <v>1439.03</v>
      </c>
      <c r="F322" s="11">
        <v>1439.03</v>
      </c>
    </row>
    <row r="323">
      <c r="A323" s="11" t="s">
        <v>3030</v>
      </c>
      <c r="B323" s="11">
        <v>1905.0</v>
      </c>
      <c r="C323" s="11" t="s">
        <v>196</v>
      </c>
      <c r="D323" s="11">
        <v>1.0</v>
      </c>
      <c r="E323" s="11">
        <v>2500.0</v>
      </c>
      <c r="F323" s="11">
        <v>2500.0</v>
      </c>
    </row>
    <row r="324">
      <c r="A324" s="11" t="s">
        <v>3033</v>
      </c>
      <c r="B324" s="11">
        <v>1906.0</v>
      </c>
      <c r="C324" s="11" t="s">
        <v>502</v>
      </c>
      <c r="D324" s="11">
        <v>1.0</v>
      </c>
      <c r="E324" s="11">
        <v>131.9</v>
      </c>
      <c r="F324" s="11">
        <v>131.9</v>
      </c>
    </row>
    <row r="325">
      <c r="A325" s="11" t="s">
        <v>3036</v>
      </c>
      <c r="B325" s="11">
        <v>1907.0</v>
      </c>
      <c r="C325" s="11" t="s">
        <v>761</v>
      </c>
      <c r="D325" s="11">
        <v>1.0</v>
      </c>
      <c r="E325" s="11">
        <v>121.9</v>
      </c>
      <c r="F325" s="11">
        <v>121.9</v>
      </c>
    </row>
    <row r="326">
      <c r="A326" s="11" t="s">
        <v>3040</v>
      </c>
      <c r="B326" s="11">
        <v>1909.0</v>
      </c>
      <c r="C326" s="11" t="s">
        <v>1936</v>
      </c>
      <c r="D326" s="11">
        <v>1.0</v>
      </c>
      <c r="E326" s="11">
        <v>0.0</v>
      </c>
      <c r="F326" s="11">
        <v>0.0</v>
      </c>
    </row>
    <row r="327">
      <c r="A327" s="11" t="s">
        <v>3045</v>
      </c>
      <c r="B327" s="11" t="s">
        <v>3048</v>
      </c>
      <c r="C327" s="11" t="s">
        <v>2106</v>
      </c>
      <c r="D327" s="11">
        <v>1.0</v>
      </c>
      <c r="E327" s="11">
        <v>508.0</v>
      </c>
      <c r="F327" s="11">
        <v>508.0</v>
      </c>
    </row>
    <row r="328">
      <c r="A328" s="11" t="s">
        <v>3050</v>
      </c>
      <c r="B328" s="11">
        <v>1921.0</v>
      </c>
      <c r="C328" s="11" t="s">
        <v>1944</v>
      </c>
      <c r="D328" s="11">
        <v>1.0</v>
      </c>
      <c r="E328" s="11">
        <v>1053.36</v>
      </c>
      <c r="F328" s="11">
        <v>1053.36</v>
      </c>
    </row>
    <row r="329">
      <c r="A329" s="11" t="s">
        <v>3054</v>
      </c>
      <c r="B329" s="11" t="s">
        <v>3057</v>
      </c>
      <c r="C329" s="11" t="s">
        <v>3059</v>
      </c>
      <c r="D329" s="11">
        <v>1.0</v>
      </c>
      <c r="E329" s="11">
        <v>858.44</v>
      </c>
      <c r="F329" s="11">
        <v>858.44</v>
      </c>
    </row>
    <row r="330">
      <c r="A330" s="11" t="s">
        <v>3060</v>
      </c>
      <c r="B330" s="11" t="s">
        <v>3062</v>
      </c>
      <c r="C330" s="11" t="s">
        <v>350</v>
      </c>
      <c r="D330" s="11">
        <v>1.0</v>
      </c>
      <c r="E330" s="11">
        <v>300.0</v>
      </c>
      <c r="F330" s="11">
        <v>300.0</v>
      </c>
    </row>
    <row r="331">
      <c r="A331" s="11" t="s">
        <v>3065</v>
      </c>
      <c r="B331" s="11">
        <v>1902.0</v>
      </c>
      <c r="C331" s="11" t="s">
        <v>975</v>
      </c>
      <c r="D331" s="11">
        <v>1.0</v>
      </c>
      <c r="E331" s="11">
        <v>1098.0</v>
      </c>
      <c r="F331" s="11">
        <v>1098.0</v>
      </c>
    </row>
    <row r="332">
      <c r="A332" s="11" t="s">
        <v>3068</v>
      </c>
      <c r="B332" s="11">
        <v>1903.0</v>
      </c>
      <c r="C332" s="11" t="s">
        <v>648</v>
      </c>
      <c r="D332" s="11">
        <v>1.0</v>
      </c>
      <c r="E332" s="11">
        <v>700.0</v>
      </c>
      <c r="F332" s="11">
        <v>700.0</v>
      </c>
    </row>
    <row r="333">
      <c r="A333" s="11" t="s">
        <v>3071</v>
      </c>
      <c r="B333" s="11">
        <v>1904.0</v>
      </c>
      <c r="C333" s="11" t="s">
        <v>957</v>
      </c>
      <c r="D333" s="11">
        <v>1.0</v>
      </c>
      <c r="E333" s="11">
        <v>396.0</v>
      </c>
      <c r="F333" s="11">
        <v>396.0</v>
      </c>
    </row>
    <row r="334">
      <c r="A334" s="11" t="s">
        <v>3082</v>
      </c>
      <c r="B334" s="11">
        <v>1920.0</v>
      </c>
      <c r="C334" s="11" t="s">
        <v>1049</v>
      </c>
      <c r="D334" s="11">
        <v>1.0</v>
      </c>
      <c r="E334" s="11">
        <v>8504.54</v>
      </c>
      <c r="F334" s="11">
        <v>8504.54</v>
      </c>
    </row>
    <row r="335">
      <c r="A335" s="11" t="s">
        <v>3085</v>
      </c>
      <c r="B335" s="11" t="s">
        <v>3086</v>
      </c>
      <c r="C335" s="11" t="s">
        <v>2040</v>
      </c>
      <c r="D335" s="11">
        <v>1.0</v>
      </c>
      <c r="E335" s="11">
        <v>2001.0</v>
      </c>
      <c r="F335" s="11">
        <v>2001.0</v>
      </c>
    </row>
    <row r="336">
      <c r="A336" s="11" t="s">
        <v>3089</v>
      </c>
      <c r="B336" s="11" t="s">
        <v>3090</v>
      </c>
      <c r="C336" s="11" t="s">
        <v>1958</v>
      </c>
      <c r="D336" s="11">
        <v>1.0</v>
      </c>
      <c r="E336" s="11">
        <v>1566.35</v>
      </c>
      <c r="F336" s="11">
        <v>1566.35</v>
      </c>
    </row>
    <row r="337">
      <c r="A337" s="11" t="s">
        <v>3093</v>
      </c>
      <c r="B337" s="11">
        <v>1933.0</v>
      </c>
      <c r="C337" s="11" t="s">
        <v>1971</v>
      </c>
      <c r="D337" s="11">
        <v>1.0</v>
      </c>
      <c r="E337" s="11">
        <v>190.34</v>
      </c>
      <c r="F337" s="11">
        <v>190.34</v>
      </c>
    </row>
    <row r="338">
      <c r="A338" s="11" t="s">
        <v>3096</v>
      </c>
      <c r="B338" s="11">
        <v>1934.0</v>
      </c>
      <c r="C338" s="11" t="s">
        <v>376</v>
      </c>
      <c r="D338" s="11">
        <v>1.0</v>
      </c>
      <c r="E338" s="11">
        <v>3728.0</v>
      </c>
      <c r="F338" s="11">
        <v>3728.0</v>
      </c>
    </row>
    <row r="339">
      <c r="A339" s="11" t="s">
        <v>3099</v>
      </c>
      <c r="B339" s="11">
        <v>1935.0</v>
      </c>
      <c r="C339" s="11" t="s">
        <v>376</v>
      </c>
      <c r="D339" s="11">
        <v>1.0</v>
      </c>
      <c r="E339" s="11">
        <v>312.0</v>
      </c>
      <c r="F339" s="11">
        <v>312.0</v>
      </c>
    </row>
    <row r="340">
      <c r="A340" s="11" t="s">
        <v>3101</v>
      </c>
      <c r="B340" s="11">
        <v>1936.0</v>
      </c>
      <c r="C340" s="11" t="s">
        <v>376</v>
      </c>
      <c r="D340" s="11">
        <v>1.0</v>
      </c>
      <c r="E340" s="11">
        <v>312.0</v>
      </c>
      <c r="F340" s="11">
        <v>312.0</v>
      </c>
    </row>
    <row r="341">
      <c r="A341" s="11" t="s">
        <v>3104</v>
      </c>
      <c r="B341" s="11">
        <v>1937.0</v>
      </c>
      <c r="C341" s="11" t="s">
        <v>1017</v>
      </c>
      <c r="D341" s="11">
        <v>1.0</v>
      </c>
      <c r="E341" s="11">
        <v>22.0</v>
      </c>
      <c r="F341" s="11">
        <v>22.0</v>
      </c>
    </row>
    <row r="342">
      <c r="A342" s="11" t="s">
        <v>3108</v>
      </c>
      <c r="B342" s="11">
        <v>1938.0</v>
      </c>
      <c r="C342" s="11" t="s">
        <v>1023</v>
      </c>
      <c r="D342" s="11">
        <v>1.0</v>
      </c>
      <c r="E342" s="11">
        <v>10.0</v>
      </c>
      <c r="F342" s="11">
        <v>10.0</v>
      </c>
    </row>
    <row r="343">
      <c r="A343" s="11" t="s">
        <v>3111</v>
      </c>
      <c r="B343" s="11">
        <v>1939.0</v>
      </c>
      <c r="C343" s="11" t="s">
        <v>1870</v>
      </c>
      <c r="D343" s="11">
        <v>1.0</v>
      </c>
      <c r="E343" s="11">
        <v>3081.01</v>
      </c>
      <c r="F343" s="11">
        <v>3081.01</v>
      </c>
    </row>
    <row r="344">
      <c r="A344" s="11" t="s">
        <v>3115</v>
      </c>
      <c r="B344" s="11" t="s">
        <v>3116</v>
      </c>
      <c r="C344" s="11" t="s">
        <v>788</v>
      </c>
      <c r="D344" s="11">
        <v>1.0</v>
      </c>
      <c r="E344" s="11">
        <v>2247.18</v>
      </c>
      <c r="F344" s="11">
        <v>2247.18</v>
      </c>
    </row>
    <row r="345">
      <c r="A345" s="11" t="s">
        <v>3120</v>
      </c>
      <c r="B345" s="11">
        <v>1940.0</v>
      </c>
      <c r="C345" s="11" t="s">
        <v>376</v>
      </c>
      <c r="D345" s="11">
        <v>1.0</v>
      </c>
      <c r="E345" s="11">
        <v>3197.99</v>
      </c>
      <c r="F345" s="11">
        <v>3197.99</v>
      </c>
    </row>
    <row r="346">
      <c r="A346" s="11" t="s">
        <v>3123</v>
      </c>
      <c r="B346" s="11">
        <v>1941.0</v>
      </c>
      <c r="C346" s="11" t="s">
        <v>376</v>
      </c>
      <c r="D346" s="11">
        <v>1.0</v>
      </c>
      <c r="E346" s="11">
        <v>1060.93</v>
      </c>
      <c r="F346" s="11">
        <v>1060.93</v>
      </c>
    </row>
    <row r="347">
      <c r="A347" s="11" t="s">
        <v>3126</v>
      </c>
      <c r="B347" s="11">
        <v>1942.0</v>
      </c>
      <c r="C347" s="11" t="s">
        <v>376</v>
      </c>
      <c r="D347" s="11">
        <v>1.0</v>
      </c>
      <c r="E347" s="11">
        <v>2005.88</v>
      </c>
      <c r="F347" s="11">
        <v>2005.88</v>
      </c>
    </row>
    <row r="348">
      <c r="A348" s="11" t="s">
        <v>3130</v>
      </c>
      <c r="B348" s="11">
        <v>1943.0</v>
      </c>
      <c r="C348" s="11" t="s">
        <v>376</v>
      </c>
      <c r="D348" s="11">
        <v>1.0</v>
      </c>
      <c r="E348" s="11">
        <v>0.0</v>
      </c>
      <c r="F348" s="11">
        <v>0.0</v>
      </c>
    </row>
    <row r="349">
      <c r="A349" s="11" t="s">
        <v>3133</v>
      </c>
      <c r="B349" s="11">
        <v>1944.0</v>
      </c>
      <c r="C349" s="11" t="s">
        <v>376</v>
      </c>
      <c r="D349" s="11">
        <v>1.0</v>
      </c>
      <c r="E349" s="11">
        <v>2077.71</v>
      </c>
      <c r="F349" s="11">
        <v>2077.71</v>
      </c>
    </row>
    <row r="350">
      <c r="A350" s="11" t="s">
        <v>3138</v>
      </c>
      <c r="B350" s="11" t="s">
        <v>3139</v>
      </c>
      <c r="C350" s="11" t="s">
        <v>1958</v>
      </c>
      <c r="D350" s="11">
        <v>1.0</v>
      </c>
      <c r="E350" s="11">
        <v>1.75</v>
      </c>
      <c r="F350" s="11">
        <v>1.75</v>
      </c>
    </row>
    <row r="351">
      <c r="A351" s="11" t="s">
        <v>3141</v>
      </c>
      <c r="B351" s="11" t="s">
        <v>3143</v>
      </c>
      <c r="C351" s="11" t="s">
        <v>2040</v>
      </c>
      <c r="D351" s="11">
        <v>1.0</v>
      </c>
      <c r="E351" s="11">
        <v>30.0</v>
      </c>
      <c r="F351" s="11">
        <v>30.0</v>
      </c>
    </row>
    <row r="352">
      <c r="A352" s="11" t="s">
        <v>3145</v>
      </c>
      <c r="B352" s="11" t="s">
        <v>3146</v>
      </c>
      <c r="C352" s="11" t="s">
        <v>2040</v>
      </c>
      <c r="D352" s="11">
        <v>1.0</v>
      </c>
      <c r="E352" s="11">
        <v>1167.0</v>
      </c>
      <c r="F352" s="11">
        <v>1167.0</v>
      </c>
    </row>
    <row r="353">
      <c r="A353" s="11" t="s">
        <v>3148</v>
      </c>
      <c r="B353" s="11" t="s">
        <v>3149</v>
      </c>
      <c r="C353" s="11" t="s">
        <v>1958</v>
      </c>
      <c r="D353" s="11">
        <v>1.0</v>
      </c>
      <c r="E353" s="11">
        <v>487.32</v>
      </c>
      <c r="F353" s="11">
        <v>487.32</v>
      </c>
    </row>
    <row r="354">
      <c r="A354" s="11" t="s">
        <v>3152</v>
      </c>
      <c r="B354" s="11">
        <v>1954.0</v>
      </c>
      <c r="C354" s="11" t="s">
        <v>179</v>
      </c>
      <c r="D354" s="11">
        <v>1.0</v>
      </c>
      <c r="E354" s="11">
        <v>533.95</v>
      </c>
      <c r="F354" s="11">
        <v>533.95</v>
      </c>
    </row>
    <row r="355">
      <c r="A355" s="11" t="s">
        <v>3155</v>
      </c>
      <c r="B355" s="11">
        <v>1955.0</v>
      </c>
      <c r="C355" s="11" t="s">
        <v>1726</v>
      </c>
      <c r="D355" s="11">
        <v>1.0</v>
      </c>
      <c r="E355" s="11">
        <v>120.0</v>
      </c>
      <c r="F355" s="11">
        <v>120.0</v>
      </c>
    </row>
    <row r="356">
      <c r="A356" s="11" t="s">
        <v>3157</v>
      </c>
      <c r="B356" s="11">
        <v>1956.0</v>
      </c>
      <c r="C356" s="11" t="s">
        <v>1898</v>
      </c>
      <c r="D356" s="11">
        <v>1.0</v>
      </c>
      <c r="E356" s="11">
        <v>221.75</v>
      </c>
      <c r="F356" s="11">
        <v>221.75</v>
      </c>
    </row>
    <row r="357">
      <c r="A357" s="11" t="s">
        <v>3160</v>
      </c>
      <c r="B357" s="11">
        <v>1959.0</v>
      </c>
      <c r="C357" s="11" t="s">
        <v>2099</v>
      </c>
      <c r="D357" s="11">
        <v>1.0</v>
      </c>
      <c r="E357" s="11">
        <v>1886.71</v>
      </c>
      <c r="F357" s="11">
        <v>1886.71</v>
      </c>
    </row>
    <row r="358">
      <c r="A358" s="11" t="s">
        <v>3162</v>
      </c>
      <c r="B358" s="11" t="s">
        <v>3164</v>
      </c>
      <c r="C358" s="11" t="s">
        <v>3166</v>
      </c>
      <c r="D358" s="11">
        <v>1.0</v>
      </c>
      <c r="E358" s="11">
        <v>1249.8</v>
      </c>
      <c r="F358" s="11">
        <v>1249.8</v>
      </c>
    </row>
    <row r="359">
      <c r="A359" s="11" t="s">
        <v>3167</v>
      </c>
      <c r="B359" s="11">
        <v>1957.0</v>
      </c>
      <c r="C359" s="11" t="s">
        <v>1902</v>
      </c>
      <c r="D359" s="11">
        <v>1.0</v>
      </c>
      <c r="E359" s="11">
        <v>967.67</v>
      </c>
      <c r="F359" s="11">
        <v>967.67</v>
      </c>
    </row>
    <row r="360">
      <c r="A360" s="11" t="s">
        <v>3170</v>
      </c>
      <c r="B360" s="11">
        <v>1958.0</v>
      </c>
      <c r="C360" s="11" t="s">
        <v>1906</v>
      </c>
      <c r="D360" s="11">
        <v>1.0</v>
      </c>
      <c r="E360" s="11">
        <v>65.69</v>
      </c>
      <c r="F360" s="11">
        <v>65.69</v>
      </c>
    </row>
    <row r="361">
      <c r="A361" s="11" t="s">
        <v>3173</v>
      </c>
      <c r="B361" s="11">
        <v>1960.0</v>
      </c>
      <c r="C361" s="11" t="s">
        <v>975</v>
      </c>
      <c r="D361" s="11">
        <v>1.0</v>
      </c>
      <c r="E361" s="11">
        <v>1098.0</v>
      </c>
      <c r="F361" s="11">
        <v>1098.0</v>
      </c>
    </row>
    <row r="362">
      <c r="A362" s="11" t="s">
        <v>3175</v>
      </c>
      <c r="B362" s="11">
        <v>1961.0</v>
      </c>
      <c r="C362" s="11" t="s">
        <v>648</v>
      </c>
      <c r="D362" s="11">
        <v>1.0</v>
      </c>
      <c r="E362" s="11">
        <v>1033.0</v>
      </c>
      <c r="F362" s="11">
        <v>1033.0</v>
      </c>
    </row>
    <row r="363">
      <c r="A363" s="11" t="s">
        <v>3177</v>
      </c>
      <c r="B363" s="11">
        <v>1962.0</v>
      </c>
      <c r="C363" s="11" t="s">
        <v>957</v>
      </c>
      <c r="D363" s="11">
        <v>1.0</v>
      </c>
      <c r="E363" s="11">
        <v>396.0</v>
      </c>
      <c r="F363" s="11">
        <v>396.0</v>
      </c>
    </row>
    <row r="364">
      <c r="A364" s="11" t="s">
        <v>3181</v>
      </c>
      <c r="B364" s="11">
        <v>1963.0</v>
      </c>
      <c r="C364" s="11" t="s">
        <v>196</v>
      </c>
      <c r="D364" s="11">
        <v>1.0</v>
      </c>
      <c r="E364" s="11">
        <v>2500.0</v>
      </c>
      <c r="F364" s="11">
        <v>2500.0</v>
      </c>
    </row>
    <row r="365">
      <c r="A365" s="11" t="s">
        <v>3183</v>
      </c>
      <c r="B365" s="11">
        <v>1964.0</v>
      </c>
      <c r="C365" s="11" t="s">
        <v>502</v>
      </c>
      <c r="D365" s="11">
        <v>1.0</v>
      </c>
      <c r="E365" s="11">
        <v>131.9</v>
      </c>
      <c r="F365" s="11">
        <v>131.9</v>
      </c>
    </row>
    <row r="366">
      <c r="A366" s="11" t="s">
        <v>3184</v>
      </c>
      <c r="B366" s="11">
        <v>1965.0</v>
      </c>
      <c r="C366" s="11" t="s">
        <v>761</v>
      </c>
      <c r="D366" s="11">
        <v>1.0</v>
      </c>
      <c r="E366" s="11">
        <v>121.9</v>
      </c>
      <c r="F366" s="11">
        <v>121.9</v>
      </c>
    </row>
    <row r="367">
      <c r="A367" s="11" t="s">
        <v>3187</v>
      </c>
      <c r="B367" s="11" t="s">
        <v>3188</v>
      </c>
      <c r="C367" s="11" t="s">
        <v>376</v>
      </c>
      <c r="D367" s="11">
        <v>1.0</v>
      </c>
      <c r="E367" s="11">
        <v>3904.33</v>
      </c>
      <c r="F367" s="11">
        <v>3904.33</v>
      </c>
    </row>
    <row r="368">
      <c r="A368" s="11" t="s">
        <v>3194</v>
      </c>
      <c r="B368" s="11" t="s">
        <v>3195</v>
      </c>
      <c r="C368" s="11" t="s">
        <v>350</v>
      </c>
      <c r="D368" s="11">
        <v>1.0</v>
      </c>
      <c r="E368" s="11">
        <v>500.0</v>
      </c>
      <c r="F368" s="11">
        <v>500.0</v>
      </c>
    </row>
    <row r="369">
      <c r="A369" s="11" t="s">
        <v>3198</v>
      </c>
      <c r="B369" s="11" t="s">
        <v>3200</v>
      </c>
      <c r="C369" s="11" t="s">
        <v>2040</v>
      </c>
      <c r="D369" s="11">
        <v>1.0</v>
      </c>
      <c r="E369" s="11">
        <v>1843.2</v>
      </c>
      <c r="F369" s="11">
        <v>1843.2</v>
      </c>
    </row>
    <row r="370">
      <c r="A370" s="11" t="s">
        <v>3202</v>
      </c>
      <c r="B370" s="11" t="s">
        <v>3204</v>
      </c>
      <c r="C370" s="11" t="s">
        <v>2040</v>
      </c>
      <c r="D370" s="11">
        <v>1.0</v>
      </c>
      <c r="E370" s="11">
        <v>82.73</v>
      </c>
      <c r="F370" s="11">
        <v>82.73</v>
      </c>
    </row>
    <row r="371">
      <c r="A371" s="11" t="s">
        <v>3207</v>
      </c>
      <c r="B371" s="11">
        <v>1973.0</v>
      </c>
      <c r="C371" s="11" t="s">
        <v>1049</v>
      </c>
      <c r="D371" s="11">
        <v>1.0</v>
      </c>
      <c r="E371" s="11">
        <v>5606.9</v>
      </c>
      <c r="F371" s="11">
        <v>5606.9</v>
      </c>
    </row>
    <row r="372">
      <c r="A372" s="11" t="s">
        <v>3211</v>
      </c>
      <c r="B372" s="11">
        <v>1974.0</v>
      </c>
      <c r="C372" s="11" t="s">
        <v>1944</v>
      </c>
      <c r="D372" s="11">
        <v>1.0</v>
      </c>
      <c r="E372" s="11">
        <v>1513.25</v>
      </c>
      <c r="F372" s="11">
        <v>1513.25</v>
      </c>
    </row>
    <row r="373">
      <c r="A373" s="11" t="s">
        <v>3214</v>
      </c>
      <c r="B373" s="11" t="s">
        <v>3215</v>
      </c>
      <c r="C373" s="11" t="s">
        <v>1958</v>
      </c>
      <c r="D373" s="11">
        <v>1.0</v>
      </c>
      <c r="E373" s="11">
        <v>662.2</v>
      </c>
      <c r="F373" s="11">
        <v>662.2</v>
      </c>
    </row>
    <row r="374">
      <c r="A374" s="11" t="s">
        <v>3218</v>
      </c>
      <c r="B374" s="11" t="s">
        <v>3220</v>
      </c>
      <c r="C374" s="11" t="s">
        <v>788</v>
      </c>
      <c r="D374" s="11">
        <v>1.0</v>
      </c>
      <c r="E374" s="11">
        <v>56.0</v>
      </c>
      <c r="F374" s="11">
        <v>56.0</v>
      </c>
    </row>
    <row r="375">
      <c r="A375" s="11" t="s">
        <v>3224</v>
      </c>
      <c r="B375" s="11">
        <v>1966.0</v>
      </c>
      <c r="C375" s="11" t="s">
        <v>1936</v>
      </c>
      <c r="D375" s="11">
        <v>1.0</v>
      </c>
      <c r="E375" s="11">
        <v>0.0</v>
      </c>
      <c r="F375" s="11">
        <v>0.0</v>
      </c>
    </row>
    <row r="376">
      <c r="A376" s="11" t="s">
        <v>3228</v>
      </c>
      <c r="B376" s="11" t="s">
        <v>3229</v>
      </c>
      <c r="C376" s="11" t="s">
        <v>2106</v>
      </c>
      <c r="D376" s="11">
        <v>1.0</v>
      </c>
      <c r="E376" s="11">
        <v>540.71</v>
      </c>
      <c r="F376" s="11">
        <v>540.71</v>
      </c>
    </row>
    <row r="377">
      <c r="A377" s="11" t="s">
        <v>3233</v>
      </c>
      <c r="B377" s="11">
        <v>1980.0</v>
      </c>
      <c r="C377" s="11" t="s">
        <v>1971</v>
      </c>
      <c r="D377" s="11">
        <v>1.0</v>
      </c>
      <c r="E377" s="11">
        <v>190.34</v>
      </c>
      <c r="F377" s="11">
        <v>190.34</v>
      </c>
    </row>
    <row r="378">
      <c r="A378" s="11" t="s">
        <v>3236</v>
      </c>
      <c r="B378" s="11">
        <v>1982.0</v>
      </c>
      <c r="C378" s="11" t="s">
        <v>376</v>
      </c>
      <c r="D378" s="11">
        <v>1.0</v>
      </c>
      <c r="E378" s="11">
        <v>3727.0</v>
      </c>
      <c r="F378" s="11">
        <v>3727.0</v>
      </c>
    </row>
    <row r="379">
      <c r="A379" s="11" t="s">
        <v>3239</v>
      </c>
      <c r="B379" s="11">
        <v>1983.0</v>
      </c>
      <c r="C379" s="11" t="s">
        <v>376</v>
      </c>
      <c r="D379" s="11">
        <v>1.0</v>
      </c>
      <c r="E379" s="11">
        <v>312.0</v>
      </c>
      <c r="F379" s="11">
        <v>312.0</v>
      </c>
    </row>
    <row r="380">
      <c r="A380" s="11" t="s">
        <v>3243</v>
      </c>
      <c r="B380" s="11">
        <v>1984.0</v>
      </c>
      <c r="C380" s="11" t="s">
        <v>376</v>
      </c>
      <c r="D380" s="11">
        <v>1.0</v>
      </c>
      <c r="E380" s="11">
        <v>312.0</v>
      </c>
      <c r="F380" s="11">
        <v>312.0</v>
      </c>
    </row>
    <row r="381">
      <c r="A381" s="11" t="s">
        <v>3247</v>
      </c>
      <c r="B381" s="11">
        <v>1985.0</v>
      </c>
      <c r="C381" s="11" t="s">
        <v>1017</v>
      </c>
      <c r="D381" s="11">
        <v>1.0</v>
      </c>
      <c r="E381" s="11">
        <v>22.0</v>
      </c>
      <c r="F381" s="11">
        <v>22.0</v>
      </c>
    </row>
    <row r="382">
      <c r="A382" s="11" t="s">
        <v>3252</v>
      </c>
      <c r="B382" s="11">
        <v>1986.0</v>
      </c>
      <c r="C382" s="11" t="s">
        <v>1023</v>
      </c>
      <c r="D382" s="11">
        <v>1.0</v>
      </c>
      <c r="E382" s="11">
        <v>10.0</v>
      </c>
      <c r="F382" s="11">
        <v>10.0</v>
      </c>
    </row>
    <row r="383">
      <c r="A383" s="11" t="s">
        <v>3256</v>
      </c>
      <c r="B383" s="11">
        <v>1993.0</v>
      </c>
      <c r="C383" s="11" t="s">
        <v>3257</v>
      </c>
      <c r="D383" s="11">
        <v>1.0</v>
      </c>
      <c r="E383" s="11">
        <v>855.0</v>
      </c>
      <c r="F383" s="11">
        <v>855.0</v>
      </c>
    </row>
    <row r="384">
      <c r="A384" s="11" t="s">
        <v>3260</v>
      </c>
      <c r="B384" s="11" t="s">
        <v>3261</v>
      </c>
      <c r="C384" s="11" t="s">
        <v>2040</v>
      </c>
      <c r="D384" s="11">
        <v>1.0</v>
      </c>
      <c r="E384" s="11">
        <v>322.0</v>
      </c>
      <c r="F384" s="11">
        <v>322.0</v>
      </c>
    </row>
    <row r="385">
      <c r="A385" s="11" t="s">
        <v>3264</v>
      </c>
      <c r="B385" s="11">
        <v>1988.0</v>
      </c>
      <c r="C385" s="11" t="s">
        <v>376</v>
      </c>
      <c r="D385" s="11">
        <v>1.0</v>
      </c>
      <c r="E385" s="11">
        <v>3153.84</v>
      </c>
      <c r="F385" s="11">
        <v>3153.84</v>
      </c>
    </row>
    <row r="386">
      <c r="A386" s="11" t="s">
        <v>3267</v>
      </c>
      <c r="B386" s="11">
        <v>1989.0</v>
      </c>
      <c r="C386" s="11" t="s">
        <v>376</v>
      </c>
      <c r="D386" s="11">
        <v>1.0</v>
      </c>
      <c r="E386" s="11">
        <v>966.21</v>
      </c>
      <c r="F386" s="11">
        <v>966.21</v>
      </c>
    </row>
    <row r="387">
      <c r="A387" s="11" t="s">
        <v>3269</v>
      </c>
      <c r="B387" s="11">
        <v>1990.0</v>
      </c>
      <c r="C387" s="11" t="s">
        <v>376</v>
      </c>
      <c r="D387" s="11">
        <v>1.0</v>
      </c>
      <c r="E387" s="11">
        <v>1410.77</v>
      </c>
      <c r="F387" s="11">
        <v>1410.77</v>
      </c>
    </row>
    <row r="388">
      <c r="A388" s="11" t="s">
        <v>3271</v>
      </c>
      <c r="B388" s="11">
        <v>1991.0</v>
      </c>
      <c r="C388" s="11" t="s">
        <v>376</v>
      </c>
      <c r="D388" s="11">
        <v>1.0</v>
      </c>
      <c r="E388" s="11">
        <v>0.0</v>
      </c>
      <c r="F388" s="11">
        <v>0.0</v>
      </c>
    </row>
    <row r="389">
      <c r="A389" s="11" t="s">
        <v>3275</v>
      </c>
      <c r="B389" s="11">
        <v>1992.0</v>
      </c>
      <c r="C389" s="11" t="s">
        <v>376</v>
      </c>
      <c r="D389" s="11">
        <v>1.0</v>
      </c>
      <c r="E389" s="11">
        <v>1547.92</v>
      </c>
      <c r="F389" s="11">
        <v>1547.92</v>
      </c>
    </row>
    <row r="390">
      <c r="A390" s="11" t="s">
        <v>3277</v>
      </c>
      <c r="B390" s="11" t="s">
        <v>3278</v>
      </c>
      <c r="C390" s="11" t="s">
        <v>1958</v>
      </c>
      <c r="D390" s="11">
        <v>1.0</v>
      </c>
      <c r="E390" s="11">
        <v>10452.76</v>
      </c>
      <c r="F390" s="11">
        <v>10452.76</v>
      </c>
    </row>
    <row r="391">
      <c r="A391" s="11" t="s">
        <v>3279</v>
      </c>
      <c r="B391" s="11" t="s">
        <v>3278</v>
      </c>
      <c r="C391" s="11" t="s">
        <v>3047</v>
      </c>
      <c r="D391" s="11">
        <v>1.0</v>
      </c>
      <c r="E391" s="11">
        <v>888.48</v>
      </c>
      <c r="F391" s="11">
        <v>888.48</v>
      </c>
    </row>
    <row r="392">
      <c r="A392" s="11" t="s">
        <v>3282</v>
      </c>
      <c r="B392" s="11" t="s">
        <v>3283</v>
      </c>
      <c r="C392" s="11" t="s">
        <v>3284</v>
      </c>
      <c r="D392" s="11">
        <v>1.89</v>
      </c>
      <c r="E392" s="11">
        <v>13.89</v>
      </c>
      <c r="F392" s="11">
        <v>26.25</v>
      </c>
    </row>
    <row r="393">
      <c r="A393" s="11" t="s">
        <v>3288</v>
      </c>
      <c r="B393" s="11" t="s">
        <v>3283</v>
      </c>
      <c r="C393" s="19" t="s">
        <v>3290</v>
      </c>
      <c r="D393" s="11">
        <v>6.0</v>
      </c>
      <c r="E393" s="11">
        <v>2.99</v>
      </c>
      <c r="F393" s="11">
        <v>17.94</v>
      </c>
    </row>
    <row r="394">
      <c r="A394" s="11" t="s">
        <v>3292</v>
      </c>
      <c r="B394" s="11" t="s">
        <v>3283</v>
      </c>
      <c r="C394" s="11" t="s">
        <v>3295</v>
      </c>
      <c r="D394" s="11">
        <v>2.0</v>
      </c>
      <c r="E394" s="11">
        <v>2.99</v>
      </c>
      <c r="F394" s="11">
        <v>5.98</v>
      </c>
    </row>
    <row r="395">
      <c r="A395" s="11" t="s">
        <v>3298</v>
      </c>
      <c r="B395" s="11" t="s">
        <v>3283</v>
      </c>
      <c r="C395" s="11" t="s">
        <v>3299</v>
      </c>
      <c r="D395" s="11">
        <v>4.0</v>
      </c>
      <c r="E395" s="11">
        <v>2.99</v>
      </c>
      <c r="F395" s="11">
        <v>11.96</v>
      </c>
    </row>
    <row r="396">
      <c r="A396" s="11" t="s">
        <v>3301</v>
      </c>
      <c r="B396" s="11" t="s">
        <v>3283</v>
      </c>
      <c r="C396" s="11" t="s">
        <v>3303</v>
      </c>
      <c r="D396" s="11">
        <v>12.0</v>
      </c>
      <c r="E396" s="11">
        <v>2.89</v>
      </c>
      <c r="F396" s="11">
        <v>34.68</v>
      </c>
    </row>
    <row r="397">
      <c r="A397" s="11" t="s">
        <v>3306</v>
      </c>
      <c r="B397" s="11" t="s">
        <v>3283</v>
      </c>
      <c r="C397" s="11" t="s">
        <v>3308</v>
      </c>
      <c r="D397" s="11">
        <v>6.0</v>
      </c>
      <c r="E397" s="11">
        <v>2.89</v>
      </c>
      <c r="F397" s="11">
        <v>17.34</v>
      </c>
    </row>
    <row r="398">
      <c r="A398" s="11" t="s">
        <v>3311</v>
      </c>
      <c r="B398" s="11" t="s">
        <v>3283</v>
      </c>
      <c r="C398" s="11" t="s">
        <v>3313</v>
      </c>
      <c r="D398" s="11">
        <v>2.0</v>
      </c>
      <c r="E398" s="11">
        <v>2.49</v>
      </c>
      <c r="F398" s="11">
        <v>4.98</v>
      </c>
    </row>
    <row r="399">
      <c r="A399" s="11" t="s">
        <v>3315</v>
      </c>
      <c r="B399" s="11" t="s">
        <v>3317</v>
      </c>
      <c r="C399" s="11" t="s">
        <v>3319</v>
      </c>
      <c r="D399" s="11">
        <v>1.0</v>
      </c>
      <c r="E399" s="11">
        <v>137.64</v>
      </c>
      <c r="F399" s="11">
        <v>137.64</v>
      </c>
    </row>
    <row r="400">
      <c r="A400" s="11" t="s">
        <v>3322</v>
      </c>
      <c r="B400" s="11" t="s">
        <v>3324</v>
      </c>
      <c r="C400" s="19" t="s">
        <v>3325</v>
      </c>
      <c r="D400" s="11">
        <v>15.0</v>
      </c>
      <c r="E400" s="11">
        <v>25.0</v>
      </c>
      <c r="F400" s="11">
        <v>375.0</v>
      </c>
    </row>
    <row r="401">
      <c r="A401" s="11" t="s">
        <v>3328</v>
      </c>
      <c r="B401" s="11" t="s">
        <v>3329</v>
      </c>
      <c r="C401" s="11" t="s">
        <v>527</v>
      </c>
      <c r="D401" s="11">
        <v>1.0</v>
      </c>
      <c r="E401" s="11">
        <v>585.85</v>
      </c>
      <c r="F401" s="11">
        <v>585.85</v>
      </c>
    </row>
    <row r="402">
      <c r="A402" s="11" t="s">
        <v>3332</v>
      </c>
      <c r="B402" s="11" t="s">
        <v>3333</v>
      </c>
      <c r="C402" s="11" t="s">
        <v>527</v>
      </c>
      <c r="D402" s="11">
        <v>1.0</v>
      </c>
      <c r="E402" s="11">
        <v>60.0</v>
      </c>
      <c r="F402" s="11">
        <v>60.0</v>
      </c>
    </row>
    <row r="403">
      <c r="A403" s="11" t="s">
        <v>3336</v>
      </c>
      <c r="B403" s="11" t="s">
        <v>3337</v>
      </c>
      <c r="C403" s="11" t="s">
        <v>3339</v>
      </c>
      <c r="D403" s="11">
        <v>1.0</v>
      </c>
      <c r="E403" s="11">
        <v>972.0</v>
      </c>
      <c r="F403" s="11">
        <v>972.0</v>
      </c>
    </row>
    <row r="404">
      <c r="A404" s="11" t="s">
        <v>3341</v>
      </c>
      <c r="B404" s="11" t="s">
        <v>3343</v>
      </c>
      <c r="C404" s="11" t="s">
        <v>3319</v>
      </c>
      <c r="D404" s="11">
        <v>12.0</v>
      </c>
      <c r="E404" s="11">
        <v>11.98</v>
      </c>
      <c r="F404" s="11">
        <v>143.76</v>
      </c>
    </row>
    <row r="405">
      <c r="A405" s="11" t="s">
        <v>3346</v>
      </c>
      <c r="B405" s="11" t="s">
        <v>3343</v>
      </c>
      <c r="C405" s="11" t="s">
        <v>3348</v>
      </c>
      <c r="D405" s="11">
        <v>1.085</v>
      </c>
      <c r="E405" s="11">
        <v>6.98</v>
      </c>
      <c r="F405" s="11">
        <v>7.57</v>
      </c>
    </row>
    <row r="406">
      <c r="A406" s="11" t="s">
        <v>3350</v>
      </c>
      <c r="B406" s="11" t="s">
        <v>3352</v>
      </c>
      <c r="C406" s="11" t="s">
        <v>3295</v>
      </c>
      <c r="D406" s="11">
        <v>2.0</v>
      </c>
      <c r="E406" s="11">
        <v>40.15</v>
      </c>
      <c r="F406" s="11">
        <v>80.3</v>
      </c>
    </row>
    <row r="407">
      <c r="A407" s="11" t="s">
        <v>3356</v>
      </c>
      <c r="B407" s="11" t="s">
        <v>3352</v>
      </c>
      <c r="C407" s="11" t="s">
        <v>3358</v>
      </c>
      <c r="D407" s="11">
        <v>15.0</v>
      </c>
      <c r="E407" s="11">
        <v>13.3</v>
      </c>
      <c r="F407" s="11">
        <v>199.5</v>
      </c>
    </row>
    <row r="408">
      <c r="A408" s="11" t="s">
        <v>3360</v>
      </c>
      <c r="B408" s="11" t="s">
        <v>3352</v>
      </c>
      <c r="C408" s="11" t="s">
        <v>3303</v>
      </c>
      <c r="D408" s="11">
        <v>4.0</v>
      </c>
      <c r="E408" s="11">
        <v>42.4</v>
      </c>
      <c r="F408" s="11">
        <v>169.6</v>
      </c>
    </row>
    <row r="409">
      <c r="A409" s="11" t="s">
        <v>3364</v>
      </c>
      <c r="B409" s="11" t="s">
        <v>3352</v>
      </c>
      <c r="C409" s="11" t="s">
        <v>3366</v>
      </c>
      <c r="D409" s="11">
        <v>30.0</v>
      </c>
      <c r="E409" s="11">
        <v>3.53</v>
      </c>
      <c r="F409" s="11">
        <v>105.9</v>
      </c>
    </row>
    <row r="410">
      <c r="A410" s="11" t="s">
        <v>3370</v>
      </c>
      <c r="B410" s="11" t="s">
        <v>3352</v>
      </c>
      <c r="C410" s="19" t="s">
        <v>3290</v>
      </c>
      <c r="D410" s="11">
        <v>2.0</v>
      </c>
      <c r="E410" s="11">
        <v>42.4</v>
      </c>
      <c r="F410" s="11">
        <v>84.8</v>
      </c>
    </row>
    <row r="411">
      <c r="A411" s="11" t="s">
        <v>3372</v>
      </c>
      <c r="B411" s="11" t="s">
        <v>3352</v>
      </c>
      <c r="C411" s="11" t="s">
        <v>3308</v>
      </c>
      <c r="D411" s="11">
        <v>5.0</v>
      </c>
      <c r="E411" s="11">
        <v>21.2</v>
      </c>
      <c r="F411" s="11">
        <v>106.0</v>
      </c>
    </row>
    <row r="412">
      <c r="A412" s="11" t="s">
        <v>3378</v>
      </c>
      <c r="B412" s="11" t="s">
        <v>3379</v>
      </c>
      <c r="C412" s="11" t="s">
        <v>3348</v>
      </c>
      <c r="D412" s="11">
        <v>2.44</v>
      </c>
      <c r="E412" s="11">
        <v>6.98</v>
      </c>
      <c r="F412" s="11">
        <v>17.03</v>
      </c>
    </row>
    <row r="413">
      <c r="A413" s="11" t="s">
        <v>3382</v>
      </c>
      <c r="B413" s="11" t="s">
        <v>3379</v>
      </c>
      <c r="C413" s="11" t="s">
        <v>3384</v>
      </c>
      <c r="D413" s="11">
        <v>2.0</v>
      </c>
      <c r="E413" s="11">
        <v>12.98</v>
      </c>
      <c r="F413" s="11">
        <v>25.96</v>
      </c>
    </row>
    <row r="414">
      <c r="A414" s="11" t="s">
        <v>3386</v>
      </c>
      <c r="B414" s="11" t="s">
        <v>3379</v>
      </c>
      <c r="C414" s="11" t="s">
        <v>3388</v>
      </c>
      <c r="D414" s="11">
        <v>3.722</v>
      </c>
      <c r="E414" s="11">
        <v>3.98</v>
      </c>
      <c r="F414" s="11">
        <v>14.81</v>
      </c>
    </row>
    <row r="415">
      <c r="A415" s="11" t="s">
        <v>3390</v>
      </c>
      <c r="B415" s="11" t="s">
        <v>3392</v>
      </c>
      <c r="C415" s="19" t="s">
        <v>3325</v>
      </c>
      <c r="D415" s="11">
        <v>20.0</v>
      </c>
      <c r="E415" s="11">
        <v>25.0</v>
      </c>
      <c r="F415" s="11">
        <v>500.0</v>
      </c>
    </row>
    <row r="416">
      <c r="A416" s="11" t="s">
        <v>3395</v>
      </c>
      <c r="B416" s="11" t="s">
        <v>3397</v>
      </c>
      <c r="C416" s="11" t="s">
        <v>3339</v>
      </c>
      <c r="D416" s="11">
        <v>1.0</v>
      </c>
      <c r="E416" s="11">
        <v>12.0</v>
      </c>
      <c r="F416" s="11">
        <v>12.0</v>
      </c>
    </row>
    <row r="417">
      <c r="A417" s="11" t="s">
        <v>3399</v>
      </c>
      <c r="B417" s="11" t="s">
        <v>3401</v>
      </c>
      <c r="C417" s="11" t="s">
        <v>2289</v>
      </c>
      <c r="D417" s="11">
        <v>4.0</v>
      </c>
      <c r="E417" s="11">
        <v>16.99</v>
      </c>
      <c r="F417" s="11">
        <v>67.96</v>
      </c>
    </row>
    <row r="418">
      <c r="A418" s="11" t="s">
        <v>3404</v>
      </c>
      <c r="B418" s="11" t="s">
        <v>3401</v>
      </c>
      <c r="C418" s="11" t="s">
        <v>3284</v>
      </c>
      <c r="D418" s="11">
        <v>1.87</v>
      </c>
      <c r="E418" s="11">
        <v>13.89</v>
      </c>
      <c r="F418" s="11">
        <v>25.97</v>
      </c>
    </row>
    <row r="419">
      <c r="A419" s="11" t="s">
        <v>3408</v>
      </c>
      <c r="B419" s="11" t="s">
        <v>3401</v>
      </c>
      <c r="C419" s="11" t="s">
        <v>3410</v>
      </c>
      <c r="D419" s="11">
        <v>1.0</v>
      </c>
      <c r="E419" s="11">
        <v>8.19</v>
      </c>
      <c r="F419" s="11">
        <v>8.19</v>
      </c>
    </row>
    <row r="420">
      <c r="A420" s="11" t="s">
        <v>3413</v>
      </c>
      <c r="B420" s="11" t="s">
        <v>3401</v>
      </c>
      <c r="C420" s="11" t="s">
        <v>3415</v>
      </c>
      <c r="D420" s="11">
        <v>1.0</v>
      </c>
      <c r="E420" s="11">
        <v>8.19</v>
      </c>
      <c r="F420" s="11">
        <v>8.19</v>
      </c>
    </row>
    <row r="421">
      <c r="A421" s="11" t="s">
        <v>3417</v>
      </c>
      <c r="B421" s="11" t="s">
        <v>3401</v>
      </c>
      <c r="C421" s="11" t="s">
        <v>3303</v>
      </c>
      <c r="D421" s="11">
        <v>1.0</v>
      </c>
      <c r="E421" s="11">
        <v>10.89</v>
      </c>
      <c r="F421" s="11">
        <v>10.89</v>
      </c>
    </row>
    <row r="422">
      <c r="A422" s="11" t="s">
        <v>3424</v>
      </c>
      <c r="B422" s="11" t="s">
        <v>3401</v>
      </c>
      <c r="C422" s="11" t="s">
        <v>3427</v>
      </c>
      <c r="D422" s="11">
        <v>2.0</v>
      </c>
      <c r="E422" s="11">
        <v>12.79</v>
      </c>
      <c r="F422" s="11">
        <v>25.58</v>
      </c>
    </row>
    <row r="423">
      <c r="A423" s="11" t="s">
        <v>3429</v>
      </c>
      <c r="B423" s="11" t="s">
        <v>3401</v>
      </c>
      <c r="C423" s="11" t="s">
        <v>3431</v>
      </c>
      <c r="D423" s="11">
        <v>2.0</v>
      </c>
      <c r="E423" s="11">
        <v>7.99</v>
      </c>
      <c r="F423" s="11">
        <v>15.98</v>
      </c>
    </row>
    <row r="424">
      <c r="A424" s="11" t="s">
        <v>3434</v>
      </c>
      <c r="B424" s="11" t="s">
        <v>3401</v>
      </c>
      <c r="C424" s="11" t="s">
        <v>3431</v>
      </c>
      <c r="D424" s="11">
        <v>1.0</v>
      </c>
      <c r="E424" s="11">
        <v>8.19</v>
      </c>
      <c r="F424" s="11">
        <v>8.19</v>
      </c>
    </row>
    <row r="425">
      <c r="A425" s="11" t="s">
        <v>3437</v>
      </c>
      <c r="B425" s="11" t="s">
        <v>3439</v>
      </c>
      <c r="C425" s="11" t="s">
        <v>3339</v>
      </c>
      <c r="D425" s="11">
        <v>1.0</v>
      </c>
      <c r="E425" s="11">
        <v>1140.0</v>
      </c>
      <c r="F425" s="11">
        <v>1140.0</v>
      </c>
    </row>
    <row r="426">
      <c r="A426" s="11" t="s">
        <v>3441</v>
      </c>
      <c r="B426" s="11" t="s">
        <v>3442</v>
      </c>
      <c r="C426" s="11" t="s">
        <v>3319</v>
      </c>
      <c r="D426" s="11">
        <v>20.0</v>
      </c>
      <c r="E426" s="11">
        <v>11.98</v>
      </c>
      <c r="F426" s="11">
        <v>239.6</v>
      </c>
    </row>
    <row r="427">
      <c r="A427" s="11" t="s">
        <v>3447</v>
      </c>
      <c r="B427" s="11" t="s">
        <v>3442</v>
      </c>
      <c r="C427" s="11" t="s">
        <v>3348</v>
      </c>
      <c r="D427" s="11">
        <v>2.862</v>
      </c>
      <c r="E427" s="11">
        <v>6.98</v>
      </c>
      <c r="F427" s="11">
        <v>19.98</v>
      </c>
    </row>
    <row r="428">
      <c r="A428" s="11" t="s">
        <v>3449</v>
      </c>
      <c r="B428" s="11" t="s">
        <v>3442</v>
      </c>
      <c r="C428" s="11" t="s">
        <v>3384</v>
      </c>
      <c r="D428" s="11">
        <v>4.0</v>
      </c>
      <c r="E428" s="11">
        <v>12.98</v>
      </c>
      <c r="F428" s="11">
        <v>51.92</v>
      </c>
    </row>
    <row r="429">
      <c r="A429" s="11" t="s">
        <v>3452</v>
      </c>
      <c r="B429" s="11" t="s">
        <v>3454</v>
      </c>
      <c r="C429" s="11" t="s">
        <v>527</v>
      </c>
      <c r="D429" s="11">
        <v>1.0</v>
      </c>
      <c r="E429" s="11">
        <v>532.0</v>
      </c>
      <c r="F429" s="11">
        <v>532.0</v>
      </c>
    </row>
    <row r="430">
      <c r="A430" s="11" t="s">
        <v>3459</v>
      </c>
      <c r="B430" s="11" t="s">
        <v>3460</v>
      </c>
      <c r="C430" s="19" t="s">
        <v>3325</v>
      </c>
      <c r="D430" s="11">
        <v>10.0</v>
      </c>
      <c r="E430" s="11">
        <v>25.0</v>
      </c>
      <c r="F430" s="11">
        <v>250.0</v>
      </c>
    </row>
    <row r="431">
      <c r="A431" s="11" t="s">
        <v>3463</v>
      </c>
      <c r="B431" s="11" t="s">
        <v>3464</v>
      </c>
      <c r="C431" s="11" t="s">
        <v>419</v>
      </c>
      <c r="D431" s="11">
        <v>1.0</v>
      </c>
      <c r="E431" s="11">
        <v>1650.0</v>
      </c>
      <c r="F431" s="11">
        <v>1650.0</v>
      </c>
    </row>
    <row r="432">
      <c r="A432" s="11" t="s">
        <v>3467</v>
      </c>
      <c r="B432" s="11" t="s">
        <v>3464</v>
      </c>
      <c r="C432" s="11" t="s">
        <v>3470</v>
      </c>
      <c r="D432" s="11">
        <v>1.0</v>
      </c>
      <c r="E432" s="11">
        <v>160.88</v>
      </c>
      <c r="F432" s="11">
        <v>160.88</v>
      </c>
    </row>
    <row r="433">
      <c r="A433" s="11" t="s">
        <v>3472</v>
      </c>
      <c r="B433" s="11" t="s">
        <v>3474</v>
      </c>
      <c r="C433" s="11" t="s">
        <v>842</v>
      </c>
      <c r="D433" s="11">
        <v>1.0</v>
      </c>
      <c r="E433" s="11">
        <v>48.36</v>
      </c>
      <c r="F433" s="11">
        <v>48.36</v>
      </c>
    </row>
    <row r="434">
      <c r="A434" s="11" t="s">
        <v>3479</v>
      </c>
      <c r="B434" s="11" t="s">
        <v>3481</v>
      </c>
      <c r="C434" s="11" t="s">
        <v>2040</v>
      </c>
      <c r="D434" s="11">
        <v>1.0</v>
      </c>
      <c r="E434" s="11">
        <v>16430.5</v>
      </c>
      <c r="F434" s="11">
        <v>16430.5</v>
      </c>
    </row>
    <row r="435">
      <c r="A435" s="11" t="s">
        <v>3485</v>
      </c>
      <c r="B435" s="11" t="s">
        <v>3481</v>
      </c>
      <c r="C435" s="11" t="s">
        <v>3047</v>
      </c>
      <c r="D435" s="11">
        <v>1.0</v>
      </c>
      <c r="E435" s="11">
        <v>1396.59</v>
      </c>
      <c r="F435" s="11">
        <v>1396.59</v>
      </c>
    </row>
    <row r="436">
      <c r="A436" s="11" t="s">
        <v>3489</v>
      </c>
      <c r="B436" s="11" t="s">
        <v>3481</v>
      </c>
      <c r="C436" s="11" t="s">
        <v>3470</v>
      </c>
      <c r="D436" s="11">
        <v>1.0</v>
      </c>
      <c r="E436" s="11">
        <v>298.83</v>
      </c>
      <c r="F436" s="11">
        <v>298.83</v>
      </c>
    </row>
    <row r="437">
      <c r="A437" s="11" t="s">
        <v>3494</v>
      </c>
      <c r="B437" s="11" t="s">
        <v>3495</v>
      </c>
      <c r="C437" s="11" t="s">
        <v>1958</v>
      </c>
      <c r="D437" s="11">
        <v>1.0</v>
      </c>
      <c r="E437" s="11">
        <v>5079.32</v>
      </c>
      <c r="F437" s="11">
        <v>5079.32</v>
      </c>
    </row>
    <row r="438">
      <c r="A438" s="11" t="s">
        <v>3499</v>
      </c>
      <c r="B438" s="11" t="s">
        <v>3495</v>
      </c>
      <c r="C438" s="11" t="s">
        <v>3047</v>
      </c>
      <c r="D438" s="11">
        <v>1.0</v>
      </c>
      <c r="E438" s="11">
        <v>431.74</v>
      </c>
      <c r="F438" s="11">
        <v>431.74</v>
      </c>
    </row>
    <row r="439">
      <c r="A439" s="11" t="s">
        <v>3503</v>
      </c>
      <c r="B439" s="11" t="s">
        <v>3504</v>
      </c>
      <c r="C439" s="11" t="s">
        <v>3284</v>
      </c>
      <c r="D439" s="11">
        <v>1.555</v>
      </c>
      <c r="E439" s="11">
        <v>13.89</v>
      </c>
      <c r="F439" s="11">
        <v>21.6</v>
      </c>
    </row>
    <row r="440">
      <c r="A440" s="11" t="s">
        <v>3507</v>
      </c>
      <c r="B440" s="11" t="s">
        <v>3504</v>
      </c>
      <c r="C440" s="11" t="s">
        <v>3427</v>
      </c>
      <c r="D440" s="11">
        <v>2.0</v>
      </c>
      <c r="E440" s="11">
        <v>13.99</v>
      </c>
      <c r="F440" s="11">
        <v>27.98</v>
      </c>
    </row>
    <row r="441">
      <c r="A441" s="11" t="s">
        <v>3510</v>
      </c>
      <c r="B441" s="11" t="s">
        <v>3504</v>
      </c>
      <c r="C441" s="11" t="s">
        <v>3431</v>
      </c>
      <c r="D441" s="11">
        <v>1.0</v>
      </c>
      <c r="E441" s="11">
        <v>7.99</v>
      </c>
      <c r="F441" s="11">
        <v>7.99</v>
      </c>
    </row>
    <row r="442">
      <c r="A442" s="11" t="s">
        <v>3514</v>
      </c>
      <c r="B442" s="11" t="s">
        <v>3504</v>
      </c>
      <c r="C442" s="11" t="s">
        <v>3358</v>
      </c>
      <c r="D442" s="11">
        <v>60.0</v>
      </c>
      <c r="E442" s="11">
        <v>1.89</v>
      </c>
      <c r="F442" s="11">
        <v>113.4</v>
      </c>
    </row>
    <row r="443">
      <c r="A443" s="11" t="s">
        <v>3517</v>
      </c>
      <c r="B443" s="11" t="s">
        <v>3504</v>
      </c>
      <c r="C443" s="11" t="s">
        <v>3520</v>
      </c>
      <c r="D443" s="11">
        <v>12.0</v>
      </c>
      <c r="E443" s="11">
        <v>1.89</v>
      </c>
      <c r="F443" s="11">
        <v>22.68</v>
      </c>
    </row>
    <row r="444">
      <c r="A444" s="11" t="s">
        <v>3522</v>
      </c>
      <c r="B444" s="11" t="s">
        <v>3524</v>
      </c>
      <c r="C444" s="11" t="s">
        <v>3319</v>
      </c>
      <c r="D444" s="11">
        <v>8.0</v>
      </c>
      <c r="E444" s="11">
        <v>11.98</v>
      </c>
      <c r="F444" s="11">
        <v>95.84</v>
      </c>
    </row>
    <row r="445">
      <c r="A445" s="11" t="s">
        <v>3527</v>
      </c>
      <c r="B445" s="11" t="s">
        <v>3524</v>
      </c>
      <c r="C445" s="11" t="s">
        <v>3384</v>
      </c>
      <c r="D445" s="11">
        <v>5.0</v>
      </c>
      <c r="E445" s="11">
        <v>12.98</v>
      </c>
      <c r="F445" s="11">
        <v>64.9</v>
      </c>
    </row>
    <row r="446">
      <c r="A446" s="11" t="s">
        <v>3531</v>
      </c>
      <c r="B446" s="11" t="s">
        <v>3524</v>
      </c>
      <c r="C446" s="11" t="s">
        <v>3388</v>
      </c>
      <c r="D446" s="11">
        <v>4.155</v>
      </c>
      <c r="E446" s="11">
        <v>3.98</v>
      </c>
      <c r="F446" s="11">
        <v>16.54</v>
      </c>
    </row>
    <row r="447">
      <c r="A447" s="11" t="s">
        <v>3536</v>
      </c>
      <c r="B447" s="11" t="s">
        <v>3524</v>
      </c>
      <c r="C447" s="11" t="s">
        <v>3348</v>
      </c>
      <c r="D447" s="11">
        <v>2.415</v>
      </c>
      <c r="E447" s="11">
        <v>6.98</v>
      </c>
      <c r="F447" s="11">
        <v>16.86</v>
      </c>
    </row>
    <row r="448">
      <c r="A448" s="11" t="s">
        <v>3539</v>
      </c>
      <c r="B448" s="11" t="s">
        <v>3540</v>
      </c>
      <c r="C448" s="19" t="s">
        <v>3325</v>
      </c>
      <c r="D448" s="11">
        <v>20.0</v>
      </c>
      <c r="E448" s="11">
        <v>25.0</v>
      </c>
      <c r="F448" s="11">
        <v>500.0</v>
      </c>
    </row>
    <row r="449">
      <c r="A449" s="11" t="s">
        <v>3543</v>
      </c>
      <c r="B449" s="11" t="s">
        <v>3545</v>
      </c>
      <c r="C449" s="11" t="s">
        <v>527</v>
      </c>
      <c r="D449" s="11">
        <v>1.0</v>
      </c>
      <c r="E449" s="11">
        <v>471.24</v>
      </c>
      <c r="F449" s="11">
        <v>471.24</v>
      </c>
    </row>
    <row r="450">
      <c r="A450" s="11" t="s">
        <v>3549</v>
      </c>
      <c r="B450" s="11" t="s">
        <v>3551</v>
      </c>
      <c r="C450" s="11" t="s">
        <v>3552</v>
      </c>
      <c r="D450" s="11">
        <v>3.0</v>
      </c>
      <c r="E450" s="11">
        <v>1.0</v>
      </c>
      <c r="F450" s="11">
        <v>3.0</v>
      </c>
    </row>
    <row r="451">
      <c r="A451" s="11" t="s">
        <v>3554</v>
      </c>
      <c r="B451" s="11" t="s">
        <v>3555</v>
      </c>
      <c r="C451" s="11" t="s">
        <v>3384</v>
      </c>
      <c r="D451" s="11">
        <v>3.0</v>
      </c>
      <c r="E451" s="11">
        <v>12.98</v>
      </c>
      <c r="F451" s="11">
        <v>38.94</v>
      </c>
    </row>
    <row r="452">
      <c r="A452" s="11" t="s">
        <v>3559</v>
      </c>
      <c r="B452" s="11" t="s">
        <v>3555</v>
      </c>
      <c r="C452" s="11" t="s">
        <v>3319</v>
      </c>
      <c r="D452" s="11">
        <v>10.0</v>
      </c>
      <c r="E452" s="11">
        <v>11.98</v>
      </c>
      <c r="F452" s="11">
        <v>119.8</v>
      </c>
    </row>
    <row r="453">
      <c r="A453" s="11" t="s">
        <v>3563</v>
      </c>
      <c r="B453" s="11" t="s">
        <v>3555</v>
      </c>
      <c r="C453" s="11" t="s">
        <v>3388</v>
      </c>
      <c r="D453" s="11">
        <v>4.384</v>
      </c>
      <c r="E453" s="11">
        <v>3.98</v>
      </c>
      <c r="F453" s="11">
        <v>17.45</v>
      </c>
    </row>
    <row r="454">
      <c r="A454" s="11" t="s">
        <v>3566</v>
      </c>
      <c r="B454" s="11" t="s">
        <v>3555</v>
      </c>
      <c r="C454" s="11" t="s">
        <v>3348</v>
      </c>
      <c r="D454" s="11">
        <v>2.35</v>
      </c>
      <c r="E454" s="11">
        <v>6.98</v>
      </c>
      <c r="F454" s="11">
        <v>16.4</v>
      </c>
    </row>
    <row r="455">
      <c r="A455" s="11" t="s">
        <v>3570</v>
      </c>
      <c r="B455" s="11" t="s">
        <v>3571</v>
      </c>
      <c r="C455" s="11" t="s">
        <v>3574</v>
      </c>
      <c r="D455" s="11">
        <v>1.0</v>
      </c>
      <c r="E455" s="11">
        <v>12.99</v>
      </c>
      <c r="F455" s="11">
        <v>12.99</v>
      </c>
    </row>
    <row r="456">
      <c r="A456" s="11" t="s">
        <v>3576</v>
      </c>
      <c r="B456" s="11" t="s">
        <v>3571</v>
      </c>
      <c r="C456" s="11" t="s">
        <v>3579</v>
      </c>
      <c r="D456" s="11">
        <v>20.0</v>
      </c>
      <c r="E456" s="11">
        <v>1.0</v>
      </c>
      <c r="F456" s="11">
        <v>20.0</v>
      </c>
    </row>
    <row r="457">
      <c r="A457" s="11" t="s">
        <v>3581</v>
      </c>
      <c r="B457" s="11" t="s">
        <v>3571</v>
      </c>
      <c r="C457" s="11" t="s">
        <v>3579</v>
      </c>
      <c r="D457" s="11">
        <v>5.0</v>
      </c>
      <c r="E457" s="11">
        <v>1.0</v>
      </c>
      <c r="F457" s="11">
        <v>5.0</v>
      </c>
    </row>
    <row r="458">
      <c r="A458" s="11" t="s">
        <v>3585</v>
      </c>
      <c r="B458" s="11" t="s">
        <v>3587</v>
      </c>
      <c r="C458" s="11" t="s">
        <v>3552</v>
      </c>
      <c r="D458" s="11">
        <v>12.0</v>
      </c>
      <c r="E458" s="11">
        <v>1.0</v>
      </c>
      <c r="F458" s="11">
        <v>12.0</v>
      </c>
    </row>
    <row r="459">
      <c r="A459" s="11" t="s">
        <v>3591</v>
      </c>
      <c r="B459" s="11" t="s">
        <v>3592</v>
      </c>
      <c r="C459" s="19" t="s">
        <v>3325</v>
      </c>
      <c r="D459" s="11">
        <v>10.0</v>
      </c>
      <c r="E459" s="11">
        <v>25.0</v>
      </c>
      <c r="F459" s="11">
        <v>250.0</v>
      </c>
    </row>
    <row r="460">
      <c r="A460" s="11" t="s">
        <v>3594</v>
      </c>
      <c r="B460" s="11" t="s">
        <v>3596</v>
      </c>
      <c r="C460" s="11" t="s">
        <v>3339</v>
      </c>
      <c r="D460" s="11">
        <v>1.0</v>
      </c>
      <c r="E460" s="11">
        <v>612.0</v>
      </c>
      <c r="F460" s="11">
        <v>612.0</v>
      </c>
    </row>
    <row r="461">
      <c r="A461" s="11" t="s">
        <v>3599</v>
      </c>
      <c r="B461" s="11" t="s">
        <v>3600</v>
      </c>
      <c r="C461" s="11" t="s">
        <v>3358</v>
      </c>
      <c r="D461" s="11">
        <v>15.0</v>
      </c>
      <c r="E461" s="11">
        <v>13.3</v>
      </c>
      <c r="F461" s="11">
        <v>199.5</v>
      </c>
    </row>
    <row r="462">
      <c r="A462" s="11" t="s">
        <v>3605</v>
      </c>
      <c r="B462" s="11" t="s">
        <v>3600</v>
      </c>
      <c r="C462" s="11" t="s">
        <v>3520</v>
      </c>
      <c r="D462" s="11">
        <v>8.0</v>
      </c>
      <c r="E462" s="11">
        <v>15.5</v>
      </c>
      <c r="F462" s="11">
        <v>124.0</v>
      </c>
    </row>
    <row r="463">
      <c r="A463" s="11" t="s">
        <v>3607</v>
      </c>
      <c r="B463" s="11" t="s">
        <v>3609</v>
      </c>
      <c r="C463" s="11" t="s">
        <v>527</v>
      </c>
      <c r="D463" s="11">
        <v>1.0</v>
      </c>
      <c r="E463" s="11">
        <v>197.16</v>
      </c>
      <c r="F463" s="11">
        <v>197.16</v>
      </c>
    </row>
    <row r="464">
      <c r="A464" s="11" t="s">
        <v>3612</v>
      </c>
      <c r="B464" s="11" t="s">
        <v>3614</v>
      </c>
      <c r="C464" s="11" t="s">
        <v>3615</v>
      </c>
      <c r="D464" s="11">
        <v>12.0</v>
      </c>
      <c r="E464" s="11">
        <v>3.49</v>
      </c>
      <c r="F464" s="11">
        <v>41.88</v>
      </c>
    </row>
    <row r="465">
      <c r="A465" s="11" t="s">
        <v>3617</v>
      </c>
      <c r="B465" s="11" t="s">
        <v>3619</v>
      </c>
      <c r="C465" s="11" t="s">
        <v>3620</v>
      </c>
      <c r="D465" s="11">
        <v>1.0</v>
      </c>
      <c r="E465" s="11">
        <v>1655.64</v>
      </c>
      <c r="F465" s="11">
        <v>1655.64</v>
      </c>
    </row>
    <row r="466">
      <c r="A466" s="11" t="s">
        <v>3622</v>
      </c>
      <c r="B466" s="11" t="s">
        <v>3619</v>
      </c>
      <c r="C466" s="11" t="s">
        <v>3047</v>
      </c>
      <c r="D466" s="11">
        <v>1.0</v>
      </c>
      <c r="E466" s="11">
        <v>140.73</v>
      </c>
      <c r="F466" s="11">
        <v>140.73</v>
      </c>
    </row>
    <row r="467">
      <c r="A467" s="11" t="s">
        <v>3626</v>
      </c>
      <c r="B467" s="11" t="s">
        <v>3627</v>
      </c>
      <c r="C467" s="11" t="s">
        <v>3628</v>
      </c>
      <c r="D467" s="11">
        <v>4.0</v>
      </c>
      <c r="E467" s="11">
        <v>19.59</v>
      </c>
      <c r="F467" s="11">
        <v>78.36</v>
      </c>
    </row>
    <row r="468">
      <c r="A468" s="11" t="s">
        <v>3630</v>
      </c>
      <c r="B468" s="11" t="s">
        <v>3631</v>
      </c>
      <c r="C468" s="11" t="s">
        <v>3633</v>
      </c>
      <c r="D468" s="11">
        <v>5.0</v>
      </c>
      <c r="E468" s="11">
        <v>20.0</v>
      </c>
      <c r="F468" s="11">
        <v>100.0</v>
      </c>
    </row>
    <row r="469">
      <c r="A469" s="11" t="s">
        <v>3636</v>
      </c>
      <c r="B469" s="11" t="s">
        <v>3631</v>
      </c>
      <c r="C469" s="11" t="s">
        <v>3303</v>
      </c>
      <c r="D469" s="11">
        <v>7.0</v>
      </c>
      <c r="E469" s="11">
        <v>41.6</v>
      </c>
      <c r="F469" s="11">
        <v>291.2</v>
      </c>
    </row>
    <row r="470">
      <c r="A470" s="11" t="s">
        <v>3639</v>
      </c>
      <c r="B470" s="11" t="s">
        <v>3631</v>
      </c>
      <c r="C470" s="11" t="s">
        <v>3308</v>
      </c>
      <c r="D470" s="11">
        <v>5.0</v>
      </c>
      <c r="E470" s="11">
        <v>20.0</v>
      </c>
      <c r="F470" s="11">
        <v>100.0</v>
      </c>
    </row>
    <row r="471">
      <c r="A471" s="11" t="s">
        <v>3644</v>
      </c>
      <c r="B471" s="11" t="s">
        <v>3631</v>
      </c>
      <c r="C471" s="11" t="s">
        <v>3645</v>
      </c>
      <c r="D471" s="11">
        <v>4.0</v>
      </c>
      <c r="E471" s="11">
        <v>25.18</v>
      </c>
      <c r="F471" s="11">
        <v>100.72</v>
      </c>
    </row>
    <row r="472">
      <c r="A472" s="11" t="s">
        <v>3648</v>
      </c>
      <c r="B472" s="11" t="s">
        <v>3631</v>
      </c>
      <c r="C472" s="11" t="s">
        <v>3650</v>
      </c>
      <c r="D472" s="11">
        <v>4.0</v>
      </c>
      <c r="E472" s="11">
        <v>46.0</v>
      </c>
      <c r="F472" s="11">
        <v>184.0</v>
      </c>
    </row>
    <row r="473">
      <c r="A473" s="11" t="s">
        <v>3653</v>
      </c>
      <c r="B473" s="11" t="s">
        <v>3631</v>
      </c>
      <c r="C473" s="11" t="s">
        <v>3313</v>
      </c>
      <c r="D473" s="11">
        <v>2.0</v>
      </c>
      <c r="E473" s="11">
        <v>20.0</v>
      </c>
      <c r="F473" s="11">
        <v>40.0</v>
      </c>
    </row>
    <row r="474">
      <c r="A474" s="11" t="s">
        <v>3656</v>
      </c>
      <c r="B474" s="11" t="s">
        <v>3631</v>
      </c>
      <c r="C474" s="19" t="s">
        <v>3290</v>
      </c>
      <c r="D474" s="11">
        <v>4.0</v>
      </c>
      <c r="E474" s="11">
        <v>20.0</v>
      </c>
      <c r="F474" s="11">
        <v>80.0</v>
      </c>
    </row>
    <row r="475">
      <c r="A475" s="11" t="s">
        <v>3659</v>
      </c>
      <c r="B475" s="11" t="s">
        <v>3631</v>
      </c>
      <c r="C475" s="11" t="s">
        <v>3410</v>
      </c>
      <c r="D475" s="11">
        <v>0.0</v>
      </c>
      <c r="E475" s="11">
        <v>0.0</v>
      </c>
      <c r="F475" s="11">
        <v>0.0</v>
      </c>
    </row>
    <row r="476">
      <c r="A476" s="11" t="s">
        <v>3663</v>
      </c>
      <c r="B476" s="11" t="s">
        <v>3631</v>
      </c>
      <c r="C476" s="11" t="s">
        <v>3665</v>
      </c>
      <c r="D476" s="11">
        <v>5.0</v>
      </c>
      <c r="E476" s="11">
        <v>6.33</v>
      </c>
      <c r="F476" s="11">
        <v>31.65</v>
      </c>
    </row>
    <row r="477">
      <c r="A477" s="11" t="s">
        <v>3668</v>
      </c>
      <c r="B477" s="11" t="s">
        <v>3631</v>
      </c>
      <c r="C477" s="11" t="s">
        <v>3669</v>
      </c>
      <c r="D477" s="11">
        <v>4.0</v>
      </c>
      <c r="E477" s="11">
        <v>6.33</v>
      </c>
      <c r="F477" s="11">
        <v>25.32</v>
      </c>
    </row>
    <row r="478">
      <c r="A478" s="11" t="s">
        <v>3672</v>
      </c>
      <c r="B478" s="11" t="s">
        <v>3674</v>
      </c>
      <c r="C478" s="11" t="s">
        <v>3284</v>
      </c>
      <c r="D478" s="11">
        <v>1.535</v>
      </c>
      <c r="E478" s="11">
        <v>13.19</v>
      </c>
      <c r="F478" s="11">
        <v>20.25</v>
      </c>
    </row>
    <row r="479">
      <c r="A479" s="11" t="s">
        <v>3677</v>
      </c>
      <c r="B479" s="11" t="s">
        <v>3674</v>
      </c>
      <c r="C479" s="11" t="s">
        <v>3679</v>
      </c>
      <c r="D479" s="11">
        <v>2.0</v>
      </c>
      <c r="E479" s="11">
        <v>11.99</v>
      </c>
      <c r="F479" s="11">
        <v>23.98</v>
      </c>
    </row>
    <row r="480">
      <c r="A480" s="11" t="s">
        <v>3681</v>
      </c>
      <c r="B480" s="11" t="s">
        <v>3674</v>
      </c>
      <c r="C480" s="11" t="s">
        <v>3431</v>
      </c>
      <c r="D480" s="11">
        <v>3.0</v>
      </c>
      <c r="E480" s="11">
        <v>6.99</v>
      </c>
      <c r="F480" s="11">
        <v>20.97</v>
      </c>
    </row>
    <row r="481">
      <c r="A481" s="11" t="s">
        <v>3682</v>
      </c>
      <c r="B481" s="11" t="s">
        <v>3674</v>
      </c>
      <c r="C481" s="11" t="s">
        <v>3427</v>
      </c>
      <c r="D481" s="11">
        <v>4.0</v>
      </c>
      <c r="E481" s="11">
        <v>10.0</v>
      </c>
      <c r="F481" s="11">
        <v>40.0</v>
      </c>
    </row>
    <row r="482">
      <c r="A482" s="11" t="s">
        <v>3683</v>
      </c>
      <c r="B482" s="11" t="s">
        <v>3684</v>
      </c>
      <c r="C482" s="11" t="s">
        <v>3348</v>
      </c>
      <c r="D482" s="11">
        <v>2.834</v>
      </c>
      <c r="E482" s="11">
        <v>6.98</v>
      </c>
      <c r="F482" s="11">
        <v>19.78</v>
      </c>
    </row>
    <row r="483">
      <c r="A483" s="11" t="s">
        <v>3685</v>
      </c>
      <c r="B483" s="11" t="s">
        <v>3684</v>
      </c>
      <c r="C483" s="11" t="s">
        <v>3319</v>
      </c>
      <c r="D483" s="11">
        <v>10.0</v>
      </c>
      <c r="E483" s="11">
        <v>11.98</v>
      </c>
      <c r="F483" s="11">
        <v>119.8</v>
      </c>
    </row>
    <row r="484">
      <c r="A484" s="11" t="s">
        <v>3687</v>
      </c>
      <c r="B484" s="11" t="s">
        <v>3689</v>
      </c>
      <c r="C484" s="19" t="s">
        <v>3325</v>
      </c>
      <c r="D484" s="11">
        <v>15.0</v>
      </c>
      <c r="E484" s="11">
        <v>25.0</v>
      </c>
      <c r="F484" s="11">
        <v>375.0</v>
      </c>
    </row>
    <row r="485">
      <c r="A485" s="11" t="s">
        <v>3691</v>
      </c>
      <c r="B485" s="19" t="s">
        <v>3692</v>
      </c>
      <c r="C485" s="11" t="s">
        <v>3339</v>
      </c>
      <c r="D485" s="11">
        <v>1.0</v>
      </c>
      <c r="E485" s="11">
        <v>1008.0</v>
      </c>
      <c r="F485" s="11">
        <v>1008.0</v>
      </c>
    </row>
    <row r="486">
      <c r="A486" s="11" t="s">
        <v>3695</v>
      </c>
      <c r="B486" s="11" t="s">
        <v>3696</v>
      </c>
      <c r="C486" s="11" t="s">
        <v>419</v>
      </c>
      <c r="D486" s="11">
        <v>1.0</v>
      </c>
      <c r="E486" s="11">
        <v>2140.0</v>
      </c>
      <c r="F486" s="11">
        <v>2140.0</v>
      </c>
    </row>
    <row r="487">
      <c r="A487" s="11" t="s">
        <v>3698</v>
      </c>
      <c r="B487" s="11" t="s">
        <v>3696</v>
      </c>
      <c r="C487" s="11" t="s">
        <v>3470</v>
      </c>
      <c r="D487" s="11">
        <v>1.0</v>
      </c>
      <c r="E487" s="11">
        <v>193.05</v>
      </c>
      <c r="F487" s="11">
        <v>193.05</v>
      </c>
    </row>
    <row r="488">
      <c r="A488" s="11" t="s">
        <v>3701</v>
      </c>
      <c r="B488" s="11" t="s">
        <v>3702</v>
      </c>
      <c r="C488" s="11" t="s">
        <v>2040</v>
      </c>
      <c r="D488" s="11">
        <v>1.0</v>
      </c>
      <c r="E488" s="11">
        <v>493.0</v>
      </c>
      <c r="F488" s="11">
        <v>493.0</v>
      </c>
    </row>
    <row r="489">
      <c r="A489" s="11" t="s">
        <v>3711</v>
      </c>
      <c r="B489" s="11" t="s">
        <v>3702</v>
      </c>
      <c r="C489" s="11" t="s">
        <v>3047</v>
      </c>
      <c r="D489" s="11">
        <v>1.0</v>
      </c>
      <c r="E489" s="11">
        <v>41.91</v>
      </c>
      <c r="F489" s="11">
        <v>41.91</v>
      </c>
    </row>
    <row r="490">
      <c r="A490" s="11" t="s">
        <v>3714</v>
      </c>
      <c r="B490" s="11" t="s">
        <v>3715</v>
      </c>
      <c r="C490" s="11" t="s">
        <v>2040</v>
      </c>
      <c r="D490" s="11">
        <v>1.0</v>
      </c>
      <c r="E490" s="11">
        <v>14190.75</v>
      </c>
      <c r="F490" s="11">
        <v>14190.75</v>
      </c>
    </row>
    <row r="491">
      <c r="A491" s="11" t="s">
        <v>3717</v>
      </c>
      <c r="B491" s="11" t="s">
        <v>3715</v>
      </c>
      <c r="C491" s="11" t="s">
        <v>3047</v>
      </c>
      <c r="D491" s="11">
        <v>1.0</v>
      </c>
      <c r="E491" s="11">
        <v>1206.21</v>
      </c>
      <c r="F491" s="11">
        <v>1206.21</v>
      </c>
    </row>
    <row r="492">
      <c r="A492" s="11" t="s">
        <v>3720</v>
      </c>
      <c r="B492" s="11" t="s">
        <v>3715</v>
      </c>
      <c r="C492" s="11" t="s">
        <v>3470</v>
      </c>
      <c r="D492" s="11">
        <v>1.0</v>
      </c>
      <c r="E492" s="11">
        <v>150.02</v>
      </c>
      <c r="F492" s="11">
        <v>150.02</v>
      </c>
    </row>
    <row r="493">
      <c r="A493" s="11" t="s">
        <v>3724</v>
      </c>
      <c r="B493" s="11" t="s">
        <v>3726</v>
      </c>
      <c r="C493" s="11" t="s">
        <v>795</v>
      </c>
      <c r="D493" s="11">
        <v>1.0</v>
      </c>
      <c r="E493" s="11">
        <v>27.6</v>
      </c>
      <c r="F493" s="11">
        <v>27.6</v>
      </c>
    </row>
    <row r="494">
      <c r="A494" s="11" t="s">
        <v>3729</v>
      </c>
      <c r="B494" s="11" t="s">
        <v>3730</v>
      </c>
      <c r="C494" s="11" t="s">
        <v>3552</v>
      </c>
      <c r="D494" s="11">
        <v>2.0</v>
      </c>
      <c r="E494" s="11">
        <v>1.0</v>
      </c>
      <c r="F494" s="11">
        <v>2.0</v>
      </c>
    </row>
    <row r="495">
      <c r="A495" s="11" t="s">
        <v>3732</v>
      </c>
      <c r="B495" s="11" t="s">
        <v>3733</v>
      </c>
      <c r="C495" s="19" t="s">
        <v>3325</v>
      </c>
      <c r="D495" s="11">
        <v>10.0</v>
      </c>
      <c r="E495" s="11">
        <v>25.0</v>
      </c>
      <c r="F495" s="11">
        <v>250.0</v>
      </c>
    </row>
    <row r="496">
      <c r="A496" s="11" t="s">
        <v>3735</v>
      </c>
      <c r="B496" s="11" t="s">
        <v>3736</v>
      </c>
      <c r="C496" s="11" t="s">
        <v>1958</v>
      </c>
      <c r="D496" s="11">
        <v>1.0</v>
      </c>
      <c r="E496" s="11">
        <v>8290.24</v>
      </c>
      <c r="F496" s="11">
        <v>8290.24</v>
      </c>
    </row>
    <row r="497">
      <c r="A497" s="11" t="s">
        <v>3740</v>
      </c>
      <c r="B497" s="11" t="s">
        <v>3736</v>
      </c>
      <c r="C497" s="11" t="s">
        <v>3047</v>
      </c>
      <c r="D497" s="11">
        <v>1.0</v>
      </c>
      <c r="E497" s="11">
        <v>704.67</v>
      </c>
      <c r="F497" s="11">
        <v>704.67</v>
      </c>
    </row>
    <row r="498">
      <c r="A498" s="11" t="s">
        <v>3742</v>
      </c>
      <c r="B498" s="11" t="s">
        <v>3743</v>
      </c>
      <c r="C498" s="11" t="s">
        <v>3319</v>
      </c>
      <c r="D498" s="11">
        <v>10.0</v>
      </c>
      <c r="E498" s="11">
        <v>11.98</v>
      </c>
      <c r="F498" s="11">
        <v>119.8</v>
      </c>
    </row>
    <row r="499">
      <c r="A499" s="11" t="s">
        <v>3746</v>
      </c>
      <c r="B499" s="11" t="s">
        <v>3743</v>
      </c>
      <c r="C499" s="11" t="s">
        <v>3388</v>
      </c>
      <c r="D499" s="11">
        <v>4.06</v>
      </c>
      <c r="E499" s="11">
        <v>3.98</v>
      </c>
      <c r="F499" s="11">
        <v>16.16</v>
      </c>
    </row>
    <row r="500">
      <c r="A500" s="11" t="s">
        <v>3747</v>
      </c>
      <c r="B500" s="11" t="s">
        <v>3743</v>
      </c>
      <c r="C500" s="11" t="s">
        <v>3348</v>
      </c>
      <c r="D500" s="11">
        <v>2.336</v>
      </c>
      <c r="E500" s="11">
        <v>6.98</v>
      </c>
      <c r="F500" s="11">
        <v>16.31</v>
      </c>
    </row>
    <row r="501">
      <c r="A501" s="11" t="s">
        <v>3749</v>
      </c>
      <c r="B501" s="11" t="s">
        <v>3743</v>
      </c>
      <c r="C501" s="11" t="s">
        <v>3384</v>
      </c>
      <c r="D501" s="11">
        <v>4.0</v>
      </c>
      <c r="E501" s="11">
        <v>12.98</v>
      </c>
      <c r="F501" s="11">
        <v>51.92</v>
      </c>
    </row>
    <row r="502">
      <c r="A502" s="11" t="s">
        <v>3751</v>
      </c>
      <c r="B502" s="11" t="s">
        <v>3752</v>
      </c>
      <c r="C502" s="11" t="s">
        <v>3358</v>
      </c>
      <c r="D502" s="11">
        <v>10.0</v>
      </c>
      <c r="E502" s="11">
        <v>13.3</v>
      </c>
      <c r="F502" s="11">
        <v>133.0</v>
      </c>
    </row>
    <row r="503">
      <c r="A503" s="11" t="s">
        <v>3753</v>
      </c>
      <c r="B503" s="11" t="s">
        <v>3752</v>
      </c>
      <c r="C503" s="11" t="s">
        <v>3520</v>
      </c>
      <c r="D503" s="11">
        <v>2.0</v>
      </c>
      <c r="E503" s="11">
        <v>15.5</v>
      </c>
      <c r="F503" s="11">
        <v>31.0</v>
      </c>
    </row>
    <row r="504">
      <c r="A504" s="11" t="s">
        <v>3754</v>
      </c>
      <c r="B504" s="11" t="s">
        <v>3756</v>
      </c>
      <c r="C504" s="19" t="s">
        <v>3325</v>
      </c>
      <c r="D504" s="11">
        <v>15.0</v>
      </c>
      <c r="E504" s="11">
        <v>25.0</v>
      </c>
      <c r="F504" s="11">
        <v>375.0</v>
      </c>
    </row>
    <row r="505">
      <c r="A505" s="11" t="s">
        <v>3757</v>
      </c>
      <c r="B505" s="11" t="s">
        <v>3758</v>
      </c>
      <c r="C505" s="11" t="s">
        <v>3319</v>
      </c>
      <c r="D505" s="11">
        <v>10.0</v>
      </c>
      <c r="E505" s="11">
        <v>11.98</v>
      </c>
      <c r="F505" s="11">
        <v>119.8</v>
      </c>
    </row>
    <row r="506">
      <c r="A506" s="11" t="s">
        <v>3761</v>
      </c>
      <c r="B506" s="11" t="s">
        <v>3758</v>
      </c>
      <c r="C506" s="11" t="s">
        <v>3388</v>
      </c>
      <c r="D506" s="11">
        <v>4.06</v>
      </c>
      <c r="E506" s="11">
        <v>3.98</v>
      </c>
      <c r="F506" s="11">
        <v>16.16</v>
      </c>
    </row>
    <row r="507">
      <c r="A507" s="11" t="s">
        <v>3765</v>
      </c>
      <c r="B507" s="11" t="s">
        <v>3758</v>
      </c>
      <c r="C507" s="11" t="s">
        <v>3348</v>
      </c>
      <c r="D507" s="11">
        <v>2.336</v>
      </c>
      <c r="E507" s="11">
        <v>6.98</v>
      </c>
      <c r="F507" s="11">
        <v>16.31</v>
      </c>
    </row>
    <row r="508">
      <c r="A508" s="11" t="s">
        <v>3768</v>
      </c>
      <c r="B508" s="11" t="s">
        <v>3758</v>
      </c>
      <c r="C508" s="11" t="s">
        <v>3384</v>
      </c>
      <c r="D508" s="11">
        <v>4.0</v>
      </c>
      <c r="E508" s="11">
        <v>12.98</v>
      </c>
      <c r="F508" s="11">
        <v>51.92</v>
      </c>
    </row>
    <row r="509">
      <c r="A509" s="11" t="s">
        <v>3770</v>
      </c>
      <c r="B509" s="11" t="s">
        <v>3771</v>
      </c>
      <c r="C509" s="11" t="s">
        <v>3774</v>
      </c>
      <c r="D509" s="11">
        <v>3.0</v>
      </c>
      <c r="E509" s="11">
        <v>95.0</v>
      </c>
      <c r="F509" s="11">
        <v>285.0</v>
      </c>
    </row>
    <row r="510">
      <c r="A510" s="11" t="s">
        <v>3776</v>
      </c>
      <c r="B510" s="11" t="s">
        <v>3777</v>
      </c>
      <c r="C510" s="11" t="s">
        <v>3284</v>
      </c>
      <c r="D510" s="11">
        <v>1.795</v>
      </c>
      <c r="E510" s="11">
        <v>13.19</v>
      </c>
      <c r="F510" s="11">
        <v>23.68</v>
      </c>
    </row>
    <row r="511">
      <c r="A511" s="11" t="s">
        <v>3780</v>
      </c>
      <c r="B511" s="11" t="s">
        <v>3777</v>
      </c>
      <c r="C511" s="11" t="s">
        <v>3782</v>
      </c>
      <c r="D511" s="11">
        <v>2.0</v>
      </c>
      <c r="E511" s="11">
        <v>6.99</v>
      </c>
      <c r="F511" s="11">
        <v>13.98</v>
      </c>
    </row>
    <row r="512">
      <c r="A512" s="11" t="s">
        <v>3783</v>
      </c>
      <c r="B512" s="11" t="s">
        <v>3777</v>
      </c>
      <c r="C512" s="11" t="s">
        <v>3785</v>
      </c>
      <c r="D512" s="11">
        <v>10.0</v>
      </c>
      <c r="E512" s="11">
        <v>0.89</v>
      </c>
      <c r="F512" s="11">
        <v>8.9</v>
      </c>
    </row>
    <row r="513">
      <c r="A513" s="11" t="s">
        <v>3788</v>
      </c>
      <c r="B513" s="11" t="s">
        <v>3777</v>
      </c>
      <c r="C513" s="11" t="s">
        <v>3431</v>
      </c>
      <c r="D513" s="11">
        <v>2.0</v>
      </c>
      <c r="E513" s="11">
        <v>7.99</v>
      </c>
      <c r="F513" s="11">
        <v>15.98</v>
      </c>
    </row>
    <row r="514">
      <c r="A514" s="11" t="s">
        <v>3792</v>
      </c>
      <c r="B514" s="11" t="s">
        <v>3794</v>
      </c>
      <c r="C514" s="11" t="s">
        <v>3339</v>
      </c>
      <c r="D514" s="11">
        <v>1.0</v>
      </c>
      <c r="E514" s="11">
        <v>924.0</v>
      </c>
      <c r="F514" s="11">
        <v>924.0</v>
      </c>
    </row>
    <row r="515">
      <c r="A515" s="11" t="s">
        <v>3797</v>
      </c>
      <c r="B515" s="11" t="s">
        <v>3798</v>
      </c>
      <c r="C515" s="11" t="s">
        <v>3319</v>
      </c>
      <c r="D515" s="11">
        <v>10.0</v>
      </c>
      <c r="E515" s="11">
        <v>11.9</v>
      </c>
      <c r="F515" s="11">
        <v>119.0</v>
      </c>
    </row>
    <row r="516">
      <c r="A516" s="11" t="s">
        <v>3801</v>
      </c>
      <c r="B516" s="11" t="s">
        <v>3798</v>
      </c>
      <c r="C516" s="11" t="s">
        <v>3348</v>
      </c>
      <c r="D516" s="11">
        <v>5.0</v>
      </c>
      <c r="E516" s="11">
        <v>3.2</v>
      </c>
      <c r="F516" s="11">
        <v>16.0</v>
      </c>
    </row>
    <row r="517">
      <c r="A517" s="11" t="s">
        <v>3807</v>
      </c>
      <c r="B517" s="11" t="s">
        <v>3798</v>
      </c>
      <c r="C517" s="11" t="s">
        <v>3384</v>
      </c>
      <c r="D517" s="11">
        <v>2.0</v>
      </c>
      <c r="E517" s="11">
        <v>12.95</v>
      </c>
      <c r="F517" s="11">
        <v>25.9</v>
      </c>
    </row>
    <row r="518">
      <c r="A518" s="11" t="s">
        <v>3811</v>
      </c>
      <c r="B518" s="11" t="s">
        <v>3798</v>
      </c>
      <c r="C518" s="11" t="s">
        <v>3388</v>
      </c>
      <c r="D518" s="11">
        <v>1.0</v>
      </c>
      <c r="E518" s="11">
        <v>15.7</v>
      </c>
      <c r="F518" s="11">
        <v>15.7</v>
      </c>
    </row>
    <row r="519">
      <c r="A519" s="11" t="s">
        <v>3813</v>
      </c>
      <c r="B519" s="11" t="s">
        <v>3815</v>
      </c>
      <c r="C519" s="11" t="s">
        <v>3817</v>
      </c>
      <c r="D519" s="11">
        <v>2.0</v>
      </c>
      <c r="E519" s="11">
        <v>11.3</v>
      </c>
      <c r="F519" s="11">
        <v>22.6</v>
      </c>
    </row>
    <row r="520">
      <c r="A520" s="11" t="s">
        <v>3819</v>
      </c>
      <c r="B520" s="11" t="s">
        <v>3815</v>
      </c>
      <c r="C520" s="11" t="s">
        <v>3820</v>
      </c>
      <c r="D520" s="11">
        <v>1.0</v>
      </c>
      <c r="E520" s="11">
        <v>93.8</v>
      </c>
      <c r="F520" s="11">
        <v>93.8</v>
      </c>
    </row>
    <row r="521">
      <c r="A521" s="11" t="s">
        <v>3823</v>
      </c>
      <c r="B521" s="11" t="s">
        <v>3815</v>
      </c>
      <c r="C521" s="11" t="s">
        <v>3826</v>
      </c>
      <c r="D521" s="11">
        <v>4.0</v>
      </c>
      <c r="E521" s="11">
        <v>6.7</v>
      </c>
      <c r="F521" s="11">
        <v>26.8</v>
      </c>
    </row>
    <row r="522">
      <c r="A522" s="11" t="s">
        <v>3827</v>
      </c>
      <c r="B522" s="11" t="s">
        <v>3815</v>
      </c>
      <c r="C522" s="11" t="s">
        <v>3826</v>
      </c>
      <c r="D522" s="11">
        <v>1.0</v>
      </c>
      <c r="E522" s="11">
        <v>12.3</v>
      </c>
      <c r="F522" s="11">
        <v>12.3</v>
      </c>
    </row>
    <row r="523">
      <c r="A523" s="11" t="s">
        <v>3830</v>
      </c>
      <c r="B523" s="11" t="s">
        <v>3815</v>
      </c>
      <c r="C523" s="11" t="s">
        <v>3574</v>
      </c>
      <c r="D523" s="11">
        <v>5.0</v>
      </c>
      <c r="E523" s="11">
        <v>3.9</v>
      </c>
      <c r="F523" s="11">
        <v>19.5</v>
      </c>
    </row>
    <row r="524">
      <c r="A524" s="11" t="s">
        <v>3832</v>
      </c>
      <c r="B524" s="11" t="s">
        <v>3833</v>
      </c>
      <c r="C524" s="11" t="s">
        <v>2040</v>
      </c>
      <c r="D524" s="11">
        <v>1.0</v>
      </c>
      <c r="E524" s="11">
        <v>493.0</v>
      </c>
      <c r="F524" s="11">
        <v>493.0</v>
      </c>
    </row>
    <row r="525">
      <c r="A525" s="11" t="s">
        <v>3834</v>
      </c>
      <c r="B525" s="11" t="s">
        <v>3833</v>
      </c>
      <c r="C525" s="11" t="s">
        <v>3047</v>
      </c>
      <c r="D525" s="11">
        <v>1.0</v>
      </c>
      <c r="E525" s="11">
        <v>41.91</v>
      </c>
      <c r="F525" s="11">
        <v>41.91</v>
      </c>
    </row>
    <row r="526">
      <c r="A526" s="11" t="s">
        <v>3838</v>
      </c>
      <c r="B526" s="11" t="s">
        <v>3841</v>
      </c>
      <c r="C526" s="11" t="s">
        <v>3842</v>
      </c>
      <c r="D526" s="11">
        <v>1.0</v>
      </c>
      <c r="E526" s="11">
        <v>48.0</v>
      </c>
      <c r="F526" s="11">
        <v>48.0</v>
      </c>
    </row>
    <row r="527">
      <c r="A527" s="11" t="s">
        <v>3846</v>
      </c>
      <c r="B527" s="11" t="s">
        <v>3847</v>
      </c>
      <c r="C527" s="11" t="s">
        <v>3849</v>
      </c>
      <c r="D527" s="11">
        <v>3.0</v>
      </c>
      <c r="E527" s="11">
        <v>2.75</v>
      </c>
      <c r="F527" s="11">
        <v>8.25</v>
      </c>
    </row>
    <row r="528">
      <c r="A528" s="11" t="s">
        <v>3850</v>
      </c>
      <c r="B528" s="11" t="s">
        <v>3847</v>
      </c>
      <c r="C528" s="11" t="s">
        <v>3849</v>
      </c>
      <c r="D528" s="11">
        <v>3.0</v>
      </c>
      <c r="E528" s="11">
        <v>14.04</v>
      </c>
      <c r="F528" s="11">
        <v>42.12</v>
      </c>
    </row>
    <row r="529">
      <c r="A529" s="11" t="s">
        <v>3853</v>
      </c>
      <c r="B529" s="11" t="s">
        <v>3847</v>
      </c>
      <c r="C529" s="11" t="s">
        <v>3849</v>
      </c>
      <c r="D529" s="11">
        <v>3.0</v>
      </c>
      <c r="E529" s="11">
        <v>2.15</v>
      </c>
      <c r="F529" s="11">
        <v>6.45</v>
      </c>
    </row>
    <row r="530">
      <c r="A530" s="11" t="s">
        <v>3856</v>
      </c>
      <c r="B530" s="11" t="s">
        <v>3857</v>
      </c>
      <c r="C530" s="11" t="s">
        <v>3858</v>
      </c>
      <c r="D530" s="11">
        <v>1.0</v>
      </c>
      <c r="E530" s="11">
        <v>128.0</v>
      </c>
      <c r="F530" s="11">
        <v>128.0</v>
      </c>
    </row>
    <row r="531">
      <c r="A531" s="11" t="s">
        <v>3860</v>
      </c>
      <c r="B531" s="11" t="s">
        <v>3857</v>
      </c>
      <c r="C531" s="11" t="s">
        <v>3861</v>
      </c>
      <c r="D531" s="11">
        <v>1.0</v>
      </c>
      <c r="E531" s="11">
        <v>73.0</v>
      </c>
      <c r="F531" s="11">
        <v>73.0</v>
      </c>
    </row>
    <row r="532">
      <c r="A532" s="11" t="s">
        <v>3863</v>
      </c>
      <c r="B532" s="11" t="s">
        <v>3864</v>
      </c>
      <c r="C532" s="11" t="s">
        <v>3865</v>
      </c>
      <c r="D532" s="11">
        <v>1.0</v>
      </c>
      <c r="E532" s="11">
        <v>10.0</v>
      </c>
      <c r="F532" s="11">
        <v>10.0</v>
      </c>
    </row>
    <row r="533">
      <c r="A533" s="11" t="s">
        <v>3866</v>
      </c>
      <c r="B533" s="11" t="s">
        <v>3864</v>
      </c>
      <c r="C533" s="11" t="s">
        <v>3867</v>
      </c>
      <c r="D533" s="11">
        <v>1.0</v>
      </c>
      <c r="E533" s="11">
        <v>9.0</v>
      </c>
      <c r="F533" s="11">
        <v>9.0</v>
      </c>
    </row>
    <row r="534">
      <c r="A534" s="11" t="s">
        <v>3868</v>
      </c>
      <c r="B534" s="11" t="s">
        <v>3869</v>
      </c>
      <c r="C534" s="11" t="s">
        <v>3871</v>
      </c>
      <c r="D534" s="11">
        <v>1.0</v>
      </c>
      <c r="E534" s="11">
        <v>16.32</v>
      </c>
      <c r="F534" s="11">
        <v>16.32</v>
      </c>
    </row>
    <row r="535">
      <c r="A535" s="11" t="s">
        <v>3873</v>
      </c>
      <c r="B535" s="11" t="s">
        <v>3869</v>
      </c>
      <c r="C535" s="11" t="s">
        <v>3874</v>
      </c>
      <c r="D535" s="11">
        <v>1.0</v>
      </c>
      <c r="E535" s="11">
        <v>26.87</v>
      </c>
      <c r="F535" s="11">
        <v>26.87</v>
      </c>
    </row>
    <row r="536">
      <c r="A536" s="11" t="s">
        <v>3875</v>
      </c>
      <c r="B536" s="11" t="s">
        <v>3869</v>
      </c>
      <c r="C536" s="11" t="s">
        <v>3876</v>
      </c>
      <c r="D536" s="11">
        <v>1.0</v>
      </c>
      <c r="E536" s="11">
        <v>109.1</v>
      </c>
      <c r="F536" s="11">
        <v>109.1</v>
      </c>
    </row>
    <row r="537">
      <c r="A537" s="11" t="s">
        <v>3878</v>
      </c>
      <c r="B537" s="11" t="s">
        <v>3869</v>
      </c>
      <c r="C537" s="11" t="s">
        <v>3880</v>
      </c>
      <c r="D537" s="11">
        <v>1.0</v>
      </c>
      <c r="E537" s="11">
        <v>4.29</v>
      </c>
      <c r="F537" s="11">
        <v>4.29</v>
      </c>
    </row>
    <row r="538">
      <c r="A538" s="11" t="s">
        <v>3882</v>
      </c>
      <c r="B538" s="11" t="s">
        <v>3869</v>
      </c>
      <c r="C538" s="11" t="s">
        <v>3880</v>
      </c>
      <c r="D538" s="11">
        <v>1.0</v>
      </c>
      <c r="E538" s="11">
        <v>14.72</v>
      </c>
      <c r="F538" s="11">
        <v>14.72</v>
      </c>
    </row>
    <row r="539">
      <c r="A539" s="11" t="s">
        <v>3885</v>
      </c>
      <c r="B539" s="11" t="s">
        <v>3886</v>
      </c>
      <c r="C539" s="11" t="s">
        <v>386</v>
      </c>
      <c r="D539" s="11">
        <v>1.0</v>
      </c>
      <c r="E539" s="11">
        <v>15.3</v>
      </c>
      <c r="F539" s="11">
        <v>15.3</v>
      </c>
    </row>
    <row r="540">
      <c r="A540" s="11" t="s">
        <v>3890</v>
      </c>
      <c r="B540" s="11" t="s">
        <v>3886</v>
      </c>
      <c r="C540" s="11" t="s">
        <v>3047</v>
      </c>
      <c r="D540" s="11">
        <v>1.0</v>
      </c>
      <c r="E540" s="11">
        <v>1.3</v>
      </c>
      <c r="F540" s="11">
        <v>1.3</v>
      </c>
    </row>
    <row r="541">
      <c r="A541" s="11" t="s">
        <v>3892</v>
      </c>
      <c r="B541" s="11" t="s">
        <v>3894</v>
      </c>
      <c r="C541" s="19" t="s">
        <v>3325</v>
      </c>
      <c r="D541" s="11">
        <v>15.0</v>
      </c>
      <c r="E541" s="11">
        <v>25.0</v>
      </c>
      <c r="F541" s="11">
        <v>375.0</v>
      </c>
    </row>
    <row r="542">
      <c r="A542" s="11" t="s">
        <v>3897</v>
      </c>
      <c r="B542" s="11" t="s">
        <v>3898</v>
      </c>
      <c r="C542" s="11" t="s">
        <v>3900</v>
      </c>
      <c r="D542" s="11">
        <v>1.0</v>
      </c>
      <c r="E542" s="11">
        <v>25.0</v>
      </c>
      <c r="F542" s="11">
        <v>25.0</v>
      </c>
    </row>
    <row r="543">
      <c r="A543" s="11" t="s">
        <v>3902</v>
      </c>
      <c r="B543" s="11" t="s">
        <v>3903</v>
      </c>
      <c r="C543" s="11" t="s">
        <v>3904</v>
      </c>
      <c r="D543" s="11">
        <v>29.896</v>
      </c>
      <c r="E543" s="11">
        <v>6.69</v>
      </c>
      <c r="F543" s="11">
        <v>200.0</v>
      </c>
    </row>
    <row r="544">
      <c r="A544" s="11" t="s">
        <v>3907</v>
      </c>
      <c r="B544" s="11" t="s">
        <v>3908</v>
      </c>
      <c r="C544" s="11" t="s">
        <v>3284</v>
      </c>
      <c r="D544" s="11">
        <v>1.71</v>
      </c>
      <c r="E544" s="11">
        <v>13.89</v>
      </c>
      <c r="F544" s="11">
        <v>23.75</v>
      </c>
    </row>
    <row r="545">
      <c r="A545" s="11" t="s">
        <v>3911</v>
      </c>
      <c r="B545" s="11" t="s">
        <v>3908</v>
      </c>
      <c r="C545" s="11" t="s">
        <v>3427</v>
      </c>
      <c r="D545" s="11">
        <v>2.0</v>
      </c>
      <c r="E545" s="11">
        <v>12.79</v>
      </c>
      <c r="F545" s="11">
        <v>25.58</v>
      </c>
    </row>
    <row r="546">
      <c r="A546" s="11" t="s">
        <v>3913</v>
      </c>
      <c r="B546" s="11" t="s">
        <v>3915</v>
      </c>
      <c r="C546" s="11" t="s">
        <v>3339</v>
      </c>
      <c r="D546" s="11">
        <v>1.0</v>
      </c>
      <c r="E546" s="11">
        <v>684.0</v>
      </c>
      <c r="F546" s="11">
        <v>684.0</v>
      </c>
    </row>
    <row r="547">
      <c r="A547" s="11" t="s">
        <v>3917</v>
      </c>
      <c r="B547" s="11" t="s">
        <v>3918</v>
      </c>
      <c r="C547" s="11" t="s">
        <v>3358</v>
      </c>
      <c r="D547" s="11">
        <v>10.0</v>
      </c>
      <c r="E547" s="11">
        <v>13.3</v>
      </c>
      <c r="F547" s="11">
        <v>133.0</v>
      </c>
    </row>
    <row r="548">
      <c r="A548" s="11" t="s">
        <v>3921</v>
      </c>
      <c r="B548" s="11" t="s">
        <v>3922</v>
      </c>
      <c r="C548" s="11" t="s">
        <v>3388</v>
      </c>
      <c r="D548" s="11">
        <v>4.942</v>
      </c>
      <c r="E548" s="11">
        <v>3.98</v>
      </c>
      <c r="F548" s="11">
        <v>19.67</v>
      </c>
    </row>
    <row r="549">
      <c r="A549" s="11" t="s">
        <v>3925</v>
      </c>
      <c r="B549" s="11" t="s">
        <v>3922</v>
      </c>
      <c r="C549" s="11" t="s">
        <v>3319</v>
      </c>
      <c r="D549" s="11">
        <v>10.0</v>
      </c>
      <c r="E549" s="11">
        <v>11.98</v>
      </c>
      <c r="F549" s="11">
        <v>119.8</v>
      </c>
    </row>
    <row r="550">
      <c r="A550" s="11" t="s">
        <v>3928</v>
      </c>
      <c r="B550" s="11" t="s">
        <v>3922</v>
      </c>
      <c r="C550" s="11" t="s">
        <v>3384</v>
      </c>
      <c r="D550" s="11">
        <v>4.0</v>
      </c>
      <c r="E550" s="11">
        <v>12.98</v>
      </c>
      <c r="F550" s="11">
        <v>51.92</v>
      </c>
    </row>
    <row r="551">
      <c r="A551" s="11" t="s">
        <v>3931</v>
      </c>
      <c r="B551" s="11" t="s">
        <v>3922</v>
      </c>
      <c r="C551" s="11" t="s">
        <v>3348</v>
      </c>
      <c r="D551" s="11">
        <v>2.292</v>
      </c>
      <c r="E551" s="11">
        <v>6.98</v>
      </c>
      <c r="F551" s="11">
        <v>16.0</v>
      </c>
    </row>
    <row r="552">
      <c r="A552" s="11" t="s">
        <v>3934</v>
      </c>
      <c r="B552" s="11" t="s">
        <v>3935</v>
      </c>
      <c r="C552" s="11" t="s">
        <v>2040</v>
      </c>
      <c r="D552" s="11">
        <v>1.0</v>
      </c>
      <c r="E552" s="11">
        <v>6791.5</v>
      </c>
      <c r="F552" s="11">
        <v>6791.5</v>
      </c>
    </row>
    <row r="553">
      <c r="A553" s="11" t="s">
        <v>3938</v>
      </c>
      <c r="B553" s="11" t="s">
        <v>3935</v>
      </c>
      <c r="C553" s="11" t="s">
        <v>3047</v>
      </c>
      <c r="D553" s="11">
        <v>1.0</v>
      </c>
      <c r="E553" s="11">
        <v>577.28</v>
      </c>
      <c r="F553" s="11">
        <v>577.28</v>
      </c>
    </row>
    <row r="554">
      <c r="A554" s="11" t="s">
        <v>3940</v>
      </c>
      <c r="B554" s="11" t="s">
        <v>3935</v>
      </c>
      <c r="C554" s="11" t="s">
        <v>3470</v>
      </c>
      <c r="D554" s="11">
        <v>1.0</v>
      </c>
      <c r="E554" s="11">
        <v>137.58</v>
      </c>
      <c r="F554" s="11">
        <v>137.58</v>
      </c>
    </row>
    <row r="555">
      <c r="A555" s="11" t="s">
        <v>3943</v>
      </c>
      <c r="B555" s="11" t="s">
        <v>3945</v>
      </c>
      <c r="C555" s="11" t="s">
        <v>3947</v>
      </c>
      <c r="D555" s="11">
        <v>2.0</v>
      </c>
      <c r="E555" s="11">
        <v>14.99</v>
      </c>
      <c r="F555" s="11">
        <v>29.98</v>
      </c>
    </row>
    <row r="556">
      <c r="A556" s="11" t="s">
        <v>3949</v>
      </c>
      <c r="B556" s="11" t="s">
        <v>3945</v>
      </c>
      <c r="C556" s="11" t="s">
        <v>3947</v>
      </c>
      <c r="D556" s="11">
        <v>1.0</v>
      </c>
      <c r="E556" s="11">
        <v>14.99</v>
      </c>
      <c r="F556" s="11">
        <v>14.99</v>
      </c>
    </row>
    <row r="557">
      <c r="A557" s="11" t="s">
        <v>3952</v>
      </c>
      <c r="B557" s="11" t="s">
        <v>3953</v>
      </c>
      <c r="C557" s="11" t="s">
        <v>3955</v>
      </c>
      <c r="D557" s="11">
        <v>10.0</v>
      </c>
      <c r="E557" s="11">
        <v>0.34</v>
      </c>
      <c r="F557" s="11">
        <v>3.4</v>
      </c>
    </row>
    <row r="558">
      <c r="A558" s="19" t="s">
        <v>3957</v>
      </c>
      <c r="B558" s="11" t="s">
        <v>3953</v>
      </c>
      <c r="C558" s="19" t="s">
        <v>3959</v>
      </c>
      <c r="D558" s="11">
        <v>3.0</v>
      </c>
      <c r="E558" s="11">
        <v>1.7</v>
      </c>
      <c r="F558" s="11">
        <v>5.1</v>
      </c>
    </row>
    <row r="559">
      <c r="A559" s="11" t="s">
        <v>3962</v>
      </c>
      <c r="B559" s="11" t="s">
        <v>3953</v>
      </c>
      <c r="C559" s="11" t="s">
        <v>3964</v>
      </c>
      <c r="D559" s="11">
        <v>6.0</v>
      </c>
      <c r="E559" s="11">
        <v>1.5</v>
      </c>
      <c r="F559" s="11">
        <v>9.0</v>
      </c>
    </row>
    <row r="560">
      <c r="A560" s="11" t="s">
        <v>3967</v>
      </c>
      <c r="B560" s="11" t="s">
        <v>3953</v>
      </c>
      <c r="C560" s="11" t="s">
        <v>3969</v>
      </c>
      <c r="D560" s="11">
        <v>1.0</v>
      </c>
      <c r="E560" s="11">
        <v>7.52</v>
      </c>
      <c r="F560" s="11">
        <v>7.52</v>
      </c>
    </row>
    <row r="561">
      <c r="A561" s="11" t="s">
        <v>3973</v>
      </c>
      <c r="B561" s="11" t="s">
        <v>3953</v>
      </c>
      <c r="C561" s="11" t="s">
        <v>3978</v>
      </c>
      <c r="D561" s="11">
        <v>1.0</v>
      </c>
      <c r="E561" s="11">
        <v>7.91</v>
      </c>
      <c r="F561" s="11">
        <v>7.91</v>
      </c>
    </row>
    <row r="562">
      <c r="A562" s="11" t="s">
        <v>3980</v>
      </c>
      <c r="B562" s="11" t="s">
        <v>3981</v>
      </c>
      <c r="C562" s="11" t="s">
        <v>3982</v>
      </c>
      <c r="D562" s="11">
        <v>56.0</v>
      </c>
      <c r="E562" s="11">
        <v>0.35</v>
      </c>
      <c r="F562" s="11">
        <v>19.6</v>
      </c>
    </row>
    <row r="563">
      <c r="A563" s="11" t="s">
        <v>3985</v>
      </c>
      <c r="B563" s="11" t="s">
        <v>3986</v>
      </c>
      <c r="C563" s="19" t="s">
        <v>3325</v>
      </c>
      <c r="D563" s="11">
        <v>13.0</v>
      </c>
      <c r="E563" s="11">
        <v>25.0</v>
      </c>
      <c r="F563" s="11">
        <v>325.0</v>
      </c>
    </row>
    <row r="564">
      <c r="A564" s="11" t="s">
        <v>3989</v>
      </c>
      <c r="B564" s="11" t="s">
        <v>3991</v>
      </c>
      <c r="C564" s="11" t="s">
        <v>1958</v>
      </c>
      <c r="D564" s="11">
        <v>1.0</v>
      </c>
      <c r="E564" s="11">
        <v>9190.75</v>
      </c>
      <c r="F564" s="11">
        <v>9190.75</v>
      </c>
    </row>
    <row r="565">
      <c r="A565" s="11" t="s">
        <v>3993</v>
      </c>
      <c r="B565" s="11" t="s">
        <v>3991</v>
      </c>
      <c r="C565" s="11" t="s">
        <v>3047</v>
      </c>
      <c r="D565" s="11">
        <v>1.0</v>
      </c>
      <c r="E565" s="11">
        <v>781.21</v>
      </c>
      <c r="F565" s="11">
        <v>781.21</v>
      </c>
    </row>
    <row r="566">
      <c r="A566" s="11" t="s">
        <v>3996</v>
      </c>
      <c r="B566" s="11" t="s">
        <v>3997</v>
      </c>
      <c r="C566" s="11" t="s">
        <v>3427</v>
      </c>
      <c r="D566" s="11">
        <v>2.0</v>
      </c>
      <c r="E566" s="11">
        <v>12.79</v>
      </c>
      <c r="F566" s="11">
        <v>25.58</v>
      </c>
    </row>
    <row r="567">
      <c r="A567" s="11" t="s">
        <v>4000</v>
      </c>
      <c r="B567" s="11" t="s">
        <v>3997</v>
      </c>
      <c r="C567" s="11" t="s">
        <v>3431</v>
      </c>
      <c r="D567" s="11">
        <v>3.0</v>
      </c>
      <c r="E567" s="11">
        <v>5.99</v>
      </c>
      <c r="F567" s="11">
        <v>17.97</v>
      </c>
    </row>
    <row r="568">
      <c r="A568" s="11" t="s">
        <v>4003</v>
      </c>
      <c r="B568" s="11" t="s">
        <v>3997</v>
      </c>
      <c r="C568" s="11" t="s">
        <v>3284</v>
      </c>
      <c r="D568" s="11">
        <v>1.65</v>
      </c>
      <c r="E568" s="11">
        <v>13.19</v>
      </c>
      <c r="F568" s="11">
        <v>21.76</v>
      </c>
    </row>
    <row r="569">
      <c r="A569" s="11" t="s">
        <v>4005</v>
      </c>
      <c r="B569" s="11" t="s">
        <v>4007</v>
      </c>
      <c r="C569" s="11" t="s">
        <v>3319</v>
      </c>
      <c r="D569" s="11">
        <v>10.0</v>
      </c>
      <c r="E569" s="11">
        <v>11.98</v>
      </c>
      <c r="F569" s="11">
        <v>119.8</v>
      </c>
    </row>
    <row r="570">
      <c r="A570" s="11" t="s">
        <v>4010</v>
      </c>
      <c r="B570" s="11" t="s">
        <v>4007</v>
      </c>
      <c r="C570" s="11" t="s">
        <v>3388</v>
      </c>
      <c r="D570" s="11">
        <v>3.786</v>
      </c>
      <c r="E570" s="11">
        <v>3.98</v>
      </c>
      <c r="F570" s="11">
        <v>15.07</v>
      </c>
    </row>
    <row r="571">
      <c r="A571" s="11" t="s">
        <v>4014</v>
      </c>
      <c r="B571" s="11" t="s">
        <v>4007</v>
      </c>
      <c r="C571" s="11" t="s">
        <v>3348</v>
      </c>
      <c r="D571" s="11">
        <v>1.242</v>
      </c>
      <c r="E571" s="11">
        <v>6.98</v>
      </c>
      <c r="F571" s="11">
        <v>8.67</v>
      </c>
    </row>
    <row r="572">
      <c r="A572" s="11" t="s">
        <v>4017</v>
      </c>
      <c r="B572" s="11" t="s">
        <v>4018</v>
      </c>
      <c r="C572" s="11" t="s">
        <v>3348</v>
      </c>
      <c r="D572" s="11">
        <v>2.26</v>
      </c>
      <c r="E572" s="11">
        <v>6.98</v>
      </c>
      <c r="F572" s="11">
        <v>15.77</v>
      </c>
    </row>
    <row r="573">
      <c r="A573" s="11" t="s">
        <v>4021</v>
      </c>
      <c r="B573" s="11" t="s">
        <v>4018</v>
      </c>
      <c r="C573" s="11" t="s">
        <v>3384</v>
      </c>
      <c r="D573" s="11">
        <v>4.0</v>
      </c>
      <c r="E573" s="11">
        <v>12.98</v>
      </c>
      <c r="F573" s="11">
        <v>51.92</v>
      </c>
    </row>
    <row r="574">
      <c r="A574" s="11" t="s">
        <v>4024</v>
      </c>
      <c r="B574" s="11" t="s">
        <v>4018</v>
      </c>
      <c r="C574" s="11" t="s">
        <v>3319</v>
      </c>
      <c r="D574" s="11">
        <v>10.0</v>
      </c>
      <c r="E574" s="11">
        <v>11.98</v>
      </c>
      <c r="F574" s="11">
        <v>119.8</v>
      </c>
    </row>
    <row r="575">
      <c r="A575" s="11" t="s">
        <v>4027</v>
      </c>
      <c r="B575" s="11" t="s">
        <v>4028</v>
      </c>
      <c r="C575" s="11" t="s">
        <v>3339</v>
      </c>
      <c r="D575" s="11">
        <v>1.0</v>
      </c>
      <c r="E575" s="11">
        <v>936.0</v>
      </c>
      <c r="F575" s="11">
        <v>936.0</v>
      </c>
    </row>
    <row r="576">
      <c r="A576" s="11" t="s">
        <v>4030</v>
      </c>
      <c r="B576" s="11" t="s">
        <v>4032</v>
      </c>
      <c r="C576" s="19" t="s">
        <v>3325</v>
      </c>
      <c r="D576" s="11">
        <v>10.0</v>
      </c>
      <c r="E576" s="11">
        <v>25.0</v>
      </c>
      <c r="F576" s="11">
        <v>250.0</v>
      </c>
    </row>
    <row r="577">
      <c r="A577" s="11" t="s">
        <v>4036</v>
      </c>
      <c r="B577" s="11" t="s">
        <v>4038</v>
      </c>
      <c r="C577" s="11" t="s">
        <v>419</v>
      </c>
      <c r="D577" s="11">
        <v>1.0</v>
      </c>
      <c r="E577" s="11">
        <v>1545.0</v>
      </c>
      <c r="F577" s="11">
        <v>1545.0</v>
      </c>
    </row>
    <row r="578">
      <c r="A578" s="11" t="s">
        <v>4039</v>
      </c>
      <c r="B578" s="11" t="s">
        <v>4038</v>
      </c>
      <c r="C578" s="11" t="s">
        <v>3470</v>
      </c>
      <c r="D578" s="11">
        <v>1.0</v>
      </c>
      <c r="E578" s="11">
        <v>111.04</v>
      </c>
      <c r="F578" s="11">
        <v>111.04</v>
      </c>
    </row>
    <row r="579">
      <c r="A579" s="11" t="s">
        <v>4040</v>
      </c>
      <c r="B579" s="11" t="s">
        <v>4041</v>
      </c>
      <c r="C579" s="11" t="s">
        <v>4043</v>
      </c>
      <c r="D579" s="11">
        <v>2.0</v>
      </c>
      <c r="E579" s="11">
        <v>58.0</v>
      </c>
      <c r="F579" s="11">
        <v>116.0</v>
      </c>
    </row>
    <row r="580">
      <c r="A580" s="11" t="s">
        <v>4044</v>
      </c>
      <c r="B580" s="11" t="s">
        <v>4041</v>
      </c>
      <c r="C580" s="11" t="s">
        <v>4045</v>
      </c>
      <c r="D580" s="11">
        <v>4.0</v>
      </c>
      <c r="E580" s="11">
        <v>28.0</v>
      </c>
      <c r="F580" s="11">
        <v>112.0</v>
      </c>
    </row>
    <row r="581">
      <c r="A581" s="11" t="s">
        <v>4046</v>
      </c>
      <c r="B581" s="11" t="s">
        <v>4041</v>
      </c>
      <c r="C581" s="11" t="s">
        <v>4047</v>
      </c>
      <c r="D581" s="11">
        <v>1.0</v>
      </c>
      <c r="E581" s="11">
        <v>19.0</v>
      </c>
      <c r="F581" s="11">
        <v>19.0</v>
      </c>
    </row>
    <row r="582">
      <c r="A582" s="11" t="s">
        <v>4048</v>
      </c>
      <c r="B582" s="11" t="s">
        <v>4041</v>
      </c>
      <c r="C582" s="11" t="s">
        <v>4049</v>
      </c>
      <c r="D582" s="11">
        <v>3.0</v>
      </c>
      <c r="E582" s="11">
        <v>69.0</v>
      </c>
      <c r="F582" s="11">
        <v>207.0</v>
      </c>
    </row>
    <row r="583">
      <c r="A583" s="11" t="s">
        <v>4052</v>
      </c>
      <c r="B583" s="11" t="s">
        <v>4041</v>
      </c>
      <c r="C583" s="11" t="s">
        <v>4054</v>
      </c>
      <c r="D583" s="11">
        <v>25.0</v>
      </c>
      <c r="E583" s="11">
        <v>13.5</v>
      </c>
      <c r="F583" s="11">
        <v>337.5</v>
      </c>
    </row>
    <row r="584">
      <c r="A584" s="11" t="s">
        <v>4056</v>
      </c>
      <c r="B584" s="11" t="s">
        <v>4041</v>
      </c>
      <c r="C584" s="11" t="s">
        <v>3774</v>
      </c>
      <c r="D584" s="11">
        <v>1.0</v>
      </c>
      <c r="E584" s="11">
        <v>95.0</v>
      </c>
      <c r="F584" s="11">
        <v>95.0</v>
      </c>
    </row>
    <row r="585">
      <c r="A585" s="11" t="s">
        <v>4060</v>
      </c>
      <c r="B585" s="11" t="s">
        <v>4061</v>
      </c>
      <c r="C585" s="11" t="s">
        <v>3427</v>
      </c>
      <c r="D585" s="11">
        <v>2.0</v>
      </c>
      <c r="E585" s="11">
        <v>12.49</v>
      </c>
      <c r="F585" s="11">
        <v>24.98</v>
      </c>
    </row>
    <row r="586">
      <c r="A586" s="11" t="s">
        <v>4064</v>
      </c>
      <c r="B586" s="11" t="s">
        <v>4061</v>
      </c>
      <c r="C586" s="11" t="s">
        <v>3431</v>
      </c>
      <c r="D586" s="11">
        <v>2.0</v>
      </c>
      <c r="E586" s="11">
        <v>6.79</v>
      </c>
      <c r="F586" s="11">
        <v>13.58</v>
      </c>
    </row>
    <row r="587">
      <c r="A587" s="11" t="s">
        <v>4066</v>
      </c>
      <c r="B587" s="11" t="s">
        <v>4061</v>
      </c>
      <c r="C587" s="11" t="s">
        <v>3628</v>
      </c>
      <c r="D587" s="11">
        <v>2.0</v>
      </c>
      <c r="E587" s="11">
        <v>19.59</v>
      </c>
      <c r="F587" s="11">
        <v>39.18</v>
      </c>
    </row>
    <row r="588">
      <c r="A588" s="11" t="s">
        <v>4068</v>
      </c>
      <c r="B588" s="11" t="s">
        <v>4061</v>
      </c>
      <c r="C588" s="11" t="s">
        <v>3284</v>
      </c>
      <c r="D588" s="11">
        <v>2.12</v>
      </c>
      <c r="E588" s="11">
        <v>13.19</v>
      </c>
      <c r="F588" s="11">
        <v>27.96</v>
      </c>
    </row>
    <row r="589">
      <c r="A589" s="11" t="s">
        <v>4071</v>
      </c>
      <c r="B589" s="11" t="s">
        <v>4072</v>
      </c>
      <c r="C589" s="11" t="s">
        <v>3384</v>
      </c>
      <c r="D589" s="11">
        <v>5.0</v>
      </c>
      <c r="E589" s="11">
        <v>12.98</v>
      </c>
      <c r="F589" s="11">
        <v>64.9</v>
      </c>
    </row>
    <row r="590">
      <c r="A590" s="11" t="s">
        <v>4075</v>
      </c>
      <c r="B590" s="11" t="s">
        <v>4072</v>
      </c>
      <c r="C590" s="11" t="s">
        <v>3319</v>
      </c>
      <c r="D590" s="11">
        <v>10.0</v>
      </c>
      <c r="E590" s="11">
        <v>11.98</v>
      </c>
      <c r="F590" s="11">
        <v>119.8</v>
      </c>
    </row>
    <row r="591">
      <c r="A591" s="11" t="s">
        <v>4078</v>
      </c>
      <c r="B591" s="11" t="s">
        <v>4072</v>
      </c>
      <c r="C591" s="11" t="s">
        <v>3348</v>
      </c>
      <c r="D591" s="11">
        <v>3.888</v>
      </c>
      <c r="E591" s="11">
        <v>6.98</v>
      </c>
      <c r="F591" s="11">
        <v>27.14</v>
      </c>
    </row>
    <row r="592">
      <c r="A592" s="11" t="s">
        <v>4080</v>
      </c>
      <c r="B592" s="11" t="s">
        <v>4072</v>
      </c>
      <c r="C592" s="11" t="s">
        <v>3388</v>
      </c>
      <c r="D592" s="11">
        <v>6.1</v>
      </c>
      <c r="E592" s="11">
        <v>3.98</v>
      </c>
      <c r="F592" s="11">
        <v>24.28</v>
      </c>
    </row>
    <row r="593">
      <c r="A593" s="11" t="s">
        <v>4083</v>
      </c>
      <c r="B593" s="11" t="s">
        <v>4084</v>
      </c>
      <c r="C593" s="19" t="s">
        <v>3325</v>
      </c>
      <c r="D593" s="11">
        <v>10.0</v>
      </c>
      <c r="E593" s="11">
        <v>25.0</v>
      </c>
      <c r="F593" s="11">
        <v>250.0</v>
      </c>
    </row>
    <row r="594">
      <c r="A594" s="11" t="s">
        <v>4087</v>
      </c>
      <c r="B594" s="11" t="s">
        <v>4089</v>
      </c>
      <c r="C594" s="11" t="s">
        <v>3339</v>
      </c>
      <c r="D594" s="11">
        <v>1.0</v>
      </c>
      <c r="E594" s="11">
        <v>1032.0</v>
      </c>
      <c r="F594" s="11">
        <v>1032.0</v>
      </c>
    </row>
    <row r="595">
      <c r="A595" s="11" t="s">
        <v>4092</v>
      </c>
      <c r="B595" s="11" t="s">
        <v>4093</v>
      </c>
      <c r="C595" s="11" t="s">
        <v>386</v>
      </c>
      <c r="D595" s="11">
        <v>1.0</v>
      </c>
      <c r="E595" s="11">
        <v>7.0</v>
      </c>
      <c r="F595" s="11">
        <v>7.0</v>
      </c>
    </row>
    <row r="596">
      <c r="A596" s="11" t="s">
        <v>4095</v>
      </c>
      <c r="B596" s="11" t="s">
        <v>4097</v>
      </c>
      <c r="C596" s="19" t="s">
        <v>3325</v>
      </c>
      <c r="D596" s="11">
        <v>10.0</v>
      </c>
      <c r="E596" s="11">
        <v>25.0</v>
      </c>
      <c r="F596" s="11">
        <v>250.0</v>
      </c>
    </row>
    <row r="597">
      <c r="A597" s="11" t="s">
        <v>4099</v>
      </c>
      <c r="B597" s="11" t="s">
        <v>4100</v>
      </c>
      <c r="C597" s="11" t="s">
        <v>2040</v>
      </c>
      <c r="D597" s="11">
        <v>1.0</v>
      </c>
      <c r="E597" s="11">
        <v>7900.59</v>
      </c>
      <c r="F597" s="11">
        <v>7900.59</v>
      </c>
    </row>
    <row r="598">
      <c r="A598" s="11" t="s">
        <v>4103</v>
      </c>
      <c r="B598" s="11" t="s">
        <v>4100</v>
      </c>
      <c r="C598" s="11" t="s">
        <v>3047</v>
      </c>
      <c r="D598" s="11">
        <v>1.0</v>
      </c>
      <c r="E598" s="11">
        <v>671.55</v>
      </c>
      <c r="F598" s="11">
        <v>671.55</v>
      </c>
    </row>
    <row r="599">
      <c r="A599" s="11" t="s">
        <v>4105</v>
      </c>
      <c r="B599" s="11" t="s">
        <v>4100</v>
      </c>
      <c r="C599" s="11" t="s">
        <v>3470</v>
      </c>
      <c r="D599" s="11">
        <v>1.0</v>
      </c>
      <c r="E599" s="11">
        <v>135.33</v>
      </c>
      <c r="F599" s="11">
        <v>135.33</v>
      </c>
    </row>
    <row r="600">
      <c r="A600" s="11" t="s">
        <v>4108</v>
      </c>
      <c r="B600" s="11" t="s">
        <v>4109</v>
      </c>
      <c r="C600" s="11" t="s">
        <v>3358</v>
      </c>
      <c r="D600" s="11">
        <v>15.0</v>
      </c>
      <c r="E600" s="11">
        <v>13.3</v>
      </c>
      <c r="F600" s="11">
        <v>199.5</v>
      </c>
    </row>
    <row r="601">
      <c r="A601" s="11" t="s">
        <v>4112</v>
      </c>
      <c r="B601" s="11" t="s">
        <v>4109</v>
      </c>
      <c r="C601" s="11" t="s">
        <v>3520</v>
      </c>
      <c r="D601" s="11">
        <v>7.0</v>
      </c>
      <c r="E601" s="11">
        <v>15.5</v>
      </c>
      <c r="F601" s="11">
        <v>108.5</v>
      </c>
    </row>
    <row r="602">
      <c r="A602" s="11" t="s">
        <v>4115</v>
      </c>
      <c r="B602" s="11" t="s">
        <v>4116</v>
      </c>
      <c r="C602" s="11" t="s">
        <v>1958</v>
      </c>
      <c r="D602" s="11">
        <v>1.0</v>
      </c>
      <c r="E602" s="11">
        <v>3330.44</v>
      </c>
      <c r="F602" s="11">
        <v>3330.44</v>
      </c>
    </row>
    <row r="603">
      <c r="A603" s="11" t="s">
        <v>4119</v>
      </c>
      <c r="B603" s="11" t="s">
        <v>4116</v>
      </c>
      <c r="C603" s="11" t="s">
        <v>3047</v>
      </c>
      <c r="D603" s="11">
        <v>1.0</v>
      </c>
      <c r="E603" s="11">
        <v>283.09</v>
      </c>
      <c r="F603" s="11">
        <v>283.09</v>
      </c>
    </row>
    <row r="604">
      <c r="A604" s="11" t="s">
        <v>4123</v>
      </c>
      <c r="B604" s="11" t="s">
        <v>4125</v>
      </c>
      <c r="C604" s="11" t="s">
        <v>4126</v>
      </c>
      <c r="D604" s="11">
        <v>1.0</v>
      </c>
      <c r="E604" s="11">
        <v>250.0</v>
      </c>
      <c r="F604" s="11">
        <v>250.0</v>
      </c>
    </row>
    <row r="605">
      <c r="A605" s="11" t="s">
        <v>4128</v>
      </c>
      <c r="B605" s="11" t="s">
        <v>4129</v>
      </c>
      <c r="C605" s="11" t="s">
        <v>4131</v>
      </c>
      <c r="D605" s="11">
        <v>1.0</v>
      </c>
      <c r="E605" s="11">
        <v>22.5</v>
      </c>
      <c r="F605" s="11">
        <v>22.5</v>
      </c>
    </row>
    <row r="606">
      <c r="A606" s="11" t="s">
        <v>4133</v>
      </c>
      <c r="B606" s="11" t="s">
        <v>4134</v>
      </c>
      <c r="C606" s="11" t="s">
        <v>4131</v>
      </c>
      <c r="D606" s="11">
        <v>1.0</v>
      </c>
      <c r="E606" s="11">
        <v>22.0</v>
      </c>
      <c r="F606" s="11">
        <v>22.0</v>
      </c>
    </row>
    <row r="607">
      <c r="A607" s="11" t="s">
        <v>4136</v>
      </c>
      <c r="B607" s="11" t="s">
        <v>4137</v>
      </c>
      <c r="C607" s="11" t="s">
        <v>819</v>
      </c>
      <c r="D607" s="11">
        <v>1.0</v>
      </c>
      <c r="E607" s="11">
        <v>735.19</v>
      </c>
      <c r="F607" s="11">
        <v>735.19</v>
      </c>
    </row>
    <row r="608">
      <c r="A608" s="11" t="s">
        <v>4139</v>
      </c>
      <c r="B608" s="11" t="s">
        <v>4142</v>
      </c>
      <c r="C608" s="11" t="s">
        <v>3388</v>
      </c>
      <c r="D608" s="11">
        <v>7.31</v>
      </c>
      <c r="E608" s="11">
        <v>3.98</v>
      </c>
      <c r="F608" s="11">
        <v>29.09</v>
      </c>
    </row>
    <row r="609">
      <c r="A609" s="11" t="s">
        <v>4144</v>
      </c>
      <c r="B609" s="11" t="s">
        <v>4142</v>
      </c>
      <c r="C609" s="11" t="s">
        <v>3319</v>
      </c>
      <c r="D609" s="11">
        <v>10.0</v>
      </c>
      <c r="E609" s="11">
        <v>11.98</v>
      </c>
      <c r="F609" s="11">
        <v>119.8</v>
      </c>
    </row>
    <row r="610">
      <c r="A610" s="11" t="s">
        <v>4147</v>
      </c>
      <c r="B610" s="11" t="s">
        <v>4142</v>
      </c>
      <c r="C610" s="11" t="s">
        <v>3348</v>
      </c>
      <c r="D610" s="11">
        <v>2.188</v>
      </c>
      <c r="E610" s="11">
        <v>6.98</v>
      </c>
      <c r="F610" s="11">
        <v>15.27</v>
      </c>
    </row>
    <row r="611">
      <c r="A611" s="11" t="s">
        <v>4150</v>
      </c>
      <c r="B611" s="11" t="s">
        <v>4151</v>
      </c>
      <c r="C611" s="11" t="s">
        <v>3785</v>
      </c>
      <c r="D611" s="11">
        <v>10.0</v>
      </c>
      <c r="E611" s="11">
        <v>0.95</v>
      </c>
      <c r="F611" s="11">
        <v>9.5</v>
      </c>
    </row>
    <row r="612">
      <c r="A612" s="11" t="s">
        <v>4155</v>
      </c>
      <c r="B612" s="11" t="s">
        <v>4151</v>
      </c>
      <c r="C612" s="11" t="s">
        <v>3284</v>
      </c>
      <c r="D612" s="11">
        <v>1.725</v>
      </c>
      <c r="E612" s="11">
        <v>13.19</v>
      </c>
      <c r="F612" s="11">
        <v>22.75</v>
      </c>
    </row>
    <row r="613">
      <c r="A613" s="11" t="s">
        <v>4157</v>
      </c>
      <c r="B613" s="11" t="s">
        <v>4151</v>
      </c>
      <c r="C613" s="11" t="s">
        <v>3427</v>
      </c>
      <c r="D613" s="11">
        <v>1.0</v>
      </c>
      <c r="E613" s="11">
        <v>12.79</v>
      </c>
      <c r="F613" s="11">
        <v>12.79</v>
      </c>
    </row>
    <row r="614">
      <c r="A614" s="19" t="s">
        <v>4159</v>
      </c>
      <c r="B614" s="11" t="s">
        <v>4160</v>
      </c>
      <c r="C614" s="19" t="s">
        <v>3325</v>
      </c>
      <c r="D614" s="11">
        <v>10.0</v>
      </c>
      <c r="E614" s="11">
        <v>25.0</v>
      </c>
      <c r="F614" s="11">
        <v>250.0</v>
      </c>
    </row>
    <row r="615">
      <c r="A615" s="11" t="s">
        <v>4164</v>
      </c>
      <c r="B615" s="11" t="s">
        <v>4165</v>
      </c>
      <c r="C615" s="11" t="s">
        <v>3339</v>
      </c>
      <c r="D615" s="11">
        <v>1.0</v>
      </c>
      <c r="E615" s="11">
        <v>864.0</v>
      </c>
      <c r="F615" s="11">
        <v>864.0</v>
      </c>
    </row>
    <row r="616">
      <c r="A616" s="11" t="s">
        <v>4168</v>
      </c>
      <c r="B616" s="11" t="s">
        <v>4169</v>
      </c>
      <c r="C616" s="11" t="s">
        <v>3339</v>
      </c>
      <c r="D616" s="11">
        <v>3.0</v>
      </c>
      <c r="E616" s="11">
        <v>9.39</v>
      </c>
      <c r="F616" s="11">
        <v>28.17</v>
      </c>
    </row>
    <row r="617">
      <c r="A617" s="11" t="s">
        <v>4171</v>
      </c>
      <c r="B617" s="11" t="s">
        <v>4172</v>
      </c>
      <c r="C617" s="19" t="s">
        <v>3325</v>
      </c>
      <c r="D617" s="11">
        <v>10.0</v>
      </c>
      <c r="E617" s="11">
        <v>25.0</v>
      </c>
      <c r="F617" s="11">
        <v>250.0</v>
      </c>
    </row>
    <row r="618">
      <c r="A618" s="11" t="s">
        <v>4180</v>
      </c>
      <c r="B618" s="11" t="s">
        <v>4181</v>
      </c>
      <c r="C618" s="11" t="s">
        <v>3303</v>
      </c>
      <c r="D618" s="11">
        <v>5.0</v>
      </c>
      <c r="E618" s="11">
        <v>41.6</v>
      </c>
      <c r="F618" s="11">
        <v>208.0</v>
      </c>
    </row>
    <row r="619">
      <c r="A619" s="11" t="s">
        <v>4183</v>
      </c>
      <c r="B619" s="11" t="s">
        <v>4181</v>
      </c>
      <c r="C619" s="11" t="s">
        <v>3308</v>
      </c>
      <c r="D619" s="11">
        <v>5.0</v>
      </c>
      <c r="E619" s="11">
        <v>20.8</v>
      </c>
      <c r="F619" s="11">
        <v>104.0</v>
      </c>
    </row>
    <row r="620">
      <c r="A620" s="19" t="s">
        <v>4187</v>
      </c>
      <c r="B620" s="11" t="s">
        <v>4181</v>
      </c>
      <c r="C620" s="11" t="s">
        <v>3645</v>
      </c>
      <c r="D620" s="11">
        <v>1.0</v>
      </c>
      <c r="E620" s="11">
        <v>27.08</v>
      </c>
      <c r="F620" s="11">
        <v>27.08</v>
      </c>
    </row>
    <row r="621">
      <c r="A621" s="11" t="s">
        <v>4192</v>
      </c>
      <c r="B621" s="11" t="s">
        <v>4181</v>
      </c>
      <c r="C621" s="11" t="s">
        <v>3665</v>
      </c>
      <c r="D621" s="11">
        <v>8.0</v>
      </c>
      <c r="E621" s="11">
        <v>6.64</v>
      </c>
      <c r="F621" s="11">
        <v>53.12</v>
      </c>
    </row>
    <row r="622">
      <c r="A622" s="11" t="s">
        <v>4195</v>
      </c>
      <c r="B622" s="11" t="s">
        <v>4196</v>
      </c>
      <c r="C622" s="11" t="s">
        <v>3319</v>
      </c>
      <c r="D622" s="11">
        <v>10.0</v>
      </c>
      <c r="E622" s="11">
        <v>11.98</v>
      </c>
      <c r="F622" s="11">
        <v>119.8</v>
      </c>
    </row>
    <row r="623">
      <c r="A623" s="11" t="s">
        <v>4199</v>
      </c>
      <c r="B623" s="11" t="s">
        <v>4196</v>
      </c>
      <c r="C623" s="11" t="s">
        <v>3384</v>
      </c>
      <c r="D623" s="11">
        <v>2.0</v>
      </c>
      <c r="E623" s="11">
        <v>12.98</v>
      </c>
      <c r="F623" s="11">
        <v>25.96</v>
      </c>
    </row>
    <row r="624">
      <c r="A624" s="11" t="s">
        <v>4201</v>
      </c>
      <c r="B624" s="11" t="s">
        <v>4203</v>
      </c>
      <c r="C624" s="11" t="s">
        <v>3284</v>
      </c>
      <c r="D624" s="11">
        <v>1.015</v>
      </c>
      <c r="E624" s="11">
        <v>13.19</v>
      </c>
      <c r="F624" s="11">
        <v>13.39</v>
      </c>
    </row>
    <row r="625">
      <c r="A625" s="11" t="s">
        <v>4205</v>
      </c>
      <c r="B625" s="11" t="s">
        <v>4203</v>
      </c>
      <c r="C625" s="11" t="s">
        <v>3431</v>
      </c>
      <c r="D625" s="11">
        <v>1.0</v>
      </c>
      <c r="E625" s="11">
        <v>8.99</v>
      </c>
      <c r="F625" s="11">
        <v>8.99</v>
      </c>
    </row>
    <row r="626">
      <c r="A626" s="11" t="s">
        <v>4207</v>
      </c>
      <c r="B626" s="11" t="s">
        <v>4203</v>
      </c>
      <c r="C626" s="11" t="s">
        <v>3427</v>
      </c>
      <c r="D626" s="11">
        <v>1.0</v>
      </c>
      <c r="E626" s="11">
        <v>12.79</v>
      </c>
      <c r="F626" s="11">
        <v>12.79</v>
      </c>
    </row>
    <row r="627">
      <c r="A627" s="11" t="s">
        <v>4210</v>
      </c>
      <c r="B627" s="11" t="s">
        <v>4211</v>
      </c>
      <c r="C627" s="19" t="s">
        <v>3325</v>
      </c>
      <c r="D627" s="11">
        <v>7.0</v>
      </c>
      <c r="E627" s="11">
        <v>25.0</v>
      </c>
      <c r="F627" s="11">
        <v>175.0</v>
      </c>
    </row>
    <row r="628">
      <c r="A628" s="11" t="s">
        <v>4214</v>
      </c>
      <c r="B628" s="11" t="s">
        <v>4215</v>
      </c>
      <c r="C628" s="11" t="s">
        <v>3339</v>
      </c>
      <c r="D628" s="11">
        <v>1.0</v>
      </c>
      <c r="E628" s="11">
        <v>608.0</v>
      </c>
      <c r="F628" s="11">
        <v>608.0</v>
      </c>
    </row>
    <row r="629">
      <c r="A629" s="11" t="s">
        <v>4217</v>
      </c>
      <c r="B629" s="11" t="s">
        <v>4218</v>
      </c>
      <c r="C629" s="11" t="s">
        <v>2040</v>
      </c>
      <c r="D629" s="11">
        <v>1.0</v>
      </c>
      <c r="E629" s="11">
        <v>9983.17</v>
      </c>
      <c r="F629" s="11">
        <v>9983.17</v>
      </c>
    </row>
    <row r="630">
      <c r="A630" s="11" t="s">
        <v>4221</v>
      </c>
      <c r="B630" s="11" t="s">
        <v>4218</v>
      </c>
      <c r="C630" s="11" t="s">
        <v>3047</v>
      </c>
      <c r="D630" s="11">
        <v>1.0</v>
      </c>
      <c r="E630" s="11">
        <v>848.57</v>
      </c>
      <c r="F630" s="11">
        <v>848.57</v>
      </c>
    </row>
    <row r="631">
      <c r="A631" s="19" t="s">
        <v>4224</v>
      </c>
      <c r="B631" s="11" t="s">
        <v>4218</v>
      </c>
      <c r="C631" s="11" t="s">
        <v>3470</v>
      </c>
      <c r="D631" s="11">
        <v>1.0</v>
      </c>
      <c r="E631" s="11">
        <v>191.98</v>
      </c>
      <c r="F631" s="11">
        <v>191.98</v>
      </c>
    </row>
    <row r="632">
      <c r="A632" s="11" t="s">
        <v>4226</v>
      </c>
      <c r="B632" s="11" t="s">
        <v>4228</v>
      </c>
      <c r="C632" s="11" t="s">
        <v>4230</v>
      </c>
      <c r="D632" s="11">
        <v>1.0</v>
      </c>
      <c r="E632" s="11">
        <v>782.4</v>
      </c>
      <c r="F632" s="11">
        <v>782.4</v>
      </c>
    </row>
    <row r="633">
      <c r="A633" s="11" t="s">
        <v>4232</v>
      </c>
      <c r="B633" s="11" t="s">
        <v>4228</v>
      </c>
      <c r="C633" s="11" t="s">
        <v>3047</v>
      </c>
      <c r="D633" s="11">
        <v>1.0</v>
      </c>
      <c r="E633" s="11">
        <v>66.5</v>
      </c>
      <c r="F633" s="11">
        <v>66.5</v>
      </c>
    </row>
    <row r="634">
      <c r="A634" s="11" t="s">
        <v>4235</v>
      </c>
      <c r="B634" s="11" t="s">
        <v>4236</v>
      </c>
      <c r="C634" s="11" t="s">
        <v>819</v>
      </c>
      <c r="D634" s="11">
        <v>1.0</v>
      </c>
      <c r="E634" s="11">
        <v>719.1</v>
      </c>
      <c r="F634" s="11">
        <v>719.1</v>
      </c>
    </row>
    <row r="635">
      <c r="A635" s="11" t="s">
        <v>4239</v>
      </c>
      <c r="B635" s="19" t="s">
        <v>4240</v>
      </c>
      <c r="C635" s="11" t="s">
        <v>3319</v>
      </c>
      <c r="D635" s="11">
        <v>10.0</v>
      </c>
      <c r="E635" s="11">
        <v>11.98</v>
      </c>
      <c r="F635" s="11">
        <v>119.8</v>
      </c>
    </row>
    <row r="636">
      <c r="A636" s="11" t="s">
        <v>4243</v>
      </c>
      <c r="B636" s="19" t="s">
        <v>4240</v>
      </c>
      <c r="C636" s="11" t="s">
        <v>3388</v>
      </c>
      <c r="D636" s="11">
        <v>4.826</v>
      </c>
      <c r="E636" s="11">
        <v>3.98</v>
      </c>
      <c r="F636" s="11">
        <v>19.21</v>
      </c>
    </row>
    <row r="637">
      <c r="A637" s="11" t="s">
        <v>4246</v>
      </c>
      <c r="B637" s="19" t="s">
        <v>4240</v>
      </c>
      <c r="C637" s="11" t="s">
        <v>3348</v>
      </c>
      <c r="D637" s="11">
        <v>2.362</v>
      </c>
      <c r="E637" s="11">
        <v>6.98</v>
      </c>
      <c r="F637" s="11">
        <v>16.49</v>
      </c>
    </row>
    <row r="638">
      <c r="A638" s="11" t="s">
        <v>4253</v>
      </c>
      <c r="B638" s="11" t="s">
        <v>4254</v>
      </c>
      <c r="C638" s="19" t="s">
        <v>3325</v>
      </c>
      <c r="D638" s="11">
        <v>10.0</v>
      </c>
      <c r="E638" s="11">
        <v>25.0</v>
      </c>
      <c r="F638" s="11">
        <v>250.0</v>
      </c>
    </row>
    <row r="639">
      <c r="A639" s="11" t="s">
        <v>4257</v>
      </c>
      <c r="B639" s="11" t="s">
        <v>4259</v>
      </c>
      <c r="C639" s="11" t="s">
        <v>4260</v>
      </c>
      <c r="D639" s="11">
        <v>1.0</v>
      </c>
      <c r="E639" s="11">
        <v>11.25</v>
      </c>
      <c r="F639" s="11">
        <v>11.25</v>
      </c>
    </row>
    <row r="640">
      <c r="A640" s="11" t="s">
        <v>4262</v>
      </c>
      <c r="B640" s="11" t="s">
        <v>4263</v>
      </c>
      <c r="C640" s="11" t="s">
        <v>3427</v>
      </c>
      <c r="D640" s="11">
        <v>2.0</v>
      </c>
      <c r="E640" s="11">
        <v>12.79</v>
      </c>
      <c r="F640" s="11">
        <v>25.58</v>
      </c>
    </row>
    <row r="641">
      <c r="A641" s="11" t="s">
        <v>4266</v>
      </c>
      <c r="B641" s="11" t="s">
        <v>4263</v>
      </c>
      <c r="C641" s="11" t="s">
        <v>3431</v>
      </c>
      <c r="D641" s="11">
        <v>2.0</v>
      </c>
      <c r="E641" s="11">
        <v>8.69</v>
      </c>
      <c r="F641" s="11">
        <v>17.38</v>
      </c>
    </row>
    <row r="642">
      <c r="A642" s="11" t="s">
        <v>4268</v>
      </c>
      <c r="B642" s="11" t="s">
        <v>4263</v>
      </c>
      <c r="C642" s="11" t="s">
        <v>3628</v>
      </c>
      <c r="D642" s="11">
        <v>3.0</v>
      </c>
      <c r="E642" s="11">
        <v>19.59</v>
      </c>
      <c r="F642" s="11">
        <v>58.77</v>
      </c>
    </row>
    <row r="643">
      <c r="A643" s="11" t="s">
        <v>4272</v>
      </c>
      <c r="B643" s="11" t="s">
        <v>4263</v>
      </c>
      <c r="C643" s="11" t="s">
        <v>3284</v>
      </c>
      <c r="D643" s="11">
        <v>1.31</v>
      </c>
      <c r="E643" s="11">
        <v>13.49</v>
      </c>
      <c r="F643" s="11">
        <v>17.67</v>
      </c>
    </row>
    <row r="644">
      <c r="A644" s="11" t="s">
        <v>4274</v>
      </c>
      <c r="B644" s="11" t="s">
        <v>4276</v>
      </c>
      <c r="C644" s="19" t="s">
        <v>3325</v>
      </c>
      <c r="D644" s="11">
        <v>7.0</v>
      </c>
      <c r="E644" s="11">
        <v>25.0</v>
      </c>
      <c r="F644" s="11">
        <v>175.0</v>
      </c>
    </row>
    <row r="645">
      <c r="A645" s="11" t="s">
        <v>4278</v>
      </c>
      <c r="B645" s="19" t="s">
        <v>4279</v>
      </c>
      <c r="C645" s="11" t="s">
        <v>3358</v>
      </c>
      <c r="D645" s="11">
        <v>15.0</v>
      </c>
      <c r="E645" s="11">
        <v>13.3</v>
      </c>
      <c r="F645" s="11">
        <v>199.5</v>
      </c>
    </row>
    <row r="646">
      <c r="A646" s="11" t="s">
        <v>4283</v>
      </c>
      <c r="B646" s="11" t="s">
        <v>4284</v>
      </c>
      <c r="C646" s="11" t="s">
        <v>1958</v>
      </c>
      <c r="D646" s="11">
        <v>1.0</v>
      </c>
      <c r="E646" s="11">
        <v>5893.36</v>
      </c>
      <c r="F646" s="11">
        <v>5893.36</v>
      </c>
    </row>
    <row r="647">
      <c r="A647" s="11" t="s">
        <v>4287</v>
      </c>
      <c r="B647" s="11" t="s">
        <v>4284</v>
      </c>
      <c r="C647" s="11" t="s">
        <v>3047</v>
      </c>
      <c r="D647" s="11">
        <v>1.0</v>
      </c>
      <c r="E647" s="11">
        <v>500.94</v>
      </c>
      <c r="F647" s="11">
        <v>500.94</v>
      </c>
    </row>
    <row r="648">
      <c r="A648" s="11" t="s">
        <v>4296</v>
      </c>
      <c r="B648" s="11" t="s">
        <v>4297</v>
      </c>
      <c r="C648" s="11" t="s">
        <v>2040</v>
      </c>
      <c r="D648" s="11">
        <v>1.0</v>
      </c>
      <c r="E648" s="11">
        <v>6213.5</v>
      </c>
      <c r="F648" s="11">
        <v>6213.5</v>
      </c>
    </row>
    <row r="649">
      <c r="A649" s="11" t="s">
        <v>4300</v>
      </c>
      <c r="B649" s="11" t="s">
        <v>4297</v>
      </c>
      <c r="C649" s="11" t="s">
        <v>3047</v>
      </c>
      <c r="D649" s="11">
        <v>1.0</v>
      </c>
      <c r="E649" s="11">
        <v>528.15</v>
      </c>
      <c r="F649" s="11">
        <v>528.15</v>
      </c>
    </row>
    <row r="650">
      <c r="A650" s="11" t="s">
        <v>4303</v>
      </c>
      <c r="B650" s="11" t="s">
        <v>4297</v>
      </c>
      <c r="C650" s="11" t="s">
        <v>3470</v>
      </c>
      <c r="D650" s="11">
        <v>1.0</v>
      </c>
      <c r="E650" s="11">
        <v>61.89</v>
      </c>
      <c r="F650" s="11">
        <v>61.89</v>
      </c>
    </row>
    <row r="651">
      <c r="A651" s="11" t="s">
        <v>4307</v>
      </c>
      <c r="B651" s="11" t="s">
        <v>4308</v>
      </c>
      <c r="C651" s="11" t="s">
        <v>3339</v>
      </c>
      <c r="D651" s="11">
        <v>1.0</v>
      </c>
      <c r="E651" s="11">
        <v>642.0</v>
      </c>
      <c r="F651" s="11">
        <v>642.0</v>
      </c>
    </row>
    <row r="652">
      <c r="A652" s="11" t="s">
        <v>4311</v>
      </c>
      <c r="B652" s="11" t="s">
        <v>4312</v>
      </c>
      <c r="C652" s="11" t="s">
        <v>3348</v>
      </c>
      <c r="D652" s="11">
        <v>2.418</v>
      </c>
      <c r="E652" s="11">
        <v>6.98</v>
      </c>
      <c r="F652" s="11">
        <v>16.88</v>
      </c>
    </row>
    <row r="653">
      <c r="A653" s="11" t="s">
        <v>4315</v>
      </c>
      <c r="B653" s="11" t="s">
        <v>4312</v>
      </c>
      <c r="C653" s="11" t="s">
        <v>3384</v>
      </c>
      <c r="D653" s="11">
        <v>4.0</v>
      </c>
      <c r="E653" s="11">
        <v>12.98</v>
      </c>
      <c r="F653" s="11">
        <v>51.92</v>
      </c>
    </row>
    <row r="654">
      <c r="A654" s="11" t="s">
        <v>4317</v>
      </c>
      <c r="B654" s="11" t="s">
        <v>4312</v>
      </c>
      <c r="C654" s="11" t="s">
        <v>3319</v>
      </c>
      <c r="D654" s="11">
        <v>10.0</v>
      </c>
      <c r="E654" s="11">
        <v>11.98</v>
      </c>
      <c r="F654" s="11">
        <v>119.8</v>
      </c>
    </row>
    <row r="655">
      <c r="A655" s="11" t="s">
        <v>4319</v>
      </c>
      <c r="B655" s="11" t="s">
        <v>4320</v>
      </c>
      <c r="C655" s="19" t="s">
        <v>3325</v>
      </c>
      <c r="D655" s="11">
        <v>5.0</v>
      </c>
      <c r="E655" s="11">
        <v>25.0</v>
      </c>
      <c r="F655" s="11">
        <v>125.0</v>
      </c>
    </row>
    <row r="656">
      <c r="A656" s="11" t="s">
        <v>4323</v>
      </c>
      <c r="B656" s="11" t="s">
        <v>4325</v>
      </c>
      <c r="C656" s="11" t="s">
        <v>4326</v>
      </c>
      <c r="D656" s="11">
        <v>1.0</v>
      </c>
      <c r="E656" s="11">
        <v>12.0</v>
      </c>
      <c r="F656" s="11">
        <v>12.0</v>
      </c>
    </row>
    <row r="657">
      <c r="A657" s="11" t="s">
        <v>4329</v>
      </c>
      <c r="B657" s="11" t="s">
        <v>4331</v>
      </c>
      <c r="C657" s="11" t="s">
        <v>4332</v>
      </c>
      <c r="D657" s="11">
        <v>2.0</v>
      </c>
      <c r="E657" s="11">
        <v>18.25</v>
      </c>
      <c r="F657" s="11">
        <v>36.5</v>
      </c>
    </row>
    <row r="658">
      <c r="A658" s="11" t="s">
        <v>4335</v>
      </c>
      <c r="B658" s="11" t="s">
        <v>4331</v>
      </c>
      <c r="C658" s="11" t="s">
        <v>4336</v>
      </c>
      <c r="D658" s="11">
        <v>2.0</v>
      </c>
      <c r="E658" s="11">
        <v>9.99</v>
      </c>
      <c r="F658" s="11">
        <v>19.98</v>
      </c>
    </row>
    <row r="659">
      <c r="A659" s="11" t="s">
        <v>4340</v>
      </c>
      <c r="B659" s="11" t="s">
        <v>4341</v>
      </c>
      <c r="C659" s="19" t="s">
        <v>3959</v>
      </c>
      <c r="D659" s="11">
        <v>2.0</v>
      </c>
      <c r="E659" s="11">
        <v>2.3</v>
      </c>
      <c r="F659" s="11">
        <v>4.6</v>
      </c>
    </row>
    <row r="660">
      <c r="A660" s="11" t="s">
        <v>4344</v>
      </c>
      <c r="B660" s="11" t="s">
        <v>4346</v>
      </c>
      <c r="C660" s="11" t="s">
        <v>3319</v>
      </c>
      <c r="D660" s="11">
        <v>10.0</v>
      </c>
      <c r="E660" s="11">
        <v>11.98</v>
      </c>
      <c r="F660" s="11">
        <v>119.8</v>
      </c>
    </row>
    <row r="661">
      <c r="A661" s="11" t="s">
        <v>4350</v>
      </c>
      <c r="B661" s="11" t="s">
        <v>4346</v>
      </c>
      <c r="C661" s="11" t="s">
        <v>3388</v>
      </c>
      <c r="D661" s="11">
        <v>3.41</v>
      </c>
      <c r="E661" s="11">
        <v>3.98</v>
      </c>
      <c r="F661" s="11">
        <v>13.57</v>
      </c>
    </row>
    <row r="662">
      <c r="A662" s="11" t="s">
        <v>4353</v>
      </c>
      <c r="B662" s="11" t="s">
        <v>4346</v>
      </c>
      <c r="C662" s="11" t="s">
        <v>3384</v>
      </c>
      <c r="D662" s="11">
        <v>3.0</v>
      </c>
      <c r="E662" s="11">
        <v>12.98</v>
      </c>
      <c r="F662" s="11">
        <v>38.94</v>
      </c>
    </row>
    <row r="663">
      <c r="A663" s="11" t="s">
        <v>4355</v>
      </c>
      <c r="B663" s="11" t="s">
        <v>4346</v>
      </c>
      <c r="C663" s="11" t="s">
        <v>3348</v>
      </c>
      <c r="D663" s="11">
        <v>3.586</v>
      </c>
      <c r="E663" s="11">
        <v>6.98</v>
      </c>
      <c r="F663" s="11">
        <v>25.03</v>
      </c>
    </row>
    <row r="664">
      <c r="A664" s="11" t="s">
        <v>4357</v>
      </c>
      <c r="B664" s="11" t="s">
        <v>4358</v>
      </c>
      <c r="C664" s="19" t="s">
        <v>3325</v>
      </c>
      <c r="D664" s="11">
        <v>10.0</v>
      </c>
      <c r="E664" s="11">
        <v>25.0</v>
      </c>
      <c r="F664" s="11">
        <v>250.0</v>
      </c>
    </row>
    <row r="665">
      <c r="A665" s="11" t="s">
        <v>4360</v>
      </c>
      <c r="B665" s="11" t="s">
        <v>4361</v>
      </c>
      <c r="C665" s="11" t="s">
        <v>3427</v>
      </c>
      <c r="D665" s="11">
        <v>2.0</v>
      </c>
      <c r="E665" s="11">
        <v>8.99</v>
      </c>
      <c r="F665" s="11">
        <v>17.98</v>
      </c>
    </row>
    <row r="666">
      <c r="A666" s="11" t="s">
        <v>4363</v>
      </c>
      <c r="B666" s="11" t="s">
        <v>4361</v>
      </c>
      <c r="C666" s="11" t="s">
        <v>3431</v>
      </c>
      <c r="D666" s="11">
        <v>2.0</v>
      </c>
      <c r="E666" s="11">
        <v>6.99</v>
      </c>
      <c r="F666" s="11">
        <v>13.98</v>
      </c>
    </row>
    <row r="667">
      <c r="A667" s="11" t="s">
        <v>4367</v>
      </c>
      <c r="B667" s="11" t="s">
        <v>4361</v>
      </c>
      <c r="C667" s="11" t="s">
        <v>3284</v>
      </c>
      <c r="D667" s="11">
        <v>1.285</v>
      </c>
      <c r="E667" s="11">
        <v>13.19</v>
      </c>
      <c r="F667" s="11">
        <v>16.95</v>
      </c>
    </row>
    <row r="668">
      <c r="A668" s="11" t="s">
        <v>4372</v>
      </c>
      <c r="B668" s="11" t="s">
        <v>4373</v>
      </c>
      <c r="C668" s="11" t="s">
        <v>3339</v>
      </c>
      <c r="D668" s="11">
        <v>1.0</v>
      </c>
      <c r="E668" s="11">
        <v>786.0</v>
      </c>
      <c r="F668" s="11">
        <v>786.0</v>
      </c>
    </row>
    <row r="669">
      <c r="A669" s="19" t="s">
        <v>4376</v>
      </c>
      <c r="B669" s="11" t="s">
        <v>4378</v>
      </c>
      <c r="C669" s="11" t="s">
        <v>1958</v>
      </c>
      <c r="D669" s="11">
        <v>1.0</v>
      </c>
      <c r="E669" s="11">
        <v>2155.79</v>
      </c>
      <c r="F669" s="11">
        <v>2155.79</v>
      </c>
    </row>
    <row r="670">
      <c r="A670" s="11" t="s">
        <v>4381</v>
      </c>
      <c r="B670" s="11" t="s">
        <v>4378</v>
      </c>
      <c r="C670" s="11" t="s">
        <v>3047</v>
      </c>
      <c r="D670" s="11">
        <v>1.0</v>
      </c>
      <c r="E670" s="11">
        <v>183.24</v>
      </c>
      <c r="F670" s="11">
        <v>183.24</v>
      </c>
    </row>
    <row r="671">
      <c r="A671" s="11" t="s">
        <v>4385</v>
      </c>
      <c r="B671" s="11" t="s">
        <v>4386</v>
      </c>
      <c r="C671" s="11" t="s">
        <v>419</v>
      </c>
      <c r="D671" s="11">
        <v>1.0</v>
      </c>
      <c r="E671" s="11">
        <v>2052.5</v>
      </c>
      <c r="F671" s="11">
        <v>2052.5</v>
      </c>
    </row>
    <row r="672">
      <c r="A672" s="11" t="s">
        <v>4390</v>
      </c>
      <c r="B672" s="11" t="s">
        <v>4386</v>
      </c>
      <c r="C672" s="11" t="s">
        <v>3470</v>
      </c>
      <c r="D672" s="11">
        <v>1.0</v>
      </c>
      <c r="E672" s="11">
        <v>150.63</v>
      </c>
      <c r="F672" s="11">
        <v>150.63</v>
      </c>
    </row>
    <row r="673">
      <c r="A673" s="11" t="s">
        <v>4395</v>
      </c>
      <c r="B673" s="11" t="s">
        <v>4396</v>
      </c>
      <c r="C673" s="11" t="s">
        <v>2040</v>
      </c>
      <c r="D673" s="11">
        <v>1.0</v>
      </c>
      <c r="E673" s="11">
        <v>6213.5</v>
      </c>
      <c r="F673" s="11">
        <v>6213.5</v>
      </c>
    </row>
    <row r="674">
      <c r="A674" s="19" t="s">
        <v>4399</v>
      </c>
      <c r="B674" s="11" t="s">
        <v>4396</v>
      </c>
      <c r="C674" s="11" t="s">
        <v>3047</v>
      </c>
      <c r="D674" s="11">
        <v>1.0</v>
      </c>
      <c r="E674" s="11">
        <v>528.15</v>
      </c>
      <c r="F674" s="11">
        <v>528.15</v>
      </c>
    </row>
    <row r="675">
      <c r="A675" s="11" t="s">
        <v>4403</v>
      </c>
      <c r="B675" s="11" t="s">
        <v>4396</v>
      </c>
      <c r="C675" s="11" t="s">
        <v>3470</v>
      </c>
      <c r="D675" s="11">
        <v>1.0</v>
      </c>
      <c r="E675" s="11">
        <v>61.89</v>
      </c>
      <c r="F675" s="11">
        <v>61.89</v>
      </c>
    </row>
    <row r="676">
      <c r="A676" s="11" t="s">
        <v>4408</v>
      </c>
      <c r="B676" s="11" t="s">
        <v>4410</v>
      </c>
      <c r="C676" s="11" t="s">
        <v>3319</v>
      </c>
      <c r="D676" s="11">
        <v>10.0</v>
      </c>
      <c r="E676" s="11">
        <v>13.98</v>
      </c>
      <c r="F676" s="11">
        <v>139.8</v>
      </c>
    </row>
    <row r="677">
      <c r="A677" s="11" t="s">
        <v>4413</v>
      </c>
      <c r="B677" s="11" t="s">
        <v>4410</v>
      </c>
      <c r="C677" s="11" t="s">
        <v>3388</v>
      </c>
      <c r="D677" s="11">
        <v>4.76</v>
      </c>
      <c r="E677" s="11">
        <v>3.98</v>
      </c>
      <c r="F677" s="11">
        <v>18.94</v>
      </c>
    </row>
    <row r="678">
      <c r="A678" s="11" t="s">
        <v>4416</v>
      </c>
      <c r="B678" s="11" t="s">
        <v>4410</v>
      </c>
      <c r="C678" s="11" t="s">
        <v>3348</v>
      </c>
      <c r="D678" s="11">
        <v>1.354</v>
      </c>
      <c r="E678" s="11">
        <v>6.98</v>
      </c>
      <c r="F678" s="11">
        <v>9.45</v>
      </c>
    </row>
    <row r="679">
      <c r="A679" s="11" t="s">
        <v>4419</v>
      </c>
      <c r="B679" s="11" t="s">
        <v>4410</v>
      </c>
      <c r="C679" s="11" t="s">
        <v>3384</v>
      </c>
      <c r="D679" s="11">
        <v>2.0</v>
      </c>
      <c r="E679" s="11">
        <v>12.98</v>
      </c>
      <c r="F679" s="11">
        <v>25.96</v>
      </c>
    </row>
    <row r="680">
      <c r="A680" s="11" t="s">
        <v>4422</v>
      </c>
      <c r="B680" s="11" t="s">
        <v>4424</v>
      </c>
      <c r="C680" s="19" t="s">
        <v>3325</v>
      </c>
      <c r="D680" s="11">
        <v>8.0</v>
      </c>
      <c r="E680" s="11">
        <v>25.0</v>
      </c>
      <c r="F680" s="11">
        <v>200.0</v>
      </c>
    </row>
    <row r="681">
      <c r="A681" s="11" t="s">
        <v>4429</v>
      </c>
      <c r="B681" s="11" t="s">
        <v>4430</v>
      </c>
      <c r="C681" s="11" t="s">
        <v>819</v>
      </c>
      <c r="D681" s="11">
        <v>1.0</v>
      </c>
      <c r="E681" s="11">
        <v>638.69</v>
      </c>
      <c r="F681" s="11">
        <v>638.69</v>
      </c>
    </row>
    <row r="682">
      <c r="A682" s="19" t="s">
        <v>4433</v>
      </c>
      <c r="B682" s="11" t="s">
        <v>4435</v>
      </c>
      <c r="C682" s="11" t="s">
        <v>3628</v>
      </c>
      <c r="D682" s="11">
        <v>1.0</v>
      </c>
      <c r="E682" s="11">
        <v>19.99</v>
      </c>
      <c r="F682" s="11">
        <v>19.99</v>
      </c>
    </row>
    <row r="683">
      <c r="A683" s="11" t="s">
        <v>4438</v>
      </c>
      <c r="B683" s="11" t="s">
        <v>4435</v>
      </c>
      <c r="C683" s="11" t="s">
        <v>3284</v>
      </c>
      <c r="D683" s="11">
        <v>1.5</v>
      </c>
      <c r="E683" s="11">
        <v>13.19</v>
      </c>
      <c r="F683" s="11">
        <v>19.79</v>
      </c>
    </row>
    <row r="684">
      <c r="A684" s="11" t="s">
        <v>4441</v>
      </c>
      <c r="B684" s="11" t="s">
        <v>4435</v>
      </c>
      <c r="C684" s="11" t="s">
        <v>3431</v>
      </c>
      <c r="D684" s="11">
        <v>2.0</v>
      </c>
      <c r="E684" s="11">
        <v>5.99</v>
      </c>
      <c r="F684" s="11">
        <v>11.98</v>
      </c>
    </row>
    <row r="685">
      <c r="A685" s="11" t="s">
        <v>4447</v>
      </c>
      <c r="B685" s="11" t="s">
        <v>4435</v>
      </c>
      <c r="C685" s="11" t="s">
        <v>3427</v>
      </c>
      <c r="D685" s="11">
        <v>2.0</v>
      </c>
      <c r="E685" s="11">
        <v>12.99</v>
      </c>
      <c r="F685" s="11">
        <v>25.98</v>
      </c>
    </row>
    <row r="686">
      <c r="A686" s="11" t="s">
        <v>4450</v>
      </c>
      <c r="B686" s="11" t="s">
        <v>4452</v>
      </c>
      <c r="C686" s="11" t="s">
        <v>3388</v>
      </c>
      <c r="D686" s="11">
        <v>3.974</v>
      </c>
      <c r="E686" s="11">
        <v>3.98</v>
      </c>
      <c r="F686" s="11">
        <v>15.82</v>
      </c>
    </row>
    <row r="687">
      <c r="A687" s="11" t="s">
        <v>4457</v>
      </c>
      <c r="B687" s="11" t="s">
        <v>4452</v>
      </c>
      <c r="C687" s="11" t="s">
        <v>3348</v>
      </c>
      <c r="D687" s="11">
        <v>2.514</v>
      </c>
      <c r="E687" s="11">
        <v>6.98</v>
      </c>
      <c r="F687" s="11">
        <v>17.55</v>
      </c>
    </row>
    <row r="688">
      <c r="A688" s="11" t="s">
        <v>4462</v>
      </c>
      <c r="B688" s="11" t="s">
        <v>4452</v>
      </c>
      <c r="C688" s="11" t="s">
        <v>3384</v>
      </c>
      <c r="D688" s="11">
        <v>2.0</v>
      </c>
      <c r="E688" s="11">
        <v>16.98</v>
      </c>
      <c r="F688" s="11">
        <v>33.96</v>
      </c>
    </row>
    <row r="689">
      <c r="A689" s="11" t="s">
        <v>4466</v>
      </c>
      <c r="B689" s="11" t="s">
        <v>4452</v>
      </c>
      <c r="C689" s="11" t="s">
        <v>3319</v>
      </c>
      <c r="D689" s="11">
        <v>10.0</v>
      </c>
      <c r="E689" s="11">
        <v>13.98</v>
      </c>
      <c r="F689" s="11">
        <v>139.8</v>
      </c>
    </row>
    <row r="690">
      <c r="A690" s="11" t="s">
        <v>4469</v>
      </c>
      <c r="B690" s="11" t="s">
        <v>4471</v>
      </c>
      <c r="C690" s="11" t="s">
        <v>3339</v>
      </c>
      <c r="D690" s="11">
        <v>1.0</v>
      </c>
      <c r="E690" s="11">
        <v>750.0</v>
      </c>
      <c r="F690" s="11">
        <v>750.0</v>
      </c>
    </row>
    <row r="691">
      <c r="A691" s="11" t="s">
        <v>4474</v>
      </c>
      <c r="B691" s="11" t="s">
        <v>4475</v>
      </c>
      <c r="C691" s="19" t="s">
        <v>3325</v>
      </c>
      <c r="D691" s="11">
        <v>10.0</v>
      </c>
      <c r="E691" s="11">
        <v>25.0</v>
      </c>
      <c r="F691" s="11">
        <v>250.0</v>
      </c>
    </row>
    <row r="692">
      <c r="A692" s="11" t="s">
        <v>4478</v>
      </c>
      <c r="B692" s="11" t="s">
        <v>4480</v>
      </c>
      <c r="C692" s="11" t="s">
        <v>4045</v>
      </c>
      <c r="D692" s="11">
        <v>30.0</v>
      </c>
      <c r="E692" s="11">
        <v>1.9</v>
      </c>
      <c r="F692" s="11">
        <v>57.0</v>
      </c>
    </row>
    <row r="693">
      <c r="A693" s="11" t="s">
        <v>4485</v>
      </c>
      <c r="B693" s="11" t="s">
        <v>4480</v>
      </c>
      <c r="C693" s="11" t="s">
        <v>3820</v>
      </c>
      <c r="D693" s="11">
        <v>1.0</v>
      </c>
      <c r="E693" s="11">
        <v>154.0</v>
      </c>
      <c r="F693" s="11">
        <v>154.0</v>
      </c>
    </row>
    <row r="694">
      <c r="A694" s="11" t="s">
        <v>4488</v>
      </c>
      <c r="B694" s="11" t="s">
        <v>4490</v>
      </c>
      <c r="C694" s="11" t="s">
        <v>4491</v>
      </c>
      <c r="D694" s="11">
        <v>1.0</v>
      </c>
      <c r="E694" s="11">
        <v>7.99</v>
      </c>
      <c r="F694" s="11">
        <v>7.99</v>
      </c>
    </row>
    <row r="695">
      <c r="A695" s="11" t="s">
        <v>4496</v>
      </c>
      <c r="B695" s="11" t="s">
        <v>4490</v>
      </c>
      <c r="C695" s="11" t="s">
        <v>4499</v>
      </c>
      <c r="D695" s="11">
        <v>1.0</v>
      </c>
      <c r="E695" s="11">
        <v>19.9</v>
      </c>
      <c r="F695" s="11">
        <v>19.9</v>
      </c>
    </row>
    <row r="696">
      <c r="A696" s="11" t="s">
        <v>4502</v>
      </c>
      <c r="B696" s="11" t="s">
        <v>4490</v>
      </c>
      <c r="C696" s="11" t="s">
        <v>4503</v>
      </c>
      <c r="D696" s="11">
        <v>1.0</v>
      </c>
      <c r="E696" s="11">
        <v>24.9</v>
      </c>
      <c r="F696" s="11">
        <v>24.9</v>
      </c>
    </row>
    <row r="697">
      <c r="A697" s="11" t="s">
        <v>4506</v>
      </c>
      <c r="B697" s="11" t="s">
        <v>4508</v>
      </c>
      <c r="C697" s="11" t="s">
        <v>4511</v>
      </c>
      <c r="D697" s="11">
        <v>2.0</v>
      </c>
      <c r="E697" s="11">
        <v>21.0</v>
      </c>
      <c r="F697" s="11">
        <v>42.0</v>
      </c>
    </row>
    <row r="698">
      <c r="A698" s="11" t="s">
        <v>4515</v>
      </c>
      <c r="B698" s="11" t="s">
        <v>4516</v>
      </c>
      <c r="C698" s="11" t="s">
        <v>3615</v>
      </c>
      <c r="D698" s="11">
        <v>10.0</v>
      </c>
      <c r="E698" s="11">
        <v>3.89</v>
      </c>
      <c r="F698" s="11">
        <v>38.9</v>
      </c>
    </row>
    <row r="699">
      <c r="A699" s="11" t="s">
        <v>4519</v>
      </c>
      <c r="B699" s="11" t="s">
        <v>4516</v>
      </c>
      <c r="C699" s="11" t="s">
        <v>3785</v>
      </c>
      <c r="D699" s="11">
        <v>22.0</v>
      </c>
      <c r="E699" s="11">
        <v>0.95</v>
      </c>
      <c r="F699" s="11">
        <v>20.9</v>
      </c>
    </row>
    <row r="700">
      <c r="A700" s="11" t="s">
        <v>4523</v>
      </c>
      <c r="B700" s="11" t="s">
        <v>4525</v>
      </c>
      <c r="C700" s="11" t="s">
        <v>1392</v>
      </c>
      <c r="D700" s="11">
        <v>15.0</v>
      </c>
      <c r="E700" s="11">
        <v>4.0</v>
      </c>
      <c r="F700" s="11">
        <v>60.0</v>
      </c>
    </row>
    <row r="701">
      <c r="A701" s="11" t="s">
        <v>4527</v>
      </c>
      <c r="B701" s="11" t="s">
        <v>4528</v>
      </c>
      <c r="C701" s="11" t="s">
        <v>3358</v>
      </c>
      <c r="D701" s="11">
        <v>12.0</v>
      </c>
      <c r="E701" s="11">
        <v>13.3</v>
      </c>
      <c r="F701" s="11">
        <v>159.6</v>
      </c>
    </row>
    <row r="702">
      <c r="A702" s="11" t="s">
        <v>4531</v>
      </c>
      <c r="B702" s="11" t="s">
        <v>4528</v>
      </c>
      <c r="C702" s="11" t="s">
        <v>3520</v>
      </c>
      <c r="D702" s="11">
        <v>4.0</v>
      </c>
      <c r="E702" s="11">
        <v>15.5</v>
      </c>
      <c r="F702" s="11">
        <v>62.0</v>
      </c>
    </row>
    <row r="703">
      <c r="A703" s="11" t="s">
        <v>4535</v>
      </c>
      <c r="B703" s="11" t="s">
        <v>4536</v>
      </c>
      <c r="C703" s="11" t="s">
        <v>3633</v>
      </c>
      <c r="D703" s="11">
        <v>2.0</v>
      </c>
      <c r="E703" s="11">
        <v>19.5</v>
      </c>
      <c r="F703" s="11">
        <v>39.0</v>
      </c>
    </row>
    <row r="704">
      <c r="A704" s="11" t="s">
        <v>4540</v>
      </c>
      <c r="B704" s="11" t="s">
        <v>4536</v>
      </c>
      <c r="C704" s="11" t="s">
        <v>3366</v>
      </c>
      <c r="D704" s="11">
        <v>2.0</v>
      </c>
      <c r="E704" s="11">
        <v>19.5</v>
      </c>
      <c r="F704" s="11">
        <v>39.0</v>
      </c>
    </row>
    <row r="705">
      <c r="A705" s="11" t="s">
        <v>4543</v>
      </c>
      <c r="B705" s="11" t="s">
        <v>4536</v>
      </c>
      <c r="C705" s="11" t="s">
        <v>3303</v>
      </c>
      <c r="D705" s="11">
        <v>10.0</v>
      </c>
      <c r="E705" s="11">
        <v>40.0</v>
      </c>
      <c r="F705" s="11">
        <v>400.0</v>
      </c>
    </row>
    <row r="706">
      <c r="A706" s="11" t="s">
        <v>4548</v>
      </c>
      <c r="B706" s="11" t="s">
        <v>4536</v>
      </c>
      <c r="C706" s="11" t="s">
        <v>4550</v>
      </c>
      <c r="D706" s="11">
        <v>3.0</v>
      </c>
      <c r="E706" s="11">
        <v>21.3</v>
      </c>
      <c r="F706" s="11">
        <v>63.9</v>
      </c>
    </row>
    <row r="707">
      <c r="A707" s="11" t="s">
        <v>4552</v>
      </c>
      <c r="B707" s="11" t="s">
        <v>4536</v>
      </c>
      <c r="C707" s="11" t="s">
        <v>3308</v>
      </c>
      <c r="D707" s="11">
        <v>10.0</v>
      </c>
      <c r="E707" s="11">
        <v>19.5</v>
      </c>
      <c r="F707" s="11">
        <v>195.0</v>
      </c>
    </row>
    <row r="708">
      <c r="A708" s="11" t="s">
        <v>4554</v>
      </c>
      <c r="B708" s="11" t="s">
        <v>4536</v>
      </c>
      <c r="C708" s="11" t="s">
        <v>3645</v>
      </c>
      <c r="D708" s="11">
        <v>10.0</v>
      </c>
      <c r="E708" s="11">
        <v>27.08</v>
      </c>
      <c r="F708" s="11">
        <v>270.8</v>
      </c>
    </row>
    <row r="709">
      <c r="A709" s="11" t="s">
        <v>4557</v>
      </c>
      <c r="B709" s="11" t="s">
        <v>4536</v>
      </c>
      <c r="C709" s="11" t="s">
        <v>3650</v>
      </c>
      <c r="D709" s="11">
        <v>6.0</v>
      </c>
      <c r="E709" s="11">
        <v>51.0</v>
      </c>
      <c r="F709" s="11">
        <v>306.0</v>
      </c>
    </row>
    <row r="710">
      <c r="A710" s="11" t="s">
        <v>4560</v>
      </c>
      <c r="B710" s="11" t="s">
        <v>4536</v>
      </c>
      <c r="C710" s="11" t="s">
        <v>3313</v>
      </c>
      <c r="D710" s="11">
        <v>5.0</v>
      </c>
      <c r="E710" s="11">
        <v>19.5</v>
      </c>
      <c r="F710" s="11">
        <v>97.5</v>
      </c>
    </row>
    <row r="711">
      <c r="A711" s="11" t="s">
        <v>4563</v>
      </c>
      <c r="B711" s="11" t="s">
        <v>4536</v>
      </c>
      <c r="C711" s="19" t="s">
        <v>3290</v>
      </c>
      <c r="D711" s="11">
        <v>5.0</v>
      </c>
      <c r="E711" s="11">
        <v>19.5</v>
      </c>
      <c r="F711" s="11">
        <v>97.5</v>
      </c>
    </row>
    <row r="712">
      <c r="A712" s="11" t="s">
        <v>4565</v>
      </c>
      <c r="B712" s="11" t="s">
        <v>4536</v>
      </c>
      <c r="C712" s="19" t="s">
        <v>4566</v>
      </c>
      <c r="D712" s="11">
        <v>5.0</v>
      </c>
      <c r="E712" s="11">
        <v>14.4</v>
      </c>
      <c r="F712" s="11">
        <v>72.0</v>
      </c>
    </row>
    <row r="713">
      <c r="A713" s="11" t="s">
        <v>4568</v>
      </c>
      <c r="B713" s="11" t="s">
        <v>4536</v>
      </c>
      <c r="C713" s="11" t="s">
        <v>3665</v>
      </c>
      <c r="D713" s="11">
        <v>4.0</v>
      </c>
      <c r="E713" s="11">
        <v>6.64</v>
      </c>
      <c r="F713" s="11">
        <v>26.56</v>
      </c>
    </row>
    <row r="714">
      <c r="A714" s="11" t="s">
        <v>4571</v>
      </c>
      <c r="B714" s="11" t="s">
        <v>4573</v>
      </c>
      <c r="C714" s="11" t="s">
        <v>3384</v>
      </c>
      <c r="D714" s="11">
        <v>3.0</v>
      </c>
      <c r="E714" s="11">
        <v>12.98</v>
      </c>
      <c r="F714" s="11">
        <v>38.94</v>
      </c>
    </row>
    <row r="715">
      <c r="A715" s="11" t="s">
        <v>4576</v>
      </c>
      <c r="B715" s="11" t="s">
        <v>4573</v>
      </c>
      <c r="C715" s="11" t="s">
        <v>3319</v>
      </c>
      <c r="D715" s="11">
        <v>10.0</v>
      </c>
      <c r="E715" s="11">
        <v>14.98</v>
      </c>
      <c r="F715" s="11">
        <v>149.8</v>
      </c>
    </row>
    <row r="716">
      <c r="A716" s="11" t="s">
        <v>4580</v>
      </c>
      <c r="B716" s="11" t="s">
        <v>4581</v>
      </c>
      <c r="C716" s="19" t="s">
        <v>3325</v>
      </c>
      <c r="D716" s="11">
        <v>15.0</v>
      </c>
      <c r="E716" s="11">
        <v>25.0</v>
      </c>
      <c r="F716" s="11">
        <v>375.0</v>
      </c>
    </row>
    <row r="717">
      <c r="A717" s="11" t="s">
        <v>4583</v>
      </c>
      <c r="B717" s="19" t="s">
        <v>4586</v>
      </c>
      <c r="C717" s="11" t="s">
        <v>3284</v>
      </c>
      <c r="D717" s="11">
        <v>1.865</v>
      </c>
      <c r="E717" s="11">
        <v>13.19</v>
      </c>
      <c r="F717" s="11">
        <v>24.6</v>
      </c>
    </row>
    <row r="718">
      <c r="A718" s="11" t="s">
        <v>4590</v>
      </c>
      <c r="B718" s="19" t="s">
        <v>4586</v>
      </c>
      <c r="C718" s="11" t="s">
        <v>3427</v>
      </c>
      <c r="D718" s="11">
        <v>2.0</v>
      </c>
      <c r="E718" s="11">
        <v>13.49</v>
      </c>
      <c r="F718" s="11">
        <v>26.98</v>
      </c>
    </row>
    <row r="719">
      <c r="A719" s="11" t="s">
        <v>4593</v>
      </c>
      <c r="B719" s="19" t="s">
        <v>4586</v>
      </c>
      <c r="C719" s="11" t="s">
        <v>3679</v>
      </c>
      <c r="D719" s="11">
        <v>1.0</v>
      </c>
      <c r="E719" s="11">
        <v>8.79</v>
      </c>
      <c r="F719" s="11">
        <v>8.79</v>
      </c>
    </row>
    <row r="720">
      <c r="A720" s="11" t="s">
        <v>4597</v>
      </c>
      <c r="B720" s="19" t="s">
        <v>4586</v>
      </c>
      <c r="C720" s="11" t="s">
        <v>3782</v>
      </c>
      <c r="D720" s="11">
        <v>2.0</v>
      </c>
      <c r="E720" s="11">
        <v>6.79</v>
      </c>
      <c r="F720" s="11">
        <v>13.58</v>
      </c>
    </row>
    <row r="721">
      <c r="A721" s="11" t="s">
        <v>4601</v>
      </c>
      <c r="B721" s="19" t="s">
        <v>4586</v>
      </c>
      <c r="C721" s="11" t="s">
        <v>3628</v>
      </c>
      <c r="D721" s="11">
        <v>2.0</v>
      </c>
      <c r="E721" s="11">
        <v>19.59</v>
      </c>
      <c r="F721" s="11">
        <v>39.18</v>
      </c>
    </row>
    <row r="722">
      <c r="A722" s="11" t="s">
        <v>4609</v>
      </c>
      <c r="B722" s="19" t="s">
        <v>4586</v>
      </c>
      <c r="C722" s="11" t="s">
        <v>3431</v>
      </c>
      <c r="D722" s="11">
        <v>2.0</v>
      </c>
      <c r="E722" s="11">
        <v>8.49</v>
      </c>
      <c r="F722" s="11">
        <v>16.98</v>
      </c>
    </row>
    <row r="723">
      <c r="A723" s="11" t="s">
        <v>4613</v>
      </c>
      <c r="B723" s="19" t="s">
        <v>4614</v>
      </c>
      <c r="C723" s="11" t="s">
        <v>3339</v>
      </c>
      <c r="D723" s="11">
        <v>1.0</v>
      </c>
      <c r="E723" s="11">
        <v>678.0</v>
      </c>
      <c r="F723" s="11">
        <v>678.0</v>
      </c>
    </row>
    <row r="724">
      <c r="A724" s="11" t="s">
        <v>4617</v>
      </c>
      <c r="B724" s="11" t="s">
        <v>4619</v>
      </c>
      <c r="C724" s="11" t="s">
        <v>4620</v>
      </c>
      <c r="D724" s="11">
        <v>1.0</v>
      </c>
      <c r="E724" s="11">
        <v>6.75</v>
      </c>
      <c r="F724" s="11">
        <v>6.75</v>
      </c>
    </row>
    <row r="725">
      <c r="A725" s="11" t="s">
        <v>4622</v>
      </c>
      <c r="B725" s="11" t="s">
        <v>4623</v>
      </c>
      <c r="C725" s="11" t="s">
        <v>1958</v>
      </c>
      <c r="D725" s="11">
        <v>1.0</v>
      </c>
      <c r="E725" s="11">
        <v>4965.79</v>
      </c>
      <c r="F725" s="11">
        <v>4965.79</v>
      </c>
    </row>
    <row r="726">
      <c r="A726" s="11" t="s">
        <v>4626</v>
      </c>
      <c r="B726" s="11" t="s">
        <v>4623</v>
      </c>
      <c r="C726" s="11" t="s">
        <v>3047</v>
      </c>
      <c r="D726" s="11">
        <v>1.0</v>
      </c>
      <c r="E726" s="11">
        <v>422.09</v>
      </c>
      <c r="F726" s="11">
        <v>422.09</v>
      </c>
    </row>
    <row r="727">
      <c r="A727" s="11" t="s">
        <v>4629</v>
      </c>
      <c r="B727" s="11" t="s">
        <v>4631</v>
      </c>
      <c r="C727" s="11" t="s">
        <v>2040</v>
      </c>
      <c r="D727" s="11">
        <v>1.0</v>
      </c>
      <c r="E727" s="11">
        <v>10701.5</v>
      </c>
      <c r="F727" s="11">
        <v>10701.5</v>
      </c>
    </row>
    <row r="728">
      <c r="A728" s="11" t="s">
        <v>4634</v>
      </c>
      <c r="B728" s="11" t="s">
        <v>4631</v>
      </c>
      <c r="C728" s="11" t="s">
        <v>3047</v>
      </c>
      <c r="D728" s="11">
        <v>1.0</v>
      </c>
      <c r="E728" s="11">
        <v>909.63</v>
      </c>
      <c r="F728" s="11">
        <v>909.63</v>
      </c>
    </row>
    <row r="729">
      <c r="A729" s="11" t="s">
        <v>4635</v>
      </c>
      <c r="B729" s="11" t="s">
        <v>4631</v>
      </c>
      <c r="C729" s="11" t="s">
        <v>3470</v>
      </c>
      <c r="D729" s="11">
        <v>1.0</v>
      </c>
      <c r="E729" s="11">
        <v>213.41</v>
      </c>
      <c r="F729" s="11">
        <v>213.41</v>
      </c>
    </row>
    <row r="730">
      <c r="A730" s="11" t="s">
        <v>4636</v>
      </c>
      <c r="B730" s="11" t="s">
        <v>4637</v>
      </c>
      <c r="C730" s="11" t="s">
        <v>2972</v>
      </c>
      <c r="D730" s="11">
        <v>1.0</v>
      </c>
      <c r="E730" s="11">
        <v>559.4</v>
      </c>
      <c r="F730" s="11">
        <v>559.4</v>
      </c>
    </row>
    <row r="731">
      <c r="A731" s="11" t="s">
        <v>4638</v>
      </c>
      <c r="B731" s="11" t="s">
        <v>4637</v>
      </c>
      <c r="C731" s="11" t="s">
        <v>3047</v>
      </c>
      <c r="D731" s="11">
        <v>1.0</v>
      </c>
      <c r="E731" s="11">
        <v>47.55</v>
      </c>
      <c r="F731" s="11">
        <v>47.55</v>
      </c>
    </row>
    <row r="732">
      <c r="A732" s="11" t="s">
        <v>4639</v>
      </c>
      <c r="B732" s="11" t="s">
        <v>4640</v>
      </c>
      <c r="C732" s="11" t="s">
        <v>3319</v>
      </c>
      <c r="D732" s="11">
        <v>10.0</v>
      </c>
      <c r="E732" s="11">
        <v>13.98</v>
      </c>
      <c r="F732" s="11">
        <v>139.8</v>
      </c>
    </row>
    <row r="733">
      <c r="A733" s="11" t="s">
        <v>4643</v>
      </c>
      <c r="B733" s="11" t="s">
        <v>4640</v>
      </c>
      <c r="C733" s="11" t="s">
        <v>3384</v>
      </c>
      <c r="D733" s="11">
        <v>3.0</v>
      </c>
      <c r="E733" s="11">
        <v>12.98</v>
      </c>
      <c r="F733" s="11">
        <v>38.94</v>
      </c>
    </row>
    <row r="734">
      <c r="A734" s="11" t="s">
        <v>4647</v>
      </c>
      <c r="B734" s="11" t="s">
        <v>4640</v>
      </c>
      <c r="C734" s="11" t="s">
        <v>3388</v>
      </c>
      <c r="D734" s="11">
        <v>3.666</v>
      </c>
      <c r="E734" s="11">
        <v>4.45</v>
      </c>
      <c r="F734" s="11">
        <v>16.31</v>
      </c>
    </row>
    <row r="735">
      <c r="A735" s="11" t="s">
        <v>4650</v>
      </c>
      <c r="B735" s="11" t="s">
        <v>4652</v>
      </c>
      <c r="C735" s="19" t="s">
        <v>3325</v>
      </c>
      <c r="D735" s="11">
        <v>5.0</v>
      </c>
      <c r="E735" s="11">
        <v>25.0</v>
      </c>
      <c r="F735" s="11">
        <v>125.0</v>
      </c>
    </row>
    <row r="736">
      <c r="A736" s="11" t="s">
        <v>4655</v>
      </c>
      <c r="B736" s="11" t="s">
        <v>4657</v>
      </c>
      <c r="C736" s="11" t="s">
        <v>4659</v>
      </c>
      <c r="D736" s="11">
        <v>5.0</v>
      </c>
      <c r="E736" s="11">
        <v>7.9</v>
      </c>
      <c r="F736" s="11">
        <v>39.5</v>
      </c>
    </row>
    <row r="737">
      <c r="A737" s="11" t="s">
        <v>4662</v>
      </c>
      <c r="B737" s="11" t="s">
        <v>4657</v>
      </c>
      <c r="C737" s="11" t="s">
        <v>3574</v>
      </c>
      <c r="D737" s="11">
        <v>5.0</v>
      </c>
      <c r="E737" s="11">
        <v>7.0</v>
      </c>
      <c r="F737" s="11">
        <v>35.0</v>
      </c>
    </row>
    <row r="738">
      <c r="A738" s="11" t="s">
        <v>4665</v>
      </c>
      <c r="B738" s="11" t="s">
        <v>4666</v>
      </c>
      <c r="C738" s="11" t="s">
        <v>3358</v>
      </c>
      <c r="D738" s="11">
        <v>10.0</v>
      </c>
      <c r="E738" s="11">
        <v>13.3</v>
      </c>
      <c r="F738" s="11">
        <v>133.0</v>
      </c>
    </row>
    <row r="739">
      <c r="A739" s="11" t="s">
        <v>4670</v>
      </c>
      <c r="B739" s="11" t="s">
        <v>4671</v>
      </c>
      <c r="C739" s="19" t="s">
        <v>3325</v>
      </c>
      <c r="D739" s="11">
        <v>10.0</v>
      </c>
      <c r="E739" s="11">
        <v>25.0</v>
      </c>
      <c r="F739" s="11">
        <v>250.0</v>
      </c>
    </row>
    <row r="740">
      <c r="A740" s="11" t="s">
        <v>4674</v>
      </c>
      <c r="B740" s="11" t="s">
        <v>4676</v>
      </c>
      <c r="C740" s="11" t="s">
        <v>3628</v>
      </c>
      <c r="D740" s="11">
        <v>2.0</v>
      </c>
      <c r="E740" s="11">
        <v>19.59</v>
      </c>
      <c r="F740" s="11">
        <v>39.18</v>
      </c>
    </row>
    <row r="741">
      <c r="A741" s="11" t="s">
        <v>4679</v>
      </c>
      <c r="B741" s="11" t="s">
        <v>4676</v>
      </c>
      <c r="C741" s="11" t="s">
        <v>3431</v>
      </c>
      <c r="D741" s="11">
        <v>2.0</v>
      </c>
      <c r="E741" s="11">
        <v>8.49</v>
      </c>
      <c r="F741" s="11">
        <v>16.98</v>
      </c>
    </row>
    <row r="742">
      <c r="A742" s="11" t="s">
        <v>4682</v>
      </c>
      <c r="B742" s="11" t="s">
        <v>4676</v>
      </c>
      <c r="C742" s="11" t="s">
        <v>3427</v>
      </c>
      <c r="D742" s="11">
        <v>2.0</v>
      </c>
      <c r="E742" s="11">
        <v>10.99</v>
      </c>
      <c r="F742" s="11">
        <v>21.98</v>
      </c>
    </row>
    <row r="743">
      <c r="A743" s="11" t="s">
        <v>4685</v>
      </c>
      <c r="B743" s="11" t="s">
        <v>4676</v>
      </c>
      <c r="C743" s="11" t="s">
        <v>3284</v>
      </c>
      <c r="D743" s="11">
        <v>1.9</v>
      </c>
      <c r="E743" s="11">
        <v>13.19</v>
      </c>
      <c r="F743" s="11">
        <v>25.06</v>
      </c>
    </row>
    <row r="744">
      <c r="A744" s="11" t="s">
        <v>4688</v>
      </c>
      <c r="B744" s="11" t="s">
        <v>4690</v>
      </c>
      <c r="C744" s="11" t="s">
        <v>3319</v>
      </c>
      <c r="D744" s="11">
        <v>10.0</v>
      </c>
      <c r="E744" s="11">
        <v>14.98</v>
      </c>
      <c r="F744" s="11">
        <v>149.8</v>
      </c>
    </row>
    <row r="745">
      <c r="A745" s="11" t="s">
        <v>4692</v>
      </c>
      <c r="B745" s="11" t="s">
        <v>4690</v>
      </c>
      <c r="C745" s="11" t="s">
        <v>3388</v>
      </c>
      <c r="D745" s="11">
        <v>3.788</v>
      </c>
      <c r="E745" s="11">
        <v>4.45</v>
      </c>
      <c r="F745" s="11">
        <v>16.86</v>
      </c>
    </row>
    <row r="746">
      <c r="A746" s="11" t="s">
        <v>4695</v>
      </c>
      <c r="B746" s="11" t="s">
        <v>4690</v>
      </c>
      <c r="C746" s="11" t="s">
        <v>3348</v>
      </c>
      <c r="D746" s="11">
        <v>2.31</v>
      </c>
      <c r="E746" s="11">
        <v>6.98</v>
      </c>
      <c r="F746" s="11">
        <v>16.12</v>
      </c>
    </row>
    <row r="747">
      <c r="A747" s="11" t="s">
        <v>4699</v>
      </c>
      <c r="B747" s="11" t="s">
        <v>4690</v>
      </c>
      <c r="C747" s="11" t="s">
        <v>3384</v>
      </c>
      <c r="D747" s="11">
        <v>2.0</v>
      </c>
      <c r="E747" s="11">
        <v>12.98</v>
      </c>
      <c r="F747" s="11">
        <v>25.96</v>
      </c>
    </row>
    <row r="748">
      <c r="A748" s="11" t="s">
        <v>4702</v>
      </c>
      <c r="B748" s="11" t="s">
        <v>4704</v>
      </c>
      <c r="C748" s="11" t="s">
        <v>419</v>
      </c>
      <c r="D748" s="11">
        <v>1.0</v>
      </c>
      <c r="E748" s="11">
        <v>1320.0</v>
      </c>
      <c r="F748" s="11">
        <v>1320.0</v>
      </c>
    </row>
    <row r="749">
      <c r="A749" s="11" t="s">
        <v>4707</v>
      </c>
      <c r="B749" s="11" t="s">
        <v>4704</v>
      </c>
      <c r="C749" s="11" t="s">
        <v>3470</v>
      </c>
      <c r="D749" s="11">
        <v>1.0</v>
      </c>
      <c r="E749" s="11">
        <v>89.1</v>
      </c>
      <c r="F749" s="11">
        <v>89.1</v>
      </c>
    </row>
    <row r="750">
      <c r="A750" s="11" t="s">
        <v>4711</v>
      </c>
      <c r="B750" s="11" t="s">
        <v>4712</v>
      </c>
      <c r="C750" s="11" t="s">
        <v>419</v>
      </c>
      <c r="D750" s="11">
        <v>1.0</v>
      </c>
      <c r="E750" s="11">
        <v>1155.0</v>
      </c>
      <c r="F750" s="11">
        <v>1155.0</v>
      </c>
    </row>
    <row r="751">
      <c r="A751" s="11" t="s">
        <v>4715</v>
      </c>
      <c r="B751" s="11" t="s">
        <v>4712</v>
      </c>
      <c r="C751" s="11" t="s">
        <v>3470</v>
      </c>
      <c r="D751" s="11">
        <v>1.0</v>
      </c>
      <c r="E751" s="11">
        <v>77.96</v>
      </c>
      <c r="F751" s="11">
        <v>77.96</v>
      </c>
    </row>
    <row r="752">
      <c r="A752" s="11" t="s">
        <v>4719</v>
      </c>
      <c r="B752" s="19" t="s">
        <v>4721</v>
      </c>
      <c r="C752" s="11" t="s">
        <v>3339</v>
      </c>
      <c r="D752" s="11">
        <v>1.0</v>
      </c>
      <c r="E752" s="11">
        <v>678.0</v>
      </c>
      <c r="F752" s="11">
        <v>678.0</v>
      </c>
    </row>
    <row r="753">
      <c r="A753" s="11" t="s">
        <v>4724</v>
      </c>
      <c r="B753" s="11" t="s">
        <v>4725</v>
      </c>
      <c r="C753" s="19" t="s">
        <v>3325</v>
      </c>
      <c r="D753" s="11">
        <v>7.0</v>
      </c>
      <c r="E753" s="11">
        <v>25.0</v>
      </c>
      <c r="F753" s="11">
        <v>175.0</v>
      </c>
    </row>
    <row r="754">
      <c r="A754" s="11" t="s">
        <v>4729</v>
      </c>
      <c r="B754" s="11" t="s">
        <v>4731</v>
      </c>
      <c r="C754" s="11" t="s">
        <v>4732</v>
      </c>
      <c r="D754" s="11">
        <v>1.0</v>
      </c>
      <c r="E754" s="11">
        <v>10.75</v>
      </c>
      <c r="F754" s="11">
        <v>10.75</v>
      </c>
    </row>
    <row r="755">
      <c r="A755" s="11" t="s">
        <v>4735</v>
      </c>
      <c r="B755" s="11" t="s">
        <v>4737</v>
      </c>
      <c r="C755" s="11" t="s">
        <v>4739</v>
      </c>
      <c r="D755" s="11">
        <v>1.0</v>
      </c>
      <c r="E755" s="11">
        <v>38.0</v>
      </c>
      <c r="F755" s="11">
        <v>38.0</v>
      </c>
    </row>
    <row r="756">
      <c r="A756" s="11" t="s">
        <v>4740</v>
      </c>
      <c r="B756" s="11" t="s">
        <v>4737</v>
      </c>
      <c r="C756" s="11" t="s">
        <v>4739</v>
      </c>
      <c r="D756" s="11">
        <v>1.0</v>
      </c>
      <c r="E756" s="11">
        <v>37.0</v>
      </c>
      <c r="F756" s="11">
        <v>37.0</v>
      </c>
    </row>
    <row r="757">
      <c r="A757" s="11" t="s">
        <v>4741</v>
      </c>
      <c r="B757" s="11" t="s">
        <v>4737</v>
      </c>
      <c r="C757" s="11" t="s">
        <v>4742</v>
      </c>
      <c r="D757" s="11">
        <v>3.0</v>
      </c>
      <c r="E757" s="11">
        <v>12.0</v>
      </c>
      <c r="F757" s="11">
        <v>36.0</v>
      </c>
    </row>
    <row r="758">
      <c r="A758" s="11" t="s">
        <v>4743</v>
      </c>
      <c r="B758" s="11" t="s">
        <v>4737</v>
      </c>
      <c r="C758" s="11" t="s">
        <v>4744</v>
      </c>
      <c r="D758" s="11">
        <v>1.0</v>
      </c>
      <c r="E758" s="11">
        <v>42.0</v>
      </c>
      <c r="F758" s="11">
        <v>42.0</v>
      </c>
    </row>
    <row r="759">
      <c r="A759" s="11" t="s">
        <v>4746</v>
      </c>
      <c r="B759" s="11" t="s">
        <v>4737</v>
      </c>
      <c r="C759" s="11" t="s">
        <v>4748</v>
      </c>
      <c r="D759" s="11">
        <v>3.0</v>
      </c>
      <c r="E759" s="11">
        <v>14.9</v>
      </c>
      <c r="F759" s="11">
        <v>44.7</v>
      </c>
    </row>
    <row r="760">
      <c r="A760" s="11" t="s">
        <v>4751</v>
      </c>
      <c r="B760" s="11" t="s">
        <v>4737</v>
      </c>
      <c r="C760" s="11" t="s">
        <v>4752</v>
      </c>
      <c r="D760" s="11">
        <v>3.0</v>
      </c>
      <c r="E760" s="11">
        <v>15.0</v>
      </c>
      <c r="F760" s="11">
        <v>45.0</v>
      </c>
    </row>
    <row r="761">
      <c r="A761" s="11" t="s">
        <v>4755</v>
      </c>
      <c r="B761" s="11" t="s">
        <v>4737</v>
      </c>
      <c r="C761" s="11" t="s">
        <v>4757</v>
      </c>
      <c r="D761" s="11">
        <v>8.0</v>
      </c>
      <c r="E761" s="11">
        <v>3.99</v>
      </c>
      <c r="F761" s="11">
        <v>31.92</v>
      </c>
    </row>
    <row r="762">
      <c r="A762" s="11" t="s">
        <v>4758</v>
      </c>
      <c r="B762" s="11" t="s">
        <v>4737</v>
      </c>
      <c r="C762" s="11" t="s">
        <v>3826</v>
      </c>
      <c r="D762" s="11">
        <v>2.0</v>
      </c>
      <c r="E762" s="11">
        <v>16.0</v>
      </c>
      <c r="F762" s="11">
        <v>32.0</v>
      </c>
    </row>
    <row r="763">
      <c r="A763" s="11" t="s">
        <v>4761</v>
      </c>
      <c r="B763" s="11" t="s">
        <v>4737</v>
      </c>
      <c r="C763" s="11" t="s">
        <v>4043</v>
      </c>
      <c r="D763" s="11">
        <v>2.0</v>
      </c>
      <c r="E763" s="11">
        <v>58.0</v>
      </c>
      <c r="F763" s="11">
        <v>116.0</v>
      </c>
    </row>
    <row r="764">
      <c r="A764" s="11" t="s">
        <v>4765</v>
      </c>
      <c r="B764" s="11" t="s">
        <v>4737</v>
      </c>
      <c r="C764" s="11" t="s">
        <v>4043</v>
      </c>
      <c r="D764" s="11">
        <v>1.0</v>
      </c>
      <c r="E764" s="11">
        <v>18.9</v>
      </c>
      <c r="F764" s="11">
        <v>18.9</v>
      </c>
    </row>
    <row r="765">
      <c r="A765" s="11" t="s">
        <v>4768</v>
      </c>
      <c r="B765" s="11" t="s">
        <v>4737</v>
      </c>
      <c r="C765" s="11" t="s">
        <v>4770</v>
      </c>
      <c r="D765" s="11">
        <v>1.0</v>
      </c>
      <c r="E765" s="11">
        <v>19.0</v>
      </c>
      <c r="F765" s="11">
        <v>19.0</v>
      </c>
    </row>
    <row r="766">
      <c r="A766" s="11" t="s">
        <v>4772</v>
      </c>
      <c r="B766" s="11" t="s">
        <v>4737</v>
      </c>
      <c r="C766" s="11" t="s">
        <v>3947</v>
      </c>
      <c r="D766" s="11">
        <v>2.0</v>
      </c>
      <c r="E766" s="11">
        <v>14.9</v>
      </c>
      <c r="F766" s="11">
        <v>29.8</v>
      </c>
    </row>
    <row r="767">
      <c r="A767" s="11" t="s">
        <v>4775</v>
      </c>
      <c r="B767" s="11" t="s">
        <v>4737</v>
      </c>
      <c r="C767" s="11" t="s">
        <v>3628</v>
      </c>
      <c r="D767" s="11">
        <v>1.0</v>
      </c>
      <c r="E767" s="11">
        <v>26.5</v>
      </c>
      <c r="F767" s="11">
        <v>26.5</v>
      </c>
    </row>
    <row r="768">
      <c r="A768" s="11" t="s">
        <v>4778</v>
      </c>
      <c r="B768" s="11" t="s">
        <v>4737</v>
      </c>
      <c r="C768" s="11" t="s">
        <v>4045</v>
      </c>
      <c r="D768" s="11">
        <v>1.0</v>
      </c>
      <c r="E768" s="11">
        <v>12.0</v>
      </c>
      <c r="F768" s="11">
        <v>12.0</v>
      </c>
    </row>
    <row r="769">
      <c r="A769" s="11" t="s">
        <v>4781</v>
      </c>
      <c r="B769" s="11" t="s">
        <v>4737</v>
      </c>
      <c r="C769" s="11" t="s">
        <v>4783</v>
      </c>
      <c r="D769" s="11">
        <v>1.0</v>
      </c>
      <c r="E769" s="11">
        <v>32.9</v>
      </c>
      <c r="F769" s="11">
        <v>32.9</v>
      </c>
    </row>
    <row r="770">
      <c r="A770" s="11" t="s">
        <v>4786</v>
      </c>
      <c r="B770" s="11" t="s">
        <v>4737</v>
      </c>
      <c r="C770" s="11" t="s">
        <v>4047</v>
      </c>
      <c r="D770" s="11">
        <v>1.0</v>
      </c>
      <c r="E770" s="11">
        <v>22.0</v>
      </c>
      <c r="F770" s="11">
        <v>22.0</v>
      </c>
    </row>
    <row r="771">
      <c r="A771" s="11" t="s">
        <v>4789</v>
      </c>
      <c r="B771" s="11" t="s">
        <v>4790</v>
      </c>
      <c r="C771" s="19" t="s">
        <v>3325</v>
      </c>
      <c r="D771" s="11">
        <v>10.0</v>
      </c>
      <c r="E771" s="11">
        <v>25.0</v>
      </c>
      <c r="F771" s="11">
        <v>250.0</v>
      </c>
    </row>
    <row r="772">
      <c r="A772" s="11" t="s">
        <v>4794</v>
      </c>
      <c r="B772" s="11" t="s">
        <v>4795</v>
      </c>
      <c r="C772" s="11" t="s">
        <v>419</v>
      </c>
      <c r="D772" s="11">
        <v>1.0</v>
      </c>
      <c r="E772" s="11">
        <v>2455.0</v>
      </c>
      <c r="F772" s="11">
        <v>2455.0</v>
      </c>
    </row>
    <row r="773">
      <c r="A773" s="11" t="s">
        <v>4799</v>
      </c>
      <c r="B773" s="11" t="s">
        <v>4795</v>
      </c>
      <c r="C773" s="11" t="s">
        <v>3470</v>
      </c>
      <c r="D773" s="11">
        <v>1.0</v>
      </c>
      <c r="E773" s="11">
        <v>147.3</v>
      </c>
      <c r="F773" s="11">
        <v>147.3</v>
      </c>
    </row>
    <row r="774">
      <c r="A774" s="11" t="s">
        <v>4802</v>
      </c>
      <c r="B774" s="11" t="s">
        <v>4803</v>
      </c>
      <c r="C774" s="11" t="s">
        <v>3319</v>
      </c>
      <c r="D774" s="11">
        <v>10.0</v>
      </c>
      <c r="E774" s="11">
        <v>14.98</v>
      </c>
      <c r="F774" s="11">
        <v>149.8</v>
      </c>
    </row>
    <row r="775">
      <c r="A775" s="11" t="s">
        <v>4805</v>
      </c>
      <c r="B775" s="11" t="s">
        <v>4803</v>
      </c>
      <c r="C775" s="11" t="s">
        <v>3384</v>
      </c>
      <c r="D775" s="11">
        <v>3.0</v>
      </c>
      <c r="E775" s="11">
        <v>12.98</v>
      </c>
      <c r="F775" s="11">
        <v>38.94</v>
      </c>
    </row>
    <row r="776">
      <c r="A776" s="11" t="s">
        <v>4808</v>
      </c>
      <c r="B776" s="11" t="s">
        <v>4803</v>
      </c>
      <c r="C776" s="11" t="s">
        <v>3348</v>
      </c>
      <c r="D776" s="11">
        <v>1.61</v>
      </c>
      <c r="E776" s="11">
        <v>6.98</v>
      </c>
      <c r="F776" s="11">
        <v>11.24</v>
      </c>
    </row>
    <row r="777">
      <c r="A777" s="11" t="s">
        <v>4811</v>
      </c>
      <c r="B777" s="11" t="s">
        <v>4803</v>
      </c>
      <c r="C777" s="11" t="s">
        <v>3388</v>
      </c>
      <c r="D777" s="11">
        <v>2.174</v>
      </c>
      <c r="E777" s="11">
        <v>4.45</v>
      </c>
      <c r="F777" s="11">
        <v>9.67</v>
      </c>
    </row>
    <row r="778">
      <c r="A778" s="11" t="s">
        <v>4815</v>
      </c>
      <c r="B778" s="11" t="s">
        <v>4817</v>
      </c>
      <c r="C778" s="11" t="s">
        <v>3552</v>
      </c>
      <c r="D778" s="11">
        <v>2.0</v>
      </c>
      <c r="E778" s="11">
        <v>1.0</v>
      </c>
      <c r="F778" s="11">
        <v>2.0</v>
      </c>
    </row>
    <row r="779">
      <c r="A779" s="11" t="s">
        <v>4820</v>
      </c>
      <c r="B779" s="11" t="s">
        <v>4822</v>
      </c>
      <c r="C779" s="11" t="s">
        <v>419</v>
      </c>
      <c r="D779" s="11">
        <v>1.0</v>
      </c>
      <c r="E779" s="11">
        <v>200.0</v>
      </c>
      <c r="F779" s="11">
        <v>200.0</v>
      </c>
    </row>
    <row r="780">
      <c r="A780" s="11" t="s">
        <v>4827</v>
      </c>
      <c r="B780" s="11" t="s">
        <v>4828</v>
      </c>
      <c r="C780" s="11" t="s">
        <v>3284</v>
      </c>
      <c r="D780" s="11">
        <v>0.69</v>
      </c>
      <c r="E780" s="11">
        <v>13.19</v>
      </c>
      <c r="F780" s="11">
        <v>9.1</v>
      </c>
    </row>
    <row r="781">
      <c r="A781" s="11" t="s">
        <v>4830</v>
      </c>
      <c r="B781" s="11" t="s">
        <v>4828</v>
      </c>
      <c r="C781" s="11" t="s">
        <v>3427</v>
      </c>
      <c r="D781" s="11">
        <v>3.0</v>
      </c>
      <c r="E781" s="11">
        <v>12.86</v>
      </c>
      <c r="F781" s="11">
        <v>38.58</v>
      </c>
    </row>
    <row r="782">
      <c r="A782" s="11" t="s">
        <v>4834</v>
      </c>
      <c r="B782" s="11" t="s">
        <v>4828</v>
      </c>
      <c r="C782" s="11" t="s">
        <v>3431</v>
      </c>
      <c r="D782" s="11">
        <v>3.0</v>
      </c>
      <c r="E782" s="11">
        <v>6.49</v>
      </c>
      <c r="F782" s="11">
        <v>19.47</v>
      </c>
    </row>
    <row r="783">
      <c r="A783" s="11" t="s">
        <v>4838</v>
      </c>
      <c r="B783" s="11" t="s">
        <v>4839</v>
      </c>
      <c r="C783" s="11" t="s">
        <v>3319</v>
      </c>
      <c r="D783" s="11">
        <v>10.0</v>
      </c>
      <c r="E783" s="11">
        <v>14.98</v>
      </c>
      <c r="F783" s="11">
        <v>149.8</v>
      </c>
    </row>
    <row r="784">
      <c r="A784" s="11" t="s">
        <v>4844</v>
      </c>
      <c r="B784" s="11" t="s">
        <v>4839</v>
      </c>
      <c r="C784" s="11" t="s">
        <v>3384</v>
      </c>
      <c r="D784" s="11">
        <v>2.0</v>
      </c>
      <c r="E784" s="11">
        <v>12.98</v>
      </c>
      <c r="F784" s="11">
        <v>25.96</v>
      </c>
    </row>
    <row r="785">
      <c r="A785" s="11" t="s">
        <v>4848</v>
      </c>
      <c r="B785" s="11" t="s">
        <v>4849</v>
      </c>
      <c r="C785" s="11" t="s">
        <v>3628</v>
      </c>
      <c r="D785" s="11">
        <v>2.0</v>
      </c>
      <c r="E785" s="11">
        <v>13.89</v>
      </c>
      <c r="F785" s="11">
        <v>27.78</v>
      </c>
    </row>
    <row r="786">
      <c r="A786" s="11" t="s">
        <v>4852</v>
      </c>
      <c r="B786" s="11" t="s">
        <v>4849</v>
      </c>
      <c r="C786" s="11" t="s">
        <v>3284</v>
      </c>
      <c r="D786" s="11">
        <v>1.785</v>
      </c>
      <c r="E786" s="11">
        <v>13.19</v>
      </c>
      <c r="F786" s="11">
        <v>23.54</v>
      </c>
    </row>
    <row r="787">
      <c r="A787" s="11" t="s">
        <v>4856</v>
      </c>
      <c r="B787" s="11" t="s">
        <v>4849</v>
      </c>
      <c r="C787" s="11" t="s">
        <v>3679</v>
      </c>
      <c r="D787" s="11">
        <v>1.0</v>
      </c>
      <c r="E787" s="11">
        <v>10.99</v>
      </c>
      <c r="F787" s="11">
        <v>10.99</v>
      </c>
    </row>
    <row r="788">
      <c r="A788" s="11" t="s">
        <v>4860</v>
      </c>
      <c r="B788" s="11" t="s">
        <v>4849</v>
      </c>
      <c r="C788" s="11" t="s">
        <v>3388</v>
      </c>
      <c r="D788" s="11">
        <v>1.26</v>
      </c>
      <c r="E788" s="11">
        <v>5.29</v>
      </c>
      <c r="F788" s="11">
        <v>6.67</v>
      </c>
    </row>
    <row r="789">
      <c r="A789" s="19" t="s">
        <v>4864</v>
      </c>
      <c r="B789" s="11" t="s">
        <v>4865</v>
      </c>
      <c r="C789" s="19" t="s">
        <v>3325</v>
      </c>
      <c r="D789" s="11">
        <v>16.0</v>
      </c>
      <c r="E789" s="11">
        <v>25.0</v>
      </c>
      <c r="F789" s="11">
        <v>400.0</v>
      </c>
    </row>
    <row r="790">
      <c r="A790" s="11" t="s">
        <v>4869</v>
      </c>
      <c r="B790" s="11" t="s">
        <v>4870</v>
      </c>
      <c r="C790" s="11" t="s">
        <v>3339</v>
      </c>
      <c r="D790" s="11">
        <v>1.0</v>
      </c>
      <c r="E790" s="11">
        <v>438.0</v>
      </c>
      <c r="F790" s="11">
        <v>438.0</v>
      </c>
    </row>
    <row r="791">
      <c r="A791" s="11" t="s">
        <v>4872</v>
      </c>
      <c r="B791" s="11" t="s">
        <v>4874</v>
      </c>
      <c r="C791" s="11" t="s">
        <v>3339</v>
      </c>
      <c r="D791" s="11">
        <v>1.0</v>
      </c>
      <c r="E791" s="11">
        <v>96.0</v>
      </c>
      <c r="F791" s="11">
        <v>96.0</v>
      </c>
    </row>
    <row r="792">
      <c r="A792" s="11" t="s">
        <v>4877</v>
      </c>
      <c r="B792" s="11" t="s">
        <v>4878</v>
      </c>
      <c r="C792" s="11" t="s">
        <v>3552</v>
      </c>
      <c r="D792" s="11">
        <v>2.0</v>
      </c>
      <c r="E792" s="11">
        <v>1.0</v>
      </c>
      <c r="F792" s="11">
        <v>2.0</v>
      </c>
    </row>
    <row r="793">
      <c r="A793" s="11" t="s">
        <v>4883</v>
      </c>
      <c r="B793" s="11" t="s">
        <v>4884</v>
      </c>
      <c r="C793" s="11" t="s">
        <v>2040</v>
      </c>
      <c r="D793" s="11">
        <v>1.0</v>
      </c>
      <c r="E793" s="11">
        <v>8848.5</v>
      </c>
      <c r="F793" s="11">
        <v>8848.5</v>
      </c>
    </row>
    <row r="794">
      <c r="A794" s="11" t="s">
        <v>4886</v>
      </c>
      <c r="B794" s="11" t="s">
        <v>4884</v>
      </c>
      <c r="C794" s="11" t="s">
        <v>3047</v>
      </c>
      <c r="D794" s="11">
        <v>1.0</v>
      </c>
      <c r="E794" s="11">
        <v>752.12</v>
      </c>
      <c r="F794" s="11">
        <v>752.12</v>
      </c>
    </row>
    <row r="795">
      <c r="A795" s="11" t="s">
        <v>4889</v>
      </c>
      <c r="B795" s="11" t="s">
        <v>4884</v>
      </c>
      <c r="C795" s="11" t="s">
        <v>3470</v>
      </c>
      <c r="D795" s="11">
        <v>1.0</v>
      </c>
      <c r="E795" s="11">
        <v>130.38</v>
      </c>
      <c r="F795" s="11">
        <v>130.38</v>
      </c>
    </row>
    <row r="796">
      <c r="A796" s="11" t="s">
        <v>4892</v>
      </c>
      <c r="B796" s="11" t="s">
        <v>4893</v>
      </c>
      <c r="C796" s="11" t="s">
        <v>419</v>
      </c>
      <c r="D796" s="11">
        <v>1.0</v>
      </c>
      <c r="E796" s="11">
        <v>2311.0</v>
      </c>
      <c r="F796" s="11">
        <v>2311.0</v>
      </c>
    </row>
    <row r="797">
      <c r="A797" s="11" t="s">
        <v>4896</v>
      </c>
      <c r="B797" s="11" t="s">
        <v>4893</v>
      </c>
      <c r="C797" s="11" t="s">
        <v>3470</v>
      </c>
      <c r="D797" s="11">
        <v>1.0</v>
      </c>
      <c r="E797" s="11">
        <v>131.02</v>
      </c>
      <c r="F797" s="11">
        <v>131.02</v>
      </c>
    </row>
    <row r="798">
      <c r="A798" s="11" t="s">
        <v>4898</v>
      </c>
      <c r="B798" s="11" t="s">
        <v>4899</v>
      </c>
      <c r="C798" s="11" t="s">
        <v>1958</v>
      </c>
      <c r="D798" s="11">
        <v>1.0</v>
      </c>
      <c r="E798" s="11">
        <v>6657.01</v>
      </c>
      <c r="F798" s="11">
        <v>6657.01</v>
      </c>
    </row>
    <row r="799">
      <c r="A799" s="11" t="s">
        <v>4901</v>
      </c>
      <c r="B799" s="11" t="s">
        <v>4899</v>
      </c>
      <c r="C799" s="11" t="s">
        <v>3047</v>
      </c>
      <c r="D799" s="11">
        <v>1.0</v>
      </c>
      <c r="E799" s="11">
        <v>565.85</v>
      </c>
      <c r="F799" s="11">
        <v>565.85</v>
      </c>
    </row>
    <row r="800">
      <c r="A800" s="11" t="s">
        <v>4905</v>
      </c>
      <c r="B800" s="11" t="s">
        <v>4906</v>
      </c>
      <c r="C800" s="11" t="s">
        <v>3358</v>
      </c>
      <c r="D800" s="11">
        <v>6.0</v>
      </c>
      <c r="E800" s="11">
        <v>13.3</v>
      </c>
      <c r="F800" s="11">
        <v>79.8</v>
      </c>
    </row>
    <row r="801">
      <c r="A801" s="11" t="s">
        <v>4909</v>
      </c>
      <c r="B801" s="11" t="s">
        <v>4906</v>
      </c>
      <c r="C801" s="11" t="s">
        <v>3520</v>
      </c>
      <c r="D801" s="11">
        <v>3.0</v>
      </c>
      <c r="E801" s="11">
        <v>15.5</v>
      </c>
      <c r="F801" s="11">
        <v>46.5</v>
      </c>
    </row>
    <row r="802">
      <c r="A802" s="11" t="s">
        <v>4912</v>
      </c>
      <c r="B802" s="11" t="s">
        <v>4914</v>
      </c>
      <c r="C802" s="11" t="s">
        <v>3284</v>
      </c>
      <c r="D802" s="11">
        <v>1.18</v>
      </c>
      <c r="E802" s="11">
        <v>13.19</v>
      </c>
      <c r="F802" s="11">
        <v>15.56</v>
      </c>
    </row>
    <row r="803">
      <c r="A803" s="11" t="s">
        <v>4918</v>
      </c>
      <c r="B803" s="11" t="s">
        <v>4914</v>
      </c>
      <c r="C803" s="11" t="s">
        <v>3427</v>
      </c>
      <c r="D803" s="11">
        <v>2.0</v>
      </c>
      <c r="E803" s="11">
        <v>15.49</v>
      </c>
      <c r="F803" s="11">
        <v>30.98</v>
      </c>
    </row>
    <row r="804">
      <c r="A804" s="11" t="s">
        <v>4922</v>
      </c>
      <c r="B804" s="11" t="s">
        <v>4914</v>
      </c>
      <c r="C804" s="11" t="s">
        <v>3388</v>
      </c>
      <c r="D804" s="11">
        <v>2.225</v>
      </c>
      <c r="E804" s="11">
        <v>5.29</v>
      </c>
      <c r="F804" s="11">
        <v>11.77</v>
      </c>
    </row>
    <row r="805">
      <c r="A805" s="11" t="s">
        <v>4924</v>
      </c>
      <c r="B805" s="11" t="s">
        <v>4914</v>
      </c>
      <c r="C805" s="11" t="s">
        <v>3348</v>
      </c>
      <c r="D805" s="11">
        <v>1.545</v>
      </c>
      <c r="E805" s="11">
        <v>6.49</v>
      </c>
      <c r="F805" s="11">
        <v>10.03</v>
      </c>
    </row>
    <row r="806">
      <c r="A806" s="11" t="s">
        <v>4926</v>
      </c>
      <c r="B806" s="11" t="s">
        <v>4927</v>
      </c>
      <c r="C806" s="11" t="s">
        <v>419</v>
      </c>
      <c r="D806" s="11">
        <v>1.0</v>
      </c>
      <c r="E806" s="11">
        <v>2037.63</v>
      </c>
      <c r="F806" s="11">
        <v>2037.63</v>
      </c>
    </row>
    <row r="807">
      <c r="A807" s="11" t="s">
        <v>4930</v>
      </c>
      <c r="B807" s="11" t="s">
        <v>4927</v>
      </c>
      <c r="C807" s="11" t="s">
        <v>3470</v>
      </c>
      <c r="D807" s="11">
        <v>1.0</v>
      </c>
      <c r="E807" s="11">
        <v>130.94</v>
      </c>
      <c r="F807" s="11">
        <v>130.94</v>
      </c>
    </row>
    <row r="808">
      <c r="A808" s="11" t="s">
        <v>4932</v>
      </c>
      <c r="B808" s="11" t="s">
        <v>4933</v>
      </c>
      <c r="C808" s="11" t="s">
        <v>527</v>
      </c>
      <c r="D808" s="11">
        <v>1.0</v>
      </c>
      <c r="E808" s="11">
        <v>197.0</v>
      </c>
      <c r="F808" s="11">
        <v>197.0</v>
      </c>
    </row>
    <row r="809">
      <c r="A809" s="11" t="s">
        <v>4936</v>
      </c>
      <c r="B809" s="11" t="s">
        <v>4938</v>
      </c>
      <c r="C809" s="11" t="s">
        <v>3339</v>
      </c>
      <c r="D809" s="11">
        <v>1.0</v>
      </c>
      <c r="E809" s="11">
        <v>318.0</v>
      </c>
      <c r="F809" s="11">
        <v>318.0</v>
      </c>
    </row>
    <row r="810">
      <c r="A810" s="11" t="s">
        <v>4941</v>
      </c>
      <c r="B810" s="11" t="s">
        <v>4942</v>
      </c>
      <c r="C810" s="19" t="s">
        <v>3325</v>
      </c>
      <c r="D810" s="11">
        <v>8.0</v>
      </c>
      <c r="E810" s="11">
        <v>25.0</v>
      </c>
      <c r="F810" s="11">
        <v>200.0</v>
      </c>
    </row>
    <row r="811">
      <c r="A811" s="11" t="s">
        <v>4945</v>
      </c>
      <c r="B811" s="11" t="s">
        <v>4946</v>
      </c>
      <c r="C811" s="11" t="s">
        <v>3384</v>
      </c>
      <c r="D811" s="11">
        <v>3.0</v>
      </c>
      <c r="E811" s="11">
        <v>12.98</v>
      </c>
      <c r="F811" s="11">
        <v>38.94</v>
      </c>
    </row>
    <row r="812">
      <c r="A812" s="11" t="s">
        <v>4949</v>
      </c>
      <c r="B812" s="11" t="s">
        <v>4946</v>
      </c>
      <c r="C812" s="11" t="s">
        <v>3348</v>
      </c>
      <c r="D812" s="11">
        <v>1.932</v>
      </c>
      <c r="E812" s="11">
        <v>6.98</v>
      </c>
      <c r="F812" s="11">
        <v>13.49</v>
      </c>
    </row>
    <row r="813">
      <c r="A813" s="11" t="s">
        <v>4952</v>
      </c>
      <c r="B813" s="11" t="s">
        <v>4946</v>
      </c>
      <c r="C813" s="11" t="s">
        <v>3388</v>
      </c>
      <c r="D813" s="11">
        <v>5.336</v>
      </c>
      <c r="E813" s="11">
        <v>4.45</v>
      </c>
      <c r="F813" s="11">
        <v>23.75</v>
      </c>
    </row>
    <row r="814">
      <c r="A814" s="11" t="s">
        <v>4955</v>
      </c>
      <c r="B814" s="11" t="s">
        <v>4957</v>
      </c>
      <c r="C814" s="11" t="s">
        <v>819</v>
      </c>
      <c r="D814" s="11">
        <v>1.0</v>
      </c>
      <c r="E814" s="11">
        <v>654.78</v>
      </c>
      <c r="F814" s="11">
        <v>654.78</v>
      </c>
    </row>
    <row r="815">
      <c r="A815" s="11" t="s">
        <v>4960</v>
      </c>
      <c r="B815" s="11" t="s">
        <v>4961</v>
      </c>
      <c r="C815" s="11" t="s">
        <v>3552</v>
      </c>
      <c r="D815" s="11">
        <v>1.0</v>
      </c>
      <c r="E815" s="11">
        <v>1.0</v>
      </c>
      <c r="F815" s="11">
        <v>1.0</v>
      </c>
    </row>
    <row r="816">
      <c r="A816" s="11" t="s">
        <v>4964</v>
      </c>
      <c r="B816" s="11" t="s">
        <v>4966</v>
      </c>
      <c r="C816" s="19" t="s">
        <v>3325</v>
      </c>
      <c r="D816" s="11">
        <v>10.0</v>
      </c>
      <c r="E816" s="11">
        <v>25.0</v>
      </c>
      <c r="F816" s="11">
        <v>250.0</v>
      </c>
    </row>
    <row r="817">
      <c r="A817" s="11" t="s">
        <v>4969</v>
      </c>
      <c r="B817" s="11" t="s">
        <v>4970</v>
      </c>
      <c r="C817" s="11" t="s">
        <v>3427</v>
      </c>
      <c r="D817" s="11">
        <v>2.0</v>
      </c>
      <c r="E817" s="11">
        <v>12.99</v>
      </c>
      <c r="F817" s="11">
        <v>25.98</v>
      </c>
    </row>
    <row r="818">
      <c r="A818" s="11" t="s">
        <v>4974</v>
      </c>
      <c r="B818" s="11" t="s">
        <v>4970</v>
      </c>
      <c r="C818" s="11" t="s">
        <v>3284</v>
      </c>
      <c r="D818" s="11">
        <v>1.48</v>
      </c>
      <c r="E818" s="11">
        <v>13.19</v>
      </c>
      <c r="F818" s="11">
        <v>19.52</v>
      </c>
    </row>
    <row r="819">
      <c r="A819" s="11" t="s">
        <v>4977</v>
      </c>
      <c r="B819" s="11" t="s">
        <v>4979</v>
      </c>
      <c r="C819" s="11" t="s">
        <v>3319</v>
      </c>
      <c r="D819" s="11">
        <v>10.0</v>
      </c>
      <c r="E819" s="11">
        <v>14.98</v>
      </c>
      <c r="F819" s="11">
        <v>149.8</v>
      </c>
    </row>
    <row r="820">
      <c r="A820" s="11" t="s">
        <v>4985</v>
      </c>
      <c r="B820" s="11" t="s">
        <v>4979</v>
      </c>
      <c r="C820" s="11" t="s">
        <v>3384</v>
      </c>
      <c r="D820" s="11">
        <v>3.0</v>
      </c>
      <c r="E820" s="11">
        <v>12.98</v>
      </c>
      <c r="F820" s="11">
        <v>38.94</v>
      </c>
    </row>
    <row r="821">
      <c r="A821" s="11" t="s">
        <v>4988</v>
      </c>
      <c r="B821" s="11" t="s">
        <v>4979</v>
      </c>
      <c r="C821" s="11" t="s">
        <v>3348</v>
      </c>
      <c r="D821" s="11">
        <v>3.18</v>
      </c>
      <c r="E821" s="11">
        <v>6.98</v>
      </c>
      <c r="F821" s="11">
        <v>22.2</v>
      </c>
    </row>
    <row r="822">
      <c r="A822" s="11" t="s">
        <v>4992</v>
      </c>
      <c r="B822" s="11" t="s">
        <v>4993</v>
      </c>
      <c r="C822" s="11" t="s">
        <v>3339</v>
      </c>
      <c r="D822" s="11">
        <v>1.0</v>
      </c>
      <c r="E822" s="11">
        <v>396.0</v>
      </c>
      <c r="F822" s="11">
        <v>396.0</v>
      </c>
    </row>
    <row r="823">
      <c r="A823" s="11" t="s">
        <v>4995</v>
      </c>
      <c r="B823" s="11" t="s">
        <v>4997</v>
      </c>
      <c r="C823" s="19" t="s">
        <v>3325</v>
      </c>
      <c r="D823" s="11">
        <v>8.0</v>
      </c>
      <c r="E823" s="11">
        <v>25.0</v>
      </c>
      <c r="F823" s="11">
        <v>200.0</v>
      </c>
    </row>
    <row r="824">
      <c r="A824" s="19" t="s">
        <v>5000</v>
      </c>
      <c r="B824" s="11" t="s">
        <v>5001</v>
      </c>
      <c r="C824" s="11" t="s">
        <v>527</v>
      </c>
      <c r="D824" s="11">
        <v>1.0</v>
      </c>
      <c r="E824" s="11">
        <v>207.0</v>
      </c>
      <c r="F824" s="11">
        <v>207.0</v>
      </c>
    </row>
    <row r="825">
      <c r="A825" s="11" t="s">
        <v>5005</v>
      </c>
      <c r="B825" s="11" t="s">
        <v>5008</v>
      </c>
      <c r="C825" s="11" t="s">
        <v>3358</v>
      </c>
      <c r="D825" s="11">
        <v>72.0</v>
      </c>
      <c r="E825" s="11">
        <v>0.95</v>
      </c>
      <c r="F825" s="11">
        <v>68.4</v>
      </c>
    </row>
    <row r="826">
      <c r="A826" s="11" t="s">
        <v>5012</v>
      </c>
      <c r="B826" s="11" t="s">
        <v>5008</v>
      </c>
      <c r="C826" s="11" t="s">
        <v>3520</v>
      </c>
      <c r="D826" s="11">
        <v>12.0</v>
      </c>
      <c r="E826" s="11">
        <v>1.29</v>
      </c>
      <c r="F826" s="11">
        <v>15.48</v>
      </c>
    </row>
    <row r="827">
      <c r="A827" s="11" t="s">
        <v>5016</v>
      </c>
      <c r="B827" s="11" t="s">
        <v>5008</v>
      </c>
      <c r="C827" s="11" t="s">
        <v>5017</v>
      </c>
      <c r="D827" s="11">
        <v>1.0</v>
      </c>
      <c r="E827" s="11">
        <v>19.99</v>
      </c>
      <c r="F827" s="11">
        <v>19.99</v>
      </c>
    </row>
    <row r="828">
      <c r="A828" s="11" t="s">
        <v>5021</v>
      </c>
      <c r="B828" s="11" t="s">
        <v>5008</v>
      </c>
      <c r="C828" s="11" t="s">
        <v>3427</v>
      </c>
      <c r="D828" s="11">
        <v>1.0</v>
      </c>
      <c r="E828" s="11">
        <v>27.99</v>
      </c>
      <c r="F828" s="11">
        <v>27.99</v>
      </c>
    </row>
    <row r="829">
      <c r="A829" s="11" t="s">
        <v>5024</v>
      </c>
      <c r="B829" s="11" t="s">
        <v>5008</v>
      </c>
      <c r="C829" s="11" t="s">
        <v>3431</v>
      </c>
      <c r="D829" s="11">
        <v>2.0</v>
      </c>
      <c r="E829" s="11">
        <v>8.99</v>
      </c>
      <c r="F829" s="11">
        <v>17.98</v>
      </c>
    </row>
    <row r="830">
      <c r="A830" s="11" t="s">
        <v>5028</v>
      </c>
      <c r="B830" s="11" t="s">
        <v>5008</v>
      </c>
      <c r="C830" s="11" t="s">
        <v>3947</v>
      </c>
      <c r="D830" s="11">
        <v>2.0</v>
      </c>
      <c r="E830" s="11">
        <v>15.99</v>
      </c>
      <c r="F830" s="11">
        <v>31.98</v>
      </c>
    </row>
    <row r="831">
      <c r="A831" s="11" t="s">
        <v>5031</v>
      </c>
      <c r="B831" s="11" t="s">
        <v>5008</v>
      </c>
      <c r="C831" s="11" t="s">
        <v>3431</v>
      </c>
      <c r="D831" s="11">
        <v>1.0</v>
      </c>
      <c r="E831" s="11">
        <v>7.99</v>
      </c>
      <c r="F831" s="11">
        <v>7.99</v>
      </c>
    </row>
    <row r="832">
      <c r="A832" s="11" t="s">
        <v>5035</v>
      </c>
      <c r="B832" s="11" t="s">
        <v>5008</v>
      </c>
      <c r="C832" s="11" t="s">
        <v>3785</v>
      </c>
      <c r="D832" s="11">
        <v>20.0</v>
      </c>
      <c r="E832" s="11">
        <v>0.95</v>
      </c>
      <c r="F832" s="11">
        <v>19.0</v>
      </c>
    </row>
    <row r="833">
      <c r="A833" s="11" t="s">
        <v>5037</v>
      </c>
      <c r="B833" s="11" t="s">
        <v>5008</v>
      </c>
      <c r="C833" s="11" t="s">
        <v>3679</v>
      </c>
      <c r="D833" s="11">
        <v>1.0</v>
      </c>
      <c r="E833" s="11">
        <v>22.99</v>
      </c>
      <c r="F833" s="11">
        <v>22.99</v>
      </c>
    </row>
    <row r="834">
      <c r="A834" s="11" t="s">
        <v>5040</v>
      </c>
      <c r="B834" s="11" t="s">
        <v>5008</v>
      </c>
      <c r="C834" s="11" t="s">
        <v>3284</v>
      </c>
      <c r="D834" s="11">
        <v>1.08</v>
      </c>
      <c r="E834" s="11">
        <v>13.19</v>
      </c>
      <c r="F834" s="11">
        <v>14.25</v>
      </c>
    </row>
    <row r="835">
      <c r="A835" s="11" t="s">
        <v>5042</v>
      </c>
      <c r="B835" s="11" t="s">
        <v>5044</v>
      </c>
      <c r="C835" s="11" t="s">
        <v>3978</v>
      </c>
      <c r="D835" s="11">
        <v>3.0</v>
      </c>
      <c r="E835" s="11">
        <v>7.4</v>
      </c>
      <c r="F835" s="11">
        <v>22.2</v>
      </c>
    </row>
    <row r="836">
      <c r="A836" s="11" t="s">
        <v>5047</v>
      </c>
      <c r="B836" s="11" t="s">
        <v>5048</v>
      </c>
      <c r="C836" s="11" t="s">
        <v>1958</v>
      </c>
      <c r="D836" s="11">
        <v>1.0</v>
      </c>
      <c r="E836" s="11">
        <v>2071.13</v>
      </c>
      <c r="F836" s="11">
        <v>2071.13</v>
      </c>
    </row>
    <row r="837">
      <c r="A837" s="11" t="s">
        <v>5051</v>
      </c>
      <c r="B837" s="11" t="s">
        <v>5048</v>
      </c>
      <c r="C837" s="11" t="s">
        <v>3047</v>
      </c>
      <c r="D837" s="11">
        <v>1.0</v>
      </c>
      <c r="E837" s="11">
        <v>176.05</v>
      </c>
      <c r="F837" s="11">
        <v>176.05</v>
      </c>
    </row>
    <row r="838">
      <c r="A838" s="11" t="s">
        <v>5055</v>
      </c>
      <c r="B838" s="11" t="s">
        <v>5056</v>
      </c>
      <c r="C838" s="11" t="s">
        <v>3319</v>
      </c>
      <c r="D838" s="11">
        <v>1.314</v>
      </c>
      <c r="E838" s="11">
        <v>21.98</v>
      </c>
      <c r="F838" s="11">
        <v>28.88</v>
      </c>
    </row>
    <row r="839">
      <c r="A839" s="11" t="s">
        <v>5060</v>
      </c>
      <c r="B839" s="11" t="s">
        <v>5056</v>
      </c>
      <c r="C839" s="11" t="s">
        <v>3348</v>
      </c>
      <c r="D839" s="11">
        <v>1.96</v>
      </c>
      <c r="E839" s="11">
        <v>10.98</v>
      </c>
      <c r="F839" s="11">
        <v>21.52</v>
      </c>
    </row>
    <row r="840">
      <c r="A840" s="11" t="s">
        <v>5062</v>
      </c>
      <c r="B840" s="11" t="s">
        <v>5056</v>
      </c>
      <c r="C840" s="11" t="s">
        <v>3348</v>
      </c>
      <c r="D840" s="11">
        <v>1.778</v>
      </c>
      <c r="E840" s="11">
        <v>10.98</v>
      </c>
      <c r="F840" s="11">
        <v>19.52</v>
      </c>
    </row>
    <row r="841">
      <c r="A841" s="11" t="s">
        <v>5067</v>
      </c>
      <c r="B841" s="11" t="s">
        <v>5056</v>
      </c>
      <c r="C841" s="11" t="s">
        <v>3388</v>
      </c>
      <c r="D841" s="11">
        <v>1.769</v>
      </c>
      <c r="E841" s="11">
        <v>4.98</v>
      </c>
      <c r="F841" s="11">
        <v>8.81</v>
      </c>
    </row>
    <row r="842">
      <c r="A842" s="11" t="s">
        <v>5069</v>
      </c>
      <c r="B842" s="11" t="s">
        <v>5070</v>
      </c>
      <c r="C842" s="11" t="s">
        <v>5072</v>
      </c>
      <c r="D842" s="11">
        <v>1.0</v>
      </c>
      <c r="E842" s="11">
        <v>13.02</v>
      </c>
      <c r="F842" s="11">
        <v>13.02</v>
      </c>
    </row>
    <row r="843">
      <c r="A843" s="11" t="s">
        <v>5073</v>
      </c>
      <c r="B843" s="11" t="s">
        <v>5075</v>
      </c>
      <c r="C843" s="11" t="s">
        <v>2040</v>
      </c>
      <c r="D843" s="11">
        <v>1.0</v>
      </c>
      <c r="E843" s="11">
        <v>4959.75</v>
      </c>
      <c r="F843" s="11">
        <v>4959.75</v>
      </c>
    </row>
    <row r="844">
      <c r="A844" s="11" t="s">
        <v>5077</v>
      </c>
      <c r="B844" s="11" t="s">
        <v>5075</v>
      </c>
      <c r="C844" s="11" t="s">
        <v>3047</v>
      </c>
      <c r="D844" s="11">
        <v>1.0</v>
      </c>
      <c r="E844" s="11">
        <v>421.58</v>
      </c>
      <c r="F844" s="11">
        <v>421.58</v>
      </c>
    </row>
    <row r="845">
      <c r="A845" s="11" t="s">
        <v>5079</v>
      </c>
      <c r="B845" s="11" t="s">
        <v>5075</v>
      </c>
      <c r="C845" s="11" t="s">
        <v>3470</v>
      </c>
      <c r="D845" s="11">
        <v>1.0</v>
      </c>
      <c r="E845" s="11">
        <v>132.18</v>
      </c>
      <c r="F845" s="11">
        <v>132.18</v>
      </c>
    </row>
    <row r="846">
      <c r="A846" s="11" t="s">
        <v>5082</v>
      </c>
      <c r="B846" s="11" t="s">
        <v>5083</v>
      </c>
      <c r="C846" s="11" t="s">
        <v>2040</v>
      </c>
      <c r="D846" s="11">
        <v>1.0</v>
      </c>
      <c r="E846" s="11">
        <v>127.5</v>
      </c>
      <c r="F846" s="11">
        <v>127.5</v>
      </c>
    </row>
    <row r="847">
      <c r="A847" s="11" t="s">
        <v>5093</v>
      </c>
      <c r="B847" s="11" t="s">
        <v>5083</v>
      </c>
      <c r="C847" s="11" t="s">
        <v>3047</v>
      </c>
      <c r="D847" s="11">
        <v>1.0</v>
      </c>
      <c r="E847" s="11">
        <v>10.84</v>
      </c>
      <c r="F847" s="11">
        <v>10.84</v>
      </c>
    </row>
    <row r="848">
      <c r="A848" s="11" t="s">
        <v>5096</v>
      </c>
      <c r="B848" s="11" t="s">
        <v>5098</v>
      </c>
      <c r="C848" s="11" t="s">
        <v>5099</v>
      </c>
      <c r="D848" s="11">
        <v>1.0</v>
      </c>
      <c r="E848" s="11">
        <v>7.45</v>
      </c>
      <c r="F848" s="11">
        <v>7.45</v>
      </c>
    </row>
    <row r="849">
      <c r="A849" s="11" t="s">
        <v>5102</v>
      </c>
      <c r="B849" s="11" t="s">
        <v>5098</v>
      </c>
      <c r="C849" s="11" t="s">
        <v>3047</v>
      </c>
      <c r="D849" s="11">
        <v>1.0</v>
      </c>
      <c r="E849" s="11">
        <v>0.63</v>
      </c>
      <c r="F849" s="11">
        <v>0.63</v>
      </c>
    </row>
    <row r="850">
      <c r="A850" s="11" t="s">
        <v>5105</v>
      </c>
      <c r="B850" s="11" t="s">
        <v>5106</v>
      </c>
      <c r="C850" s="11" t="s">
        <v>3358</v>
      </c>
      <c r="D850" s="11">
        <v>16.0</v>
      </c>
      <c r="E850" s="11">
        <v>13.3</v>
      </c>
      <c r="F850" s="11">
        <v>212.8</v>
      </c>
    </row>
    <row r="851">
      <c r="A851" s="11" t="s">
        <v>5109</v>
      </c>
      <c r="B851" s="11" t="s">
        <v>5106</v>
      </c>
      <c r="C851" s="11" t="s">
        <v>3520</v>
      </c>
      <c r="D851" s="11">
        <v>3.0</v>
      </c>
      <c r="E851" s="11">
        <v>15.5</v>
      </c>
      <c r="F851" s="11">
        <v>46.5</v>
      </c>
    </row>
    <row r="852">
      <c r="A852" s="11" t="s">
        <v>5112</v>
      </c>
      <c r="B852" s="11" t="s">
        <v>5113</v>
      </c>
      <c r="C852" s="11" t="s">
        <v>4054</v>
      </c>
      <c r="D852" s="11">
        <v>10.0</v>
      </c>
      <c r="E852" s="11">
        <v>13.5</v>
      </c>
      <c r="F852" s="11">
        <v>135.0</v>
      </c>
    </row>
    <row r="853">
      <c r="A853" s="11" t="s">
        <v>5116</v>
      </c>
      <c r="B853" s="11" t="s">
        <v>5113</v>
      </c>
      <c r="C853" s="11" t="s">
        <v>4049</v>
      </c>
      <c r="D853" s="11">
        <v>2.0</v>
      </c>
      <c r="E853" s="11">
        <v>69.0</v>
      </c>
      <c r="F853" s="11">
        <v>138.0</v>
      </c>
    </row>
    <row r="854">
      <c r="A854" s="11" t="s">
        <v>5120</v>
      </c>
      <c r="B854" s="11" t="s">
        <v>5122</v>
      </c>
      <c r="C854" s="11" t="s">
        <v>1874</v>
      </c>
      <c r="D854" s="11">
        <v>1.0</v>
      </c>
      <c r="E854" s="11">
        <v>332.0</v>
      </c>
      <c r="F854" s="11">
        <v>332.0</v>
      </c>
    </row>
    <row r="855">
      <c r="A855" s="11" t="s">
        <v>5125</v>
      </c>
      <c r="B855" s="11" t="s">
        <v>5127</v>
      </c>
      <c r="C855" s="19" t="s">
        <v>3325</v>
      </c>
      <c r="D855" s="11">
        <v>12.0</v>
      </c>
      <c r="E855" s="11">
        <v>25.0</v>
      </c>
      <c r="F855" s="11">
        <v>300.0</v>
      </c>
    </row>
    <row r="856">
      <c r="A856" s="11" t="s">
        <v>5129</v>
      </c>
      <c r="B856" s="11" t="s">
        <v>5130</v>
      </c>
      <c r="C856" s="11" t="s">
        <v>3284</v>
      </c>
      <c r="D856" s="11">
        <v>2.1</v>
      </c>
      <c r="E856" s="11">
        <v>13.19</v>
      </c>
      <c r="F856" s="11">
        <v>27.7</v>
      </c>
    </row>
    <row r="857">
      <c r="A857" s="11" t="s">
        <v>5133</v>
      </c>
      <c r="B857" s="11" t="s">
        <v>5130</v>
      </c>
      <c r="C857" s="11" t="s">
        <v>3427</v>
      </c>
      <c r="D857" s="11">
        <v>1.0</v>
      </c>
      <c r="E857" s="11">
        <v>13.99</v>
      </c>
      <c r="F857" s="11">
        <v>13.99</v>
      </c>
    </row>
    <row r="858">
      <c r="A858" s="11" t="s">
        <v>5135</v>
      </c>
      <c r="B858" s="11" t="s">
        <v>5137</v>
      </c>
      <c r="C858" s="11" t="s">
        <v>5138</v>
      </c>
      <c r="D858" s="11">
        <v>1.0</v>
      </c>
      <c r="E858" s="11">
        <v>8542.05</v>
      </c>
      <c r="F858" s="11">
        <v>8542.05</v>
      </c>
    </row>
    <row r="859">
      <c r="A859" s="11" t="s">
        <v>5140</v>
      </c>
      <c r="B859" s="11" t="s">
        <v>5142</v>
      </c>
      <c r="C859" s="11" t="s">
        <v>3339</v>
      </c>
      <c r="D859" s="11">
        <v>1.0</v>
      </c>
      <c r="E859" s="11">
        <v>588.0</v>
      </c>
      <c r="F859" s="11">
        <v>588.0</v>
      </c>
    </row>
    <row r="860">
      <c r="A860" s="11" t="s">
        <v>5145</v>
      </c>
      <c r="B860" s="11" t="s">
        <v>5146</v>
      </c>
      <c r="C860" s="11" t="s">
        <v>1392</v>
      </c>
      <c r="D860" s="11">
        <v>1.0</v>
      </c>
      <c r="E860" s="11">
        <v>180.0</v>
      </c>
      <c r="F860" s="11">
        <v>180.0</v>
      </c>
    </row>
    <row r="861">
      <c r="A861" s="11" t="s">
        <v>5150</v>
      </c>
      <c r="B861" s="11" t="s">
        <v>5151</v>
      </c>
      <c r="C861" s="19" t="s">
        <v>3325</v>
      </c>
      <c r="D861" s="11">
        <v>5.0</v>
      </c>
      <c r="E861" s="11">
        <v>25.0</v>
      </c>
      <c r="F861" s="11">
        <v>125.0</v>
      </c>
    </row>
    <row r="862">
      <c r="A862" s="11" t="s">
        <v>5153</v>
      </c>
      <c r="B862" s="11" t="s">
        <v>5154</v>
      </c>
      <c r="C862" s="11" t="s">
        <v>5156</v>
      </c>
      <c r="D862" s="11">
        <v>1.0</v>
      </c>
      <c r="E862" s="11">
        <v>117.99</v>
      </c>
      <c r="F862" s="11">
        <v>117.99</v>
      </c>
    </row>
    <row r="863">
      <c r="A863" s="11" t="s">
        <v>5159</v>
      </c>
      <c r="B863" s="11" t="s">
        <v>5160</v>
      </c>
      <c r="C863" s="11" t="s">
        <v>3388</v>
      </c>
      <c r="D863" s="11">
        <v>1.09</v>
      </c>
      <c r="E863" s="11">
        <v>4.99</v>
      </c>
      <c r="F863" s="11">
        <v>5.44</v>
      </c>
    </row>
    <row r="864">
      <c r="A864" s="11" t="s">
        <v>5163</v>
      </c>
      <c r="B864" s="11" t="s">
        <v>5164</v>
      </c>
      <c r="C864" s="11" t="s">
        <v>3284</v>
      </c>
      <c r="D864" s="11">
        <v>0.525</v>
      </c>
      <c r="E864" s="11">
        <v>13.19</v>
      </c>
      <c r="F864" s="11">
        <v>6.92</v>
      </c>
    </row>
    <row r="865">
      <c r="A865" s="11" t="s">
        <v>5167</v>
      </c>
      <c r="B865" s="11" t="s">
        <v>5164</v>
      </c>
      <c r="C865" s="11" t="s">
        <v>3427</v>
      </c>
      <c r="D865" s="11">
        <v>1.0</v>
      </c>
      <c r="E865" s="11">
        <v>13.99</v>
      </c>
      <c r="F865" s="11">
        <v>13.99</v>
      </c>
    </row>
    <row r="866">
      <c r="A866" s="11" t="s">
        <v>5170</v>
      </c>
      <c r="B866" s="11" t="s">
        <v>5171</v>
      </c>
      <c r="C866" s="11" t="s">
        <v>3284</v>
      </c>
      <c r="D866" s="11">
        <v>1.095</v>
      </c>
      <c r="E866" s="11">
        <v>13.19</v>
      </c>
      <c r="F866" s="11">
        <v>14.44</v>
      </c>
    </row>
    <row r="867">
      <c r="A867" s="11" t="s">
        <v>5174</v>
      </c>
      <c r="B867" s="11" t="s">
        <v>5171</v>
      </c>
      <c r="C867" s="11" t="s">
        <v>3427</v>
      </c>
      <c r="D867" s="11">
        <v>1.0</v>
      </c>
      <c r="E867" s="11">
        <v>13.99</v>
      </c>
      <c r="F867" s="11">
        <v>13.99</v>
      </c>
    </row>
    <row r="868">
      <c r="A868" s="11" t="s">
        <v>5178</v>
      </c>
      <c r="B868" s="11" t="s">
        <v>5179</v>
      </c>
      <c r="C868" s="11" t="s">
        <v>3339</v>
      </c>
      <c r="D868" s="11">
        <v>1.0</v>
      </c>
      <c r="E868" s="11">
        <v>336.0</v>
      </c>
      <c r="F868" s="11">
        <v>336.0</v>
      </c>
    </row>
    <row r="869">
      <c r="A869" s="11" t="s">
        <v>5183</v>
      </c>
      <c r="B869" s="11" t="s">
        <v>5184</v>
      </c>
      <c r="C869" s="11" t="s">
        <v>3904</v>
      </c>
      <c r="D869" s="11">
        <v>1.0</v>
      </c>
      <c r="E869" s="11">
        <v>50.0</v>
      </c>
      <c r="F869" s="11">
        <v>50.0</v>
      </c>
    </row>
    <row r="870">
      <c r="A870" s="11" t="s">
        <v>5186</v>
      </c>
      <c r="B870" s="11" t="s">
        <v>5188</v>
      </c>
      <c r="C870" s="11" t="s">
        <v>3388</v>
      </c>
      <c r="D870" s="11">
        <v>1.395</v>
      </c>
      <c r="E870" s="11">
        <v>4.99</v>
      </c>
      <c r="F870" s="11">
        <v>6.96</v>
      </c>
    </row>
    <row r="871">
      <c r="A871" s="11" t="s">
        <v>5191</v>
      </c>
      <c r="B871" s="11" t="s">
        <v>5193</v>
      </c>
      <c r="C871" s="11" t="s">
        <v>5194</v>
      </c>
      <c r="D871" s="11">
        <v>1.0</v>
      </c>
      <c r="E871" s="11">
        <v>351.6</v>
      </c>
      <c r="F871" s="11">
        <v>351.6</v>
      </c>
    </row>
    <row r="872">
      <c r="A872" s="11" t="s">
        <v>5197</v>
      </c>
      <c r="B872" s="11" t="s">
        <v>5193</v>
      </c>
      <c r="C872" s="11" t="s">
        <v>3047</v>
      </c>
      <c r="D872" s="11">
        <v>1.0</v>
      </c>
      <c r="E872" s="11">
        <v>29.89</v>
      </c>
      <c r="F872" s="11">
        <v>29.89</v>
      </c>
    </row>
    <row r="873">
      <c r="A873" s="11" t="s">
        <v>5200</v>
      </c>
      <c r="B873" s="11" t="s">
        <v>5201</v>
      </c>
      <c r="C873" s="11" t="s">
        <v>2040</v>
      </c>
      <c r="D873" s="11">
        <v>1.0</v>
      </c>
      <c r="E873" s="11">
        <v>238.0</v>
      </c>
      <c r="F873" s="11">
        <v>238.0</v>
      </c>
    </row>
    <row r="874">
      <c r="A874" s="11" t="s">
        <v>5205</v>
      </c>
      <c r="B874" s="11" t="s">
        <v>5201</v>
      </c>
      <c r="C874" s="11" t="s">
        <v>3047</v>
      </c>
      <c r="D874" s="11">
        <v>1.0</v>
      </c>
      <c r="E874" s="11">
        <v>20.23</v>
      </c>
      <c r="F874" s="11">
        <v>20.23</v>
      </c>
    </row>
    <row r="875">
      <c r="A875" s="11" t="s">
        <v>5208</v>
      </c>
      <c r="B875" s="11" t="s">
        <v>5201</v>
      </c>
      <c r="C875" s="11" t="s">
        <v>3470</v>
      </c>
      <c r="D875" s="11">
        <v>1.0</v>
      </c>
      <c r="E875" s="11">
        <v>2.4</v>
      </c>
      <c r="F875" s="11">
        <v>2.4</v>
      </c>
    </row>
    <row r="876">
      <c r="A876" s="11" t="s">
        <v>5212</v>
      </c>
      <c r="B876" s="11" t="s">
        <v>5213</v>
      </c>
      <c r="C876" s="11" t="s">
        <v>2040</v>
      </c>
      <c r="D876" s="11">
        <v>1.0</v>
      </c>
      <c r="E876" s="11">
        <v>7833.62</v>
      </c>
      <c r="F876" s="11">
        <v>7833.62</v>
      </c>
    </row>
    <row r="877">
      <c r="A877" s="11" t="s">
        <v>5216</v>
      </c>
      <c r="B877" s="11" t="s">
        <v>5213</v>
      </c>
      <c r="C877" s="11" t="s">
        <v>3047</v>
      </c>
      <c r="D877" s="11">
        <v>1.0</v>
      </c>
      <c r="E877" s="11">
        <v>643.63</v>
      </c>
      <c r="F877" s="11">
        <v>643.63</v>
      </c>
    </row>
    <row r="878">
      <c r="A878" s="11" t="s">
        <v>5220</v>
      </c>
      <c r="B878" s="11" t="s">
        <v>5213</v>
      </c>
      <c r="C878" s="11" t="s">
        <v>3470</v>
      </c>
      <c r="D878" s="11">
        <v>1.0</v>
      </c>
      <c r="E878" s="11">
        <v>93.86</v>
      </c>
      <c r="F878" s="11">
        <v>93.86</v>
      </c>
    </row>
    <row r="879">
      <c r="A879" s="11" t="s">
        <v>5223</v>
      </c>
      <c r="B879" s="11" t="s">
        <v>5224</v>
      </c>
      <c r="C879" s="11" t="s">
        <v>1958</v>
      </c>
      <c r="D879" s="11">
        <v>1.0</v>
      </c>
      <c r="E879" s="11">
        <v>2814.37</v>
      </c>
      <c r="F879" s="11">
        <v>2814.37</v>
      </c>
    </row>
    <row r="880">
      <c r="A880" s="19" t="s">
        <v>5228</v>
      </c>
      <c r="B880" s="11" t="s">
        <v>5224</v>
      </c>
      <c r="C880" s="11" t="s">
        <v>3047</v>
      </c>
      <c r="D880" s="11">
        <v>1.0</v>
      </c>
      <c r="E880" s="11">
        <v>239.22</v>
      </c>
      <c r="F880" s="11">
        <v>239.22</v>
      </c>
    </row>
    <row r="881">
      <c r="A881" s="11" t="s">
        <v>5231</v>
      </c>
      <c r="B881" s="11" t="s">
        <v>5233</v>
      </c>
      <c r="C881" s="11" t="s">
        <v>527</v>
      </c>
      <c r="D881" s="11">
        <v>1.0</v>
      </c>
      <c r="E881" s="11">
        <v>359.0</v>
      </c>
      <c r="F881" s="11">
        <v>359.0</v>
      </c>
    </row>
    <row r="882">
      <c r="A882" s="11" t="s">
        <v>5236</v>
      </c>
      <c r="B882" s="11" t="s">
        <v>5237</v>
      </c>
      <c r="C882" s="11" t="s">
        <v>3339</v>
      </c>
      <c r="D882" s="11">
        <v>1.0</v>
      </c>
      <c r="E882" s="11">
        <v>378.0</v>
      </c>
      <c r="F882" s="11">
        <v>378.0</v>
      </c>
    </row>
    <row r="883">
      <c r="A883" s="11" t="s">
        <v>5240</v>
      </c>
      <c r="B883" s="11" t="s">
        <v>5241</v>
      </c>
      <c r="C883" s="11" t="s">
        <v>3319</v>
      </c>
      <c r="D883" s="11">
        <v>3.0</v>
      </c>
      <c r="E883" s="11">
        <v>14.98</v>
      </c>
      <c r="F883" s="11">
        <v>44.94</v>
      </c>
    </row>
    <row r="884">
      <c r="A884" s="11" t="s">
        <v>5245</v>
      </c>
      <c r="B884" s="11" t="s">
        <v>5241</v>
      </c>
      <c r="C884" s="11" t="s">
        <v>3388</v>
      </c>
      <c r="D884" s="11">
        <v>2.17</v>
      </c>
      <c r="E884" s="11">
        <v>4.45</v>
      </c>
      <c r="F884" s="11">
        <v>9.66</v>
      </c>
    </row>
    <row r="885">
      <c r="A885" s="11" t="s">
        <v>5248</v>
      </c>
      <c r="B885" s="11" t="s">
        <v>5241</v>
      </c>
      <c r="C885" s="11" t="s">
        <v>3384</v>
      </c>
      <c r="D885" s="11">
        <v>1.0</v>
      </c>
      <c r="E885" s="11">
        <v>12.98</v>
      </c>
      <c r="F885" s="11">
        <v>12.98</v>
      </c>
    </row>
    <row r="886">
      <c r="A886" s="11" t="s">
        <v>5252</v>
      </c>
      <c r="B886" s="11" t="s">
        <v>5241</v>
      </c>
      <c r="C886" s="11" t="s">
        <v>3348</v>
      </c>
      <c r="D886" s="11">
        <v>1.104</v>
      </c>
      <c r="E886" s="11">
        <v>6.98</v>
      </c>
      <c r="F886" s="11">
        <v>7.71</v>
      </c>
    </row>
    <row r="887">
      <c r="A887" s="11" t="s">
        <v>5255</v>
      </c>
      <c r="B887" s="11" t="s">
        <v>5257</v>
      </c>
      <c r="C887" s="19" t="s">
        <v>3325</v>
      </c>
      <c r="D887" s="11">
        <v>5.0</v>
      </c>
      <c r="E887" s="11">
        <v>25.0</v>
      </c>
      <c r="F887" s="11">
        <v>125.0</v>
      </c>
    </row>
    <row r="888">
      <c r="A888" s="11" t="s">
        <v>5260</v>
      </c>
      <c r="B888" s="11" t="s">
        <v>5261</v>
      </c>
      <c r="C888" s="19" t="s">
        <v>3325</v>
      </c>
      <c r="D888" s="11">
        <v>3.0</v>
      </c>
      <c r="E888" s="11">
        <v>28.0</v>
      </c>
      <c r="F888" s="11">
        <v>84.0</v>
      </c>
    </row>
    <row r="889">
      <c r="A889" s="11" t="s">
        <v>5265</v>
      </c>
      <c r="B889" s="11" t="s">
        <v>5266</v>
      </c>
      <c r="C889" s="11" t="s">
        <v>3431</v>
      </c>
      <c r="D889" s="11">
        <v>1.0</v>
      </c>
      <c r="E889" s="11">
        <v>8.59</v>
      </c>
      <c r="F889" s="11">
        <v>8.59</v>
      </c>
    </row>
    <row r="890">
      <c r="A890" s="11" t="s">
        <v>5270</v>
      </c>
      <c r="B890" s="11" t="s">
        <v>5266</v>
      </c>
      <c r="C890" s="11" t="s">
        <v>3427</v>
      </c>
      <c r="D890" s="11">
        <v>1.0</v>
      </c>
      <c r="E890" s="11">
        <v>13.99</v>
      </c>
      <c r="F890" s="11">
        <v>13.99</v>
      </c>
    </row>
    <row r="891">
      <c r="A891" s="11" t="s">
        <v>5273</v>
      </c>
      <c r="B891" s="11" t="s">
        <v>5274</v>
      </c>
      <c r="C891" s="11" t="s">
        <v>3339</v>
      </c>
      <c r="D891" s="11">
        <v>1.0</v>
      </c>
      <c r="E891" s="11">
        <v>174.0</v>
      </c>
      <c r="F891" s="11">
        <v>174.0</v>
      </c>
    </row>
    <row r="892">
      <c r="A892" s="11" t="s">
        <v>5278</v>
      </c>
      <c r="B892" s="11" t="s">
        <v>5280</v>
      </c>
      <c r="C892" s="19" t="s">
        <v>3325</v>
      </c>
      <c r="D892" s="11">
        <v>5.0</v>
      </c>
      <c r="E892" s="11">
        <v>28.0</v>
      </c>
      <c r="F892" s="11">
        <v>140.0</v>
      </c>
    </row>
    <row r="893">
      <c r="A893" s="11" t="s">
        <v>5282</v>
      </c>
      <c r="B893" s="11" t="s">
        <v>5284</v>
      </c>
      <c r="C893" s="11" t="s">
        <v>2040</v>
      </c>
      <c r="D893" s="11">
        <v>1.0</v>
      </c>
      <c r="E893" s="11">
        <v>1368.5</v>
      </c>
      <c r="F893" s="11">
        <v>1368.5</v>
      </c>
    </row>
    <row r="894">
      <c r="A894" s="11" t="s">
        <v>5286</v>
      </c>
      <c r="B894" s="11" t="s">
        <v>5284</v>
      </c>
      <c r="C894" s="11" t="s">
        <v>3047</v>
      </c>
      <c r="D894" s="11">
        <v>1.0</v>
      </c>
      <c r="E894" s="11">
        <v>116.32</v>
      </c>
      <c r="F894" s="11">
        <v>116.32</v>
      </c>
    </row>
    <row r="895">
      <c r="A895" s="11" t="s">
        <v>5290</v>
      </c>
      <c r="B895" s="11" t="s">
        <v>5284</v>
      </c>
      <c r="C895" s="11" t="s">
        <v>3470</v>
      </c>
      <c r="D895" s="11">
        <v>1.0</v>
      </c>
      <c r="E895" s="11">
        <v>43.46</v>
      </c>
      <c r="F895" s="11">
        <v>43.46</v>
      </c>
    </row>
    <row r="896">
      <c r="A896" s="11" t="s">
        <v>5293</v>
      </c>
      <c r="B896" s="11" t="s">
        <v>5294</v>
      </c>
      <c r="C896" s="11" t="s">
        <v>5295</v>
      </c>
      <c r="D896" s="11">
        <v>1.0</v>
      </c>
      <c r="E896" s="11">
        <v>102.63</v>
      </c>
      <c r="F896" s="11">
        <v>102.63</v>
      </c>
    </row>
    <row r="897">
      <c r="A897" s="11" t="s">
        <v>5298</v>
      </c>
      <c r="B897" s="11" t="s">
        <v>5294</v>
      </c>
      <c r="C897" s="11" t="s">
        <v>3047</v>
      </c>
      <c r="D897" s="11">
        <v>1.0</v>
      </c>
      <c r="E897" s="11">
        <v>8.72</v>
      </c>
      <c r="F897" s="11">
        <v>8.72</v>
      </c>
    </row>
    <row r="898">
      <c r="A898" s="11" t="s">
        <v>5302</v>
      </c>
      <c r="B898" s="11" t="s">
        <v>5304</v>
      </c>
      <c r="C898" s="11" t="s">
        <v>3384</v>
      </c>
      <c r="D898" s="11">
        <v>1.0</v>
      </c>
      <c r="E898" s="11">
        <v>12.98</v>
      </c>
      <c r="F898" s="11">
        <v>12.98</v>
      </c>
    </row>
    <row r="899">
      <c r="A899" s="11" t="s">
        <v>5307</v>
      </c>
      <c r="B899" s="11" t="s">
        <v>5304</v>
      </c>
      <c r="C899" s="11" t="s">
        <v>3319</v>
      </c>
      <c r="D899" s="11">
        <v>2.0</v>
      </c>
      <c r="E899" s="11">
        <v>14.98</v>
      </c>
      <c r="F899" s="11">
        <v>29.96</v>
      </c>
    </row>
    <row r="900">
      <c r="A900" s="11" t="s">
        <v>5312</v>
      </c>
      <c r="B900" s="11" t="s">
        <v>5304</v>
      </c>
      <c r="C900" s="11" t="s">
        <v>3348</v>
      </c>
      <c r="D900" s="11">
        <v>0.874</v>
      </c>
      <c r="E900" s="11">
        <v>6.98</v>
      </c>
      <c r="F900" s="11">
        <v>6.1</v>
      </c>
    </row>
    <row r="901">
      <c r="A901" s="11" t="s">
        <v>5316</v>
      </c>
      <c r="B901" s="11" t="s">
        <v>5304</v>
      </c>
      <c r="C901" s="11" t="s">
        <v>3388</v>
      </c>
      <c r="D901" s="11">
        <v>0.648</v>
      </c>
      <c r="E901" s="11">
        <v>4.45</v>
      </c>
      <c r="F901" s="11">
        <v>2.88</v>
      </c>
    </row>
    <row r="902">
      <c r="A902" s="11" t="s">
        <v>5320</v>
      </c>
      <c r="B902" s="11" t="s">
        <v>5321</v>
      </c>
      <c r="C902" s="11" t="s">
        <v>3284</v>
      </c>
      <c r="D902" s="11">
        <v>0.81</v>
      </c>
      <c r="E902" s="11">
        <v>12.89</v>
      </c>
      <c r="F902" s="11">
        <v>10.44</v>
      </c>
    </row>
    <row r="903">
      <c r="A903" s="11" t="s">
        <v>5325</v>
      </c>
      <c r="B903" s="11" t="s">
        <v>5321</v>
      </c>
      <c r="C903" s="11" t="s">
        <v>3427</v>
      </c>
      <c r="D903" s="11">
        <v>1.0</v>
      </c>
      <c r="E903" s="11">
        <v>7.19</v>
      </c>
      <c r="F903" s="11">
        <v>7.19</v>
      </c>
    </row>
    <row r="904">
      <c r="A904" s="11" t="s">
        <v>5328</v>
      </c>
      <c r="B904" s="11" t="s">
        <v>5321</v>
      </c>
      <c r="C904" s="11" t="s">
        <v>5330</v>
      </c>
      <c r="D904" s="11">
        <v>1.0</v>
      </c>
      <c r="E904" s="11">
        <v>8.29</v>
      </c>
      <c r="F904" s="11">
        <v>8.29</v>
      </c>
    </row>
    <row r="905">
      <c r="A905" s="11" t="s">
        <v>5332</v>
      </c>
      <c r="B905" s="11" t="s">
        <v>5334</v>
      </c>
      <c r="C905" s="11" t="s">
        <v>3339</v>
      </c>
      <c r="D905" s="11">
        <v>1.0</v>
      </c>
      <c r="E905" s="11">
        <v>348.0</v>
      </c>
      <c r="F905" s="11">
        <v>348.0</v>
      </c>
    </row>
    <row r="906">
      <c r="A906" s="11" t="s">
        <v>5337</v>
      </c>
      <c r="B906" s="11" t="s">
        <v>5338</v>
      </c>
      <c r="C906" s="11" t="s">
        <v>419</v>
      </c>
      <c r="D906" s="11">
        <v>1.0</v>
      </c>
      <c r="E906" s="11">
        <v>585.4</v>
      </c>
      <c r="F906" s="11">
        <v>585.4</v>
      </c>
    </row>
    <row r="907">
      <c r="A907" s="11" t="s">
        <v>5340</v>
      </c>
      <c r="B907" s="11" t="s">
        <v>5338</v>
      </c>
      <c r="C907" s="11" t="s">
        <v>3470</v>
      </c>
      <c r="D907" s="11">
        <v>1.0</v>
      </c>
      <c r="E907" s="11">
        <v>34.02</v>
      </c>
      <c r="F907" s="11">
        <v>34.02</v>
      </c>
    </row>
    <row r="908">
      <c r="A908" s="11" t="s">
        <v>5344</v>
      </c>
      <c r="B908" s="11" t="s">
        <v>137</v>
      </c>
      <c r="C908" s="11" t="s">
        <v>3319</v>
      </c>
      <c r="D908" s="11">
        <v>2.0</v>
      </c>
      <c r="E908" s="11">
        <v>14.98</v>
      </c>
      <c r="F908" s="11">
        <v>29.96</v>
      </c>
    </row>
    <row r="909">
      <c r="A909" s="11" t="s">
        <v>5349</v>
      </c>
      <c r="B909" s="11" t="s">
        <v>137</v>
      </c>
      <c r="C909" s="11" t="s">
        <v>3348</v>
      </c>
      <c r="D909" s="11">
        <v>1.23</v>
      </c>
      <c r="E909" s="11">
        <v>6.98</v>
      </c>
      <c r="F909" s="11">
        <v>8.59</v>
      </c>
    </row>
    <row r="910">
      <c r="A910" s="11" t="s">
        <v>5352</v>
      </c>
      <c r="B910" s="11" t="s">
        <v>137</v>
      </c>
      <c r="C910" s="11" t="s">
        <v>3384</v>
      </c>
      <c r="D910" s="11">
        <v>1.0</v>
      </c>
      <c r="E910" s="11">
        <v>12.98</v>
      </c>
      <c r="F910" s="11">
        <v>12.98</v>
      </c>
    </row>
    <row r="911">
      <c r="A911" s="11" t="s">
        <v>5356</v>
      </c>
      <c r="B911" s="11" t="s">
        <v>137</v>
      </c>
      <c r="C911" s="11" t="s">
        <v>3388</v>
      </c>
      <c r="D911" s="11">
        <v>2.042</v>
      </c>
      <c r="E911" s="11">
        <v>3.98</v>
      </c>
      <c r="F911" s="11">
        <v>8.13</v>
      </c>
    </row>
    <row r="912">
      <c r="A912" s="11" t="s">
        <v>5358</v>
      </c>
      <c r="B912" s="11" t="s">
        <v>199</v>
      </c>
      <c r="C912" s="11" t="s">
        <v>3426</v>
      </c>
      <c r="D912" s="11">
        <v>1.0</v>
      </c>
      <c r="E912" s="11">
        <v>43.35</v>
      </c>
      <c r="F912" s="11">
        <v>43.35</v>
      </c>
    </row>
    <row r="913">
      <c r="A913" s="11" t="s">
        <v>5363</v>
      </c>
      <c r="B913" s="11" t="s">
        <v>266</v>
      </c>
      <c r="C913" s="11" t="s">
        <v>3552</v>
      </c>
      <c r="D913" s="11">
        <v>4.0</v>
      </c>
      <c r="E913" s="11">
        <v>1.0</v>
      </c>
      <c r="F913" s="11">
        <v>4.0</v>
      </c>
    </row>
    <row r="914">
      <c r="A914" s="11" t="s">
        <v>5366</v>
      </c>
      <c r="B914" s="11" t="s">
        <v>293</v>
      </c>
      <c r="C914" s="19" t="s">
        <v>3325</v>
      </c>
      <c r="D914" s="11">
        <v>5.0</v>
      </c>
      <c r="E914" s="11">
        <v>28.0</v>
      </c>
      <c r="F914" s="11">
        <v>140.0</v>
      </c>
    </row>
    <row r="915">
      <c r="A915" s="11" t="s">
        <v>5369</v>
      </c>
      <c r="B915" s="11" t="s">
        <v>330</v>
      </c>
      <c r="C915" s="11" t="s">
        <v>1874</v>
      </c>
      <c r="D915" s="11">
        <v>1.0</v>
      </c>
      <c r="E915" s="11">
        <v>32.0</v>
      </c>
      <c r="F915" s="11">
        <v>32.0</v>
      </c>
    </row>
    <row r="916">
      <c r="A916" s="11" t="s">
        <v>5374</v>
      </c>
      <c r="B916" s="11" t="s">
        <v>320</v>
      </c>
      <c r="C916" s="11" t="s">
        <v>1874</v>
      </c>
      <c r="D916" s="11">
        <v>1.0</v>
      </c>
      <c r="E916" s="11">
        <v>32.0</v>
      </c>
      <c r="F916" s="11">
        <v>32.0</v>
      </c>
    </row>
    <row r="917">
      <c r="A917" s="11" t="s">
        <v>5376</v>
      </c>
      <c r="B917" s="11" t="s">
        <v>312</v>
      </c>
      <c r="C917" s="11" t="s">
        <v>1874</v>
      </c>
      <c r="D917" s="11">
        <v>1.0</v>
      </c>
      <c r="E917" s="11">
        <v>56.0</v>
      </c>
      <c r="F917" s="11">
        <v>56.0</v>
      </c>
    </row>
    <row r="918">
      <c r="A918" s="11" t="s">
        <v>5379</v>
      </c>
      <c r="B918" s="11" t="s">
        <v>303</v>
      </c>
      <c r="C918" s="11" t="s">
        <v>3284</v>
      </c>
      <c r="D918" s="11">
        <v>0.62</v>
      </c>
      <c r="E918" s="11">
        <v>12.89</v>
      </c>
      <c r="F918" s="11">
        <v>7.99</v>
      </c>
    </row>
    <row r="919">
      <c r="A919" s="11" t="s">
        <v>5382</v>
      </c>
      <c r="B919" s="11" t="s">
        <v>303</v>
      </c>
      <c r="C919" s="11" t="s">
        <v>3388</v>
      </c>
      <c r="D919" s="11">
        <v>0.8</v>
      </c>
      <c r="E919" s="11">
        <v>4.48</v>
      </c>
      <c r="F919" s="11">
        <v>3.58</v>
      </c>
    </row>
    <row r="920">
      <c r="A920" s="11" t="s">
        <v>5386</v>
      </c>
      <c r="B920" s="11" t="s">
        <v>303</v>
      </c>
      <c r="C920" s="11" t="s">
        <v>5387</v>
      </c>
      <c r="D920" s="11">
        <v>1.0</v>
      </c>
      <c r="E920" s="11">
        <v>7.29</v>
      </c>
      <c r="F920" s="11">
        <v>7.29</v>
      </c>
    </row>
    <row r="921">
      <c r="A921" s="11" t="s">
        <v>5389</v>
      </c>
      <c r="B921" s="11" t="s">
        <v>303</v>
      </c>
      <c r="C921" s="11" t="s">
        <v>3427</v>
      </c>
      <c r="D921" s="11">
        <v>1.0</v>
      </c>
      <c r="E921" s="11">
        <v>13.99</v>
      </c>
      <c r="F921" s="11">
        <v>13.99</v>
      </c>
    </row>
    <row r="922">
      <c r="A922" s="11" t="s">
        <v>5392</v>
      </c>
      <c r="B922" s="11" t="s">
        <v>303</v>
      </c>
      <c r="C922" s="11" t="s">
        <v>3319</v>
      </c>
      <c r="D922" s="11">
        <v>3.0</v>
      </c>
      <c r="E922" s="11">
        <v>14.79</v>
      </c>
      <c r="F922" s="11">
        <v>44.37</v>
      </c>
    </row>
    <row r="923">
      <c r="A923" s="11" t="s">
        <v>5396</v>
      </c>
      <c r="B923" s="11" t="s">
        <v>303</v>
      </c>
      <c r="C923" s="11" t="s">
        <v>3384</v>
      </c>
      <c r="D923" s="11">
        <v>1.0</v>
      </c>
      <c r="E923" s="11">
        <v>9.99</v>
      </c>
      <c r="F923" s="11">
        <v>9.99</v>
      </c>
    </row>
    <row r="924">
      <c r="A924" s="11" t="s">
        <v>5399</v>
      </c>
      <c r="B924" s="11" t="s">
        <v>347</v>
      </c>
      <c r="C924" s="11" t="s">
        <v>3904</v>
      </c>
      <c r="D924" s="11">
        <v>1.0</v>
      </c>
      <c r="E924" s="11">
        <v>50.0</v>
      </c>
      <c r="F924" s="11">
        <v>50.0</v>
      </c>
    </row>
    <row r="925">
      <c r="A925" s="11" t="s">
        <v>5402</v>
      </c>
      <c r="B925" s="11" t="s">
        <v>357</v>
      </c>
      <c r="C925" s="11" t="s">
        <v>4620</v>
      </c>
      <c r="D925" s="11">
        <v>1.0</v>
      </c>
      <c r="E925" s="11">
        <v>15.25</v>
      </c>
      <c r="F925" s="11">
        <v>15.25</v>
      </c>
    </row>
    <row r="926">
      <c r="A926" s="11" t="s">
        <v>5405</v>
      </c>
      <c r="B926" s="11" t="s">
        <v>375</v>
      </c>
      <c r="C926" s="11" t="s">
        <v>3339</v>
      </c>
      <c r="D926" s="11">
        <v>1.0</v>
      </c>
      <c r="E926" s="11">
        <v>24.0</v>
      </c>
      <c r="F926" s="11">
        <v>24.0</v>
      </c>
    </row>
    <row r="927">
      <c r="A927" s="11" t="s">
        <v>5409</v>
      </c>
      <c r="B927" s="11" t="s">
        <v>383</v>
      </c>
      <c r="C927" s="11" t="s">
        <v>3339</v>
      </c>
      <c r="D927" s="11">
        <v>1.0</v>
      </c>
      <c r="E927" s="11">
        <v>192.0</v>
      </c>
      <c r="F927" s="11">
        <v>192.0</v>
      </c>
    </row>
    <row r="928">
      <c r="A928" s="11" t="s">
        <v>5412</v>
      </c>
      <c r="B928" s="11" t="s">
        <v>448</v>
      </c>
      <c r="C928" s="19" t="s">
        <v>3325</v>
      </c>
      <c r="D928" s="11">
        <v>5.0</v>
      </c>
      <c r="E928" s="11">
        <v>28.0</v>
      </c>
      <c r="F928" s="11">
        <v>140.0</v>
      </c>
    </row>
    <row r="929">
      <c r="A929" s="11" t="s">
        <v>5414</v>
      </c>
      <c r="B929" s="11" t="s">
        <v>5415</v>
      </c>
      <c r="C929" s="11" t="s">
        <v>3319</v>
      </c>
      <c r="D929" s="11">
        <v>2.0</v>
      </c>
      <c r="E929" s="11">
        <v>14.98</v>
      </c>
      <c r="F929" s="11">
        <v>29.96</v>
      </c>
    </row>
    <row r="930">
      <c r="A930" s="19" t="s">
        <v>5418</v>
      </c>
      <c r="B930" s="11" t="s">
        <v>5415</v>
      </c>
      <c r="C930" s="11" t="s">
        <v>3384</v>
      </c>
      <c r="D930" s="11">
        <v>1.0</v>
      </c>
      <c r="E930" s="11">
        <v>12.98</v>
      </c>
      <c r="F930" s="11">
        <v>12.98</v>
      </c>
    </row>
    <row r="931">
      <c r="A931" s="11" t="s">
        <v>5421</v>
      </c>
      <c r="B931" s="11" t="s">
        <v>5415</v>
      </c>
      <c r="C931" s="11" t="s">
        <v>3348</v>
      </c>
      <c r="D931" s="11">
        <v>1.774</v>
      </c>
      <c r="E931" s="11">
        <v>6.98</v>
      </c>
      <c r="F931" s="11">
        <v>12.38</v>
      </c>
    </row>
    <row r="932">
      <c r="A932" s="11" t="s">
        <v>5423</v>
      </c>
      <c r="B932" s="11" t="s">
        <v>5415</v>
      </c>
      <c r="C932" s="11" t="s">
        <v>3388</v>
      </c>
      <c r="D932" s="11">
        <v>0.836</v>
      </c>
      <c r="E932" s="11">
        <v>3.98</v>
      </c>
      <c r="F932" s="11">
        <v>3.33</v>
      </c>
    </row>
    <row r="933">
      <c r="A933" s="19" t="s">
        <v>5426</v>
      </c>
      <c r="B933" s="11" t="s">
        <v>5427</v>
      </c>
      <c r="C933" s="11" t="s">
        <v>648</v>
      </c>
      <c r="D933" s="11">
        <v>1.0</v>
      </c>
      <c r="E933" s="11">
        <v>123.0</v>
      </c>
      <c r="F933" s="11">
        <v>123.0</v>
      </c>
    </row>
    <row r="934">
      <c r="A934" s="11" t="s">
        <v>5430</v>
      </c>
      <c r="B934" s="11" t="s">
        <v>5431</v>
      </c>
      <c r="C934" s="11" t="s">
        <v>648</v>
      </c>
      <c r="D934" s="11">
        <v>1.0</v>
      </c>
      <c r="E934" s="11">
        <v>22.76</v>
      </c>
      <c r="F934" s="11">
        <v>22.76</v>
      </c>
    </row>
    <row r="935">
      <c r="A935" s="11" t="s">
        <v>5434</v>
      </c>
      <c r="B935" s="11" t="s">
        <v>5436</v>
      </c>
      <c r="C935" s="11" t="s">
        <v>648</v>
      </c>
      <c r="D935" s="11">
        <v>1.0</v>
      </c>
      <c r="E935" s="11">
        <v>50.38</v>
      </c>
      <c r="F935" s="11">
        <v>50.38</v>
      </c>
    </row>
    <row r="936">
      <c r="A936" s="11" t="s">
        <v>5439</v>
      </c>
      <c r="B936" s="11" t="s">
        <v>5440</v>
      </c>
      <c r="C936" s="11" t="s">
        <v>5441</v>
      </c>
      <c r="D936" s="11">
        <v>1.0</v>
      </c>
      <c r="E936" s="11">
        <v>500.0</v>
      </c>
      <c r="F936" s="11">
        <v>500.0</v>
      </c>
    </row>
    <row r="937">
      <c r="A937" s="11" t="s">
        <v>5444</v>
      </c>
      <c r="B937" s="11" t="s">
        <v>5446</v>
      </c>
      <c r="C937" s="11" t="s">
        <v>5441</v>
      </c>
      <c r="D937" s="11">
        <v>1.0</v>
      </c>
      <c r="E937" s="11">
        <v>250.0</v>
      </c>
      <c r="F937" s="11">
        <v>250.0</v>
      </c>
    </row>
    <row r="938">
      <c r="A938" s="11" t="s">
        <v>5449</v>
      </c>
      <c r="B938" s="11">
        <v>1987.0</v>
      </c>
      <c r="C938" s="11" t="s">
        <v>1870</v>
      </c>
      <c r="D938" s="11">
        <v>1.0</v>
      </c>
      <c r="E938" s="11">
        <v>2277.04</v>
      </c>
      <c r="F938" s="11">
        <v>2277.04</v>
      </c>
    </row>
    <row r="939">
      <c r="A939" s="11" t="s">
        <v>5450</v>
      </c>
      <c r="B939" s="11" t="s">
        <v>5451</v>
      </c>
      <c r="C939" s="11" t="s">
        <v>1958</v>
      </c>
      <c r="D939" s="11">
        <v>1.0</v>
      </c>
      <c r="E939" s="11">
        <v>24.15</v>
      </c>
      <c r="F939" s="11">
        <v>24.15</v>
      </c>
    </row>
    <row r="940">
      <c r="A940" s="11" t="s">
        <v>5452</v>
      </c>
      <c r="B940" s="11">
        <v>1998.0</v>
      </c>
      <c r="C940" s="11" t="s">
        <v>179</v>
      </c>
      <c r="D940" s="11">
        <v>1.0</v>
      </c>
      <c r="E940" s="11">
        <v>533.95</v>
      </c>
      <c r="F940" s="11">
        <v>533.95</v>
      </c>
    </row>
    <row r="941">
      <c r="A941" s="11" t="s">
        <v>5453</v>
      </c>
      <c r="B941" s="11">
        <v>1999.0</v>
      </c>
      <c r="C941" s="11" t="s">
        <v>1726</v>
      </c>
      <c r="D941" s="11">
        <v>1.0</v>
      </c>
      <c r="E941" s="11">
        <v>120.0</v>
      </c>
      <c r="F941" s="11">
        <v>120.0</v>
      </c>
    </row>
    <row r="942">
      <c r="A942" s="11" t="s">
        <v>5454</v>
      </c>
      <c r="B942" s="11">
        <v>11001.0</v>
      </c>
      <c r="C942" s="11" t="s">
        <v>1902</v>
      </c>
      <c r="D942" s="11">
        <v>1.0</v>
      </c>
      <c r="E942" s="11">
        <v>709.77</v>
      </c>
      <c r="F942" s="11">
        <v>709.77</v>
      </c>
    </row>
    <row r="943">
      <c r="A943" s="11" t="s">
        <v>5455</v>
      </c>
      <c r="B943" s="11">
        <v>11002.0</v>
      </c>
      <c r="C943" s="11" t="s">
        <v>5456</v>
      </c>
      <c r="D943" s="11">
        <v>1.0</v>
      </c>
      <c r="E943" s="11">
        <v>65.28</v>
      </c>
      <c r="F943" s="11">
        <v>65.28</v>
      </c>
    </row>
    <row r="944">
      <c r="A944" s="11" t="s">
        <v>5457</v>
      </c>
      <c r="B944" s="11">
        <v>11003.0</v>
      </c>
      <c r="C944" s="11" t="s">
        <v>2099</v>
      </c>
      <c r="D944" s="11">
        <v>1.0</v>
      </c>
      <c r="E944" s="11">
        <v>1886.71</v>
      </c>
      <c r="F944" s="11">
        <v>1886.71</v>
      </c>
    </row>
    <row r="945">
      <c r="A945" s="11" t="s">
        <v>5458</v>
      </c>
      <c r="B945" s="11">
        <v>11008.0</v>
      </c>
      <c r="C945" s="11" t="s">
        <v>196</v>
      </c>
      <c r="D945" s="11">
        <v>1.0</v>
      </c>
      <c r="E945" s="11">
        <v>2500.0</v>
      </c>
      <c r="F945" s="11">
        <v>2500.0</v>
      </c>
    </row>
    <row r="946">
      <c r="A946" s="11" t="s">
        <v>5459</v>
      </c>
      <c r="B946" s="11">
        <v>11009.0</v>
      </c>
      <c r="C946" s="11" t="s">
        <v>502</v>
      </c>
      <c r="D946" s="11">
        <v>1.0</v>
      </c>
      <c r="E946" s="11">
        <v>131.9</v>
      </c>
      <c r="F946" s="11">
        <v>131.9</v>
      </c>
    </row>
    <row r="947">
      <c r="A947" s="11" t="s">
        <v>5460</v>
      </c>
      <c r="B947" s="11">
        <v>11010.0</v>
      </c>
      <c r="C947" s="11" t="s">
        <v>761</v>
      </c>
      <c r="D947" s="11">
        <v>1.0</v>
      </c>
      <c r="E947" s="11">
        <v>121.9</v>
      </c>
      <c r="F947" s="11">
        <v>121.9</v>
      </c>
    </row>
    <row r="948">
      <c r="A948" s="11" t="s">
        <v>5461</v>
      </c>
      <c r="B948" s="11" t="s">
        <v>5462</v>
      </c>
      <c r="C948" s="11" t="s">
        <v>2254</v>
      </c>
      <c r="D948" s="11">
        <v>1.0</v>
      </c>
      <c r="E948" s="11">
        <v>76.0</v>
      </c>
      <c r="F948" s="11">
        <v>76.0</v>
      </c>
    </row>
    <row r="949">
      <c r="A949" s="11" t="s">
        <v>5463</v>
      </c>
      <c r="B949" s="11" t="s">
        <v>5464</v>
      </c>
      <c r="C949" s="11" t="s">
        <v>1726</v>
      </c>
      <c r="D949" s="11">
        <v>1.0</v>
      </c>
      <c r="E949" s="11">
        <v>50.0</v>
      </c>
      <c r="F949" s="11">
        <v>50.0</v>
      </c>
    </row>
    <row r="950">
      <c r="A950" s="11" t="s">
        <v>5467</v>
      </c>
      <c r="B950" s="11">
        <v>1.52509255E8</v>
      </c>
      <c r="C950" s="11" t="s">
        <v>5456</v>
      </c>
      <c r="D950" s="11">
        <v>1.0</v>
      </c>
      <c r="E950" s="11">
        <v>60.0</v>
      </c>
      <c r="F950" s="11">
        <v>60.0</v>
      </c>
    </row>
    <row r="951">
      <c r="A951" s="11" t="s">
        <v>5468</v>
      </c>
      <c r="B951" s="11" t="s">
        <v>5469</v>
      </c>
      <c r="C951" s="11" t="s">
        <v>350</v>
      </c>
      <c r="D951" s="11">
        <v>1.0</v>
      </c>
      <c r="E951" s="11">
        <v>500.0</v>
      </c>
      <c r="F951" s="11">
        <v>500.0</v>
      </c>
    </row>
    <row r="952">
      <c r="A952" s="11" t="s">
        <v>5470</v>
      </c>
      <c r="B952" s="11" t="s">
        <v>5471</v>
      </c>
      <c r="C952" s="11" t="s">
        <v>350</v>
      </c>
      <c r="D952" s="11">
        <v>1.0</v>
      </c>
      <c r="E952" s="11">
        <v>300.0</v>
      </c>
      <c r="F952" s="11">
        <v>300.0</v>
      </c>
    </row>
    <row r="953">
      <c r="A953" s="11" t="s">
        <v>5474</v>
      </c>
      <c r="B953" s="11" t="s">
        <v>5475</v>
      </c>
      <c r="C953" s="11" t="s">
        <v>4503</v>
      </c>
      <c r="D953" s="11">
        <v>1.0</v>
      </c>
      <c r="E953" s="11">
        <v>685.0</v>
      </c>
      <c r="F953" s="11">
        <v>685.0</v>
      </c>
    </row>
    <row r="954">
      <c r="A954" s="11" t="s">
        <v>5476</v>
      </c>
      <c r="B954" s="11" t="s">
        <v>5477</v>
      </c>
      <c r="C954" s="11" t="s">
        <v>1726</v>
      </c>
      <c r="D954" s="11">
        <v>1.0</v>
      </c>
      <c r="E954" s="11">
        <v>55.0</v>
      </c>
      <c r="F954" s="11">
        <v>55.0</v>
      </c>
    </row>
    <row r="955">
      <c r="A955" s="11" t="s">
        <v>5479</v>
      </c>
      <c r="B955" s="11" t="s">
        <v>5480</v>
      </c>
      <c r="C955" s="11" t="s">
        <v>5481</v>
      </c>
      <c r="D955" s="11">
        <v>1.0</v>
      </c>
      <c r="E955" s="11">
        <v>1800.0</v>
      </c>
      <c r="F955" s="11">
        <v>1800.0</v>
      </c>
    </row>
    <row r="956">
      <c r="A956" s="11" t="s">
        <v>5482</v>
      </c>
      <c r="B956" s="11" t="s">
        <v>5480</v>
      </c>
      <c r="C956" s="11" t="s">
        <v>3047</v>
      </c>
      <c r="D956" s="11">
        <v>1.0</v>
      </c>
      <c r="E956" s="11">
        <v>109.6</v>
      </c>
      <c r="F956" s="11">
        <v>109.6</v>
      </c>
    </row>
    <row r="957">
      <c r="A957" s="11" t="s">
        <v>5483</v>
      </c>
      <c r="B957" s="11" t="s">
        <v>478</v>
      </c>
      <c r="C957" s="19" t="s">
        <v>3325</v>
      </c>
      <c r="D957" s="11">
        <v>3.0</v>
      </c>
      <c r="E957" s="11">
        <v>28.0</v>
      </c>
      <c r="F957" s="11">
        <v>84.0</v>
      </c>
    </row>
    <row r="958">
      <c r="A958" s="11" t="s">
        <v>5485</v>
      </c>
      <c r="B958" s="11" t="s">
        <v>492</v>
      </c>
      <c r="C958" s="11" t="s">
        <v>3319</v>
      </c>
      <c r="D958" s="11">
        <v>4.0</v>
      </c>
      <c r="E958" s="11">
        <v>14.98</v>
      </c>
      <c r="F958" s="11">
        <v>59.92</v>
      </c>
    </row>
    <row r="959">
      <c r="A959" s="11" t="s">
        <v>5486</v>
      </c>
      <c r="B959" s="11" t="s">
        <v>492</v>
      </c>
      <c r="C959" s="11" t="s">
        <v>3388</v>
      </c>
      <c r="D959" s="11">
        <v>1.654</v>
      </c>
      <c r="E959" s="11">
        <v>3.98</v>
      </c>
      <c r="F959" s="11">
        <v>6.58</v>
      </c>
    </row>
    <row r="960">
      <c r="A960" s="11" t="s">
        <v>5488</v>
      </c>
      <c r="B960" s="11" t="s">
        <v>492</v>
      </c>
      <c r="C960" s="11" t="s">
        <v>3348</v>
      </c>
      <c r="D960" s="11">
        <v>0.588</v>
      </c>
      <c r="E960" s="11">
        <v>6.98</v>
      </c>
      <c r="F960" s="11">
        <v>4.1</v>
      </c>
    </row>
    <row r="961">
      <c r="A961" s="11" t="s">
        <v>5490</v>
      </c>
      <c r="B961" s="11" t="s">
        <v>523</v>
      </c>
      <c r="C961" s="11" t="s">
        <v>3615</v>
      </c>
      <c r="D961" s="11">
        <v>2.0</v>
      </c>
      <c r="E961" s="11">
        <v>3.98</v>
      </c>
      <c r="F961" s="11">
        <v>7.96</v>
      </c>
    </row>
    <row r="962">
      <c r="A962" s="11" t="s">
        <v>5491</v>
      </c>
      <c r="B962" s="11" t="s">
        <v>523</v>
      </c>
      <c r="C962" s="11" t="s">
        <v>3431</v>
      </c>
      <c r="D962" s="11">
        <v>2.0</v>
      </c>
      <c r="E962" s="11">
        <v>6.99</v>
      </c>
      <c r="F962" s="11">
        <v>13.98</v>
      </c>
    </row>
    <row r="963">
      <c r="A963" s="11" t="s">
        <v>5493</v>
      </c>
      <c r="B963" s="11" t="s">
        <v>523</v>
      </c>
      <c r="C963" s="11" t="s">
        <v>3427</v>
      </c>
      <c r="D963" s="11">
        <v>1.0</v>
      </c>
      <c r="E963" s="11">
        <v>7.99</v>
      </c>
      <c r="F963" s="11">
        <v>7.99</v>
      </c>
    </row>
    <row r="964">
      <c r="A964" s="11" t="s">
        <v>5494</v>
      </c>
      <c r="B964" s="11" t="s">
        <v>523</v>
      </c>
      <c r="C964" s="11" t="s">
        <v>3427</v>
      </c>
      <c r="D964" s="11">
        <v>1.0</v>
      </c>
      <c r="E964" s="11">
        <v>13.99</v>
      </c>
      <c r="F964" s="11">
        <v>13.99</v>
      </c>
    </row>
    <row r="965">
      <c r="A965" s="11" t="s">
        <v>5495</v>
      </c>
      <c r="B965" s="11" t="s">
        <v>523</v>
      </c>
      <c r="C965" s="11" t="s">
        <v>3284</v>
      </c>
      <c r="D965" s="11">
        <v>1.025</v>
      </c>
      <c r="E965" s="11">
        <v>12.89</v>
      </c>
      <c r="F965" s="11">
        <v>13.21</v>
      </c>
    </row>
    <row r="966">
      <c r="A966" s="11" t="s">
        <v>5498</v>
      </c>
      <c r="B966" s="11" t="s">
        <v>5499</v>
      </c>
      <c r="C966" s="19" t="s">
        <v>3325</v>
      </c>
      <c r="D966" s="11">
        <v>8.0</v>
      </c>
      <c r="E966" s="11">
        <v>28.0</v>
      </c>
      <c r="F966" s="11">
        <v>224.0</v>
      </c>
    </row>
    <row r="967">
      <c r="A967" s="11" t="s">
        <v>5500</v>
      </c>
      <c r="B967" s="11" t="s">
        <v>591</v>
      </c>
      <c r="C967" s="11" t="s">
        <v>3319</v>
      </c>
      <c r="D967" s="11">
        <v>2.0</v>
      </c>
      <c r="E967" s="11">
        <v>16.95</v>
      </c>
      <c r="F967" s="11">
        <v>33.9</v>
      </c>
    </row>
    <row r="968">
      <c r="A968" s="11" t="s">
        <v>5502</v>
      </c>
      <c r="B968" s="11" t="s">
        <v>591</v>
      </c>
      <c r="C968" s="11" t="s">
        <v>3384</v>
      </c>
      <c r="D968" s="11">
        <v>2.0</v>
      </c>
      <c r="E968" s="11">
        <v>12.98</v>
      </c>
      <c r="F968" s="11">
        <v>25.96</v>
      </c>
    </row>
    <row r="969">
      <c r="A969" s="11" t="s">
        <v>5503</v>
      </c>
      <c r="B969" s="11" t="s">
        <v>591</v>
      </c>
      <c r="C969" s="11" t="s">
        <v>3348</v>
      </c>
      <c r="D969" s="11">
        <v>1.405</v>
      </c>
      <c r="E969" s="11">
        <v>6.98</v>
      </c>
      <c r="F969" s="11">
        <v>9.81</v>
      </c>
    </row>
    <row r="970">
      <c r="A970" s="11" t="s">
        <v>5504</v>
      </c>
      <c r="B970" s="11" t="s">
        <v>591</v>
      </c>
      <c r="C970" s="11" t="s">
        <v>3388</v>
      </c>
      <c r="D970" s="11">
        <v>1.482</v>
      </c>
      <c r="E970" s="11">
        <v>3.98</v>
      </c>
      <c r="F970" s="11">
        <v>5.9</v>
      </c>
    </row>
    <row r="971">
      <c r="A971" s="11" t="s">
        <v>5506</v>
      </c>
      <c r="B971" s="11" t="s">
        <v>5507</v>
      </c>
      <c r="C971" s="11" t="s">
        <v>3339</v>
      </c>
      <c r="D971" s="11">
        <v>1.0</v>
      </c>
      <c r="E971" s="11">
        <v>516.0</v>
      </c>
      <c r="F971" s="11">
        <v>516.0</v>
      </c>
    </row>
    <row r="972">
      <c r="A972" s="11" t="s">
        <v>5508</v>
      </c>
      <c r="B972" s="11" t="s">
        <v>5509</v>
      </c>
      <c r="C972" s="11" t="s">
        <v>819</v>
      </c>
      <c r="D972" s="11">
        <v>1.0</v>
      </c>
      <c r="E972" s="11">
        <v>882.46</v>
      </c>
      <c r="F972" s="11">
        <v>882.46</v>
      </c>
    </row>
    <row r="973">
      <c r="A973" s="11" t="s">
        <v>5510</v>
      </c>
      <c r="B973" s="11" t="s">
        <v>695</v>
      </c>
      <c r="C973" s="11" t="s">
        <v>3319</v>
      </c>
      <c r="D973" s="11">
        <v>10.0</v>
      </c>
      <c r="E973" s="11">
        <v>14.95</v>
      </c>
      <c r="F973" s="11">
        <v>149.5</v>
      </c>
    </row>
    <row r="974">
      <c r="A974" s="11" t="s">
        <v>5511</v>
      </c>
      <c r="B974" s="11" t="s">
        <v>703</v>
      </c>
      <c r="C974" s="19" t="s">
        <v>3325</v>
      </c>
      <c r="D974" s="11">
        <v>9.0</v>
      </c>
      <c r="E974" s="11">
        <v>28.0</v>
      </c>
      <c r="F974" s="11">
        <v>252.0</v>
      </c>
    </row>
    <row r="975">
      <c r="A975" s="11" t="s">
        <v>5512</v>
      </c>
      <c r="B975" s="11" t="s">
        <v>719</v>
      </c>
      <c r="C975" s="11" t="s">
        <v>3284</v>
      </c>
      <c r="D975" s="11">
        <v>0.5</v>
      </c>
      <c r="E975" s="11">
        <v>17.5</v>
      </c>
      <c r="F975" s="11">
        <v>8.75</v>
      </c>
    </row>
    <row r="976">
      <c r="A976" s="11" t="s">
        <v>5513</v>
      </c>
      <c r="B976" s="11" t="s">
        <v>719</v>
      </c>
      <c r="C976" s="11" t="s">
        <v>3284</v>
      </c>
      <c r="D976" s="11">
        <v>0.25</v>
      </c>
      <c r="E976" s="11">
        <v>17.5</v>
      </c>
      <c r="F976" s="11">
        <v>4.38</v>
      </c>
    </row>
    <row r="977">
      <c r="A977" s="11" t="s">
        <v>5514</v>
      </c>
      <c r="B977" s="11">
        <v>11005.0</v>
      </c>
      <c r="C977" s="11" t="s">
        <v>975</v>
      </c>
      <c r="D977" s="20">
        <v>1.0</v>
      </c>
      <c r="E977" s="20">
        <v>1098.0</v>
      </c>
      <c r="F977" s="20">
        <v>1098.0</v>
      </c>
    </row>
    <row r="978">
      <c r="A978" s="11" t="s">
        <v>5515</v>
      </c>
      <c r="B978" s="11">
        <v>11006.0</v>
      </c>
      <c r="C978" s="11" t="s">
        <v>648</v>
      </c>
      <c r="D978" s="20">
        <v>1.0</v>
      </c>
      <c r="E978" s="20">
        <v>1110.0</v>
      </c>
      <c r="F978" s="20">
        <v>1110.0</v>
      </c>
    </row>
    <row r="979">
      <c r="A979" s="11" t="s">
        <v>5516</v>
      </c>
      <c r="B979" s="11">
        <v>11007.0</v>
      </c>
      <c r="C979" s="11" t="s">
        <v>957</v>
      </c>
      <c r="D979" s="20">
        <v>1.0</v>
      </c>
      <c r="E979" s="20">
        <v>396.0</v>
      </c>
      <c r="F979" s="20">
        <v>396.0</v>
      </c>
    </row>
    <row r="980">
      <c r="A980" s="11" t="s">
        <v>5517</v>
      </c>
      <c r="B980" s="11" t="s">
        <v>5518</v>
      </c>
      <c r="C980" s="11" t="s">
        <v>609</v>
      </c>
      <c r="D980" s="20">
        <v>1.0</v>
      </c>
      <c r="E980" s="20">
        <v>50.0</v>
      </c>
      <c r="F980" s="20">
        <v>50.0</v>
      </c>
    </row>
    <row r="981">
      <c r="A981" s="11" t="s">
        <v>5519</v>
      </c>
      <c r="B981" s="11">
        <v>11011.0</v>
      </c>
      <c r="C981" s="11" t="s">
        <v>1936</v>
      </c>
      <c r="D981" s="20">
        <v>1.0</v>
      </c>
      <c r="E981" s="20">
        <v>960.48</v>
      </c>
      <c r="F981" s="20">
        <v>960.48</v>
      </c>
    </row>
    <row r="982">
      <c r="A982" s="11" t="s">
        <v>5520</v>
      </c>
      <c r="B982" s="11">
        <v>11017.0</v>
      </c>
      <c r="C982" s="11" t="s">
        <v>1944</v>
      </c>
      <c r="D982" s="20">
        <v>1.0</v>
      </c>
      <c r="E982" s="20">
        <v>1410.53</v>
      </c>
      <c r="F982" s="20">
        <v>1410.53</v>
      </c>
    </row>
    <row r="983">
      <c r="A983" s="11" t="s">
        <v>5521</v>
      </c>
      <c r="B983" s="19" t="s">
        <v>5522</v>
      </c>
      <c r="C983" s="11" t="s">
        <v>2040</v>
      </c>
      <c r="D983" s="11">
        <v>1.0</v>
      </c>
      <c r="E983" s="11">
        <v>4215.89</v>
      </c>
      <c r="F983" s="11">
        <v>4215.89</v>
      </c>
    </row>
    <row r="984">
      <c r="A984" s="11" t="s">
        <v>5523</v>
      </c>
      <c r="B984" s="19" t="s">
        <v>5522</v>
      </c>
      <c r="C984" s="11" t="s">
        <v>3047</v>
      </c>
      <c r="D984" s="11">
        <v>1.0</v>
      </c>
      <c r="E984" s="11">
        <v>476.85</v>
      </c>
      <c r="F984" s="11">
        <v>476.85</v>
      </c>
    </row>
    <row r="985">
      <c r="A985" s="11" t="s">
        <v>5525</v>
      </c>
      <c r="B985" s="19" t="s">
        <v>5522</v>
      </c>
      <c r="C985" s="11" t="s">
        <v>3470</v>
      </c>
      <c r="D985" s="11">
        <v>1.0</v>
      </c>
      <c r="E985" s="11">
        <v>79.94</v>
      </c>
      <c r="F985" s="11">
        <v>79.94</v>
      </c>
    </row>
    <row r="986">
      <c r="A986" s="11" t="s">
        <v>5526</v>
      </c>
      <c r="B986" s="11" t="s">
        <v>5527</v>
      </c>
      <c r="C986" s="11" t="s">
        <v>2040</v>
      </c>
      <c r="D986" s="11">
        <v>1.0</v>
      </c>
      <c r="E986" s="11">
        <v>255.0</v>
      </c>
      <c r="F986" s="11">
        <v>255.0</v>
      </c>
    </row>
    <row r="987">
      <c r="A987" s="11" t="s">
        <v>5528</v>
      </c>
      <c r="B987" s="11" t="s">
        <v>5527</v>
      </c>
      <c r="C987" s="11" t="s">
        <v>3047</v>
      </c>
      <c r="D987" s="11">
        <v>1.0</v>
      </c>
      <c r="E987" s="11">
        <v>21.68</v>
      </c>
      <c r="F987" s="11">
        <v>21.68</v>
      </c>
    </row>
    <row r="988">
      <c r="A988" s="11" t="s">
        <v>5529</v>
      </c>
      <c r="B988" s="11" t="s">
        <v>5530</v>
      </c>
      <c r="C988" s="11" t="s">
        <v>5531</v>
      </c>
      <c r="D988" s="11">
        <v>1.0</v>
      </c>
      <c r="E988" s="11">
        <v>191.25</v>
      </c>
      <c r="F988" s="11">
        <v>191.25</v>
      </c>
    </row>
    <row r="989">
      <c r="A989" s="11" t="s">
        <v>5532</v>
      </c>
      <c r="B989" s="11" t="s">
        <v>5530</v>
      </c>
      <c r="C989" s="11" t="s">
        <v>3047</v>
      </c>
      <c r="D989" s="11">
        <v>1.0</v>
      </c>
      <c r="E989" s="11">
        <v>16.26</v>
      </c>
      <c r="F989" s="11">
        <v>16.26</v>
      </c>
    </row>
    <row r="990">
      <c r="A990" s="11" t="s">
        <v>5535</v>
      </c>
      <c r="B990" s="11" t="s">
        <v>5536</v>
      </c>
      <c r="C990" s="11" t="s">
        <v>1944</v>
      </c>
      <c r="D990" s="20">
        <v>1.0</v>
      </c>
      <c r="E990" s="20">
        <v>128.0</v>
      </c>
      <c r="F990" s="20">
        <v>128.0</v>
      </c>
    </row>
    <row r="991">
      <c r="A991" s="11" t="s">
        <v>5537</v>
      </c>
      <c r="B991" s="11">
        <v>1.10965434E8</v>
      </c>
      <c r="C991" s="11" t="s">
        <v>376</v>
      </c>
      <c r="D991" s="20">
        <v>1.0</v>
      </c>
      <c r="E991" s="20">
        <v>2141.15</v>
      </c>
      <c r="F991" s="20">
        <v>2141.15</v>
      </c>
    </row>
    <row r="992">
      <c r="A992" s="11" t="s">
        <v>5538</v>
      </c>
      <c r="B992" s="11" t="s">
        <v>836</v>
      </c>
      <c r="C992" s="11" t="s">
        <v>3284</v>
      </c>
      <c r="D992" s="11">
        <v>0.55</v>
      </c>
      <c r="E992" s="11">
        <v>12.89</v>
      </c>
      <c r="F992" s="11">
        <v>7.09</v>
      </c>
    </row>
    <row r="993">
      <c r="A993" s="11" t="s">
        <v>5539</v>
      </c>
      <c r="B993" s="11" t="s">
        <v>836</v>
      </c>
      <c r="C993" s="11" t="s">
        <v>3427</v>
      </c>
      <c r="D993" s="11">
        <v>2.0</v>
      </c>
      <c r="E993" s="11">
        <v>13.99</v>
      </c>
      <c r="F993" s="11">
        <v>27.98</v>
      </c>
    </row>
    <row r="994">
      <c r="A994" s="11" t="s">
        <v>5540</v>
      </c>
      <c r="B994" s="11" t="s">
        <v>836</v>
      </c>
      <c r="C994" s="19" t="s">
        <v>5541</v>
      </c>
      <c r="D994" s="11">
        <v>2.0</v>
      </c>
      <c r="E994" s="11">
        <v>14.99</v>
      </c>
      <c r="F994" s="11">
        <v>29.98</v>
      </c>
    </row>
    <row r="995">
      <c r="A995" s="11" t="s">
        <v>5542</v>
      </c>
      <c r="B995" s="11" t="s">
        <v>5543</v>
      </c>
      <c r="C995" s="11" t="s">
        <v>3388</v>
      </c>
      <c r="D995" s="11">
        <v>2.0</v>
      </c>
      <c r="E995" s="11">
        <v>3.98</v>
      </c>
      <c r="F995" s="11">
        <v>7.96</v>
      </c>
    </row>
    <row r="996">
      <c r="A996" s="11" t="s">
        <v>5544</v>
      </c>
      <c r="B996" s="11" t="s">
        <v>5543</v>
      </c>
      <c r="C996" s="11" t="s">
        <v>3348</v>
      </c>
      <c r="D996" s="11">
        <v>1.0</v>
      </c>
      <c r="E996" s="11">
        <v>7.39</v>
      </c>
      <c r="F996" s="11">
        <v>7.39</v>
      </c>
    </row>
    <row r="997">
      <c r="A997" s="11" t="s">
        <v>5545</v>
      </c>
      <c r="B997" s="11">
        <v>11016.0</v>
      </c>
      <c r="C997" s="11" t="s">
        <v>1049</v>
      </c>
      <c r="D997" s="20">
        <v>1.0</v>
      </c>
      <c r="E997" s="20">
        <v>2901.41</v>
      </c>
      <c r="F997" s="20">
        <v>2901.41</v>
      </c>
    </row>
    <row r="998">
      <c r="A998" s="11" t="s">
        <v>5546</v>
      </c>
      <c r="B998" s="11">
        <v>1.35307112E8</v>
      </c>
      <c r="C998" s="20">
        <v>7.9792017E7</v>
      </c>
      <c r="D998" s="20">
        <v>1.0</v>
      </c>
      <c r="E998" s="20">
        <v>772.8</v>
      </c>
      <c r="F998" s="20">
        <v>772.8</v>
      </c>
    </row>
    <row r="999">
      <c r="A999" s="11" t="s">
        <v>5547</v>
      </c>
      <c r="B999" s="11" t="s">
        <v>5548</v>
      </c>
      <c r="C999" s="20">
        <v>7.9792017E7</v>
      </c>
      <c r="D999" s="20">
        <v>1.0</v>
      </c>
      <c r="E999" s="20">
        <v>1481.3</v>
      </c>
      <c r="F999" s="20">
        <v>1481.3</v>
      </c>
    </row>
    <row r="1000">
      <c r="A1000" s="11" t="s">
        <v>5549</v>
      </c>
      <c r="B1000" s="11">
        <v>11025.0</v>
      </c>
      <c r="C1000" s="11" t="s">
        <v>1971</v>
      </c>
      <c r="D1000" s="20">
        <v>1.0</v>
      </c>
      <c r="E1000" s="20">
        <v>190.34</v>
      </c>
      <c r="F1000" s="20">
        <v>190.34</v>
      </c>
    </row>
    <row r="1001">
      <c r="A1001" s="11" t="s">
        <v>5550</v>
      </c>
      <c r="B1001" s="11">
        <v>11031.0</v>
      </c>
      <c r="C1001" s="11" t="s">
        <v>1017</v>
      </c>
      <c r="D1001" s="20">
        <v>1.0</v>
      </c>
      <c r="E1001" s="20">
        <v>22.0</v>
      </c>
      <c r="F1001" s="20">
        <v>22.0</v>
      </c>
    </row>
    <row r="1002">
      <c r="A1002" s="11" t="s">
        <v>5551</v>
      </c>
      <c r="B1002" s="11">
        <v>11032.0</v>
      </c>
      <c r="C1002" s="11" t="s">
        <v>1023</v>
      </c>
      <c r="D1002" s="20">
        <v>1.0</v>
      </c>
      <c r="E1002" s="20">
        <v>10.0</v>
      </c>
      <c r="F1002" s="20">
        <v>10.0</v>
      </c>
    </row>
    <row r="1003">
      <c r="A1003" s="11" t="s">
        <v>5553</v>
      </c>
      <c r="B1003" s="11" t="s">
        <v>5554</v>
      </c>
      <c r="C1003" s="11" t="s">
        <v>1958</v>
      </c>
      <c r="D1003" s="20">
        <v>1.0</v>
      </c>
      <c r="E1003" s="20">
        <v>387.72</v>
      </c>
      <c r="F1003" s="20">
        <v>387.72</v>
      </c>
    </row>
    <row r="1004">
      <c r="A1004" s="11" t="s">
        <v>5555</v>
      </c>
      <c r="B1004" s="11" t="s">
        <v>5556</v>
      </c>
      <c r="C1004" s="11" t="s">
        <v>2106</v>
      </c>
      <c r="D1004" s="20">
        <v>1.0</v>
      </c>
      <c r="E1004" s="20">
        <v>455.44</v>
      </c>
      <c r="F1004" s="20">
        <v>455.44</v>
      </c>
    </row>
    <row r="1005">
      <c r="A1005" s="11" t="s">
        <v>5557</v>
      </c>
      <c r="B1005" s="11" t="s">
        <v>5558</v>
      </c>
      <c r="C1005" s="11" t="s">
        <v>788</v>
      </c>
      <c r="D1005" s="20">
        <v>1.0</v>
      </c>
      <c r="E1005" s="20">
        <v>55.82</v>
      </c>
      <c r="F1005" s="20">
        <v>55.82</v>
      </c>
    </row>
    <row r="1006">
      <c r="A1006" s="11" t="s">
        <v>5559</v>
      </c>
      <c r="B1006" s="11" t="s">
        <v>5560</v>
      </c>
      <c r="C1006" s="11" t="s">
        <v>788</v>
      </c>
      <c r="D1006" s="20">
        <v>1.0</v>
      </c>
      <c r="E1006" s="20">
        <v>2124.64</v>
      </c>
      <c r="F1006" s="20">
        <v>2124.64</v>
      </c>
    </row>
    <row r="1007">
      <c r="A1007" s="11" t="s">
        <v>5561</v>
      </c>
      <c r="B1007" s="11" t="s">
        <v>5562</v>
      </c>
      <c r="C1007" s="11" t="s">
        <v>3339</v>
      </c>
      <c r="D1007" s="11">
        <v>1.0</v>
      </c>
      <c r="E1007" s="11">
        <v>390.0</v>
      </c>
      <c r="F1007" s="11">
        <v>390.0</v>
      </c>
    </row>
    <row r="1008">
      <c r="A1008" s="11" t="s">
        <v>5563</v>
      </c>
      <c r="B1008" s="11" t="s">
        <v>5564</v>
      </c>
      <c r="C1008" s="11" t="s">
        <v>1958</v>
      </c>
      <c r="D1008" s="11">
        <v>1.0</v>
      </c>
      <c r="E1008" s="11">
        <v>51.45</v>
      </c>
      <c r="F1008" s="11">
        <v>51.45</v>
      </c>
    </row>
    <row r="1009">
      <c r="A1009" s="11" t="s">
        <v>5565</v>
      </c>
      <c r="B1009" s="11" t="s">
        <v>5564</v>
      </c>
      <c r="C1009" s="11" t="s">
        <v>3047</v>
      </c>
      <c r="D1009" s="11">
        <v>1.0</v>
      </c>
      <c r="E1009" s="11">
        <v>4.37</v>
      </c>
      <c r="F1009" s="11">
        <v>4.37</v>
      </c>
    </row>
    <row r="1010">
      <c r="A1010" s="11" t="s">
        <v>5566</v>
      </c>
      <c r="B1010" s="11" t="s">
        <v>5567</v>
      </c>
      <c r="C1010" s="11" t="s">
        <v>2040</v>
      </c>
      <c r="D1010" s="11">
        <v>1.0</v>
      </c>
      <c r="E1010" s="11">
        <v>4215.89</v>
      </c>
      <c r="F1010" s="11">
        <v>4215.89</v>
      </c>
    </row>
    <row r="1011">
      <c r="A1011" s="11" t="s">
        <v>5568</v>
      </c>
      <c r="B1011" s="11" t="s">
        <v>5567</v>
      </c>
      <c r="C1011" s="11" t="s">
        <v>3047</v>
      </c>
      <c r="D1011" s="11">
        <v>1.0</v>
      </c>
      <c r="E1011" s="11">
        <v>476.85</v>
      </c>
      <c r="F1011" s="11">
        <v>476.85</v>
      </c>
    </row>
    <row r="1012">
      <c r="A1012" s="11" t="s">
        <v>5570</v>
      </c>
      <c r="B1012" s="11" t="s">
        <v>5567</v>
      </c>
      <c r="C1012" s="11" t="s">
        <v>3470</v>
      </c>
      <c r="D1012" s="11">
        <v>1.0</v>
      </c>
      <c r="E1012" s="11">
        <v>79.94</v>
      </c>
      <c r="F1012" s="11">
        <v>79.94</v>
      </c>
    </row>
    <row r="1013">
      <c r="A1013" s="11" t="s">
        <v>5571</v>
      </c>
      <c r="B1013" s="11" t="s">
        <v>5572</v>
      </c>
      <c r="C1013" s="11" t="s">
        <v>3384</v>
      </c>
      <c r="D1013" s="11">
        <v>1.0</v>
      </c>
      <c r="E1013" s="11">
        <v>12.98</v>
      </c>
      <c r="F1013" s="11">
        <v>12.98</v>
      </c>
    </row>
    <row r="1014">
      <c r="A1014" s="11" t="s">
        <v>5573</v>
      </c>
      <c r="B1014" s="11" t="s">
        <v>5572</v>
      </c>
      <c r="C1014" s="11" t="s">
        <v>3388</v>
      </c>
      <c r="D1014" s="11">
        <v>1.882</v>
      </c>
      <c r="E1014" s="11">
        <v>3.98</v>
      </c>
      <c r="F1014" s="11">
        <v>7.49</v>
      </c>
    </row>
    <row r="1015">
      <c r="A1015" s="11" t="s">
        <v>5574</v>
      </c>
      <c r="B1015" s="11" t="s">
        <v>5575</v>
      </c>
      <c r="C1015" s="11" t="s">
        <v>5576</v>
      </c>
      <c r="D1015" s="11">
        <v>1.0</v>
      </c>
      <c r="E1015" s="11">
        <v>9.99</v>
      </c>
      <c r="F1015" s="11">
        <v>9.99</v>
      </c>
    </row>
    <row r="1016">
      <c r="A1016" s="11" t="s">
        <v>5577</v>
      </c>
      <c r="B1016" s="11" t="s">
        <v>5578</v>
      </c>
      <c r="C1016" s="11" t="s">
        <v>1874</v>
      </c>
      <c r="D1016" s="11">
        <v>2.0</v>
      </c>
      <c r="E1016" s="11">
        <v>8.0</v>
      </c>
      <c r="F1016" s="11">
        <v>16.0</v>
      </c>
    </row>
    <row r="1017">
      <c r="A1017" s="11" t="s">
        <v>5579</v>
      </c>
      <c r="B1017" s="11" t="s">
        <v>5580</v>
      </c>
      <c r="C1017" s="11" t="s">
        <v>5581</v>
      </c>
      <c r="D1017" s="11">
        <v>1.0</v>
      </c>
      <c r="E1017" s="11">
        <v>150.0</v>
      </c>
      <c r="F1017" s="11">
        <v>150.0</v>
      </c>
    </row>
    <row r="1018">
      <c r="A1018" s="11" t="s">
        <v>5582</v>
      </c>
      <c r="B1018" s="11" t="s">
        <v>5583</v>
      </c>
      <c r="C1018" s="19" t="s">
        <v>3325</v>
      </c>
      <c r="D1018" s="11">
        <v>6.0</v>
      </c>
      <c r="E1018" s="11">
        <v>30.0</v>
      </c>
      <c r="F1018" s="11">
        <v>180.0</v>
      </c>
    </row>
    <row r="1019">
      <c r="A1019" s="11" t="s">
        <v>5584</v>
      </c>
      <c r="B1019" s="11" t="s">
        <v>5585</v>
      </c>
      <c r="C1019" s="11" t="s">
        <v>1958</v>
      </c>
      <c r="D1019" s="11">
        <v>1.0</v>
      </c>
      <c r="E1019" s="11">
        <v>1974.96</v>
      </c>
      <c r="F1019" s="11">
        <v>1974.96</v>
      </c>
    </row>
    <row r="1020">
      <c r="A1020" s="11" t="s">
        <v>5586</v>
      </c>
      <c r="B1020" s="11" t="s">
        <v>5585</v>
      </c>
      <c r="C1020" s="11" t="s">
        <v>3047</v>
      </c>
      <c r="D1020" s="11">
        <v>1.0</v>
      </c>
      <c r="E1020" s="11">
        <v>160.45</v>
      </c>
      <c r="F1020" s="11">
        <v>160.45</v>
      </c>
    </row>
    <row r="1021">
      <c r="A1021" s="11" t="s">
        <v>5587</v>
      </c>
      <c r="B1021" s="11">
        <v>11028.0</v>
      </c>
      <c r="C1021" s="11" t="s">
        <v>376</v>
      </c>
      <c r="D1021" s="20">
        <v>1.0</v>
      </c>
      <c r="E1021" s="20">
        <v>3727.0</v>
      </c>
      <c r="F1021" s="20">
        <v>3727.0</v>
      </c>
    </row>
    <row r="1022">
      <c r="A1022" s="11" t="s">
        <v>5588</v>
      </c>
      <c r="B1022" s="11">
        <v>11029.0</v>
      </c>
      <c r="C1022" s="11" t="s">
        <v>376</v>
      </c>
      <c r="D1022" s="20">
        <v>1.0</v>
      </c>
      <c r="E1022" s="20">
        <v>312.0</v>
      </c>
      <c r="F1022" s="20">
        <v>312.0</v>
      </c>
    </row>
    <row r="1023">
      <c r="A1023" s="11" t="s">
        <v>5589</v>
      </c>
      <c r="B1023" s="11">
        <v>11030.0</v>
      </c>
      <c r="C1023" s="11" t="s">
        <v>376</v>
      </c>
      <c r="D1023" s="20">
        <v>1.0</v>
      </c>
      <c r="E1023" s="20">
        <v>312.0</v>
      </c>
      <c r="F1023" s="20">
        <v>312.0</v>
      </c>
    </row>
    <row r="1024">
      <c r="A1024" s="11" t="s">
        <v>5590</v>
      </c>
      <c r="B1024" s="11">
        <v>11038.0</v>
      </c>
      <c r="C1024" s="11" t="s">
        <v>472</v>
      </c>
      <c r="D1024" s="20">
        <v>1.0</v>
      </c>
      <c r="E1024" s="20">
        <v>1767.02</v>
      </c>
      <c r="F1024" s="20">
        <v>1767.02</v>
      </c>
    </row>
    <row r="1025">
      <c r="A1025" s="11" t="s">
        <v>5591</v>
      </c>
      <c r="B1025" s="11">
        <v>11039.0</v>
      </c>
      <c r="C1025" s="11" t="s">
        <v>3257</v>
      </c>
      <c r="D1025" s="20">
        <v>1.0</v>
      </c>
      <c r="E1025" s="20">
        <v>855.0</v>
      </c>
      <c r="F1025" s="20">
        <v>855.0</v>
      </c>
    </row>
    <row r="1026">
      <c r="A1026" s="11" t="s">
        <v>5593</v>
      </c>
      <c r="B1026" s="11" t="s">
        <v>5594</v>
      </c>
      <c r="C1026" s="11" t="s">
        <v>2040</v>
      </c>
      <c r="D1026" s="20">
        <v>1.0</v>
      </c>
      <c r="E1026" s="20">
        <v>991.97</v>
      </c>
      <c r="F1026" s="20">
        <v>991.97</v>
      </c>
    </row>
    <row r="1027">
      <c r="A1027" s="11" t="s">
        <v>5595</v>
      </c>
      <c r="B1027" s="11" t="s">
        <v>5596</v>
      </c>
      <c r="C1027" s="11" t="s">
        <v>1958</v>
      </c>
      <c r="D1027" s="20">
        <v>1.0</v>
      </c>
      <c r="E1027" s="20">
        <v>12.11</v>
      </c>
      <c r="F1027" s="20">
        <v>12.11</v>
      </c>
    </row>
    <row r="1028">
      <c r="A1028" s="11" t="s">
        <v>5597</v>
      </c>
      <c r="B1028" s="11" t="s">
        <v>5598</v>
      </c>
      <c r="C1028" s="11" t="s">
        <v>2040</v>
      </c>
      <c r="D1028" s="20">
        <v>1.0</v>
      </c>
      <c r="E1028" s="20">
        <v>60.0</v>
      </c>
      <c r="F1028" s="20">
        <v>60.0</v>
      </c>
    </row>
    <row r="1029">
      <c r="A1029" s="11" t="s">
        <v>5600</v>
      </c>
      <c r="B1029" s="11" t="s">
        <v>5601</v>
      </c>
      <c r="C1029" s="11" t="s">
        <v>2040</v>
      </c>
      <c r="D1029" s="20">
        <v>1.0</v>
      </c>
      <c r="E1029" s="20">
        <v>45.0</v>
      </c>
      <c r="F1029" s="20">
        <v>45.0</v>
      </c>
    </row>
    <row r="1030">
      <c r="A1030" s="11" t="s">
        <v>5602</v>
      </c>
      <c r="B1030" s="11" t="s">
        <v>5603</v>
      </c>
      <c r="C1030" s="11" t="s">
        <v>788</v>
      </c>
      <c r="D1030" s="20">
        <v>1.0</v>
      </c>
      <c r="E1030" s="20">
        <v>276.68</v>
      </c>
      <c r="F1030" s="20">
        <v>276.68</v>
      </c>
    </row>
    <row r="1031">
      <c r="A1031" s="11" t="s">
        <v>5604</v>
      </c>
      <c r="B1031" s="11" t="s">
        <v>5605</v>
      </c>
      <c r="C1031" s="11" t="s">
        <v>788</v>
      </c>
      <c r="D1031" s="20">
        <v>1.0</v>
      </c>
      <c r="E1031" s="20">
        <v>207.51</v>
      </c>
      <c r="F1031" s="20">
        <v>207.51</v>
      </c>
    </row>
    <row r="1032">
      <c r="A1032" s="11" t="s">
        <v>5606</v>
      </c>
      <c r="B1032" s="11" t="s">
        <v>5608</v>
      </c>
      <c r="C1032" s="11" t="s">
        <v>5531</v>
      </c>
      <c r="D1032" s="11">
        <v>1.0</v>
      </c>
      <c r="E1032" s="11">
        <v>191.25</v>
      </c>
      <c r="F1032" s="11">
        <v>191.25</v>
      </c>
    </row>
    <row r="1033">
      <c r="A1033" s="11" t="s">
        <v>5610</v>
      </c>
      <c r="B1033" s="11" t="s">
        <v>5608</v>
      </c>
      <c r="C1033" s="11" t="s">
        <v>3047</v>
      </c>
      <c r="D1033" s="11">
        <v>1.0</v>
      </c>
      <c r="E1033" s="11">
        <v>16.26</v>
      </c>
      <c r="F1033" s="11">
        <v>16.26</v>
      </c>
    </row>
    <row r="1034">
      <c r="A1034" s="11" t="s">
        <v>5613</v>
      </c>
      <c r="B1034" s="11" t="s">
        <v>5614</v>
      </c>
      <c r="C1034" s="11" t="s">
        <v>2040</v>
      </c>
      <c r="D1034" s="11">
        <v>1.0</v>
      </c>
      <c r="E1034" s="11">
        <v>255.0</v>
      </c>
      <c r="F1034" s="11">
        <v>255.0</v>
      </c>
    </row>
    <row r="1035">
      <c r="A1035" s="11" t="s">
        <v>5617</v>
      </c>
      <c r="B1035" s="11" t="s">
        <v>5614</v>
      </c>
      <c r="C1035" s="11" t="s">
        <v>3047</v>
      </c>
      <c r="D1035" s="11">
        <v>1.0</v>
      </c>
      <c r="E1035" s="11">
        <v>21.68</v>
      </c>
      <c r="F1035" s="11">
        <v>21.68</v>
      </c>
    </row>
    <row r="1036">
      <c r="A1036" s="11" t="s">
        <v>5620</v>
      </c>
      <c r="B1036" s="11" t="s">
        <v>5621</v>
      </c>
      <c r="C1036" s="11" t="s">
        <v>5622</v>
      </c>
      <c r="D1036" s="11">
        <v>1.0</v>
      </c>
      <c r="E1036" s="11">
        <v>39.0</v>
      </c>
      <c r="F1036" s="11">
        <v>39.0</v>
      </c>
    </row>
    <row r="1037">
      <c r="A1037" s="11" t="s">
        <v>5623</v>
      </c>
      <c r="B1037" s="11" t="s">
        <v>5625</v>
      </c>
      <c r="C1037" s="11" t="s">
        <v>5626</v>
      </c>
      <c r="D1037" s="11">
        <v>1.0</v>
      </c>
      <c r="E1037" s="11">
        <v>34.8</v>
      </c>
      <c r="F1037" s="11">
        <v>34.8</v>
      </c>
    </row>
    <row r="1038">
      <c r="A1038" s="11" t="s">
        <v>5629</v>
      </c>
      <c r="B1038" s="11" t="s">
        <v>5625</v>
      </c>
      <c r="C1038" s="11" t="s">
        <v>3284</v>
      </c>
      <c r="D1038" s="11">
        <v>0.644</v>
      </c>
      <c r="E1038" s="11">
        <v>12.5</v>
      </c>
      <c r="F1038" s="11">
        <v>8.05</v>
      </c>
    </row>
    <row r="1039">
      <c r="A1039" s="11" t="s">
        <v>5631</v>
      </c>
      <c r="B1039" s="11" t="s">
        <v>5625</v>
      </c>
      <c r="C1039" s="11" t="s">
        <v>5633</v>
      </c>
      <c r="D1039" s="11">
        <v>0.152</v>
      </c>
      <c r="E1039" s="11">
        <v>39.81</v>
      </c>
      <c r="F1039" s="11">
        <v>6.05</v>
      </c>
    </row>
    <row r="1040">
      <c r="A1040" s="11" t="s">
        <v>5634</v>
      </c>
      <c r="B1040" s="11" t="s">
        <v>5625</v>
      </c>
      <c r="C1040" s="11" t="s">
        <v>3427</v>
      </c>
      <c r="D1040" s="11">
        <v>1.0</v>
      </c>
      <c r="E1040" s="11">
        <v>8.99</v>
      </c>
      <c r="F1040" s="11">
        <v>8.99</v>
      </c>
    </row>
    <row r="1041">
      <c r="A1041" s="11" t="s">
        <v>5638</v>
      </c>
      <c r="B1041" s="11" t="s">
        <v>5625</v>
      </c>
      <c r="C1041" s="11" t="s">
        <v>5633</v>
      </c>
      <c r="D1041" s="11">
        <v>0.148</v>
      </c>
      <c r="E1041" s="11">
        <v>39.8</v>
      </c>
      <c r="F1041" s="11">
        <v>5.89</v>
      </c>
    </row>
    <row r="1042">
      <c r="A1042" s="11" t="s">
        <v>5640</v>
      </c>
      <c r="B1042" s="11" t="s">
        <v>5625</v>
      </c>
      <c r="C1042" s="11" t="s">
        <v>3679</v>
      </c>
      <c r="D1042" s="11">
        <v>1.0</v>
      </c>
      <c r="E1042" s="11">
        <v>8.99</v>
      </c>
      <c r="F1042" s="11">
        <v>8.99</v>
      </c>
    </row>
    <row r="1043">
      <c r="A1043" s="11" t="s">
        <v>5642</v>
      </c>
      <c r="B1043" s="11" t="s">
        <v>5643</v>
      </c>
      <c r="C1043" s="19" t="s">
        <v>3325</v>
      </c>
      <c r="D1043" s="11">
        <v>4.0</v>
      </c>
      <c r="E1043" s="11">
        <v>28.0</v>
      </c>
      <c r="F1043" s="11">
        <v>112.0</v>
      </c>
    </row>
    <row r="1044">
      <c r="A1044" s="11" t="s">
        <v>5646</v>
      </c>
      <c r="B1044" s="11" t="s">
        <v>5647</v>
      </c>
      <c r="C1044" s="11" t="s">
        <v>3339</v>
      </c>
      <c r="D1044" s="11">
        <v>1.0</v>
      </c>
      <c r="E1044" s="11">
        <v>342.0</v>
      </c>
      <c r="F1044" s="11">
        <v>342.0</v>
      </c>
    </row>
    <row r="1045">
      <c r="A1045" s="11" t="s">
        <v>5649</v>
      </c>
      <c r="B1045" s="11" t="s">
        <v>1061</v>
      </c>
      <c r="C1045" s="11" t="s">
        <v>3552</v>
      </c>
      <c r="D1045" s="11">
        <v>1.0</v>
      </c>
      <c r="E1045" s="11">
        <v>6.0</v>
      </c>
      <c r="F1045" s="11">
        <v>6.0</v>
      </c>
    </row>
    <row r="1046">
      <c r="A1046" s="11" t="s">
        <v>5651</v>
      </c>
      <c r="B1046" s="11" t="s">
        <v>5652</v>
      </c>
      <c r="C1046" s="11" t="s">
        <v>3319</v>
      </c>
      <c r="D1046" s="11">
        <v>3.0</v>
      </c>
      <c r="E1046" s="11">
        <v>14.95</v>
      </c>
      <c r="F1046" s="11">
        <v>44.85</v>
      </c>
    </row>
    <row r="1047">
      <c r="A1047" s="11" t="s">
        <v>5655</v>
      </c>
      <c r="B1047" s="11" t="s">
        <v>5652</v>
      </c>
      <c r="C1047" s="11" t="s">
        <v>3384</v>
      </c>
      <c r="D1047" s="11">
        <v>1.0</v>
      </c>
      <c r="E1047" s="11">
        <v>12.98</v>
      </c>
      <c r="F1047" s="11">
        <v>12.98</v>
      </c>
    </row>
    <row r="1048">
      <c r="A1048" s="11" t="s">
        <v>5658</v>
      </c>
      <c r="B1048" s="11" t="s">
        <v>5652</v>
      </c>
      <c r="C1048" s="11" t="s">
        <v>3348</v>
      </c>
      <c r="D1048" s="11">
        <v>4.96</v>
      </c>
      <c r="E1048" s="11">
        <v>7.39</v>
      </c>
      <c r="F1048" s="11">
        <v>36.65</v>
      </c>
    </row>
    <row r="1049">
      <c r="A1049" s="11" t="s">
        <v>5661</v>
      </c>
      <c r="B1049" s="11">
        <v>11033.0</v>
      </c>
      <c r="C1049" s="11" t="s">
        <v>1870</v>
      </c>
      <c r="D1049" s="20">
        <v>1.0</v>
      </c>
      <c r="E1049" s="20">
        <v>1612.99</v>
      </c>
      <c r="F1049" s="20">
        <v>1612.99</v>
      </c>
    </row>
    <row r="1050">
      <c r="A1050" s="11" t="s">
        <v>5663</v>
      </c>
      <c r="B1050" s="11">
        <v>11034.0</v>
      </c>
      <c r="C1050" s="11" t="s">
        <v>376</v>
      </c>
      <c r="D1050" s="20">
        <v>1.0</v>
      </c>
      <c r="E1050" s="20">
        <v>1668.16</v>
      </c>
      <c r="F1050" s="20">
        <v>1668.16</v>
      </c>
    </row>
    <row r="1051">
      <c r="A1051" s="11" t="s">
        <v>5665</v>
      </c>
      <c r="B1051" s="11">
        <v>11036.0</v>
      </c>
      <c r="C1051" s="11" t="s">
        <v>376</v>
      </c>
      <c r="D1051" s="20">
        <v>1.0</v>
      </c>
      <c r="E1051" s="20">
        <v>1470.7</v>
      </c>
      <c r="F1051" s="20">
        <v>1470.7</v>
      </c>
    </row>
    <row r="1052">
      <c r="A1052" s="11" t="s">
        <v>5668</v>
      </c>
      <c r="B1052" s="11">
        <v>11037.0</v>
      </c>
      <c r="C1052" s="11" t="s">
        <v>376</v>
      </c>
      <c r="D1052" s="20">
        <v>1.0</v>
      </c>
      <c r="E1052" s="20">
        <v>0.0</v>
      </c>
      <c r="F1052" s="20">
        <v>0.0</v>
      </c>
    </row>
    <row r="1053">
      <c r="A1053" s="11" t="s">
        <v>5669</v>
      </c>
      <c r="B1053" s="11" t="s">
        <v>5671</v>
      </c>
      <c r="C1053" s="11" t="s">
        <v>5672</v>
      </c>
      <c r="D1053" s="11">
        <v>1.0</v>
      </c>
      <c r="E1053" s="11">
        <v>1647.79</v>
      </c>
      <c r="F1053" s="11">
        <v>1647.79</v>
      </c>
    </row>
    <row r="1054">
      <c r="A1054" s="11" t="s">
        <v>5674</v>
      </c>
      <c r="B1054" s="11" t="s">
        <v>5671</v>
      </c>
      <c r="C1054" s="11" t="s">
        <v>3047</v>
      </c>
      <c r="D1054" s="11">
        <v>1.0</v>
      </c>
      <c r="E1054" s="11">
        <v>476.85</v>
      </c>
      <c r="F1054" s="11">
        <v>476.85</v>
      </c>
    </row>
    <row r="1055">
      <c r="A1055" s="19" t="s">
        <v>5675</v>
      </c>
      <c r="B1055" s="11" t="s">
        <v>5677</v>
      </c>
      <c r="C1055" s="11" t="s">
        <v>819</v>
      </c>
      <c r="D1055" s="11">
        <v>1.0</v>
      </c>
      <c r="E1055" s="11">
        <v>821.61</v>
      </c>
      <c r="F1055" s="11">
        <v>821.61</v>
      </c>
    </row>
    <row r="1056">
      <c r="A1056" s="11" t="s">
        <v>5680</v>
      </c>
      <c r="B1056" s="11" t="s">
        <v>5681</v>
      </c>
      <c r="C1056" s="11" t="s">
        <v>648</v>
      </c>
      <c r="D1056" s="11">
        <v>1.0</v>
      </c>
      <c r="E1056" s="11">
        <v>37.48</v>
      </c>
      <c r="F1056" s="11">
        <v>37.48</v>
      </c>
    </row>
    <row r="1057">
      <c r="A1057" s="11" t="s">
        <v>5683</v>
      </c>
      <c r="B1057" s="11" t="s">
        <v>5684</v>
      </c>
      <c r="C1057" s="11" t="s">
        <v>4336</v>
      </c>
      <c r="D1057" s="11">
        <v>1.0</v>
      </c>
      <c r="E1057" s="11">
        <v>20.75</v>
      </c>
      <c r="F1057" s="11">
        <v>20.75</v>
      </c>
    </row>
    <row r="1058">
      <c r="A1058" s="11" t="s">
        <v>5685</v>
      </c>
      <c r="B1058" s="11" t="s">
        <v>5687</v>
      </c>
      <c r="C1058" s="11" t="s">
        <v>795</v>
      </c>
      <c r="D1058" s="11">
        <v>1.0</v>
      </c>
      <c r="E1058" s="11">
        <v>10.0</v>
      </c>
      <c r="F1058" s="11">
        <v>10.0</v>
      </c>
    </row>
    <row r="1059">
      <c r="A1059" s="11" t="s">
        <v>5690</v>
      </c>
      <c r="B1059" s="11" t="s">
        <v>5691</v>
      </c>
      <c r="C1059" s="19" t="s">
        <v>3325</v>
      </c>
      <c r="D1059" s="11">
        <v>5.0</v>
      </c>
      <c r="E1059" s="11">
        <v>28.0</v>
      </c>
      <c r="F1059" s="11">
        <v>140.0</v>
      </c>
    </row>
    <row r="1060">
      <c r="A1060" s="11" t="s">
        <v>5693</v>
      </c>
      <c r="B1060" s="11" t="s">
        <v>5695</v>
      </c>
      <c r="C1060" s="11" t="s">
        <v>3384</v>
      </c>
      <c r="D1060" s="11">
        <v>1.0</v>
      </c>
      <c r="E1060" s="11">
        <v>12.98</v>
      </c>
      <c r="F1060" s="11">
        <v>12.98</v>
      </c>
    </row>
    <row r="1061">
      <c r="A1061" s="11" t="s">
        <v>5697</v>
      </c>
      <c r="B1061" s="11" t="s">
        <v>5695</v>
      </c>
      <c r="C1061" s="11" t="s">
        <v>3319</v>
      </c>
      <c r="D1061" s="11">
        <v>5.0</v>
      </c>
      <c r="E1061" s="11">
        <v>14.95</v>
      </c>
      <c r="F1061" s="11">
        <v>74.75</v>
      </c>
    </row>
    <row r="1062">
      <c r="A1062" s="11" t="s">
        <v>5700</v>
      </c>
      <c r="B1062" s="11" t="s">
        <v>5695</v>
      </c>
      <c r="C1062" s="11" t="s">
        <v>3348</v>
      </c>
      <c r="D1062" s="11">
        <v>1.2</v>
      </c>
      <c r="E1062" s="11">
        <v>6.98</v>
      </c>
      <c r="F1062" s="11">
        <v>8.38</v>
      </c>
    </row>
    <row r="1063">
      <c r="A1063" s="11" t="s">
        <v>5703</v>
      </c>
      <c r="B1063" s="11" t="s">
        <v>5695</v>
      </c>
      <c r="C1063" s="11" t="s">
        <v>5704</v>
      </c>
      <c r="D1063" s="11">
        <v>2.15</v>
      </c>
      <c r="E1063" s="11">
        <v>3.98</v>
      </c>
      <c r="F1063" s="11">
        <v>8.56</v>
      </c>
    </row>
    <row r="1064">
      <c r="A1064" s="11" t="s">
        <v>5707</v>
      </c>
      <c r="B1064" s="11" t="s">
        <v>5709</v>
      </c>
      <c r="C1064" s="11" t="s">
        <v>4336</v>
      </c>
      <c r="D1064" s="11">
        <v>1.0</v>
      </c>
      <c r="E1064" s="11">
        <v>69.9</v>
      </c>
      <c r="F1064" s="11">
        <v>69.9</v>
      </c>
    </row>
    <row r="1065">
      <c r="A1065" s="11" t="s">
        <v>5712</v>
      </c>
      <c r="B1065" s="11" t="s">
        <v>5713</v>
      </c>
      <c r="C1065" s="11" t="s">
        <v>1392</v>
      </c>
      <c r="D1065" s="11">
        <v>50.0</v>
      </c>
      <c r="E1065" s="11">
        <v>3.5</v>
      </c>
      <c r="F1065" s="11">
        <v>175.0</v>
      </c>
    </row>
    <row r="1066">
      <c r="A1066" s="11" t="s">
        <v>5715</v>
      </c>
      <c r="B1066" s="11" t="s">
        <v>5716</v>
      </c>
      <c r="C1066" s="11" t="s">
        <v>5718</v>
      </c>
      <c r="D1066" s="11">
        <v>1.0</v>
      </c>
      <c r="E1066" s="11">
        <v>11.99</v>
      </c>
      <c r="F1066" s="11">
        <v>11.99</v>
      </c>
    </row>
    <row r="1067">
      <c r="A1067" s="11" t="s">
        <v>5720</v>
      </c>
      <c r="B1067" s="11" t="s">
        <v>5722</v>
      </c>
      <c r="C1067" s="11" t="s">
        <v>3615</v>
      </c>
      <c r="D1067" s="11">
        <v>3.0</v>
      </c>
      <c r="E1067" s="11">
        <v>4.79</v>
      </c>
      <c r="F1067" s="11">
        <v>14.37</v>
      </c>
    </row>
    <row r="1068">
      <c r="A1068" s="11" t="s">
        <v>5724</v>
      </c>
      <c r="B1068" s="11" t="s">
        <v>5722</v>
      </c>
      <c r="C1068" s="11" t="s">
        <v>3284</v>
      </c>
      <c r="D1068" s="11">
        <v>0.79</v>
      </c>
      <c r="E1068" s="11">
        <v>12.89</v>
      </c>
      <c r="F1068" s="11">
        <v>10.18</v>
      </c>
    </row>
    <row r="1069">
      <c r="A1069" s="11" t="s">
        <v>5727</v>
      </c>
      <c r="B1069" s="11" t="s">
        <v>5722</v>
      </c>
      <c r="C1069" s="11" t="s">
        <v>3427</v>
      </c>
      <c r="D1069" s="11">
        <v>2.0</v>
      </c>
      <c r="E1069" s="11">
        <v>13.99</v>
      </c>
      <c r="F1069" s="11">
        <v>27.98</v>
      </c>
    </row>
    <row r="1070">
      <c r="A1070" s="11" t="s">
        <v>5729</v>
      </c>
      <c r="B1070" s="11" t="s">
        <v>5730</v>
      </c>
      <c r="C1070" s="19" t="s">
        <v>3325</v>
      </c>
      <c r="D1070" s="11">
        <v>4.0</v>
      </c>
      <c r="E1070" s="11">
        <v>28.0</v>
      </c>
      <c r="F1070" s="11">
        <v>112.0</v>
      </c>
    </row>
    <row r="1071">
      <c r="A1071" s="11" t="s">
        <v>5732</v>
      </c>
      <c r="B1071" s="11" t="s">
        <v>5733</v>
      </c>
      <c r="C1071" s="11" t="s">
        <v>3628</v>
      </c>
      <c r="D1071" s="11">
        <v>2.0</v>
      </c>
      <c r="E1071" s="11">
        <v>17.59</v>
      </c>
      <c r="F1071" s="11">
        <v>35.18</v>
      </c>
    </row>
    <row r="1072">
      <c r="A1072" s="11" t="s">
        <v>5736</v>
      </c>
      <c r="B1072" s="11" t="s">
        <v>5737</v>
      </c>
      <c r="C1072" s="11" t="s">
        <v>3339</v>
      </c>
      <c r="D1072" s="11">
        <v>1.0</v>
      </c>
      <c r="E1072" s="11">
        <v>336.0</v>
      </c>
      <c r="F1072" s="11">
        <v>336.0</v>
      </c>
    </row>
    <row r="1073">
      <c r="A1073" s="11" t="s">
        <v>5739</v>
      </c>
      <c r="B1073" s="11" t="s">
        <v>5740</v>
      </c>
      <c r="C1073" s="11" t="s">
        <v>1958</v>
      </c>
      <c r="D1073" s="20">
        <v>1.0</v>
      </c>
      <c r="E1073" s="20">
        <v>308.7</v>
      </c>
      <c r="F1073" s="20">
        <v>308.7</v>
      </c>
    </row>
    <row r="1074">
      <c r="A1074" s="11" t="s">
        <v>5742</v>
      </c>
      <c r="B1074" s="11">
        <v>11055.0</v>
      </c>
      <c r="C1074" s="11" t="s">
        <v>179</v>
      </c>
      <c r="D1074" s="20">
        <v>1.0</v>
      </c>
      <c r="E1074" s="20">
        <v>533.95</v>
      </c>
      <c r="F1074" s="20">
        <v>533.95</v>
      </c>
    </row>
    <row r="1075">
      <c r="A1075" s="11" t="s">
        <v>5745</v>
      </c>
      <c r="B1075" s="11">
        <v>11056.0</v>
      </c>
      <c r="C1075" s="11" t="s">
        <v>1726</v>
      </c>
      <c r="D1075" s="20">
        <v>1.0</v>
      </c>
      <c r="E1075" s="20">
        <v>120.0</v>
      </c>
      <c r="F1075" s="20">
        <v>120.0</v>
      </c>
    </row>
    <row r="1076">
      <c r="A1076" s="11" t="s">
        <v>5747</v>
      </c>
      <c r="B1076" s="11">
        <v>11058.0</v>
      </c>
      <c r="C1076" s="11" t="s">
        <v>1906</v>
      </c>
      <c r="D1076" s="20">
        <v>1.0</v>
      </c>
      <c r="E1076" s="20">
        <v>65.65</v>
      </c>
      <c r="F1076" s="20">
        <v>65.65</v>
      </c>
    </row>
    <row r="1077">
      <c r="A1077" s="11" t="s">
        <v>5749</v>
      </c>
      <c r="B1077" s="11" t="s">
        <v>5750</v>
      </c>
      <c r="C1077" s="11" t="s">
        <v>2040</v>
      </c>
      <c r="D1077" s="11">
        <v>1.0</v>
      </c>
      <c r="E1077" s="11">
        <v>5019.25</v>
      </c>
      <c r="F1077" s="11">
        <v>5019.25</v>
      </c>
    </row>
    <row r="1078">
      <c r="A1078" s="11" t="s">
        <v>5754</v>
      </c>
      <c r="B1078" s="11" t="s">
        <v>5750</v>
      </c>
      <c r="C1078" s="11" t="s">
        <v>3047</v>
      </c>
      <c r="D1078" s="11">
        <v>1.0</v>
      </c>
      <c r="E1078" s="11">
        <v>476.85</v>
      </c>
      <c r="F1078" s="11">
        <v>476.85</v>
      </c>
    </row>
    <row r="1079">
      <c r="A1079" s="11" t="s">
        <v>5757</v>
      </c>
      <c r="B1079" s="11" t="s">
        <v>5750</v>
      </c>
      <c r="C1079" s="11" t="s">
        <v>3470</v>
      </c>
      <c r="D1079" s="11">
        <v>1.0</v>
      </c>
      <c r="E1079" s="11">
        <v>89.99</v>
      </c>
      <c r="F1079" s="11">
        <v>89.99</v>
      </c>
    </row>
    <row r="1080">
      <c r="A1080" s="11" t="s">
        <v>5760</v>
      </c>
      <c r="B1080" s="11" t="s">
        <v>5763</v>
      </c>
      <c r="C1080" s="11" t="s">
        <v>3303</v>
      </c>
      <c r="D1080" s="11">
        <v>12.0</v>
      </c>
      <c r="E1080" s="11">
        <v>3.79</v>
      </c>
      <c r="F1080" s="11">
        <v>45.48</v>
      </c>
    </row>
    <row r="1081">
      <c r="A1081" s="11" t="s">
        <v>5767</v>
      </c>
      <c r="B1081" s="11" t="s">
        <v>5763</v>
      </c>
      <c r="C1081" s="11" t="s">
        <v>5768</v>
      </c>
      <c r="D1081" s="11">
        <v>1.0</v>
      </c>
      <c r="E1081" s="11">
        <v>19.74</v>
      </c>
      <c r="F1081" s="11">
        <v>19.74</v>
      </c>
    </row>
    <row r="1082">
      <c r="A1082" s="11" t="s">
        <v>5771</v>
      </c>
      <c r="B1082" s="11" t="s">
        <v>5763</v>
      </c>
      <c r="C1082" s="11" t="s">
        <v>3358</v>
      </c>
      <c r="D1082" s="11">
        <v>12.0</v>
      </c>
      <c r="E1082" s="11">
        <v>0.95</v>
      </c>
      <c r="F1082" s="11">
        <v>11.4</v>
      </c>
    </row>
    <row r="1083">
      <c r="A1083" s="11" t="s">
        <v>5774</v>
      </c>
      <c r="B1083" s="11" t="s">
        <v>5763</v>
      </c>
      <c r="C1083" s="11" t="s">
        <v>3520</v>
      </c>
      <c r="D1083" s="11">
        <v>12.0</v>
      </c>
      <c r="E1083" s="11">
        <v>0.79</v>
      </c>
      <c r="F1083" s="11">
        <v>9.48</v>
      </c>
    </row>
    <row r="1084">
      <c r="A1084" s="11" t="s">
        <v>5777</v>
      </c>
      <c r="B1084" s="11" t="s">
        <v>5778</v>
      </c>
      <c r="C1084" s="19" t="s">
        <v>3325</v>
      </c>
      <c r="D1084" s="11">
        <v>3.0</v>
      </c>
      <c r="E1084" s="11">
        <v>28.0</v>
      </c>
      <c r="F1084" s="11">
        <v>84.0</v>
      </c>
    </row>
    <row r="1085">
      <c r="A1085" s="11" t="s">
        <v>5782</v>
      </c>
      <c r="B1085" s="11" t="s">
        <v>5783</v>
      </c>
      <c r="C1085" s="11" t="s">
        <v>3284</v>
      </c>
      <c r="D1085" s="11">
        <v>0.83</v>
      </c>
      <c r="E1085" s="11">
        <v>12.89</v>
      </c>
      <c r="F1085" s="11">
        <v>10.7</v>
      </c>
    </row>
    <row r="1086">
      <c r="A1086" s="11" t="s">
        <v>5785</v>
      </c>
      <c r="B1086" s="11" t="s">
        <v>5787</v>
      </c>
      <c r="C1086" s="11" t="s">
        <v>3339</v>
      </c>
      <c r="D1086" s="11">
        <v>1.0</v>
      </c>
      <c r="E1086" s="11">
        <v>390.0</v>
      </c>
      <c r="F1086" s="11">
        <v>390.0</v>
      </c>
    </row>
    <row r="1087">
      <c r="A1087" s="11" t="s">
        <v>5789</v>
      </c>
      <c r="B1087" s="11" t="s">
        <v>1335</v>
      </c>
      <c r="C1087" s="19" t="s">
        <v>3325</v>
      </c>
      <c r="D1087" s="11">
        <v>3.0</v>
      </c>
      <c r="E1087" s="11">
        <v>28.0</v>
      </c>
      <c r="F1087" s="11">
        <v>84.0</v>
      </c>
    </row>
    <row r="1088">
      <c r="A1088" s="11" t="s">
        <v>5792</v>
      </c>
      <c r="B1088" s="11" t="s">
        <v>5793</v>
      </c>
      <c r="C1088" s="11" t="s">
        <v>3384</v>
      </c>
      <c r="D1088" s="11">
        <v>1.0</v>
      </c>
      <c r="E1088" s="11">
        <v>12.98</v>
      </c>
      <c r="F1088" s="11">
        <v>12.98</v>
      </c>
    </row>
    <row r="1089">
      <c r="A1089" s="11" t="s">
        <v>5795</v>
      </c>
      <c r="B1089" s="11" t="s">
        <v>5793</v>
      </c>
      <c r="C1089" s="11" t="s">
        <v>3319</v>
      </c>
      <c r="D1089" s="11">
        <v>2.0</v>
      </c>
      <c r="E1089" s="11">
        <v>16.95</v>
      </c>
      <c r="F1089" s="11">
        <v>33.9</v>
      </c>
    </row>
    <row r="1090">
      <c r="A1090" s="11" t="s">
        <v>5797</v>
      </c>
      <c r="B1090" s="11" t="s">
        <v>5793</v>
      </c>
      <c r="C1090" s="11" t="s">
        <v>5704</v>
      </c>
      <c r="D1090" s="11">
        <v>2.132</v>
      </c>
      <c r="E1090" s="11">
        <v>4.45</v>
      </c>
      <c r="F1090" s="11">
        <v>9.49</v>
      </c>
    </row>
    <row r="1091">
      <c r="A1091" s="11" t="s">
        <v>5798</v>
      </c>
      <c r="B1091" s="11" t="s">
        <v>1341</v>
      </c>
      <c r="C1091" s="11" t="s">
        <v>3319</v>
      </c>
      <c r="D1091" s="11">
        <v>3.0</v>
      </c>
      <c r="E1091" s="11">
        <v>16.95</v>
      </c>
      <c r="F1091" s="11">
        <v>50.85</v>
      </c>
    </row>
    <row r="1092">
      <c r="A1092" s="11" t="s">
        <v>5799</v>
      </c>
      <c r="B1092" s="11">
        <v>11057.0</v>
      </c>
      <c r="C1092" s="11" t="s">
        <v>1902</v>
      </c>
      <c r="D1092" s="20">
        <v>1.0</v>
      </c>
      <c r="E1092" s="20">
        <v>629.49</v>
      </c>
      <c r="F1092" s="20">
        <v>629.49</v>
      </c>
    </row>
    <row r="1093">
      <c r="A1093" s="11" t="s">
        <v>5800</v>
      </c>
      <c r="B1093" s="11">
        <v>11059.0</v>
      </c>
      <c r="C1093" s="11" t="s">
        <v>2099</v>
      </c>
      <c r="D1093" s="20">
        <v>1.0</v>
      </c>
      <c r="E1093" s="20">
        <v>1465.34</v>
      </c>
      <c r="F1093" s="20">
        <v>1465.34</v>
      </c>
    </row>
    <row r="1094">
      <c r="A1094" s="11" t="s">
        <v>5802</v>
      </c>
      <c r="B1094" s="11">
        <v>11061.0</v>
      </c>
      <c r="C1094" s="11" t="s">
        <v>975</v>
      </c>
      <c r="D1094" s="20">
        <v>1.0</v>
      </c>
      <c r="E1094" s="20">
        <v>1098.0</v>
      </c>
      <c r="F1094" s="20">
        <v>1098.0</v>
      </c>
    </row>
    <row r="1095">
      <c r="A1095" s="11" t="s">
        <v>5803</v>
      </c>
      <c r="B1095" s="11">
        <v>11062.0</v>
      </c>
      <c r="C1095" s="11" t="s">
        <v>648</v>
      </c>
      <c r="D1095" s="20">
        <v>1.0</v>
      </c>
      <c r="E1095" s="20">
        <v>1110.0</v>
      </c>
      <c r="F1095" s="20">
        <v>1110.0</v>
      </c>
    </row>
    <row r="1096">
      <c r="A1096" s="11" t="s">
        <v>5804</v>
      </c>
      <c r="B1096" s="11">
        <v>11063.0</v>
      </c>
      <c r="C1096" s="11" t="s">
        <v>957</v>
      </c>
      <c r="D1096" s="20">
        <v>1.0</v>
      </c>
      <c r="E1096" s="20">
        <v>396.0</v>
      </c>
      <c r="F1096" s="20">
        <v>396.0</v>
      </c>
    </row>
    <row r="1097">
      <c r="A1097" s="11" t="s">
        <v>5806</v>
      </c>
      <c r="B1097" s="11">
        <v>11064.0</v>
      </c>
      <c r="C1097" s="11" t="s">
        <v>196</v>
      </c>
      <c r="D1097" s="20">
        <v>1.0</v>
      </c>
      <c r="E1097" s="20">
        <v>2500.0</v>
      </c>
      <c r="F1097" s="20">
        <v>2500.0</v>
      </c>
    </row>
    <row r="1098">
      <c r="A1098" s="11" t="s">
        <v>5807</v>
      </c>
      <c r="B1098" s="11">
        <v>11065.0</v>
      </c>
      <c r="C1098" s="11" t="s">
        <v>502</v>
      </c>
      <c r="D1098" s="20">
        <v>1.0</v>
      </c>
      <c r="E1098" s="20">
        <v>119.9</v>
      </c>
      <c r="F1098" s="20">
        <v>119.9</v>
      </c>
    </row>
    <row r="1099">
      <c r="A1099" s="11" t="s">
        <v>5809</v>
      </c>
      <c r="B1099" s="11">
        <v>11066.0</v>
      </c>
      <c r="C1099" s="11" t="s">
        <v>761</v>
      </c>
      <c r="D1099" s="20">
        <v>1.0</v>
      </c>
      <c r="E1099" s="20">
        <v>121.9</v>
      </c>
      <c r="F1099" s="20">
        <v>121.9</v>
      </c>
    </row>
    <row r="1100">
      <c r="A1100" s="11" t="s">
        <v>5810</v>
      </c>
      <c r="B1100" s="11" t="s">
        <v>5811</v>
      </c>
      <c r="C1100" s="11" t="s">
        <v>795</v>
      </c>
      <c r="D1100" s="20">
        <v>1.0</v>
      </c>
      <c r="E1100" s="20">
        <v>130.0</v>
      </c>
      <c r="F1100" s="20">
        <v>130.0</v>
      </c>
    </row>
    <row r="1101">
      <c r="A1101" s="11" t="s">
        <v>5812</v>
      </c>
      <c r="B1101" s="11" t="s">
        <v>5813</v>
      </c>
      <c r="C1101" s="11" t="s">
        <v>350</v>
      </c>
      <c r="D1101" s="20">
        <v>1.0</v>
      </c>
      <c r="E1101" s="20">
        <v>500.0</v>
      </c>
      <c r="F1101" s="20">
        <v>500.0</v>
      </c>
    </row>
    <row r="1102">
      <c r="A1102" s="11" t="s">
        <v>5815</v>
      </c>
      <c r="B1102" s="11" t="s">
        <v>5816</v>
      </c>
      <c r="C1102" s="11" t="s">
        <v>851</v>
      </c>
      <c r="D1102" s="11">
        <v>1.0</v>
      </c>
      <c r="E1102" s="11">
        <v>400.0</v>
      </c>
      <c r="F1102" s="11">
        <v>400.0</v>
      </c>
    </row>
    <row r="1103">
      <c r="A1103" s="11" t="s">
        <v>5817</v>
      </c>
      <c r="B1103" s="11" t="s">
        <v>5816</v>
      </c>
      <c r="C1103" s="11" t="s">
        <v>3047</v>
      </c>
      <c r="D1103" s="11">
        <v>1.0</v>
      </c>
      <c r="E1103" s="11">
        <v>30.0</v>
      </c>
      <c r="F1103" s="11">
        <v>30.0</v>
      </c>
    </row>
    <row r="1104">
      <c r="A1104" s="11" t="s">
        <v>5818</v>
      </c>
      <c r="B1104" s="11" t="s">
        <v>1360</v>
      </c>
      <c r="C1104" s="11" t="s">
        <v>648</v>
      </c>
      <c r="D1104" s="11">
        <v>1.0</v>
      </c>
      <c r="E1104" s="11">
        <v>37.56</v>
      </c>
      <c r="F1104" s="11">
        <v>37.56</v>
      </c>
    </row>
    <row r="1105">
      <c r="A1105" s="11" t="s">
        <v>5819</v>
      </c>
      <c r="B1105" s="11" t="s">
        <v>5820</v>
      </c>
      <c r="C1105" s="11" t="s">
        <v>5672</v>
      </c>
      <c r="D1105" s="11">
        <v>1.0</v>
      </c>
      <c r="E1105" s="11">
        <v>771.92</v>
      </c>
      <c r="F1105" s="11">
        <v>771.92</v>
      </c>
    </row>
    <row r="1106">
      <c r="A1106" s="11" t="s">
        <v>5821</v>
      </c>
      <c r="B1106" s="11" t="s">
        <v>5820</v>
      </c>
      <c r="C1106" s="11" t="s">
        <v>3047</v>
      </c>
      <c r="D1106" s="11">
        <v>1.0</v>
      </c>
      <c r="E1106" s="11">
        <v>65.61</v>
      </c>
      <c r="F1106" s="11">
        <v>65.61</v>
      </c>
    </row>
    <row r="1107">
      <c r="A1107" s="11" t="s">
        <v>5822</v>
      </c>
      <c r="B1107" s="11">
        <v>11068.0</v>
      </c>
      <c r="C1107" s="11" t="s">
        <v>1936</v>
      </c>
      <c r="D1107" s="20">
        <v>1.0</v>
      </c>
      <c r="E1107" s="20">
        <v>371.8</v>
      </c>
      <c r="F1107" s="20">
        <v>371.8</v>
      </c>
    </row>
    <row r="1108">
      <c r="A1108" s="11" t="s">
        <v>5823</v>
      </c>
      <c r="B1108" s="11">
        <v>11076.0</v>
      </c>
      <c r="C1108" s="11" t="s">
        <v>1049</v>
      </c>
      <c r="D1108" s="20">
        <v>1.0</v>
      </c>
      <c r="E1108" s="20">
        <v>3397.02</v>
      </c>
      <c r="F1108" s="20">
        <v>3397.02</v>
      </c>
    </row>
    <row r="1109">
      <c r="A1109" s="11" t="s">
        <v>5824</v>
      </c>
      <c r="B1109" s="11">
        <v>11077.0</v>
      </c>
      <c r="C1109" s="11" t="s">
        <v>1944</v>
      </c>
      <c r="D1109" s="20">
        <v>1.0</v>
      </c>
      <c r="E1109" s="20">
        <v>1291.37</v>
      </c>
      <c r="F1109" s="20">
        <v>1291.37</v>
      </c>
    </row>
    <row r="1110">
      <c r="A1110" s="11" t="s">
        <v>5825</v>
      </c>
      <c r="B1110" s="11" t="s">
        <v>5826</v>
      </c>
      <c r="C1110" s="11" t="s">
        <v>2040</v>
      </c>
      <c r="D1110" s="20">
        <v>1.0</v>
      </c>
      <c r="E1110" s="20">
        <v>5249.3</v>
      </c>
      <c r="F1110" s="20">
        <v>5249.3</v>
      </c>
    </row>
    <row r="1111">
      <c r="A1111" s="11" t="s">
        <v>5827</v>
      </c>
      <c r="B1111" s="11" t="s">
        <v>5828</v>
      </c>
      <c r="C1111" s="11" t="s">
        <v>2040</v>
      </c>
      <c r="D1111" s="20">
        <v>1.0</v>
      </c>
      <c r="E1111" s="20">
        <v>1181.0</v>
      </c>
      <c r="F1111" s="20">
        <v>1181.0</v>
      </c>
    </row>
    <row r="1112">
      <c r="A1112" s="11" t="s">
        <v>5829</v>
      </c>
      <c r="B1112" s="11" t="s">
        <v>5830</v>
      </c>
      <c r="C1112" s="11" t="s">
        <v>5672</v>
      </c>
      <c r="D1112" s="20">
        <v>1.0</v>
      </c>
      <c r="E1112" s="20">
        <v>837.53</v>
      </c>
      <c r="F1112" s="20">
        <v>837.53</v>
      </c>
    </row>
    <row r="1113">
      <c r="A1113" s="11" t="s">
        <v>5831</v>
      </c>
      <c r="B1113" s="11" t="s">
        <v>5832</v>
      </c>
      <c r="C1113" s="11" t="s">
        <v>5672</v>
      </c>
      <c r="D1113" s="20">
        <v>1.0</v>
      </c>
      <c r="E1113" s="20">
        <v>181.63</v>
      </c>
      <c r="F1113" s="20">
        <v>181.63</v>
      </c>
    </row>
    <row r="1114">
      <c r="A1114" s="11" t="s">
        <v>5833</v>
      </c>
      <c r="B1114" s="11" t="s">
        <v>5834</v>
      </c>
      <c r="C1114" s="11" t="s">
        <v>5672</v>
      </c>
      <c r="D1114" s="20">
        <v>1.0</v>
      </c>
      <c r="E1114" s="20">
        <v>865.07</v>
      </c>
      <c r="F1114" s="20">
        <v>865.07</v>
      </c>
    </row>
    <row r="1115">
      <c r="A1115" s="11" t="s">
        <v>5835</v>
      </c>
      <c r="B1115" s="11" t="s">
        <v>5836</v>
      </c>
      <c r="C1115" s="11" t="s">
        <v>5672</v>
      </c>
      <c r="D1115" s="20">
        <v>1.0</v>
      </c>
      <c r="E1115" s="20">
        <v>187.6</v>
      </c>
      <c r="F1115" s="20">
        <v>187.6</v>
      </c>
    </row>
    <row r="1116">
      <c r="A1116" s="11" t="s">
        <v>5837</v>
      </c>
      <c r="B1116" s="11" t="s">
        <v>5838</v>
      </c>
      <c r="C1116" s="11" t="s">
        <v>2099</v>
      </c>
      <c r="D1116" s="20">
        <v>1.0</v>
      </c>
      <c r="E1116" s="20">
        <v>421.37</v>
      </c>
      <c r="F1116" s="20">
        <v>421.37</v>
      </c>
    </row>
    <row r="1117">
      <c r="A1117" s="11" t="s">
        <v>5839</v>
      </c>
      <c r="B1117" s="11">
        <v>11083.0</v>
      </c>
      <c r="C1117" s="11" t="s">
        <v>1971</v>
      </c>
      <c r="D1117" s="20">
        <v>1.0</v>
      </c>
      <c r="E1117" s="20">
        <v>190.34</v>
      </c>
      <c r="F1117" s="20">
        <v>190.34</v>
      </c>
    </row>
    <row r="1118">
      <c r="A1118" s="11" t="s">
        <v>5841</v>
      </c>
      <c r="B1118" s="11" t="s">
        <v>5842</v>
      </c>
      <c r="C1118" s="11" t="s">
        <v>5672</v>
      </c>
      <c r="D1118" s="11">
        <v>1.0</v>
      </c>
      <c r="E1118" s="11">
        <v>797.3</v>
      </c>
      <c r="F1118" s="11">
        <v>797.3</v>
      </c>
    </row>
    <row r="1119">
      <c r="A1119" s="11" t="s">
        <v>5844</v>
      </c>
      <c r="B1119" s="11" t="s">
        <v>5842</v>
      </c>
      <c r="C1119" s="11" t="s">
        <v>3047</v>
      </c>
      <c r="D1119" s="11">
        <v>1.0</v>
      </c>
      <c r="E1119" s="11">
        <v>67.77</v>
      </c>
      <c r="F1119" s="11">
        <v>67.77</v>
      </c>
    </row>
    <row r="1120">
      <c r="A1120" s="11" t="s">
        <v>5847</v>
      </c>
      <c r="B1120" s="11" t="s">
        <v>5848</v>
      </c>
      <c r="C1120" s="11" t="s">
        <v>3319</v>
      </c>
      <c r="D1120" s="11">
        <v>2.0</v>
      </c>
      <c r="E1120" s="11">
        <v>13.79</v>
      </c>
      <c r="F1120" s="11">
        <v>27.58</v>
      </c>
    </row>
    <row r="1121">
      <c r="A1121" s="11" t="s">
        <v>5850</v>
      </c>
      <c r="B1121" s="11" t="s">
        <v>5848</v>
      </c>
      <c r="C1121" s="11" t="s">
        <v>3384</v>
      </c>
      <c r="D1121" s="11">
        <v>1.0</v>
      </c>
      <c r="E1121" s="11">
        <v>8.99</v>
      </c>
      <c r="F1121" s="11">
        <v>8.99</v>
      </c>
    </row>
    <row r="1122">
      <c r="A1122" s="11" t="s">
        <v>5852</v>
      </c>
      <c r="B1122" s="11" t="s">
        <v>5848</v>
      </c>
      <c r="C1122" s="11" t="s">
        <v>3348</v>
      </c>
      <c r="D1122" s="11">
        <v>0.485</v>
      </c>
      <c r="E1122" s="11">
        <v>6.99</v>
      </c>
      <c r="F1122" s="11">
        <v>3.39</v>
      </c>
    </row>
    <row r="1123">
      <c r="A1123" s="11" t="s">
        <v>5855</v>
      </c>
      <c r="B1123" s="11" t="s">
        <v>5856</v>
      </c>
      <c r="C1123" s="11" t="s">
        <v>3319</v>
      </c>
      <c r="D1123" s="11">
        <v>5.0</v>
      </c>
      <c r="E1123" s="11">
        <v>14.79</v>
      </c>
      <c r="F1123" s="11">
        <v>73.95</v>
      </c>
    </row>
    <row r="1124">
      <c r="A1124" s="11" t="s">
        <v>5859</v>
      </c>
      <c r="B1124" s="11" t="s">
        <v>5856</v>
      </c>
      <c r="C1124" s="11" t="s">
        <v>5704</v>
      </c>
      <c r="D1124" s="11">
        <v>1.665</v>
      </c>
      <c r="E1124" s="11">
        <v>4.19</v>
      </c>
      <c r="F1124" s="11">
        <v>6.98</v>
      </c>
    </row>
    <row r="1125">
      <c r="A1125" s="11" t="s">
        <v>5863</v>
      </c>
      <c r="B1125" s="11" t="s">
        <v>5856</v>
      </c>
      <c r="C1125" s="11" t="s">
        <v>3384</v>
      </c>
      <c r="D1125" s="11">
        <v>1.0</v>
      </c>
      <c r="E1125" s="11">
        <v>10.49</v>
      </c>
      <c r="F1125" s="11">
        <v>10.49</v>
      </c>
    </row>
    <row r="1126">
      <c r="A1126" s="11" t="s">
        <v>5865</v>
      </c>
      <c r="B1126" s="11" t="s">
        <v>5856</v>
      </c>
      <c r="C1126" s="11" t="s">
        <v>3785</v>
      </c>
      <c r="D1126" s="11">
        <v>21.0</v>
      </c>
      <c r="E1126" s="11">
        <v>0.99</v>
      </c>
      <c r="F1126" s="11">
        <v>20.79</v>
      </c>
    </row>
    <row r="1127">
      <c r="A1127" s="11" t="s">
        <v>5868</v>
      </c>
      <c r="B1127" s="11" t="s">
        <v>5856</v>
      </c>
      <c r="C1127" s="11" t="s">
        <v>5869</v>
      </c>
      <c r="D1127" s="11">
        <v>6.0</v>
      </c>
      <c r="E1127" s="11">
        <v>2.99</v>
      </c>
      <c r="F1127" s="11">
        <v>17.94</v>
      </c>
    </row>
    <row r="1128">
      <c r="A1128" s="11" t="s">
        <v>5872</v>
      </c>
      <c r="B1128" s="11" t="s">
        <v>5856</v>
      </c>
      <c r="C1128" s="11" t="s">
        <v>5874</v>
      </c>
      <c r="D1128" s="11">
        <v>36.0</v>
      </c>
      <c r="E1128" s="11">
        <v>0.95</v>
      </c>
      <c r="F1128" s="11">
        <v>34.2</v>
      </c>
    </row>
    <row r="1129">
      <c r="A1129" s="11" t="s">
        <v>5876</v>
      </c>
      <c r="B1129" s="11" t="s">
        <v>5856</v>
      </c>
      <c r="C1129" s="11" t="s">
        <v>5874</v>
      </c>
      <c r="D1129" s="11">
        <v>12.0</v>
      </c>
      <c r="E1129" s="11">
        <v>1.99</v>
      </c>
      <c r="F1129" s="11">
        <v>23.88</v>
      </c>
    </row>
    <row r="1130">
      <c r="A1130" s="11" t="s">
        <v>5879</v>
      </c>
      <c r="B1130" s="11" t="s">
        <v>5856</v>
      </c>
      <c r="C1130" s="11" t="s">
        <v>5881</v>
      </c>
      <c r="D1130" s="11">
        <v>12.0</v>
      </c>
      <c r="E1130" s="11">
        <v>0.95</v>
      </c>
      <c r="F1130" s="11">
        <v>11.4</v>
      </c>
    </row>
    <row r="1131">
      <c r="A1131" s="11" t="s">
        <v>5883</v>
      </c>
      <c r="B1131" s="11" t="s">
        <v>5856</v>
      </c>
      <c r="C1131" s="19" t="s">
        <v>5885</v>
      </c>
      <c r="D1131" s="11">
        <v>6.0</v>
      </c>
      <c r="E1131" s="11">
        <v>3.29</v>
      </c>
      <c r="F1131" s="11">
        <v>19.74</v>
      </c>
    </row>
    <row r="1132">
      <c r="A1132" s="11" t="s">
        <v>5887</v>
      </c>
      <c r="B1132" s="11" t="s">
        <v>5856</v>
      </c>
      <c r="C1132" s="11" t="s">
        <v>5869</v>
      </c>
      <c r="D1132" s="11">
        <v>6.0</v>
      </c>
      <c r="E1132" s="11">
        <v>2.99</v>
      </c>
      <c r="F1132" s="11">
        <v>17.94</v>
      </c>
    </row>
    <row r="1133">
      <c r="A1133" s="11" t="s">
        <v>5889</v>
      </c>
      <c r="B1133" s="11" t="s">
        <v>5856</v>
      </c>
      <c r="C1133" s="11" t="s">
        <v>5890</v>
      </c>
      <c r="D1133" s="11">
        <v>12.0</v>
      </c>
      <c r="E1133" s="11">
        <v>3.79</v>
      </c>
      <c r="F1133" s="11">
        <v>45.48</v>
      </c>
    </row>
    <row r="1134">
      <c r="A1134" s="11" t="s">
        <v>5891</v>
      </c>
      <c r="B1134" s="11" t="s">
        <v>5856</v>
      </c>
      <c r="C1134" s="11" t="s">
        <v>3427</v>
      </c>
      <c r="D1134" s="11">
        <v>1.0</v>
      </c>
      <c r="E1134" s="11">
        <v>13.99</v>
      </c>
      <c r="F1134" s="11">
        <v>13.99</v>
      </c>
    </row>
    <row r="1135">
      <c r="A1135" s="11" t="s">
        <v>5893</v>
      </c>
      <c r="B1135" s="11" t="s">
        <v>5856</v>
      </c>
      <c r="C1135" s="11" t="s">
        <v>5330</v>
      </c>
      <c r="D1135" s="11">
        <v>2.0</v>
      </c>
      <c r="E1135" s="11">
        <v>5.89</v>
      </c>
      <c r="F1135" s="11">
        <v>11.78</v>
      </c>
    </row>
    <row r="1136">
      <c r="A1136" s="11" t="s">
        <v>5896</v>
      </c>
      <c r="B1136" s="11" t="s">
        <v>5856</v>
      </c>
      <c r="C1136" s="11" t="s">
        <v>3284</v>
      </c>
      <c r="D1136" s="11">
        <v>1.175</v>
      </c>
      <c r="E1136" s="11">
        <v>13.99</v>
      </c>
      <c r="F1136" s="11">
        <v>16.44</v>
      </c>
    </row>
    <row r="1137">
      <c r="A1137" s="11" t="s">
        <v>5899</v>
      </c>
      <c r="B1137" s="11" t="s">
        <v>5856</v>
      </c>
      <c r="C1137" s="11" t="s">
        <v>3628</v>
      </c>
      <c r="D1137" s="11">
        <v>1.0</v>
      </c>
      <c r="E1137" s="11">
        <v>17.99</v>
      </c>
      <c r="F1137" s="11">
        <v>17.99</v>
      </c>
    </row>
    <row r="1138">
      <c r="A1138" s="11" t="s">
        <v>5902</v>
      </c>
      <c r="B1138" s="11" t="s">
        <v>5856</v>
      </c>
      <c r="C1138" s="11" t="s">
        <v>3348</v>
      </c>
      <c r="D1138" s="11">
        <v>1.135</v>
      </c>
      <c r="E1138" s="11">
        <v>7.79</v>
      </c>
      <c r="F1138" s="11">
        <v>8.84</v>
      </c>
    </row>
    <row r="1139">
      <c r="A1139" s="11" t="s">
        <v>5904</v>
      </c>
      <c r="B1139" s="19" t="s">
        <v>5906</v>
      </c>
      <c r="C1139" s="19" t="s">
        <v>3325</v>
      </c>
      <c r="D1139" s="11">
        <v>5.0</v>
      </c>
      <c r="E1139" s="11">
        <v>28.0</v>
      </c>
      <c r="F1139" s="11">
        <v>140.0</v>
      </c>
    </row>
    <row r="1140">
      <c r="A1140" s="11" t="s">
        <v>5908</v>
      </c>
      <c r="B1140" s="11" t="s">
        <v>5910</v>
      </c>
      <c r="C1140" s="11" t="s">
        <v>527</v>
      </c>
      <c r="D1140" s="11">
        <v>1.0</v>
      </c>
      <c r="E1140" s="11">
        <v>125.0</v>
      </c>
      <c r="F1140" s="11">
        <v>125.0</v>
      </c>
    </row>
    <row r="1141">
      <c r="A1141" s="11" t="s">
        <v>5912</v>
      </c>
      <c r="B1141" s="11" t="s">
        <v>5914</v>
      </c>
      <c r="C1141" s="11" t="s">
        <v>3319</v>
      </c>
      <c r="D1141" s="11">
        <v>7.0</v>
      </c>
      <c r="E1141" s="11">
        <v>14.79</v>
      </c>
      <c r="F1141" s="11">
        <v>103.53</v>
      </c>
    </row>
    <row r="1142">
      <c r="A1142" s="11" t="s">
        <v>5916</v>
      </c>
      <c r="B1142" s="11" t="s">
        <v>5914</v>
      </c>
      <c r="C1142" s="11" t="s">
        <v>3384</v>
      </c>
      <c r="D1142" s="11">
        <v>1.0</v>
      </c>
      <c r="E1142" s="11">
        <v>10.49</v>
      </c>
      <c r="F1142" s="11">
        <v>10.49</v>
      </c>
    </row>
    <row r="1143">
      <c r="A1143" s="11" t="s">
        <v>5919</v>
      </c>
      <c r="B1143" s="11" t="s">
        <v>5914</v>
      </c>
      <c r="C1143" s="11" t="s">
        <v>3348</v>
      </c>
      <c r="D1143" s="11">
        <v>1.215</v>
      </c>
      <c r="E1143" s="11">
        <v>7.79</v>
      </c>
      <c r="F1143" s="11">
        <v>9.46</v>
      </c>
    </row>
    <row r="1144">
      <c r="A1144" s="11" t="s">
        <v>5921</v>
      </c>
      <c r="B1144" s="11" t="s">
        <v>5923</v>
      </c>
      <c r="C1144" s="11" t="s">
        <v>3339</v>
      </c>
      <c r="D1144" s="11">
        <v>1.0</v>
      </c>
      <c r="E1144" s="11">
        <v>510.0</v>
      </c>
      <c r="F1144" s="11">
        <v>510.0</v>
      </c>
    </row>
    <row r="1145">
      <c r="A1145" s="11" t="s">
        <v>5926</v>
      </c>
      <c r="B1145" s="11" t="s">
        <v>5928</v>
      </c>
      <c r="C1145" s="19" t="s">
        <v>3325</v>
      </c>
      <c r="D1145" s="11">
        <v>5.0</v>
      </c>
      <c r="E1145" s="11">
        <v>28.0</v>
      </c>
      <c r="F1145" s="11">
        <v>140.0</v>
      </c>
    </row>
    <row r="1146">
      <c r="A1146" s="11" t="s">
        <v>5930</v>
      </c>
      <c r="B1146" s="11" t="s">
        <v>5931</v>
      </c>
      <c r="C1146" s="11" t="s">
        <v>5874</v>
      </c>
      <c r="D1146" s="11">
        <v>48.0</v>
      </c>
      <c r="E1146" s="11">
        <v>1.09</v>
      </c>
      <c r="F1146" s="11">
        <v>52.32</v>
      </c>
    </row>
    <row r="1147">
      <c r="A1147" s="11" t="s">
        <v>5935</v>
      </c>
      <c r="B1147" s="11" t="s">
        <v>5931</v>
      </c>
      <c r="C1147" s="11" t="s">
        <v>5881</v>
      </c>
      <c r="D1147" s="11">
        <v>24.0</v>
      </c>
      <c r="E1147" s="11">
        <v>1.39</v>
      </c>
      <c r="F1147" s="11">
        <v>33.36</v>
      </c>
    </row>
    <row r="1148">
      <c r="A1148" s="11" t="s">
        <v>5938</v>
      </c>
      <c r="B1148" s="11" t="s">
        <v>5931</v>
      </c>
      <c r="C1148" s="11" t="s">
        <v>5890</v>
      </c>
      <c r="D1148" s="11">
        <v>12.0</v>
      </c>
      <c r="E1148" s="11">
        <v>4.19</v>
      </c>
      <c r="F1148" s="11">
        <v>50.28</v>
      </c>
    </row>
    <row r="1149">
      <c r="A1149" s="11" t="s">
        <v>5941</v>
      </c>
      <c r="B1149" s="11" t="s">
        <v>5931</v>
      </c>
      <c r="C1149" s="11" t="s">
        <v>5768</v>
      </c>
      <c r="D1149" s="11">
        <v>1.0</v>
      </c>
      <c r="E1149" s="11">
        <v>22.14</v>
      </c>
      <c r="F1149" s="11">
        <v>22.14</v>
      </c>
    </row>
    <row r="1150">
      <c r="A1150" s="11" t="s">
        <v>5942</v>
      </c>
      <c r="B1150" s="11" t="s">
        <v>5931</v>
      </c>
      <c r="C1150" s="11" t="s">
        <v>3348</v>
      </c>
      <c r="D1150" s="11">
        <v>0.855</v>
      </c>
      <c r="E1150" s="11">
        <v>10.49</v>
      </c>
      <c r="F1150" s="11">
        <v>8.97</v>
      </c>
    </row>
    <row r="1151">
      <c r="A1151" s="11" t="s">
        <v>5943</v>
      </c>
      <c r="B1151" s="11" t="s">
        <v>5931</v>
      </c>
      <c r="C1151" s="11" t="s">
        <v>3384</v>
      </c>
      <c r="D1151" s="11">
        <v>1.0</v>
      </c>
      <c r="E1151" s="11">
        <v>10.49</v>
      </c>
      <c r="F1151" s="11">
        <v>10.49</v>
      </c>
    </row>
    <row r="1152">
      <c r="A1152" s="11" t="s">
        <v>5944</v>
      </c>
      <c r="B1152" s="11" t="s">
        <v>5931</v>
      </c>
      <c r="C1152" s="11" t="s">
        <v>5704</v>
      </c>
      <c r="D1152" s="11">
        <v>1.74</v>
      </c>
      <c r="E1152" s="11">
        <v>3.09</v>
      </c>
      <c r="F1152" s="11">
        <v>5.38</v>
      </c>
    </row>
    <row r="1153">
      <c r="A1153" s="11" t="s">
        <v>5946</v>
      </c>
      <c r="B1153" s="11" t="s">
        <v>5931</v>
      </c>
      <c r="C1153" s="11" t="s">
        <v>3319</v>
      </c>
      <c r="D1153" s="11">
        <v>5.0</v>
      </c>
      <c r="E1153" s="11">
        <v>14.79</v>
      </c>
      <c r="F1153" s="11">
        <v>73.95</v>
      </c>
    </row>
    <row r="1154">
      <c r="A1154" s="11" t="s">
        <v>5947</v>
      </c>
      <c r="B1154" s="19" t="s">
        <v>5948</v>
      </c>
      <c r="C1154" s="11" t="s">
        <v>5672</v>
      </c>
      <c r="D1154" s="11">
        <v>1.0</v>
      </c>
      <c r="E1154" s="11">
        <v>797.3</v>
      </c>
      <c r="F1154" s="11">
        <v>797.3</v>
      </c>
    </row>
    <row r="1155">
      <c r="A1155" s="11" t="s">
        <v>5949</v>
      </c>
      <c r="B1155" s="19" t="s">
        <v>5948</v>
      </c>
      <c r="C1155" s="11" t="s">
        <v>3047</v>
      </c>
      <c r="D1155" s="11">
        <v>1.0</v>
      </c>
      <c r="E1155" s="11">
        <v>67.77</v>
      </c>
      <c r="F1155" s="11">
        <v>67.77</v>
      </c>
    </row>
    <row r="1156">
      <c r="A1156" s="11" t="s">
        <v>5951</v>
      </c>
      <c r="B1156" s="11" t="s">
        <v>5952</v>
      </c>
      <c r="C1156" s="11" t="s">
        <v>2040</v>
      </c>
      <c r="D1156" s="11">
        <v>1.0</v>
      </c>
      <c r="E1156" s="11">
        <v>9743.07</v>
      </c>
      <c r="F1156" s="11">
        <v>9743.07</v>
      </c>
    </row>
    <row r="1157">
      <c r="A1157" s="11" t="s">
        <v>5953</v>
      </c>
      <c r="B1157" s="11" t="s">
        <v>5952</v>
      </c>
      <c r="C1157" s="11" t="s">
        <v>3047</v>
      </c>
      <c r="D1157" s="11">
        <v>1.0</v>
      </c>
      <c r="E1157" s="11">
        <v>828.16</v>
      </c>
      <c r="F1157" s="11">
        <v>828.16</v>
      </c>
    </row>
    <row r="1158">
      <c r="A1158" s="11" t="s">
        <v>5954</v>
      </c>
      <c r="B1158" s="11" t="s">
        <v>5952</v>
      </c>
      <c r="C1158" s="11" t="s">
        <v>3470</v>
      </c>
      <c r="D1158" s="11">
        <v>1.0</v>
      </c>
      <c r="E1158" s="11">
        <v>153.39</v>
      </c>
      <c r="F1158" s="11">
        <v>153.39</v>
      </c>
    </row>
    <row r="1159">
      <c r="A1159" s="11" t="s">
        <v>5955</v>
      </c>
      <c r="B1159" s="11" t="s">
        <v>5956</v>
      </c>
      <c r="C1159" s="11" t="s">
        <v>5672</v>
      </c>
      <c r="D1159" s="11">
        <v>1.0</v>
      </c>
      <c r="E1159" s="11">
        <v>3442.54</v>
      </c>
      <c r="F1159" s="11">
        <v>3442.54</v>
      </c>
    </row>
    <row r="1160">
      <c r="A1160" s="11" t="s">
        <v>5957</v>
      </c>
      <c r="B1160" s="11" t="s">
        <v>5956</v>
      </c>
      <c r="C1160" s="11" t="s">
        <v>3047</v>
      </c>
      <c r="D1160" s="11">
        <v>1.0</v>
      </c>
      <c r="E1160" s="11">
        <v>292.62</v>
      </c>
      <c r="F1160" s="11">
        <v>292.62</v>
      </c>
    </row>
    <row r="1161">
      <c r="A1161" s="11" t="s">
        <v>5958</v>
      </c>
      <c r="B1161" s="11" t="s">
        <v>5959</v>
      </c>
      <c r="C1161" s="19" t="s">
        <v>3325</v>
      </c>
      <c r="D1161" s="11">
        <v>5.0</v>
      </c>
      <c r="E1161" s="11">
        <v>28.0</v>
      </c>
      <c r="F1161" s="11">
        <v>140.0</v>
      </c>
    </row>
    <row r="1162">
      <c r="A1162" s="11" t="s">
        <v>5960</v>
      </c>
      <c r="B1162" s="11" t="s">
        <v>1500</v>
      </c>
      <c r="C1162" s="19" t="s">
        <v>3325</v>
      </c>
      <c r="D1162" s="11">
        <v>4.0</v>
      </c>
      <c r="E1162" s="11">
        <v>28.0</v>
      </c>
      <c r="F1162" s="11">
        <v>112.0</v>
      </c>
    </row>
    <row r="1163">
      <c r="A1163" s="11" t="s">
        <v>5962</v>
      </c>
      <c r="B1163" s="11">
        <v>11089.0</v>
      </c>
      <c r="C1163" s="11" t="s">
        <v>1870</v>
      </c>
      <c r="D1163" s="20">
        <v>1.0</v>
      </c>
      <c r="E1163" s="20">
        <v>1708.8</v>
      </c>
      <c r="F1163" s="20">
        <v>1708.8</v>
      </c>
    </row>
    <row r="1164">
      <c r="A1164" s="11" t="s">
        <v>5963</v>
      </c>
      <c r="B1164" s="11" t="s">
        <v>5964</v>
      </c>
      <c r="C1164" s="11" t="s">
        <v>2106</v>
      </c>
      <c r="D1164" s="20">
        <v>1.0</v>
      </c>
      <c r="E1164" s="20">
        <v>529.4</v>
      </c>
      <c r="F1164" s="20">
        <v>529.4</v>
      </c>
    </row>
    <row r="1165">
      <c r="A1165" s="11" t="s">
        <v>5967</v>
      </c>
      <c r="B1165" s="11">
        <v>11084.0</v>
      </c>
      <c r="C1165" s="11" t="s">
        <v>376</v>
      </c>
      <c r="D1165" s="20">
        <v>1.0</v>
      </c>
      <c r="E1165" s="20">
        <v>3727.0</v>
      </c>
      <c r="F1165" s="20">
        <v>3727.0</v>
      </c>
    </row>
    <row r="1166">
      <c r="A1166" s="11" t="s">
        <v>5968</v>
      </c>
      <c r="B1166" s="11">
        <v>11085.0</v>
      </c>
      <c r="C1166" s="11" t="s">
        <v>376</v>
      </c>
      <c r="D1166" s="20">
        <v>1.0</v>
      </c>
      <c r="E1166" s="20">
        <v>312.0</v>
      </c>
      <c r="F1166" s="20">
        <v>312.0</v>
      </c>
    </row>
    <row r="1167">
      <c r="A1167" s="11" t="s">
        <v>5969</v>
      </c>
      <c r="B1167" s="11">
        <v>11086.0</v>
      </c>
      <c r="C1167" s="11" t="s">
        <v>376</v>
      </c>
      <c r="D1167" s="20">
        <v>1.0</v>
      </c>
      <c r="E1167" s="20">
        <v>312.0</v>
      </c>
      <c r="F1167" s="20">
        <v>312.0</v>
      </c>
    </row>
    <row r="1168">
      <c r="A1168" s="11" t="s">
        <v>5971</v>
      </c>
      <c r="B1168" s="11">
        <v>11087.0</v>
      </c>
      <c r="C1168" s="11" t="s">
        <v>1017</v>
      </c>
      <c r="D1168" s="20">
        <v>1.0</v>
      </c>
      <c r="E1168" s="20">
        <v>22.0</v>
      </c>
      <c r="F1168" s="20">
        <v>22.0</v>
      </c>
    </row>
    <row r="1169">
      <c r="A1169" s="11" t="s">
        <v>5972</v>
      </c>
      <c r="B1169" s="11">
        <v>11088.0</v>
      </c>
      <c r="C1169" s="11" t="s">
        <v>1023</v>
      </c>
      <c r="D1169" s="20">
        <v>1.0</v>
      </c>
      <c r="E1169" s="20">
        <v>10.0</v>
      </c>
      <c r="F1169" s="20">
        <v>10.0</v>
      </c>
    </row>
    <row r="1170">
      <c r="A1170" s="11" t="s">
        <v>5976</v>
      </c>
      <c r="B1170" s="11">
        <v>11095.0</v>
      </c>
      <c r="C1170" s="11" t="s">
        <v>3257</v>
      </c>
      <c r="D1170" s="20">
        <v>1.0</v>
      </c>
      <c r="E1170" s="20">
        <v>855.0</v>
      </c>
      <c r="F1170" s="20">
        <v>855.0</v>
      </c>
    </row>
    <row r="1171">
      <c r="A1171" s="11" t="s">
        <v>5979</v>
      </c>
      <c r="B1171" s="11" t="s">
        <v>5980</v>
      </c>
      <c r="C1171" s="11" t="s">
        <v>5874</v>
      </c>
      <c r="D1171" s="11">
        <v>36.0</v>
      </c>
      <c r="E1171" s="11">
        <v>0.95</v>
      </c>
      <c r="F1171" s="11">
        <v>34.2</v>
      </c>
    </row>
    <row r="1172">
      <c r="A1172" s="11" t="s">
        <v>5983</v>
      </c>
      <c r="B1172" s="11" t="s">
        <v>5980</v>
      </c>
      <c r="C1172" s="11" t="s">
        <v>5881</v>
      </c>
      <c r="D1172" s="11">
        <v>12.0</v>
      </c>
      <c r="E1172" s="11">
        <v>0.95</v>
      </c>
      <c r="F1172" s="11">
        <v>11.4</v>
      </c>
    </row>
    <row r="1173">
      <c r="A1173" s="11" t="s">
        <v>5986</v>
      </c>
      <c r="B1173" s="11" t="s">
        <v>5980</v>
      </c>
      <c r="C1173" s="11" t="s">
        <v>3284</v>
      </c>
      <c r="D1173" s="11">
        <v>1.08</v>
      </c>
      <c r="E1173" s="11">
        <v>13.99</v>
      </c>
      <c r="F1173" s="11">
        <v>15.11</v>
      </c>
    </row>
    <row r="1174">
      <c r="A1174" s="11" t="s">
        <v>5989</v>
      </c>
      <c r="B1174" s="11" t="s">
        <v>5980</v>
      </c>
      <c r="C1174" s="11" t="s">
        <v>5704</v>
      </c>
      <c r="D1174" s="11">
        <v>1.545</v>
      </c>
      <c r="E1174" s="11">
        <v>1.39</v>
      </c>
      <c r="F1174" s="11">
        <v>2.15</v>
      </c>
    </row>
    <row r="1175">
      <c r="A1175" s="11" t="s">
        <v>5990</v>
      </c>
      <c r="B1175" s="11" t="s">
        <v>5980</v>
      </c>
      <c r="C1175" s="11" t="s">
        <v>3628</v>
      </c>
      <c r="D1175" s="11">
        <v>2.0</v>
      </c>
      <c r="E1175" s="11">
        <v>14.99</v>
      </c>
      <c r="F1175" s="11">
        <v>29.98</v>
      </c>
    </row>
    <row r="1176">
      <c r="A1176" s="11" t="s">
        <v>5992</v>
      </c>
      <c r="B1176" s="11" t="s">
        <v>5980</v>
      </c>
      <c r="C1176" s="11" t="s">
        <v>3319</v>
      </c>
      <c r="D1176" s="11">
        <v>5.0</v>
      </c>
      <c r="E1176" s="11">
        <v>14.79</v>
      </c>
      <c r="F1176" s="11">
        <v>73.95</v>
      </c>
    </row>
    <row r="1177">
      <c r="A1177" s="11" t="s">
        <v>5993</v>
      </c>
      <c r="B1177" s="11" t="s">
        <v>5980</v>
      </c>
      <c r="C1177" s="11" t="s">
        <v>3427</v>
      </c>
      <c r="D1177" s="11">
        <v>3.0</v>
      </c>
      <c r="E1177" s="11">
        <v>10.99</v>
      </c>
      <c r="F1177" s="11">
        <v>32.97</v>
      </c>
    </row>
    <row r="1178">
      <c r="A1178" s="11" t="s">
        <v>5994</v>
      </c>
      <c r="B1178" s="11" t="s">
        <v>5980</v>
      </c>
      <c r="C1178" s="11" t="s">
        <v>3431</v>
      </c>
      <c r="D1178" s="11">
        <v>1.0</v>
      </c>
      <c r="E1178" s="11">
        <v>8.99</v>
      </c>
      <c r="F1178" s="11">
        <v>8.99</v>
      </c>
    </row>
    <row r="1179">
      <c r="A1179" s="11" t="s">
        <v>5995</v>
      </c>
      <c r="B1179" s="11" t="s">
        <v>5980</v>
      </c>
      <c r="C1179" s="11" t="s">
        <v>5996</v>
      </c>
      <c r="D1179" s="11">
        <v>1.0</v>
      </c>
      <c r="E1179" s="11">
        <v>8.99</v>
      </c>
      <c r="F1179" s="11">
        <v>8.99</v>
      </c>
    </row>
    <row r="1180">
      <c r="A1180" s="11" t="s">
        <v>5997</v>
      </c>
      <c r="B1180" s="11" t="s">
        <v>5980</v>
      </c>
      <c r="C1180" s="11" t="s">
        <v>3615</v>
      </c>
      <c r="D1180" s="11">
        <v>5.0</v>
      </c>
      <c r="E1180" s="11">
        <v>5.29</v>
      </c>
      <c r="F1180" s="11">
        <v>26.45</v>
      </c>
    </row>
    <row r="1181">
      <c r="A1181" s="11" t="s">
        <v>6000</v>
      </c>
      <c r="B1181" s="11" t="s">
        <v>5980</v>
      </c>
      <c r="C1181" s="11" t="s">
        <v>3384</v>
      </c>
      <c r="D1181" s="11">
        <v>1.0</v>
      </c>
      <c r="E1181" s="11">
        <v>10.49</v>
      </c>
      <c r="F1181" s="11">
        <v>10.49</v>
      </c>
    </row>
    <row r="1182">
      <c r="A1182" s="11" t="s">
        <v>6003</v>
      </c>
      <c r="B1182" s="11" t="s">
        <v>6005</v>
      </c>
      <c r="C1182" s="11" t="s">
        <v>3339</v>
      </c>
      <c r="D1182" s="11">
        <v>1.0</v>
      </c>
      <c r="E1182" s="11">
        <v>450.0</v>
      </c>
      <c r="F1182" s="11">
        <v>450.0</v>
      </c>
    </row>
    <row r="1183">
      <c r="A1183" s="11" t="s">
        <v>6007</v>
      </c>
      <c r="B1183" s="11" t="s">
        <v>6008</v>
      </c>
      <c r="C1183" s="19" t="s">
        <v>3325</v>
      </c>
      <c r="D1183" s="11">
        <v>4.0</v>
      </c>
      <c r="E1183" s="11">
        <v>28.0</v>
      </c>
      <c r="F1183" s="11">
        <v>112.0</v>
      </c>
    </row>
    <row r="1184">
      <c r="A1184" s="11" t="s">
        <v>6011</v>
      </c>
      <c r="B1184" s="19" t="s">
        <v>6012</v>
      </c>
      <c r="C1184" s="11" t="s">
        <v>4049</v>
      </c>
      <c r="D1184" s="11">
        <v>2.0</v>
      </c>
      <c r="E1184" s="11">
        <v>69.0</v>
      </c>
      <c r="F1184" s="11">
        <v>138.0</v>
      </c>
    </row>
    <row r="1185">
      <c r="A1185" s="11" t="s">
        <v>6015</v>
      </c>
      <c r="B1185" s="19" t="s">
        <v>6012</v>
      </c>
      <c r="C1185" s="11" t="s">
        <v>4054</v>
      </c>
      <c r="D1185" s="11">
        <v>10.0</v>
      </c>
      <c r="E1185" s="11">
        <v>13.5</v>
      </c>
      <c r="F1185" s="11">
        <v>135.0</v>
      </c>
    </row>
    <row r="1186">
      <c r="A1186" s="11" t="s">
        <v>6017</v>
      </c>
      <c r="B1186" s="19" t="s">
        <v>6012</v>
      </c>
      <c r="C1186" s="11" t="s">
        <v>4770</v>
      </c>
      <c r="D1186" s="11">
        <v>2.0</v>
      </c>
      <c r="E1186" s="11">
        <v>17.0</v>
      </c>
      <c r="F1186" s="11">
        <v>34.0</v>
      </c>
    </row>
    <row r="1187">
      <c r="A1187" s="11" t="s">
        <v>6022</v>
      </c>
      <c r="B1187" s="19" t="s">
        <v>6012</v>
      </c>
      <c r="C1187" s="11" t="s">
        <v>6023</v>
      </c>
      <c r="D1187" s="11">
        <v>1.0</v>
      </c>
      <c r="E1187" s="11">
        <v>8.9</v>
      </c>
      <c r="F1187" s="11">
        <v>8.9</v>
      </c>
    </row>
    <row r="1188">
      <c r="A1188" s="11" t="s">
        <v>6024</v>
      </c>
      <c r="B1188" s="19" t="s">
        <v>6012</v>
      </c>
      <c r="C1188" s="11" t="s">
        <v>6025</v>
      </c>
      <c r="D1188" s="11">
        <v>1.0</v>
      </c>
      <c r="E1188" s="11">
        <v>12.99</v>
      </c>
      <c r="F1188" s="11">
        <v>12.99</v>
      </c>
    </row>
    <row r="1189">
      <c r="A1189" s="11" t="s">
        <v>6027</v>
      </c>
      <c r="B1189" s="19" t="s">
        <v>6012</v>
      </c>
      <c r="C1189" s="11" t="s">
        <v>6028</v>
      </c>
      <c r="D1189" s="11">
        <v>3.0</v>
      </c>
      <c r="E1189" s="11">
        <v>12.99</v>
      </c>
      <c r="F1189" s="11">
        <v>38.97</v>
      </c>
    </row>
    <row r="1190">
      <c r="A1190" s="11" t="s">
        <v>6029</v>
      </c>
      <c r="B1190" s="19" t="s">
        <v>6012</v>
      </c>
      <c r="C1190" s="11" t="s">
        <v>3817</v>
      </c>
      <c r="D1190" s="11">
        <v>2.0</v>
      </c>
      <c r="E1190" s="11">
        <v>17.0</v>
      </c>
      <c r="F1190" s="11">
        <v>34.0</v>
      </c>
    </row>
    <row r="1191">
      <c r="A1191" s="11" t="s">
        <v>6033</v>
      </c>
      <c r="B1191" s="11" t="s">
        <v>6034</v>
      </c>
      <c r="C1191" s="11" t="s">
        <v>527</v>
      </c>
      <c r="D1191" s="11">
        <v>1.0</v>
      </c>
      <c r="E1191" s="11">
        <v>585.0</v>
      </c>
      <c r="F1191" s="11">
        <v>585.0</v>
      </c>
    </row>
    <row r="1192">
      <c r="A1192" s="11" t="s">
        <v>6037</v>
      </c>
      <c r="B1192" s="11" t="s">
        <v>6038</v>
      </c>
      <c r="C1192" s="11" t="s">
        <v>5704</v>
      </c>
      <c r="D1192" s="11">
        <v>2.315</v>
      </c>
      <c r="E1192" s="11">
        <v>5.29</v>
      </c>
      <c r="F1192" s="11">
        <v>12.25</v>
      </c>
    </row>
    <row r="1193">
      <c r="A1193" s="11" t="s">
        <v>6040</v>
      </c>
      <c r="B1193" s="11" t="s">
        <v>6038</v>
      </c>
      <c r="C1193" s="11" t="s">
        <v>3319</v>
      </c>
      <c r="D1193" s="11">
        <v>7.0</v>
      </c>
      <c r="E1193" s="11">
        <v>14.79</v>
      </c>
      <c r="F1193" s="11">
        <v>103.53</v>
      </c>
    </row>
    <row r="1194">
      <c r="A1194" s="11" t="s">
        <v>6043</v>
      </c>
      <c r="B1194" s="11" t="s">
        <v>6038</v>
      </c>
      <c r="C1194" s="11" t="s">
        <v>3384</v>
      </c>
      <c r="D1194" s="11">
        <v>2.0</v>
      </c>
      <c r="E1194" s="11">
        <v>10.49</v>
      </c>
      <c r="F1194" s="11">
        <v>20.98</v>
      </c>
    </row>
    <row r="1195">
      <c r="A1195" s="11" t="s">
        <v>6046</v>
      </c>
      <c r="B1195" s="11" t="s">
        <v>1598</v>
      </c>
      <c r="C1195" s="11" t="s">
        <v>5576</v>
      </c>
      <c r="D1195" s="11">
        <v>3.0</v>
      </c>
      <c r="E1195" s="11">
        <v>11.98</v>
      </c>
      <c r="F1195" s="11">
        <v>35.94</v>
      </c>
    </row>
    <row r="1196">
      <c r="A1196" s="11" t="s">
        <v>6049</v>
      </c>
      <c r="B1196" s="11" t="s">
        <v>1606</v>
      </c>
      <c r="C1196" s="11" t="s">
        <v>5622</v>
      </c>
      <c r="D1196" s="11">
        <v>1.0</v>
      </c>
      <c r="E1196" s="11">
        <v>39.0</v>
      </c>
      <c r="F1196" s="11">
        <v>39.0</v>
      </c>
    </row>
    <row r="1197">
      <c r="A1197" s="11" t="s">
        <v>6052</v>
      </c>
      <c r="B1197" s="11" t="s">
        <v>1611</v>
      </c>
      <c r="C1197" s="19" t="s">
        <v>3325</v>
      </c>
      <c r="D1197" s="11">
        <v>5.0</v>
      </c>
      <c r="E1197" s="11">
        <v>28.0</v>
      </c>
      <c r="F1197" s="11">
        <v>140.0</v>
      </c>
    </row>
    <row r="1198">
      <c r="A1198" s="11" t="s">
        <v>6055</v>
      </c>
      <c r="B1198" s="11" t="s">
        <v>1621</v>
      </c>
      <c r="C1198" s="11" t="s">
        <v>3358</v>
      </c>
      <c r="D1198" s="11">
        <v>6.0</v>
      </c>
      <c r="E1198" s="11">
        <v>13.3</v>
      </c>
      <c r="F1198" s="11">
        <v>79.8</v>
      </c>
    </row>
    <row r="1199">
      <c r="A1199" s="11" t="s">
        <v>6058</v>
      </c>
      <c r="B1199" s="11" t="s">
        <v>1621</v>
      </c>
      <c r="C1199" s="11" t="s">
        <v>3520</v>
      </c>
      <c r="D1199" s="11">
        <v>2.0</v>
      </c>
      <c r="E1199" s="11">
        <v>15.5</v>
      </c>
      <c r="F1199" s="11">
        <v>31.0</v>
      </c>
    </row>
    <row r="1200">
      <c r="A1200" s="11" t="s">
        <v>6060</v>
      </c>
      <c r="B1200" s="11" t="s">
        <v>1621</v>
      </c>
      <c r="C1200" s="11" t="s">
        <v>3303</v>
      </c>
      <c r="D1200" s="11">
        <v>3.0</v>
      </c>
      <c r="E1200" s="11">
        <v>45.51</v>
      </c>
      <c r="F1200" s="11">
        <v>136.53</v>
      </c>
    </row>
    <row r="1201">
      <c r="A1201" s="11" t="s">
        <v>6061</v>
      </c>
      <c r="B1201" s="11" t="s">
        <v>1621</v>
      </c>
      <c r="C1201" s="11" t="s">
        <v>6062</v>
      </c>
      <c r="D1201" s="11">
        <v>2.0</v>
      </c>
      <c r="E1201" s="11">
        <v>22.05</v>
      </c>
      <c r="F1201" s="11">
        <v>44.1</v>
      </c>
    </row>
    <row r="1202">
      <c r="A1202" s="11" t="s">
        <v>6063</v>
      </c>
      <c r="B1202" s="11" t="s">
        <v>1621</v>
      </c>
      <c r="C1202" s="11" t="s">
        <v>3308</v>
      </c>
      <c r="D1202" s="11">
        <v>4.0</v>
      </c>
      <c r="E1202" s="11">
        <v>22.05</v>
      </c>
      <c r="F1202" s="11">
        <v>88.2</v>
      </c>
    </row>
    <row r="1203">
      <c r="A1203" s="11" t="s">
        <v>6064</v>
      </c>
      <c r="B1203" s="11" t="s">
        <v>1633</v>
      </c>
      <c r="C1203" s="11" t="s">
        <v>3552</v>
      </c>
      <c r="D1203" s="11">
        <v>1.0</v>
      </c>
      <c r="E1203" s="11">
        <v>1.0</v>
      </c>
      <c r="F1203" s="11">
        <v>1.0</v>
      </c>
    </row>
    <row r="1204">
      <c r="A1204" s="11" t="s">
        <v>6066</v>
      </c>
      <c r="B1204" s="11">
        <v>11090.0</v>
      </c>
      <c r="C1204" s="11" t="s">
        <v>376</v>
      </c>
      <c r="D1204" s="20">
        <v>1.0</v>
      </c>
      <c r="E1204" s="20">
        <v>3130.38</v>
      </c>
      <c r="F1204" s="20">
        <v>3130.38</v>
      </c>
    </row>
    <row r="1205">
      <c r="A1205" s="11" t="s">
        <v>6067</v>
      </c>
      <c r="B1205" s="11">
        <v>11091.0</v>
      </c>
      <c r="C1205" s="11" t="s">
        <v>376</v>
      </c>
      <c r="D1205" s="20">
        <v>1.0</v>
      </c>
      <c r="E1205" s="20">
        <v>1679.44</v>
      </c>
      <c r="F1205" s="20">
        <v>1679.44</v>
      </c>
    </row>
    <row r="1206">
      <c r="A1206" s="11" t="s">
        <v>6068</v>
      </c>
      <c r="B1206" s="11">
        <v>11092.0</v>
      </c>
      <c r="C1206" s="11" t="s">
        <v>376</v>
      </c>
      <c r="D1206" s="20">
        <v>1.0</v>
      </c>
      <c r="E1206" s="20">
        <v>1325.09</v>
      </c>
      <c r="F1206" s="20">
        <v>1325.09</v>
      </c>
    </row>
    <row r="1207">
      <c r="A1207" s="11" t="s">
        <v>6070</v>
      </c>
      <c r="B1207" s="11">
        <v>11093.0</v>
      </c>
      <c r="C1207" s="11" t="s">
        <v>376</v>
      </c>
      <c r="D1207" s="20">
        <v>1.0</v>
      </c>
      <c r="E1207" s="20">
        <v>0.0</v>
      </c>
      <c r="F1207" s="20">
        <v>0.0</v>
      </c>
    </row>
    <row r="1208">
      <c r="A1208" s="11" t="s">
        <v>6071</v>
      </c>
      <c r="B1208" s="11">
        <v>11102.0</v>
      </c>
      <c r="C1208" s="11" t="s">
        <v>179</v>
      </c>
      <c r="D1208" s="20">
        <v>1.0</v>
      </c>
      <c r="E1208" s="20">
        <v>588.95</v>
      </c>
      <c r="F1208" s="20">
        <v>588.95</v>
      </c>
    </row>
    <row r="1209">
      <c r="A1209" s="11" t="s">
        <v>6073</v>
      </c>
      <c r="B1209" s="11">
        <v>11103.0</v>
      </c>
      <c r="C1209" s="11" t="s">
        <v>1726</v>
      </c>
      <c r="D1209" s="20">
        <v>1.0</v>
      </c>
      <c r="E1209" s="20">
        <v>120.0</v>
      </c>
      <c r="F1209" s="20">
        <v>120.0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6.75"/>
    <col customWidth="1" min="3" max="3" width="24.63"/>
  </cols>
  <sheetData>
    <row r="1">
      <c r="A1" s="11" t="s">
        <v>5609</v>
      </c>
      <c r="B1" s="11" t="s">
        <v>5611</v>
      </c>
      <c r="C1" s="11" t="s">
        <v>1852</v>
      </c>
      <c r="D1" s="11" t="s">
        <v>1853</v>
      </c>
      <c r="E1" s="11" t="s">
        <v>5612</v>
      </c>
      <c r="F1" s="11" t="s">
        <v>1855</v>
      </c>
    </row>
    <row r="2">
      <c r="A2" s="11" t="s">
        <v>5616</v>
      </c>
      <c r="B2" s="11" t="s">
        <v>5618</v>
      </c>
      <c r="C2" s="11" t="s">
        <v>5619</v>
      </c>
      <c r="D2" s="11">
        <v>1.0</v>
      </c>
      <c r="E2" s="17">
        <v>1700.0</v>
      </c>
      <c r="F2" s="17">
        <v>1700.0</v>
      </c>
    </row>
    <row r="3">
      <c r="A3" s="11" t="s">
        <v>5624</v>
      </c>
      <c r="B3" s="11" t="s">
        <v>5618</v>
      </c>
      <c r="C3" s="11" t="s">
        <v>5627</v>
      </c>
      <c r="D3" s="11">
        <v>1.0</v>
      </c>
      <c r="E3" s="17">
        <v>1780.0</v>
      </c>
      <c r="F3" s="17">
        <v>1780.0</v>
      </c>
    </row>
    <row r="4">
      <c r="A4" s="11" t="s">
        <v>5630</v>
      </c>
      <c r="B4" s="11" t="s">
        <v>5618</v>
      </c>
      <c r="C4" s="11" t="s">
        <v>5632</v>
      </c>
      <c r="D4" s="11">
        <v>1.0</v>
      </c>
      <c r="E4" s="17">
        <v>1200.0</v>
      </c>
      <c r="F4" s="17">
        <v>1200.0</v>
      </c>
    </row>
    <row r="5">
      <c r="A5" s="11" t="s">
        <v>5635</v>
      </c>
      <c r="B5" s="11" t="s">
        <v>5618</v>
      </c>
      <c r="C5" s="11" t="s">
        <v>5637</v>
      </c>
      <c r="D5" s="11">
        <v>1.0</v>
      </c>
      <c r="E5" s="17">
        <v>1600.0</v>
      </c>
      <c r="F5" s="17">
        <v>1600.0</v>
      </c>
    </row>
    <row r="6">
      <c r="A6" s="11" t="s">
        <v>5639</v>
      </c>
      <c r="B6" s="11" t="s">
        <v>5618</v>
      </c>
      <c r="C6" s="11" t="s">
        <v>5641</v>
      </c>
      <c r="D6" s="11">
        <v>1.0</v>
      </c>
      <c r="E6" s="17">
        <v>1200.0</v>
      </c>
      <c r="F6" s="17">
        <v>1200.0</v>
      </c>
    </row>
    <row r="7">
      <c r="A7" s="11" t="s">
        <v>5644</v>
      </c>
      <c r="B7" s="11" t="s">
        <v>5618</v>
      </c>
      <c r="C7" s="11" t="s">
        <v>5645</v>
      </c>
      <c r="D7" s="11">
        <v>1.0</v>
      </c>
      <c r="E7" s="17">
        <v>1650.0</v>
      </c>
      <c r="F7" s="17">
        <v>1650.0</v>
      </c>
    </row>
    <row r="8">
      <c r="A8" s="11" t="s">
        <v>5648</v>
      </c>
      <c r="B8" s="11" t="s">
        <v>5618</v>
      </c>
      <c r="C8" s="11" t="s">
        <v>5650</v>
      </c>
      <c r="D8" s="11">
        <v>1.0</v>
      </c>
      <c r="E8" s="17">
        <v>1500.0</v>
      </c>
      <c r="F8" s="17">
        <v>1500.0</v>
      </c>
    </row>
    <row r="9">
      <c r="A9" s="11" t="s">
        <v>5653</v>
      </c>
      <c r="B9" s="11" t="s">
        <v>73</v>
      </c>
      <c r="C9" s="11" t="s">
        <v>5654</v>
      </c>
      <c r="D9" s="11" t="s">
        <v>5656</v>
      </c>
      <c r="E9" s="11">
        <v>9.29</v>
      </c>
      <c r="F9" s="11">
        <v>9.29</v>
      </c>
    </row>
    <row r="10">
      <c r="A10" s="11" t="s">
        <v>5657</v>
      </c>
      <c r="B10" s="11" t="s">
        <v>73</v>
      </c>
      <c r="C10" s="11" t="s">
        <v>5659</v>
      </c>
      <c r="D10" s="11" t="s">
        <v>5656</v>
      </c>
      <c r="E10" s="11">
        <v>9.29</v>
      </c>
      <c r="F10" s="11">
        <v>9.29</v>
      </c>
    </row>
    <row r="11">
      <c r="A11" s="11" t="s">
        <v>5662</v>
      </c>
      <c r="B11" s="11" t="s">
        <v>73</v>
      </c>
      <c r="C11" s="11" t="s">
        <v>5664</v>
      </c>
      <c r="D11" s="11" t="s">
        <v>5656</v>
      </c>
      <c r="E11" s="11">
        <v>17.59</v>
      </c>
      <c r="F11" s="11">
        <v>17.59</v>
      </c>
    </row>
    <row r="12">
      <c r="A12" s="11" t="s">
        <v>5666</v>
      </c>
      <c r="B12" s="11" t="s">
        <v>73</v>
      </c>
      <c r="C12" s="11" t="s">
        <v>5667</v>
      </c>
      <c r="D12" s="11" t="s">
        <v>5656</v>
      </c>
      <c r="E12" s="11">
        <v>8.69</v>
      </c>
      <c r="F12" s="11">
        <v>8.69</v>
      </c>
    </row>
    <row r="13">
      <c r="A13" s="11" t="s">
        <v>5670</v>
      </c>
      <c r="B13" s="11" t="s">
        <v>73</v>
      </c>
      <c r="C13" s="11" t="s">
        <v>5673</v>
      </c>
      <c r="D13" s="11" t="s">
        <v>5656</v>
      </c>
      <c r="E13" s="11">
        <v>12.49</v>
      </c>
      <c r="F13" s="11">
        <v>12.49</v>
      </c>
    </row>
    <row r="14">
      <c r="A14" s="11" t="s">
        <v>5676</v>
      </c>
      <c r="B14" s="11" t="s">
        <v>73</v>
      </c>
      <c r="C14" s="11" t="s">
        <v>5678</v>
      </c>
      <c r="D14" s="11" t="s">
        <v>5679</v>
      </c>
      <c r="E14" s="11">
        <v>22.49</v>
      </c>
      <c r="F14" s="11">
        <v>44.98</v>
      </c>
    </row>
    <row r="15">
      <c r="A15" s="11" t="s">
        <v>5682</v>
      </c>
      <c r="B15" s="11" t="s">
        <v>73</v>
      </c>
      <c r="C15" s="11" t="s">
        <v>5678</v>
      </c>
      <c r="D15" s="11" t="s">
        <v>5656</v>
      </c>
      <c r="E15" s="11">
        <v>22.49</v>
      </c>
      <c r="F15" s="11">
        <v>22.49</v>
      </c>
    </row>
    <row r="16">
      <c r="A16" s="11" t="s">
        <v>5686</v>
      </c>
      <c r="B16" s="11" t="s">
        <v>100</v>
      </c>
      <c r="C16" s="11" t="s">
        <v>5688</v>
      </c>
      <c r="D16" s="11" t="s">
        <v>5689</v>
      </c>
      <c r="E16" s="11">
        <v>3.98</v>
      </c>
      <c r="F16" s="11">
        <v>11.9</v>
      </c>
    </row>
    <row r="17">
      <c r="A17" s="11" t="s">
        <v>5692</v>
      </c>
      <c r="B17" s="11" t="s">
        <v>100</v>
      </c>
      <c r="C17" s="11" t="s">
        <v>5694</v>
      </c>
      <c r="D17" s="11" t="s">
        <v>5696</v>
      </c>
      <c r="E17" s="11">
        <v>6.95</v>
      </c>
      <c r="F17" s="11">
        <v>35.84</v>
      </c>
    </row>
    <row r="18">
      <c r="A18" s="11" t="s">
        <v>5698</v>
      </c>
      <c r="B18" s="11" t="s">
        <v>100</v>
      </c>
      <c r="C18" s="11" t="s">
        <v>5699</v>
      </c>
      <c r="D18" s="11" t="s">
        <v>5701</v>
      </c>
      <c r="E18" s="11">
        <v>12.99</v>
      </c>
      <c r="F18" s="11">
        <v>103.92</v>
      </c>
    </row>
    <row r="19">
      <c r="A19" s="11" t="s">
        <v>5702</v>
      </c>
      <c r="B19" s="11" t="s">
        <v>100</v>
      </c>
      <c r="C19" s="11" t="s">
        <v>5705</v>
      </c>
      <c r="D19" s="11" t="s">
        <v>5706</v>
      </c>
      <c r="E19" s="11">
        <v>13.95</v>
      </c>
      <c r="F19" s="11">
        <v>69.75</v>
      </c>
    </row>
    <row r="20">
      <c r="A20" s="11" t="s">
        <v>5710</v>
      </c>
      <c r="B20" s="11" t="s">
        <v>114</v>
      </c>
      <c r="C20" s="11" t="s">
        <v>5711</v>
      </c>
      <c r="D20" s="11">
        <v>1.0</v>
      </c>
      <c r="E20" s="11">
        <v>14.98</v>
      </c>
      <c r="F20" s="11">
        <v>14.98</v>
      </c>
    </row>
    <row r="21">
      <c r="A21" s="11" t="s">
        <v>5714</v>
      </c>
      <c r="B21" s="11" t="s">
        <v>114</v>
      </c>
      <c r="C21" s="11" t="s">
        <v>5717</v>
      </c>
      <c r="D21" s="11">
        <v>1.0</v>
      </c>
      <c r="E21" s="11">
        <v>9.74</v>
      </c>
      <c r="F21" s="11">
        <v>9.74</v>
      </c>
    </row>
    <row r="22">
      <c r="A22" s="11" t="s">
        <v>5721</v>
      </c>
      <c r="B22" s="11" t="s">
        <v>114</v>
      </c>
      <c r="C22" s="11" t="s">
        <v>5723</v>
      </c>
      <c r="D22" s="11">
        <v>1.0</v>
      </c>
      <c r="E22" s="11">
        <v>9.9</v>
      </c>
      <c r="F22" s="11">
        <v>9.9</v>
      </c>
    </row>
    <row r="23">
      <c r="A23" s="11" t="s">
        <v>5725</v>
      </c>
      <c r="B23" s="11" t="s">
        <v>114</v>
      </c>
      <c r="C23" s="11" t="s">
        <v>5726</v>
      </c>
      <c r="D23" s="11">
        <v>1.0</v>
      </c>
      <c r="E23" s="11">
        <v>9.5</v>
      </c>
      <c r="F23" s="11">
        <v>9.5</v>
      </c>
    </row>
    <row r="24">
      <c r="A24" s="11" t="s">
        <v>5728</v>
      </c>
      <c r="B24" s="11" t="s">
        <v>114</v>
      </c>
      <c r="C24" s="11" t="s">
        <v>5731</v>
      </c>
      <c r="D24" s="11">
        <v>1.0</v>
      </c>
      <c r="E24" s="11">
        <v>11.5</v>
      </c>
      <c r="F24" s="11">
        <v>11.5</v>
      </c>
    </row>
    <row r="25">
      <c r="A25" s="11" t="s">
        <v>5734</v>
      </c>
      <c r="B25" s="11" t="s">
        <v>125</v>
      </c>
      <c r="C25" s="11" t="s">
        <v>5735</v>
      </c>
      <c r="D25" s="11">
        <v>1.0</v>
      </c>
      <c r="E25" s="11">
        <v>4.0</v>
      </c>
      <c r="F25" s="11">
        <v>4.0</v>
      </c>
    </row>
    <row r="26">
      <c r="A26" s="11" t="s">
        <v>5738</v>
      </c>
      <c r="B26" s="11" t="s">
        <v>125</v>
      </c>
      <c r="C26" s="11" t="s">
        <v>5741</v>
      </c>
      <c r="D26" s="11">
        <v>0.354</v>
      </c>
      <c r="E26" s="11">
        <v>70.0</v>
      </c>
      <c r="F26" s="11">
        <v>24.78</v>
      </c>
    </row>
    <row r="27">
      <c r="A27" s="11" t="s">
        <v>5743</v>
      </c>
      <c r="B27" s="11" t="s">
        <v>132</v>
      </c>
      <c r="C27" s="11" t="s">
        <v>5744</v>
      </c>
      <c r="D27" s="11">
        <v>1.0</v>
      </c>
      <c r="E27" s="11">
        <v>18.0</v>
      </c>
      <c r="F27" s="11">
        <v>18.0</v>
      </c>
    </row>
    <row r="28">
      <c r="A28" s="11" t="s">
        <v>5746</v>
      </c>
      <c r="B28" s="11" t="s">
        <v>139</v>
      </c>
      <c r="C28" s="11" t="s">
        <v>5748</v>
      </c>
      <c r="D28" s="11" t="s">
        <v>5701</v>
      </c>
      <c r="E28" s="11">
        <v>12.99</v>
      </c>
      <c r="F28" s="11">
        <v>103.92</v>
      </c>
    </row>
    <row r="29">
      <c r="A29" s="11" t="s">
        <v>5751</v>
      </c>
      <c r="B29" s="11" t="s">
        <v>139</v>
      </c>
      <c r="C29" s="11" t="s">
        <v>5752</v>
      </c>
      <c r="D29" s="11" t="s">
        <v>5753</v>
      </c>
      <c r="E29" s="11">
        <v>3.98</v>
      </c>
      <c r="F29" s="11">
        <v>7.96</v>
      </c>
    </row>
    <row r="30">
      <c r="A30" s="11" t="s">
        <v>5755</v>
      </c>
      <c r="B30" s="11" t="s">
        <v>139</v>
      </c>
      <c r="C30" s="11" t="s">
        <v>5756</v>
      </c>
      <c r="D30" s="11" t="s">
        <v>5758</v>
      </c>
      <c r="E30" s="11">
        <v>16.98</v>
      </c>
      <c r="F30" s="11">
        <v>33.96</v>
      </c>
    </row>
    <row r="31">
      <c r="A31" s="11" t="s">
        <v>5759</v>
      </c>
      <c r="B31" s="11" t="s">
        <v>139</v>
      </c>
      <c r="C31" s="11" t="s">
        <v>5761</v>
      </c>
      <c r="D31" s="11" t="s">
        <v>5762</v>
      </c>
      <c r="E31" s="11">
        <v>5.98</v>
      </c>
      <c r="F31" s="11">
        <v>10.27</v>
      </c>
    </row>
    <row r="32">
      <c r="A32" s="11" t="s">
        <v>5764</v>
      </c>
      <c r="B32" s="11" t="s">
        <v>144</v>
      </c>
      <c r="C32" s="11" t="s">
        <v>5765</v>
      </c>
      <c r="D32" s="11" t="s">
        <v>5766</v>
      </c>
      <c r="E32" s="11">
        <v>9.79</v>
      </c>
      <c r="F32" s="11">
        <v>8.66</v>
      </c>
    </row>
    <row r="33">
      <c r="A33" s="11" t="s">
        <v>5769</v>
      </c>
      <c r="B33" s="11" t="s">
        <v>144</v>
      </c>
      <c r="C33" s="11" t="s">
        <v>5770</v>
      </c>
      <c r="D33" s="11" t="s">
        <v>5772</v>
      </c>
      <c r="E33" s="11">
        <v>9.39</v>
      </c>
      <c r="F33" s="11">
        <v>9.39</v>
      </c>
    </row>
    <row r="34">
      <c r="A34" s="11" t="s">
        <v>5773</v>
      </c>
      <c r="B34" s="11" t="s">
        <v>152</v>
      </c>
      <c r="C34" s="11" t="s">
        <v>5775</v>
      </c>
      <c r="D34" s="11" t="s">
        <v>5776</v>
      </c>
      <c r="E34" s="11">
        <v>13.99</v>
      </c>
      <c r="F34" s="11">
        <v>83.94</v>
      </c>
    </row>
    <row r="35">
      <c r="A35" s="11" t="s">
        <v>5779</v>
      </c>
      <c r="B35" s="11" t="s">
        <v>152</v>
      </c>
      <c r="C35" s="11" t="s">
        <v>5780</v>
      </c>
      <c r="D35" s="11" t="s">
        <v>5781</v>
      </c>
      <c r="E35" s="11">
        <v>5.98</v>
      </c>
      <c r="F35" s="11">
        <v>20.97</v>
      </c>
    </row>
    <row r="36">
      <c r="A36" s="11" t="s">
        <v>5784</v>
      </c>
      <c r="B36" s="11" t="s">
        <v>152</v>
      </c>
      <c r="C36" s="11" t="s">
        <v>5786</v>
      </c>
      <c r="D36" s="11" t="s">
        <v>5788</v>
      </c>
      <c r="E36" s="11">
        <v>4.58</v>
      </c>
      <c r="F36" s="11">
        <v>9.78</v>
      </c>
    </row>
    <row r="37">
      <c r="A37" s="11" t="s">
        <v>5790</v>
      </c>
      <c r="B37" s="11" t="s">
        <v>158</v>
      </c>
      <c r="C37" s="11" t="s">
        <v>5791</v>
      </c>
      <c r="D37" s="11">
        <v>1.0</v>
      </c>
      <c r="E37" s="11">
        <v>14.99</v>
      </c>
      <c r="F37" s="11">
        <v>14.99</v>
      </c>
    </row>
    <row r="38">
      <c r="A38" s="11" t="s">
        <v>5794</v>
      </c>
      <c r="B38" s="11" t="s">
        <v>158</v>
      </c>
      <c r="C38" s="11" t="s">
        <v>5796</v>
      </c>
      <c r="D38" s="11">
        <v>1.0</v>
      </c>
      <c r="E38" s="11">
        <v>17.59</v>
      </c>
      <c r="F38" s="11">
        <v>17.59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4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5.75"/>
    <col customWidth="1" min="14" max="14" width="3.88"/>
    <col customWidth="1" min="15" max="15" width="10.13"/>
    <col customWidth="1" min="16" max="16" width="12.0"/>
    <col customWidth="1" min="17" max="17" width="12.75"/>
    <col customWidth="1" min="18" max="18" width="12.38"/>
    <col customWidth="1" min="19" max="19" width="0.63"/>
    <col customWidth="1" min="20" max="20" width="10.13"/>
    <col customWidth="1" min="21" max="21" width="9.88"/>
    <col customWidth="1" min="22" max="22" width="12.5"/>
    <col customWidth="1" min="23" max="23" width="13.63"/>
  </cols>
  <sheetData>
    <row r="1" ht="8.25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1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>
      <c r="A2" s="33" t="s">
        <v>5940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5"/>
      <c r="M2" s="32"/>
      <c r="N2" s="32"/>
      <c r="O2" s="36" t="s">
        <v>5945</v>
      </c>
      <c r="P2" s="34"/>
      <c r="Q2" s="34"/>
      <c r="R2" s="34"/>
      <c r="S2" s="34"/>
      <c r="T2" s="34"/>
      <c r="U2" s="34"/>
      <c r="V2" s="34"/>
      <c r="W2" s="35"/>
    </row>
    <row r="3">
      <c r="A3" s="37" t="s">
        <v>5950</v>
      </c>
      <c r="B3" s="38"/>
      <c r="C3" s="39" t="str">
        <f>B4</f>
        <v>Mariselma</v>
      </c>
      <c r="D3" s="38"/>
      <c r="E3" s="40" t="str">
        <f>B5</f>
        <v/>
      </c>
      <c r="F3" s="38"/>
      <c r="G3" s="40" t="str">
        <f>B6</f>
        <v>Sabrina</v>
      </c>
      <c r="H3" s="38"/>
      <c r="I3" s="40" t="str">
        <f>B7</f>
        <v>Renata</v>
      </c>
      <c r="J3" s="38"/>
      <c r="K3" s="40" t="str">
        <f>B8</f>
        <v>Joice</v>
      </c>
      <c r="L3" s="41"/>
      <c r="M3" s="42"/>
      <c r="N3" s="42"/>
      <c r="O3" s="43" t="str">
        <f>B4</f>
        <v>Mariselma</v>
      </c>
      <c r="P3" s="34"/>
      <c r="Q3" s="34"/>
      <c r="R3" s="35"/>
      <c r="S3" s="44"/>
      <c r="T3" s="45" t="str">
        <f>B5</f>
        <v/>
      </c>
      <c r="U3" s="34"/>
      <c r="V3" s="34"/>
      <c r="W3" s="35"/>
    </row>
    <row r="4" ht="15.75" customHeight="1">
      <c r="A4" s="46" t="s">
        <v>225</v>
      </c>
      <c r="B4" s="47" t="s">
        <v>5991</v>
      </c>
      <c r="C4" s="48" t="s">
        <v>783</v>
      </c>
      <c r="D4" s="49">
        <f>SUMIFS(N29:N504,J29:J504,C4,K29:K504,C3)+SUMIF(Q96:Q138,A4,R96:R138)+D9</f>
        <v>0</v>
      </c>
      <c r="E4" s="50" t="s">
        <v>783</v>
      </c>
      <c r="F4" s="49">
        <f>SUMIFS(N29:N504,J29:J504,E4,K29:K504,E3)+SUMIF(Q96:Q138,A5,R96:R138)+F9</f>
        <v>0</v>
      </c>
      <c r="G4" s="50" t="s">
        <v>783</v>
      </c>
      <c r="H4" s="49">
        <f>SUMIFS(N29:N504,J29:J504,C4,K29:K504,G3)+SUMIF(Q96:Q138,A6,R96:R138)+H9</f>
        <v>500</v>
      </c>
      <c r="I4" s="50" t="s">
        <v>783</v>
      </c>
      <c r="J4" s="49">
        <f>SUMIFS(N29:N504,J29:J504,C4,K29:K504,I3)+SUMIF(Q96:Q138,A7,R96:R138)+J9</f>
        <v>300</v>
      </c>
      <c r="K4" s="50" t="s">
        <v>783</v>
      </c>
      <c r="L4" s="51">
        <f>SUMIFS(N29:N504,J29:J504,C4,K29:K504,K3)+SUMIF(Q96:Q138,A8,R96:R138)+L9</f>
        <v>0</v>
      </c>
      <c r="M4" s="32"/>
      <c r="N4" s="32"/>
      <c r="O4" s="52" t="str">
        <f>IFERROR(__xludf.DUMMYFUNCTION("query(C28:L507,""select Col1,Col3,Col8,Col9 where (Col8 = 'Adiantamento' or Col8 = 'Consumo') and Col9 = '""&amp;B4&amp;""'"",1)"),"Data")</f>
        <v>Data</v>
      </c>
      <c r="P4" s="53" t="str">
        <f>IFERROR(__xludf.DUMMYFUNCTION("""COMPUTED_VALUE"""),"Valor ")</f>
        <v>Valor </v>
      </c>
      <c r="Q4" s="53" t="str">
        <f>IFERROR(__xludf.DUMMYFUNCTION("""COMPUTED_VALUE"""),"Tipo")</f>
        <v>Tipo</v>
      </c>
      <c r="R4" s="54" t="str">
        <f>IFERROR(__xludf.DUMMYFUNCTION("""COMPUTED_VALUE"""),"Funcionário")</f>
        <v>Funcionário</v>
      </c>
      <c r="S4" s="55"/>
      <c r="T4" s="56" t="str">
        <f>IFERROR(__xludf.DUMMYFUNCTION("query(C28:L507,""select Col1,Col3,Col8,Col9 where (Col8 = 'Adiantamento' or Col8 = 'Consumo') and Col9 = '""&amp;B5&amp;""'"",1)"),"Data")</f>
        <v>Data</v>
      </c>
      <c r="U4" s="56" t="str">
        <f>IFERROR(__xludf.DUMMYFUNCTION("""COMPUTED_VALUE"""),"Valor ")</f>
        <v>Valor </v>
      </c>
      <c r="V4" s="56" t="str">
        <f>IFERROR(__xludf.DUMMYFUNCTION("""COMPUTED_VALUE"""),"Tipo")</f>
        <v>Tipo</v>
      </c>
      <c r="W4" s="57" t="str">
        <f>IFERROR(__xludf.DUMMYFUNCTION("""COMPUTED_VALUE"""),"Funcionário")</f>
        <v>Funcionário</v>
      </c>
    </row>
    <row r="5" ht="15.0" customHeight="1">
      <c r="A5" s="46"/>
      <c r="B5" s="47"/>
      <c r="C5" s="48" t="s">
        <v>6080</v>
      </c>
      <c r="D5" s="49">
        <f>SUMIFS(N29:N504,J29:J504,C5,K29:K504,C3)</f>
        <v>0</v>
      </c>
      <c r="E5" s="50" t="s">
        <v>6080</v>
      </c>
      <c r="F5" s="49">
        <f>SUMIFS(N29:N504,J29:J504,C5,K29:K504,E3)</f>
        <v>0</v>
      </c>
      <c r="G5" s="50" t="s">
        <v>6080</v>
      </c>
      <c r="H5" s="49">
        <f>SUMIFS(N29:N504,J29:J504,C5,K29:K504,G3)</f>
        <v>180.82</v>
      </c>
      <c r="I5" s="50" t="s">
        <v>6080</v>
      </c>
      <c r="J5" s="49">
        <f>SUMIFS(N29:N504,J29:J504,C5,K29:K504,I3)</f>
        <v>164.5</v>
      </c>
      <c r="K5" s="50" t="s">
        <v>6080</v>
      </c>
      <c r="L5" s="51">
        <f>SUMIFS(N29:N504,J29:J504,C5,K29:K504,K3)</f>
        <v>0</v>
      </c>
      <c r="M5" s="32"/>
      <c r="N5" s="32"/>
      <c r="O5" s="58"/>
      <c r="P5" s="59"/>
      <c r="Q5" s="59"/>
      <c r="R5" s="60"/>
      <c r="S5" s="61"/>
      <c r="T5" s="59"/>
      <c r="U5" s="59"/>
      <c r="V5" s="59"/>
      <c r="W5" s="60"/>
    </row>
    <row r="6" ht="16.5" customHeight="1">
      <c r="A6" s="46" t="s">
        <v>126</v>
      </c>
      <c r="B6" s="47" t="s">
        <v>6111</v>
      </c>
      <c r="C6" s="48" t="s">
        <v>6112</v>
      </c>
      <c r="D6" s="49">
        <f>D5*0.8</f>
        <v>0</v>
      </c>
      <c r="E6" s="50" t="s">
        <v>6112</v>
      </c>
      <c r="F6" s="49">
        <f>F5*0.8</f>
        <v>0</v>
      </c>
      <c r="G6" s="50" t="s">
        <v>6112</v>
      </c>
      <c r="H6" s="49">
        <f>H5*0.8</f>
        <v>144.656</v>
      </c>
      <c r="I6" s="50" t="s">
        <v>6112</v>
      </c>
      <c r="J6" s="49">
        <f>J5*0.8</f>
        <v>131.6</v>
      </c>
      <c r="K6" s="62" t="s">
        <v>6112</v>
      </c>
      <c r="L6" s="51">
        <f>L5*0.8</f>
        <v>0</v>
      </c>
      <c r="M6" s="32"/>
      <c r="N6" s="32"/>
      <c r="O6" s="58"/>
      <c r="P6" s="59"/>
      <c r="Q6" s="59"/>
      <c r="R6" s="60"/>
      <c r="S6" s="61"/>
      <c r="T6" s="59"/>
      <c r="U6" s="59"/>
      <c r="V6" s="59"/>
      <c r="W6" s="60"/>
    </row>
    <row r="7" ht="14.25" customHeight="1">
      <c r="A7" s="46" t="s">
        <v>113</v>
      </c>
      <c r="B7" s="47" t="s">
        <v>6159</v>
      </c>
      <c r="C7" s="63" t="s">
        <v>6160</v>
      </c>
      <c r="D7" s="64"/>
      <c r="E7" s="65" t="s">
        <v>6160</v>
      </c>
      <c r="F7" s="64"/>
      <c r="G7" s="65" t="s">
        <v>6160</v>
      </c>
      <c r="H7" s="64"/>
      <c r="I7" s="65" t="s">
        <v>6160</v>
      </c>
      <c r="J7" s="64"/>
      <c r="K7" s="65" t="s">
        <v>6160</v>
      </c>
      <c r="L7" s="67"/>
      <c r="M7" s="68"/>
      <c r="N7" s="68"/>
      <c r="O7" s="58"/>
      <c r="P7" s="59"/>
      <c r="Q7" s="59"/>
      <c r="R7" s="60"/>
      <c r="S7" s="61"/>
      <c r="T7" s="59"/>
      <c r="U7" s="59"/>
      <c r="V7" s="59"/>
      <c r="W7" s="60"/>
    </row>
    <row r="8" ht="14.25" customHeight="1">
      <c r="A8" s="11" t="s">
        <v>877</v>
      </c>
      <c r="B8" s="47" t="s">
        <v>6180</v>
      </c>
      <c r="C8" s="69" t="s">
        <v>6182</v>
      </c>
      <c r="D8" s="70"/>
      <c r="E8" s="71" t="s">
        <v>6182</v>
      </c>
      <c r="F8" s="72"/>
      <c r="G8" s="71" t="s">
        <v>6182</v>
      </c>
      <c r="H8" s="70"/>
      <c r="I8" s="71" t="s">
        <v>6182</v>
      </c>
      <c r="J8" s="73"/>
      <c r="K8" s="71" t="s">
        <v>6182</v>
      </c>
      <c r="L8" s="74"/>
      <c r="M8" s="75"/>
      <c r="N8" s="75"/>
      <c r="O8" s="58"/>
      <c r="P8" s="59"/>
      <c r="Q8" s="59"/>
      <c r="R8" s="60"/>
      <c r="S8" s="61"/>
      <c r="T8" s="59"/>
      <c r="U8" s="59"/>
      <c r="V8" s="59"/>
      <c r="W8" s="60"/>
    </row>
    <row r="9">
      <c r="A9" s="46" t="s">
        <v>3739</v>
      </c>
      <c r="B9" s="47" t="s">
        <v>6197</v>
      </c>
      <c r="C9" s="76" t="s">
        <v>51</v>
      </c>
      <c r="D9" s="77"/>
      <c r="E9" s="78" t="s">
        <v>51</v>
      </c>
      <c r="F9" s="79"/>
      <c r="G9" s="78" t="s">
        <v>51</v>
      </c>
      <c r="H9" s="77"/>
      <c r="I9" s="78" t="s">
        <v>51</v>
      </c>
      <c r="J9" s="77"/>
      <c r="K9" s="78" t="s">
        <v>51</v>
      </c>
      <c r="L9" s="80"/>
      <c r="M9" s="75"/>
      <c r="N9" s="75"/>
      <c r="O9" s="58"/>
      <c r="P9" s="59"/>
      <c r="Q9" s="59"/>
      <c r="R9" s="60"/>
      <c r="S9" s="61"/>
      <c r="T9" s="59"/>
      <c r="U9" s="59"/>
      <c r="V9" s="59"/>
      <c r="W9" s="60"/>
    </row>
    <row r="10" ht="21.75" customHeight="1">
      <c r="A10" s="46"/>
      <c r="B10" s="47"/>
      <c r="C10" s="81" t="str">
        <f>B9</f>
        <v>Fernando</v>
      </c>
      <c r="D10" s="82"/>
      <c r="E10" s="83" t="str">
        <f>B10</f>
        <v/>
      </c>
      <c r="F10" s="82"/>
      <c r="G10" s="83" t="str">
        <f>B11</f>
        <v/>
      </c>
      <c r="H10" s="82"/>
      <c r="I10" s="83" t="str">
        <f>B12</f>
        <v/>
      </c>
      <c r="J10" s="82"/>
      <c r="K10" s="83" t="str">
        <f>B13</f>
        <v/>
      </c>
      <c r="L10" s="84"/>
      <c r="M10" s="31"/>
      <c r="N10" s="31"/>
      <c r="O10" s="58"/>
      <c r="P10" s="85"/>
      <c r="Q10" s="85"/>
      <c r="R10" s="86"/>
      <c r="S10" s="87"/>
      <c r="T10" s="85"/>
      <c r="U10" s="85"/>
      <c r="V10" s="85"/>
      <c r="W10" s="86"/>
    </row>
    <row r="11">
      <c r="A11" s="88"/>
      <c r="B11" s="89"/>
      <c r="C11" s="90" t="s">
        <v>783</v>
      </c>
      <c r="D11" s="91">
        <f>SUMIFS(N29:N514,J29:J514,C11,K29:K514,C10)+SUMIF(Q96:Q138,A9,R96:R138)+D16</f>
        <v>0</v>
      </c>
      <c r="E11" s="92" t="s">
        <v>783</v>
      </c>
      <c r="F11" s="91">
        <f>SUMIFS(N29:N514,J29:J514,E11,K29:K514,E10)+SUMIF(Q96:Q138,A10,R96:R138)+F16</f>
        <v>0</v>
      </c>
      <c r="G11" s="92" t="s">
        <v>783</v>
      </c>
      <c r="H11" s="91">
        <f>SUMIFS(N29:N514,J29:J514,C11,K29:K514,G10)+SUMIF(Q96:Q138,A11,R96:R138)+H16</f>
        <v>0</v>
      </c>
      <c r="I11" s="92" t="s">
        <v>783</v>
      </c>
      <c r="J11" s="91">
        <f>SUMIFS(N29:N514,J29:J514,C11,K29:K514,I10)+SUMIF(Q96:Q138,A11,R96:R138)+J16</f>
        <v>0</v>
      </c>
      <c r="K11" s="92" t="s">
        <v>783</v>
      </c>
      <c r="L11" s="93">
        <f>SUMIFS(N29:N514,J29:J514,C11,K29:K514,K10)+SUMIF(Q96:Q138,A13,R96:R138)+L16</f>
        <v>0</v>
      </c>
      <c r="M11" s="31"/>
      <c r="N11" s="31"/>
      <c r="O11" s="94"/>
      <c r="P11" s="95"/>
      <c r="Q11" s="95"/>
      <c r="R11" s="96"/>
      <c r="S11" s="97"/>
      <c r="T11" s="95"/>
      <c r="U11" s="95"/>
      <c r="V11" s="95"/>
      <c r="W11" s="96"/>
    </row>
    <row r="12">
      <c r="A12" s="88"/>
      <c r="B12" s="89"/>
      <c r="C12" s="90" t="s">
        <v>6080</v>
      </c>
      <c r="D12" s="91">
        <f>SUMIFS(N36:N514,J36:J514,C12,K36:K514,C10)</f>
        <v>189.06</v>
      </c>
      <c r="E12" s="92" t="s">
        <v>6080</v>
      </c>
      <c r="F12" s="91">
        <f>SUMIFS(N29:N514,J29:J514,C12,K29:K514,E10)</f>
        <v>0</v>
      </c>
      <c r="G12" s="92" t="s">
        <v>6080</v>
      </c>
      <c r="H12" s="91">
        <f>SUMIFS(N36:N514,J36:J514,C12,K36:K514,G10)</f>
        <v>0</v>
      </c>
      <c r="I12" s="92" t="s">
        <v>6080</v>
      </c>
      <c r="J12" s="91">
        <f>SUMIFS(N29:N514,J29:J514,C12,K29:K514,I10)</f>
        <v>0</v>
      </c>
      <c r="K12" s="92" t="s">
        <v>6080</v>
      </c>
      <c r="L12" s="93">
        <f>SUMIFS(N29:N514,J29:J514,C12,K29:K514,K10)</f>
        <v>0</v>
      </c>
      <c r="M12" s="31"/>
      <c r="N12" s="31"/>
      <c r="O12" s="94"/>
      <c r="P12" s="95"/>
      <c r="Q12" s="95"/>
      <c r="R12" s="96"/>
      <c r="S12" s="97"/>
      <c r="T12" s="95"/>
      <c r="U12" s="95"/>
      <c r="V12" s="95"/>
      <c r="W12" s="96"/>
    </row>
    <row r="13">
      <c r="A13" s="98"/>
      <c r="B13" s="99"/>
      <c r="C13" s="90" t="s">
        <v>6112</v>
      </c>
      <c r="D13" s="91">
        <f>D12*0.8</f>
        <v>151.248</v>
      </c>
      <c r="E13" s="92" t="s">
        <v>6112</v>
      </c>
      <c r="F13" s="91">
        <f>F12*0.8</f>
        <v>0</v>
      </c>
      <c r="G13" s="92" t="s">
        <v>6112</v>
      </c>
      <c r="H13" s="91">
        <f>H12*0.8</f>
        <v>0</v>
      </c>
      <c r="I13" s="92" t="s">
        <v>6112</v>
      </c>
      <c r="J13" s="91">
        <f>J12*0.8</f>
        <v>0</v>
      </c>
      <c r="K13" s="100" t="s">
        <v>6112</v>
      </c>
      <c r="L13" s="93">
        <f>L12*0.8</f>
        <v>0</v>
      </c>
      <c r="M13" s="31"/>
      <c r="N13" s="31"/>
      <c r="O13" s="94"/>
      <c r="P13" s="95"/>
      <c r="Q13" s="95"/>
      <c r="R13" s="96"/>
      <c r="S13" s="97"/>
      <c r="T13" s="95"/>
      <c r="U13" s="95"/>
      <c r="V13" s="95"/>
      <c r="W13" s="96"/>
    </row>
    <row r="14">
      <c r="A14" s="98"/>
      <c r="B14" s="99"/>
      <c r="C14" s="63" t="s">
        <v>6160</v>
      </c>
      <c r="D14" s="64"/>
      <c r="E14" s="65" t="s">
        <v>6160</v>
      </c>
      <c r="F14" s="64"/>
      <c r="G14" s="65" t="s">
        <v>6160</v>
      </c>
      <c r="H14" s="64"/>
      <c r="I14" s="65" t="s">
        <v>6160</v>
      </c>
      <c r="J14" s="64"/>
      <c r="K14" s="65" t="s">
        <v>6160</v>
      </c>
      <c r="L14" s="67"/>
      <c r="M14" s="31"/>
      <c r="N14" s="31"/>
      <c r="O14" s="94"/>
      <c r="P14" s="95"/>
      <c r="Q14" s="95"/>
      <c r="R14" s="96"/>
      <c r="S14" s="97"/>
      <c r="T14" s="95"/>
      <c r="U14" s="95"/>
      <c r="V14" s="95"/>
      <c r="W14" s="96"/>
    </row>
    <row r="15">
      <c r="A15" s="98"/>
      <c r="B15" s="99"/>
      <c r="C15" s="69" t="s">
        <v>6182</v>
      </c>
      <c r="D15" s="70"/>
      <c r="E15" s="71" t="s">
        <v>6182</v>
      </c>
      <c r="F15" s="72"/>
      <c r="G15" s="71" t="s">
        <v>6182</v>
      </c>
      <c r="H15" s="73"/>
      <c r="I15" s="71" t="s">
        <v>6182</v>
      </c>
      <c r="J15" s="73"/>
      <c r="K15" s="71" t="s">
        <v>6182</v>
      </c>
      <c r="L15" s="74"/>
      <c r="M15" s="31"/>
      <c r="N15" s="31"/>
      <c r="O15" s="94"/>
      <c r="P15" s="95"/>
      <c r="Q15" s="95"/>
      <c r="R15" s="96"/>
      <c r="S15" s="97"/>
      <c r="T15" s="95"/>
      <c r="U15" s="95"/>
      <c r="V15" s="95"/>
      <c r="W15" s="96"/>
    </row>
    <row r="16">
      <c r="A16" s="101"/>
      <c r="B16" s="102"/>
      <c r="C16" s="103" t="s">
        <v>51</v>
      </c>
      <c r="D16" s="104"/>
      <c r="E16" s="105" t="s">
        <v>51</v>
      </c>
      <c r="F16" s="106"/>
      <c r="G16" s="105" t="s">
        <v>51</v>
      </c>
      <c r="H16" s="104"/>
      <c r="I16" s="105" t="s">
        <v>51</v>
      </c>
      <c r="J16" s="104"/>
      <c r="K16" s="105" t="s">
        <v>51</v>
      </c>
      <c r="L16" s="107"/>
      <c r="M16" s="31"/>
      <c r="N16" s="31"/>
      <c r="O16" s="94"/>
      <c r="P16" s="95"/>
      <c r="Q16" s="95"/>
      <c r="R16" s="96"/>
      <c r="S16" s="97"/>
      <c r="T16" s="95"/>
      <c r="U16" s="95"/>
      <c r="V16" s="95"/>
      <c r="W16" s="96"/>
    </row>
    <row r="17">
      <c r="A17" s="87"/>
      <c r="B17" s="87"/>
      <c r="C17" s="31"/>
      <c r="D17" s="31"/>
      <c r="E17" s="108"/>
      <c r="F17" s="108"/>
      <c r="G17" s="108"/>
      <c r="H17" s="108"/>
      <c r="I17" s="108"/>
      <c r="J17" s="108"/>
      <c r="K17" s="108"/>
      <c r="L17" s="108"/>
      <c r="M17" s="31"/>
      <c r="N17" s="31"/>
      <c r="O17" s="94"/>
      <c r="P17" s="95"/>
      <c r="Q17" s="95"/>
      <c r="R17" s="96"/>
      <c r="S17" s="97"/>
      <c r="T17" s="95"/>
      <c r="U17" s="95"/>
      <c r="V17" s="95"/>
      <c r="W17" s="96"/>
    </row>
    <row r="18">
      <c r="A18" s="87"/>
      <c r="B18" s="87"/>
      <c r="C18" s="109"/>
      <c r="D18" s="110"/>
      <c r="E18" s="111" t="s">
        <v>6285</v>
      </c>
      <c r="F18" s="112"/>
      <c r="G18" s="112"/>
      <c r="H18" s="113"/>
      <c r="I18" s="111" t="s">
        <v>6287</v>
      </c>
      <c r="J18" s="113"/>
      <c r="K18" s="111" t="s">
        <v>6290</v>
      </c>
      <c r="L18" s="113"/>
      <c r="M18" s="31"/>
      <c r="N18" s="31"/>
      <c r="O18" s="114"/>
      <c r="P18" s="115"/>
      <c r="Q18" s="115"/>
      <c r="R18" s="115"/>
      <c r="S18" s="116"/>
      <c r="T18" s="115"/>
      <c r="U18" s="115"/>
      <c r="V18" s="115"/>
      <c r="W18" s="117"/>
    </row>
    <row r="19">
      <c r="A19" s="30"/>
      <c r="B19" s="30"/>
      <c r="C19" s="118"/>
      <c r="D19" s="119"/>
      <c r="E19" s="118"/>
      <c r="F19" s="120"/>
      <c r="G19" s="121" t="s">
        <v>6299</v>
      </c>
      <c r="H19" s="122">
        <f>SUMIF(L29:L499,G19,N29:N499)</f>
        <v>1050</v>
      </c>
      <c r="I19" s="123" t="s">
        <v>6300</v>
      </c>
      <c r="J19" s="124" t="s">
        <v>6302</v>
      </c>
      <c r="K19" s="125" t="s">
        <v>6304</v>
      </c>
      <c r="L19" s="119"/>
      <c r="M19" s="31"/>
      <c r="N19" s="31"/>
      <c r="O19" s="126"/>
      <c r="P19" s="127"/>
      <c r="Q19" s="127"/>
      <c r="R19" s="127"/>
      <c r="S19" s="128"/>
      <c r="T19" s="129" t="str">
        <f>B7</f>
        <v>Renata</v>
      </c>
      <c r="U19" s="112"/>
      <c r="V19" s="112"/>
      <c r="W19" s="130"/>
    </row>
    <row r="20">
      <c r="A20" s="131"/>
      <c r="B20" s="131"/>
      <c r="C20" s="132" t="s">
        <v>783</v>
      </c>
      <c r="D20" s="133">
        <f>SUMIFS(N29:N504,J29:J504,C20,K29:K504,C19)+SUMIF(Q102:Q138,A9,R102:R138)+D25</f>
        <v>0</v>
      </c>
      <c r="E20" s="132" t="s">
        <v>783</v>
      </c>
      <c r="F20" s="134">
        <f>SUMIFS(N29:N504,J29:J504,C20,K29:K504,E19)+SUMIF(Q102:Q138,A10,R102:R138)+F25</f>
        <v>0</v>
      </c>
      <c r="G20" s="135" t="s">
        <v>6328</v>
      </c>
      <c r="H20" s="136">
        <v>0.0</v>
      </c>
      <c r="I20" s="137">
        <f>SUMIF(J29:J504,I19,N29:N504)</f>
        <v>0</v>
      </c>
      <c r="J20" s="138">
        <f>SUMIF(J29:J504,J19,N29:N504)</f>
        <v>0</v>
      </c>
      <c r="K20" s="139" t="s">
        <v>6335</v>
      </c>
      <c r="L20" s="140"/>
      <c r="M20" s="31"/>
      <c r="N20" s="31"/>
      <c r="O20" s="141"/>
      <c r="P20" s="142"/>
      <c r="Q20" s="142"/>
      <c r="R20" s="142"/>
      <c r="S20" s="55"/>
      <c r="T20" s="56" t="str">
        <f>IFERROR(__xludf.DUMMYFUNCTION("query(C28:L507,""select Col1,Col3,Col8,Col9 where (Col8 = 'Adiantamento' or Col8 = 'Consumo') and Col9 = '""&amp;B7&amp;""'"",1)"),"Data")</f>
        <v>Data</v>
      </c>
      <c r="U20" s="56" t="str">
        <f>IFERROR(__xludf.DUMMYFUNCTION("""COMPUTED_VALUE"""),"Valor ")</f>
        <v>Valor </v>
      </c>
      <c r="V20" s="56" t="str">
        <f>IFERROR(__xludf.DUMMYFUNCTION("""COMPUTED_VALUE"""),"Tipo")</f>
        <v>Tipo</v>
      </c>
      <c r="W20" s="57" t="str">
        <f>IFERROR(__xludf.DUMMYFUNCTION("""COMPUTED_VALUE"""),"Funcionário")</f>
        <v>Funcionário</v>
      </c>
    </row>
    <row r="21" ht="19.5" customHeight="1">
      <c r="A21" s="143"/>
      <c r="B21" s="143"/>
      <c r="C21" s="132" t="s">
        <v>6080</v>
      </c>
      <c r="D21" s="133">
        <f>SUMIFS(N29:N504,J29:J504,C21,K29:K504,C19)</f>
        <v>0</v>
      </c>
      <c r="E21" s="132" t="s">
        <v>6080</v>
      </c>
      <c r="F21" s="134">
        <f>SUMIFS(N29:N504,J29:J504,E21,K29:K504,E19)</f>
        <v>0</v>
      </c>
      <c r="G21" s="92" t="s">
        <v>6354</v>
      </c>
      <c r="H21" s="133">
        <f>SUMIFS(N29:N504,D29:D504,"Saída",J29:J504,"Sangria")</f>
        <v>13450</v>
      </c>
      <c r="I21" s="144"/>
      <c r="J21" s="145"/>
      <c r="K21" s="139" t="s">
        <v>6364</v>
      </c>
      <c r="L21" s="140"/>
      <c r="M21" s="31"/>
      <c r="N21" s="31"/>
      <c r="O21" s="114"/>
      <c r="P21" s="59"/>
      <c r="Q21" s="59"/>
      <c r="R21" s="60"/>
      <c r="S21" s="61"/>
      <c r="T21" s="162">
        <f>IFERROR(__xludf.DUMMYFUNCTION("""COMPUTED_VALUE"""),45990.92953703704)</f>
        <v>45990.92954</v>
      </c>
      <c r="U21" s="59" t="str">
        <f>IFERROR(__xludf.DUMMYFUNCTION("""COMPUTED_VALUE"""),"R$ 52,82")</f>
        <v>R$ 52,82</v>
      </c>
      <c r="V21" s="59" t="str">
        <f>IFERROR(__xludf.DUMMYFUNCTION("""COMPUTED_VALUE"""),"Consumo")</f>
        <v>Consumo</v>
      </c>
      <c r="W21" s="60" t="str">
        <f>IFERROR(__xludf.DUMMYFUNCTION("""COMPUTED_VALUE"""),"Renata")</f>
        <v>Renata</v>
      </c>
    </row>
    <row r="22">
      <c r="A22" s="143"/>
      <c r="B22" s="143"/>
      <c r="C22" s="146" t="s">
        <v>6112</v>
      </c>
      <c r="D22" s="133">
        <f>D21*0.8</f>
        <v>0</v>
      </c>
      <c r="E22" s="146" t="s">
        <v>6112</v>
      </c>
      <c r="F22" s="147">
        <f>F21*0.8</f>
        <v>0</v>
      </c>
      <c r="G22" s="148" t="s">
        <v>6369</v>
      </c>
      <c r="H22" s="149">
        <f>SUMIFS(N29:N504,D29:D504,"Entrada",J29:J504,"Sangria")</f>
        <v>0</v>
      </c>
      <c r="I22" s="150" t="s">
        <v>6370</v>
      </c>
      <c r="J22" s="151"/>
      <c r="K22" s="139" t="s">
        <v>6372</v>
      </c>
      <c r="L22" s="140"/>
      <c r="M22" s="31"/>
      <c r="N22" s="31"/>
      <c r="O22" s="58"/>
      <c r="P22" s="59"/>
      <c r="Q22" s="59"/>
      <c r="R22" s="60"/>
      <c r="S22" s="61"/>
      <c r="T22" s="162">
        <f>IFERROR(__xludf.DUMMYFUNCTION("""COMPUTED_VALUE"""),45992.72589120371)</f>
        <v>45992.72589</v>
      </c>
      <c r="U22" s="59" t="str">
        <f>IFERROR(__xludf.DUMMYFUNCTION("""COMPUTED_VALUE"""),"R$ 26,92")</f>
        <v>R$ 26,92</v>
      </c>
      <c r="V22" s="59" t="str">
        <f>IFERROR(__xludf.DUMMYFUNCTION("""COMPUTED_VALUE"""),"Consumo")</f>
        <v>Consumo</v>
      </c>
      <c r="W22" s="60" t="str">
        <f>IFERROR(__xludf.DUMMYFUNCTION("""COMPUTED_VALUE"""),"Renata")</f>
        <v>Renata</v>
      </c>
    </row>
    <row r="23">
      <c r="A23" s="152"/>
      <c r="B23" s="152"/>
      <c r="C23" s="153" t="s">
        <v>6160</v>
      </c>
      <c r="D23" s="154"/>
      <c r="E23" s="153" t="s">
        <v>6160</v>
      </c>
      <c r="F23" s="154"/>
      <c r="G23" s="155" t="s">
        <v>6380</v>
      </c>
      <c r="H23" s="156"/>
      <c r="I23" s="157">
        <f>SUMIF(J29:J504,I22,N29:N504)</f>
        <v>0</v>
      </c>
      <c r="J23" s="158"/>
      <c r="K23" s="139" t="s">
        <v>6389</v>
      </c>
      <c r="L23" s="140"/>
      <c r="M23" s="31"/>
      <c r="N23" s="31"/>
      <c r="O23" s="58"/>
      <c r="P23" s="59"/>
      <c r="Q23" s="59"/>
      <c r="R23" s="60"/>
      <c r="S23" s="61"/>
      <c r="T23" s="162">
        <f>IFERROR(__xludf.DUMMYFUNCTION("""COMPUTED_VALUE"""),45993.73511574074)</f>
        <v>45993.73512</v>
      </c>
      <c r="U23" s="59" t="str">
        <f>IFERROR(__xludf.DUMMYFUNCTION("""COMPUTED_VALUE"""),"R$ 15,98")</f>
        <v>R$ 15,98</v>
      </c>
      <c r="V23" s="59" t="str">
        <f>IFERROR(__xludf.DUMMYFUNCTION("""COMPUTED_VALUE"""),"Consumo")</f>
        <v>Consumo</v>
      </c>
      <c r="W23" s="60" t="str">
        <f>IFERROR(__xludf.DUMMYFUNCTION("""COMPUTED_VALUE"""),"Renata")</f>
        <v>Renata</v>
      </c>
    </row>
    <row r="24">
      <c r="A24" s="159"/>
      <c r="B24" s="159"/>
      <c r="C24" s="160" t="s">
        <v>6182</v>
      </c>
      <c r="D24" s="161"/>
      <c r="E24" s="160" t="s">
        <v>6182</v>
      </c>
      <c r="F24" s="161"/>
      <c r="G24" s="92" t="s">
        <v>6398</v>
      </c>
      <c r="H24" s="163">
        <f>SUMIF(L29:L504,G24,N29:N504)</f>
        <v>0</v>
      </c>
      <c r="I24" s="164" t="s">
        <v>6404</v>
      </c>
      <c r="J24" s="156"/>
      <c r="K24" s="139" t="s">
        <v>6407</v>
      </c>
      <c r="L24" s="140"/>
      <c r="M24" s="31"/>
      <c r="N24" s="31"/>
      <c r="O24" s="58"/>
      <c r="P24" s="59"/>
      <c r="Q24" s="59"/>
      <c r="R24" s="60"/>
      <c r="S24" s="61"/>
      <c r="T24" s="162">
        <f>IFERROR(__xludf.DUMMYFUNCTION("""COMPUTED_VALUE"""),45994.72695601852)</f>
        <v>45994.72696</v>
      </c>
      <c r="U24" s="59" t="str">
        <f>IFERROR(__xludf.DUMMYFUNCTION("""COMPUTED_VALUE"""),"R$ 21,86")</f>
        <v>R$ 21,86</v>
      </c>
      <c r="V24" s="59" t="str">
        <f>IFERROR(__xludf.DUMMYFUNCTION("""COMPUTED_VALUE"""),"Consumo")</f>
        <v>Consumo</v>
      </c>
      <c r="W24" s="60" t="str">
        <f>IFERROR(__xludf.DUMMYFUNCTION("""COMPUTED_VALUE"""),"Renata")</f>
        <v>Renata</v>
      </c>
    </row>
    <row r="25" ht="14.25" customHeight="1">
      <c r="A25" s="159"/>
      <c r="B25" s="159"/>
      <c r="C25" s="165" t="s">
        <v>51</v>
      </c>
      <c r="D25" s="166"/>
      <c r="E25" s="165" t="s">
        <v>51</v>
      </c>
      <c r="F25" s="166"/>
      <c r="G25" s="167" t="s">
        <v>6416</v>
      </c>
      <c r="H25" s="168">
        <f>SUMIF(L29:L504,G25,N29:N504)</f>
        <v>0</v>
      </c>
      <c r="I25" s="157">
        <f>SUMIF(J29:J504,I24,N29:N504)</f>
        <v>0</v>
      </c>
      <c r="J25" s="158"/>
      <c r="K25" s="169"/>
      <c r="L25" s="170"/>
      <c r="M25" s="32"/>
      <c r="N25" s="32"/>
      <c r="O25" s="58"/>
      <c r="P25" s="59"/>
      <c r="Q25" s="59"/>
      <c r="R25" s="60"/>
      <c r="S25" s="61"/>
      <c r="T25" s="162">
        <f>IFERROR(__xludf.DUMMYFUNCTION("""COMPUTED_VALUE"""),45995.71501157407)</f>
        <v>45995.71501</v>
      </c>
      <c r="U25" s="59" t="str">
        <f>IFERROR(__xludf.DUMMYFUNCTION("""COMPUTED_VALUE"""),"R$ 23,02")</f>
        <v>R$ 23,02</v>
      </c>
      <c r="V25" s="59" t="str">
        <f>IFERROR(__xludf.DUMMYFUNCTION("""COMPUTED_VALUE"""),"Consumo")</f>
        <v>Consumo</v>
      </c>
      <c r="W25" s="60" t="str">
        <f>IFERROR(__xludf.DUMMYFUNCTION("""COMPUTED_VALUE"""),"Renata")</f>
        <v>Renata</v>
      </c>
    </row>
    <row r="26" ht="14.25" customHeight="1">
      <c r="A26" s="171"/>
      <c r="B26" s="171"/>
      <c r="C26" s="171"/>
      <c r="D26" s="171"/>
      <c r="E26" s="171"/>
      <c r="F26" s="171"/>
      <c r="G26" s="172"/>
      <c r="H26" s="171"/>
      <c r="I26" s="171"/>
      <c r="J26" s="173"/>
      <c r="K26" s="173"/>
      <c r="L26" s="173"/>
      <c r="M26" s="174"/>
      <c r="N26" s="174"/>
      <c r="O26" s="58"/>
      <c r="P26" s="85"/>
      <c r="Q26" s="85"/>
      <c r="R26" s="86"/>
      <c r="S26" s="87"/>
      <c r="T26" s="162">
        <f>IFERROR(__xludf.DUMMYFUNCTION("""COMPUTED_VALUE"""),45995.77311342592)</f>
        <v>45995.77311</v>
      </c>
      <c r="U26" s="85" t="str">
        <f>IFERROR(__xludf.DUMMYFUNCTION("""COMPUTED_VALUE"""),"R$ 23,90")</f>
        <v>R$ 23,90</v>
      </c>
      <c r="V26" s="85" t="str">
        <f>IFERROR(__xludf.DUMMYFUNCTION("""COMPUTED_VALUE"""),"Consumo")</f>
        <v>Consumo</v>
      </c>
      <c r="W26" s="86" t="str">
        <f>IFERROR(__xludf.DUMMYFUNCTION("""COMPUTED_VALUE"""),"Renata")</f>
        <v>Renata</v>
      </c>
    </row>
    <row r="27">
      <c r="A27" s="175"/>
      <c r="B27" s="176" t="s">
        <v>6426</v>
      </c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10"/>
      <c r="N27" s="174"/>
      <c r="O27" s="94"/>
      <c r="P27" s="95"/>
      <c r="Q27" s="95"/>
      <c r="R27" s="96"/>
      <c r="S27" s="97"/>
      <c r="T27" s="95"/>
      <c r="U27" s="95"/>
      <c r="V27" s="95"/>
      <c r="W27" s="96"/>
    </row>
    <row r="28">
      <c r="A28" s="178"/>
      <c r="B28" s="179" t="s">
        <v>0</v>
      </c>
      <c r="C28" s="180" t="s">
        <v>10</v>
      </c>
      <c r="D28" s="181" t="s">
        <v>18</v>
      </c>
      <c r="E28" s="180" t="s">
        <v>21</v>
      </c>
      <c r="F28" s="181"/>
      <c r="G28" s="181" t="s">
        <v>6</v>
      </c>
      <c r="H28" s="182"/>
      <c r="I28" s="183" t="s">
        <v>47</v>
      </c>
      <c r="J28" s="181" t="s">
        <v>52</v>
      </c>
      <c r="K28" s="180" t="s">
        <v>38</v>
      </c>
      <c r="L28" s="184" t="s">
        <v>6443</v>
      </c>
      <c r="M28" s="185" t="s">
        <v>5</v>
      </c>
      <c r="N28" s="174"/>
      <c r="O28" s="94"/>
      <c r="P28" s="95"/>
      <c r="Q28" s="95"/>
      <c r="R28" s="96"/>
      <c r="S28" s="97"/>
      <c r="T28" s="95"/>
      <c r="U28" s="95"/>
      <c r="V28" s="95"/>
      <c r="W28" s="96"/>
    </row>
    <row r="29">
      <c r="A29" s="186"/>
      <c r="B29" s="13">
        <v>1821437.0</v>
      </c>
      <c r="C29" s="14">
        <v>45987.64597222222</v>
      </c>
      <c r="D29" s="187" t="s">
        <v>97</v>
      </c>
      <c r="E29" s="188" t="s">
        <v>6475</v>
      </c>
      <c r="F29" s="189"/>
      <c r="G29" s="187" t="s">
        <v>4668</v>
      </c>
      <c r="H29" s="190"/>
      <c r="I29" s="190"/>
      <c r="J29" s="191" t="s">
        <v>6446</v>
      </c>
      <c r="K29" s="191"/>
      <c r="L29" s="192" t="str">
        <f>IFERROR(__xludf.DUMMYFUNCTION("IF(
  AND(D29=""Saída"", J29=""Sangria""),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193" t="str">
        <f>IFERROR(__xludf.DUMMYFUNCTION("IF(J29=""Compra de Mercadorias"",
   IF(
      COUNTIF(ARRAYFORMULA(TRIM(CLEAN(TO_TEXT(Notas!BS:BS)))), TRIM(CLEAN(TO_TEXT(B29)))) &gt; 0,
      ""Encontrada"",
      ""Não Encontrada""
   ),
"""")"),"Encontrada")</f>
        <v>Encontrada</v>
      </c>
      <c r="N29" s="194">
        <f>IFERROR(__xludf.DUMMYFUNCTION("ifna(VALUE(REGEXEXTRACT(E29,""[0-9.]+[,]+[0-9]+"")))"),250.0)</f>
        <v>250</v>
      </c>
      <c r="O29" s="94"/>
      <c r="P29" s="95"/>
      <c r="Q29" s="95"/>
      <c r="R29" s="96"/>
      <c r="S29" s="97"/>
      <c r="T29" s="95"/>
      <c r="U29" s="95"/>
      <c r="V29" s="95"/>
      <c r="W29" s="96"/>
    </row>
    <row r="30" ht="14.25" customHeight="1">
      <c r="A30" s="186"/>
      <c r="B30" s="13">
        <v>1822015.0</v>
      </c>
      <c r="C30" s="14">
        <v>45987.79835648148</v>
      </c>
      <c r="D30" s="187" t="s">
        <v>97</v>
      </c>
      <c r="E30" s="188" t="s">
        <v>101</v>
      </c>
      <c r="F30" s="189"/>
      <c r="G30" s="187" t="s">
        <v>6501</v>
      </c>
      <c r="H30" s="195"/>
      <c r="I30" s="195"/>
      <c r="J30" s="196" t="s">
        <v>6080</v>
      </c>
      <c r="K30" s="196" t="s">
        <v>6197</v>
      </c>
      <c r="L30" s="192" t="str">
        <f>IFERROR(__xludf.DUMMYFUNCTION("IF(
  AND(D30=""Saída"", J30=""Sangria""),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197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94">
        <f>IFERROR(__xludf.DUMMYFUNCTION("ifna(VALUE(REGEXEXTRACT(E30,""[0-9.]+[,]+[0-9]+"")))"),21.13)</f>
        <v>21.13</v>
      </c>
      <c r="O30" s="94"/>
      <c r="P30" s="95"/>
      <c r="Q30" s="95"/>
      <c r="R30" s="96"/>
      <c r="S30" s="97"/>
      <c r="T30" s="95"/>
      <c r="U30" s="95"/>
      <c r="V30" s="95"/>
      <c r="W30" s="96"/>
    </row>
    <row r="31" ht="14.25" customHeight="1">
      <c r="A31" s="186"/>
      <c r="B31" s="13">
        <v>1822016.0</v>
      </c>
      <c r="C31" s="14">
        <v>45987.799166666664</v>
      </c>
      <c r="D31" s="187" t="s">
        <v>97</v>
      </c>
      <c r="E31" s="188" t="s">
        <v>1269</v>
      </c>
      <c r="F31" s="189"/>
      <c r="G31" s="187" t="s">
        <v>282</v>
      </c>
      <c r="H31" s="195"/>
      <c r="I31" s="195"/>
      <c r="J31" s="196" t="s">
        <v>6080</v>
      </c>
      <c r="K31" s="196" t="s">
        <v>6111</v>
      </c>
      <c r="L31" s="192" t="str">
        <f>IFERROR(__xludf.DUMMYFUNCTION("IF(
  AND(D31=""Saída"", J31=""Sangria""),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198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94">
        <f>IFERROR(__xludf.DUMMYFUNCTION("ifna(VALUE(REGEXEXTRACT(E31,""[0-9.]+[,]+[0-9]+"")))"),15.47)</f>
        <v>15.47</v>
      </c>
      <c r="O31" s="94"/>
      <c r="P31" s="95"/>
      <c r="Q31" s="95"/>
      <c r="R31" s="96"/>
      <c r="S31" s="97"/>
      <c r="T31" s="95"/>
      <c r="U31" s="95"/>
      <c r="V31" s="95"/>
      <c r="W31" s="96"/>
    </row>
    <row r="32" ht="14.25" customHeight="1">
      <c r="A32" s="186"/>
      <c r="B32" s="13">
        <v>1822375.0</v>
      </c>
      <c r="C32" s="14">
        <v>45987.90672453704</v>
      </c>
      <c r="D32" s="187" t="s">
        <v>97</v>
      </c>
      <c r="E32" s="188" t="s">
        <v>6540</v>
      </c>
      <c r="F32" s="189"/>
      <c r="G32" s="187" t="s">
        <v>765</v>
      </c>
      <c r="H32" s="195"/>
      <c r="I32" s="195"/>
      <c r="J32" s="196" t="s">
        <v>6544</v>
      </c>
      <c r="K32" s="196" t="s">
        <v>6111</v>
      </c>
      <c r="L32" s="192" t="str">
        <f>IFERROR(__xludf.DUMMYFUNCTION("IF(
  AND(D32=""Saída"", J32=""Sangria""),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"),"Confirmada")</f>
        <v>Confirmada</v>
      </c>
      <c r="M32" s="199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94">
        <f>IFERROR(__xludf.DUMMYFUNCTION("ifna(VALUE(REGEXEXTRACT(E32,""[0-9.]+[,]+[0-9]+"")))"),1100.0)</f>
        <v>1100</v>
      </c>
      <c r="O32" s="94"/>
      <c r="P32" s="95"/>
      <c r="Q32" s="95"/>
      <c r="R32" s="96"/>
      <c r="S32" s="97"/>
      <c r="T32" s="95"/>
      <c r="U32" s="95"/>
      <c r="V32" s="95"/>
      <c r="W32" s="96"/>
    </row>
    <row r="33" ht="14.25" customHeight="1">
      <c r="A33" s="186"/>
      <c r="B33" s="13">
        <v>1822384.0</v>
      </c>
      <c r="C33" s="14">
        <v>45987.90803240741</v>
      </c>
      <c r="D33" s="187" t="s">
        <v>97</v>
      </c>
      <c r="E33" s="188" t="s">
        <v>1090</v>
      </c>
      <c r="F33" s="200"/>
      <c r="G33" s="187" t="s">
        <v>282</v>
      </c>
      <c r="H33" s="195"/>
      <c r="I33" s="195"/>
      <c r="J33" s="196" t="s">
        <v>6080</v>
      </c>
      <c r="K33" s="196" t="s">
        <v>6111</v>
      </c>
      <c r="L33" s="192" t="str">
        <f>IFERROR(__xludf.DUMMYFUNCTION("IF(
  AND(D33=""Saída"", J33=""Sangria""),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198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94">
        <f>IFERROR(__xludf.DUMMYFUNCTION("ifna(VALUE(REGEXEXTRACT(E33,""[0-9.]+[,]+[0-9]+"")))"),10.0)</f>
        <v>10</v>
      </c>
      <c r="O33" s="94"/>
      <c r="P33" s="95"/>
      <c r="Q33" s="95"/>
      <c r="R33" s="96"/>
      <c r="S33" s="97"/>
      <c r="T33" s="95"/>
      <c r="U33" s="95"/>
      <c r="V33" s="95"/>
      <c r="W33" s="96"/>
    </row>
    <row r="34" ht="14.25" customHeight="1">
      <c r="A34" s="186"/>
      <c r="B34" s="13">
        <v>1823452.0</v>
      </c>
      <c r="C34" s="14">
        <v>45988.71277777778</v>
      </c>
      <c r="D34" s="187" t="s">
        <v>97</v>
      </c>
      <c r="E34" s="188" t="s">
        <v>6554</v>
      </c>
      <c r="F34" s="200"/>
      <c r="G34" s="187" t="s">
        <v>6501</v>
      </c>
      <c r="H34" s="195"/>
      <c r="I34" s="195"/>
      <c r="J34" s="196" t="s">
        <v>6080</v>
      </c>
      <c r="K34" s="196" t="s">
        <v>6197</v>
      </c>
      <c r="L34" s="192" t="str">
        <f>IFERROR(__xludf.DUMMYFUNCTION("IF(
  AND(D34=""Saída"", J34=""Sangria""),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197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94">
        <f>IFERROR(__xludf.DUMMYFUNCTION("ifna(VALUE(REGEXEXTRACT(E34,""[0-9.]+[,]+[0-9]+"")))"),11.32)</f>
        <v>11.32</v>
      </c>
      <c r="O34" s="114"/>
      <c r="P34" s="115"/>
      <c r="Q34" s="115"/>
      <c r="R34" s="115"/>
      <c r="S34" s="116"/>
      <c r="T34" s="115"/>
      <c r="U34" s="115"/>
      <c r="V34" s="115"/>
      <c r="W34" s="117"/>
    </row>
    <row r="35" ht="18.75" customHeight="1">
      <c r="A35" s="186"/>
      <c r="B35" s="13">
        <v>1824839.0</v>
      </c>
      <c r="C35" s="14">
        <v>45989.58094907407</v>
      </c>
      <c r="D35" s="187" t="s">
        <v>97</v>
      </c>
      <c r="E35" s="188" t="s">
        <v>6566</v>
      </c>
      <c r="F35" s="189"/>
      <c r="G35" s="187" t="s">
        <v>6569</v>
      </c>
      <c r="H35" s="195"/>
      <c r="I35" s="195"/>
      <c r="J35" s="196" t="s">
        <v>6446</v>
      </c>
      <c r="K35" s="196"/>
      <c r="L35" s="192" t="str">
        <f>IFERROR(__xludf.DUMMYFUNCTION("IF(
  AND(D35=""Saída"", J35=""Sangria""),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198" t="str">
        <f>IFERROR(__xludf.DUMMYFUNCTION("IF(J35=""Compra de Mercadorias"",
   IF(
      COUNTIF(ARRAYFORMULA(TRIM(CLEAN(TO_TEXT(Notas!BS:BS)))), TRIM(CLEAN(TO_TEXT(B35)))) &gt; 0,
      ""Encontrada"",
      ""Não Encontrada""
   ),
"""")"),"Encontrada")</f>
        <v>Encontrada</v>
      </c>
      <c r="N35" s="194">
        <f>IFERROR(__xludf.DUMMYFUNCTION("ifna(VALUE(REGEXEXTRACT(E35,""[0-9.]+[,]+[0-9]+"")))"),177.87)</f>
        <v>177.87</v>
      </c>
      <c r="O35" s="31"/>
      <c r="P35" s="31"/>
      <c r="Q35" s="31"/>
      <c r="R35" s="31"/>
      <c r="S35" s="31"/>
      <c r="T35" s="31"/>
      <c r="U35" s="31"/>
      <c r="V35" s="31"/>
      <c r="W35" s="31"/>
    </row>
    <row r="36" ht="14.25" customHeight="1">
      <c r="A36" s="186"/>
      <c r="B36" s="13">
        <v>1825528.0</v>
      </c>
      <c r="C36" s="14">
        <v>45989.75633101852</v>
      </c>
      <c r="D36" s="187" t="s">
        <v>97</v>
      </c>
      <c r="E36" s="188" t="s">
        <v>6582</v>
      </c>
      <c r="F36" s="189"/>
      <c r="G36" s="187" t="s">
        <v>6584</v>
      </c>
      <c r="H36" s="195"/>
      <c r="I36" s="195"/>
      <c r="J36" s="196" t="s">
        <v>6080</v>
      </c>
      <c r="K36" s="196" t="s">
        <v>6197</v>
      </c>
      <c r="L36" s="192" t="str">
        <f>IFERROR(__xludf.DUMMYFUNCTION("IF(
  AND(D36=""Saída"", J36=""Sangria""),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197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94">
        <f>IFERROR(__xludf.DUMMYFUNCTION("ifna(VALUE(REGEXEXTRACT(E36,""[0-9.]+[,]+[0-9]+"")))"),14.47)</f>
        <v>14.47</v>
      </c>
      <c r="O36" s="31"/>
      <c r="P36" s="31"/>
      <c r="Q36" s="31"/>
      <c r="R36" s="31"/>
      <c r="S36" s="31"/>
      <c r="T36" s="31"/>
      <c r="U36" s="31"/>
      <c r="V36" s="31"/>
      <c r="W36" s="31"/>
    </row>
    <row r="37" ht="14.25" customHeight="1">
      <c r="A37" s="186"/>
      <c r="B37" s="13">
        <v>1825862.0</v>
      </c>
      <c r="C37" s="14">
        <v>45989.84631944444</v>
      </c>
      <c r="D37" s="187" t="s">
        <v>97</v>
      </c>
      <c r="E37" s="188" t="s">
        <v>6475</v>
      </c>
      <c r="F37" s="189"/>
      <c r="G37" s="187" t="s">
        <v>6603</v>
      </c>
      <c r="H37" s="195"/>
      <c r="I37" s="195"/>
      <c r="J37" s="196" t="s">
        <v>6446</v>
      </c>
      <c r="K37" s="196"/>
      <c r="L37" s="192" t="str">
        <f>IFERROR(__xludf.DUMMYFUNCTION("IF(
  AND(D37=""Saída"", J37=""Sangria""),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01" t="str">
        <f>IFERROR(__xludf.DUMMYFUNCTION("IF(J37=""Compra de Mercadorias"",
   IF(
      COUNTIF(ARRAYFORMULA(TRIM(CLEAN(TO_TEXT(Notas!BS:BS)))), TRIM(CLEAN(TO_TEXT(B37)))) &gt; 0,
      ""Encontrada"",
      ""Não Encontrada""
   ),
"""")"),"Encontrada")</f>
        <v>Encontrada</v>
      </c>
      <c r="N37" s="194">
        <f>IFERROR(__xludf.DUMMYFUNCTION("ifna(VALUE(REGEXEXTRACT(E37,""[0-9.]+[,]+[0-9]+"")))"),250.0)</f>
        <v>250</v>
      </c>
      <c r="O37" s="31"/>
      <c r="P37" s="31"/>
      <c r="Q37" s="31"/>
      <c r="R37" s="31"/>
      <c r="S37" s="31"/>
      <c r="T37" s="31"/>
      <c r="U37" s="31"/>
      <c r="V37" s="31"/>
      <c r="W37" s="31"/>
    </row>
    <row r="38" ht="14.25" customHeight="1">
      <c r="A38" s="186"/>
      <c r="B38" s="13">
        <v>1825868.0</v>
      </c>
      <c r="C38" s="14">
        <v>45989.84805555556</v>
      </c>
      <c r="D38" s="187" t="s">
        <v>97</v>
      </c>
      <c r="E38" s="188" t="s">
        <v>6490</v>
      </c>
      <c r="F38" s="189"/>
      <c r="G38" s="187" t="s">
        <v>858</v>
      </c>
      <c r="H38" s="195"/>
      <c r="I38" s="195"/>
      <c r="J38" s="196" t="s">
        <v>6544</v>
      </c>
      <c r="K38" s="196" t="s">
        <v>5991</v>
      </c>
      <c r="L38" s="192" t="str">
        <f>IFERROR(__xludf.DUMMYFUNCTION("IF(
  AND(D38=""Saída"", J38=""Sangria""),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"),"Confirmada")</f>
        <v>Confirmada</v>
      </c>
      <c r="M38" s="197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94">
        <f>IFERROR(__xludf.DUMMYFUNCTION("ifna(VALUE(REGEXEXTRACT(E38,""[0-9.]+[,]+[0-9]+"")))"),500.0)</f>
        <v>500</v>
      </c>
      <c r="O38" s="31"/>
      <c r="P38" s="31"/>
      <c r="Q38" s="31"/>
      <c r="R38" s="31"/>
      <c r="S38" s="31"/>
      <c r="T38" s="31"/>
      <c r="U38" s="31"/>
      <c r="V38" s="31"/>
      <c r="W38" s="31"/>
    </row>
    <row r="39" ht="21.75" customHeight="1">
      <c r="A39" s="186"/>
      <c r="B39" s="13">
        <v>1826311.0</v>
      </c>
      <c r="C39" s="14">
        <v>45989.92190972222</v>
      </c>
      <c r="D39" s="187" t="s">
        <v>97</v>
      </c>
      <c r="E39" s="188" t="s">
        <v>6627</v>
      </c>
      <c r="F39" s="189"/>
      <c r="G39" s="187" t="s">
        <v>151</v>
      </c>
      <c r="H39" s="195"/>
      <c r="I39" s="195"/>
      <c r="J39" s="196" t="s">
        <v>6080</v>
      </c>
      <c r="K39" s="196" t="s">
        <v>6111</v>
      </c>
      <c r="L39" s="192" t="str">
        <f>IFERROR(__xludf.DUMMYFUNCTION("IF(
  AND(D39=""Saída"", J39=""Sangria""),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198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94">
        <f>IFERROR(__xludf.DUMMYFUNCTION("ifna(VALUE(REGEXEXTRACT(E39,""[0-9.]+[,]+[0-9]+"")))"),69.36)</f>
        <v>69.36</v>
      </c>
      <c r="O39" s="31"/>
      <c r="P39" s="31"/>
      <c r="Q39" s="31"/>
      <c r="R39" s="31"/>
      <c r="S39" s="31"/>
      <c r="T39" s="31"/>
      <c r="U39" s="31"/>
      <c r="V39" s="31"/>
      <c r="W39" s="31"/>
    </row>
    <row r="40" ht="14.25" customHeight="1">
      <c r="A40" s="186"/>
      <c r="B40" s="13">
        <v>1828992.0</v>
      </c>
      <c r="C40" s="14">
        <v>45990.924942129626</v>
      </c>
      <c r="D40" s="187" t="s">
        <v>97</v>
      </c>
      <c r="E40" s="188" t="s">
        <v>6540</v>
      </c>
      <c r="F40" s="189"/>
      <c r="G40" s="187" t="s">
        <v>6654</v>
      </c>
      <c r="H40" s="195"/>
      <c r="I40" s="195"/>
      <c r="J40" s="196" t="s">
        <v>6544</v>
      </c>
      <c r="K40" s="196" t="s">
        <v>6159</v>
      </c>
      <c r="L40" s="192" t="str">
        <f>IFERROR(__xludf.DUMMYFUNCTION("IF(
  AND(D40=""Saída"", J40=""Sangria""),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"),"Confirmada")</f>
        <v>Confirmada</v>
      </c>
      <c r="M40" s="197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94">
        <f>IFERROR(__xludf.DUMMYFUNCTION("ifna(VALUE(REGEXEXTRACT(E40,""[0-9.]+[,]+[0-9]+"")))"),1100.0)</f>
        <v>1100</v>
      </c>
      <c r="O40" s="31"/>
      <c r="P40" s="31"/>
      <c r="Q40" s="31"/>
      <c r="R40" s="31"/>
      <c r="S40" s="31"/>
      <c r="T40" s="31"/>
      <c r="U40" s="31"/>
      <c r="V40" s="31"/>
      <c r="W40" s="31"/>
    </row>
    <row r="41" ht="14.25" customHeight="1">
      <c r="A41" s="186"/>
      <c r="B41" s="13">
        <v>1829001.0</v>
      </c>
      <c r="C41" s="14">
        <v>45990.92569444444</v>
      </c>
      <c r="D41" s="187" t="s">
        <v>97</v>
      </c>
      <c r="E41" s="188" t="s">
        <v>6547</v>
      </c>
      <c r="F41" s="189"/>
      <c r="G41" s="187" t="s">
        <v>6662</v>
      </c>
      <c r="H41" s="195"/>
      <c r="I41" s="195"/>
      <c r="J41" s="196" t="s">
        <v>6469</v>
      </c>
      <c r="K41" s="196"/>
      <c r="L41" s="192" t="str">
        <f>IFERROR(__xludf.DUMMYFUNCTION("IF(
  AND(D41=""Saída"", J41=""Sangria""),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201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94">
        <f>IFERROR(__xludf.DUMMYFUNCTION("ifna(VALUE(REGEXEXTRACT(E41,""[0-9.]+[,]+[0-9]+"")))"),117.0)</f>
        <v>117</v>
      </c>
      <c r="O41" s="31"/>
      <c r="P41" s="31"/>
      <c r="Q41" s="31"/>
      <c r="R41" s="31"/>
      <c r="S41" s="31"/>
      <c r="T41" s="31"/>
      <c r="U41" s="31"/>
      <c r="V41" s="31"/>
      <c r="W41" s="31"/>
    </row>
    <row r="42" ht="14.25" customHeight="1">
      <c r="A42" s="186"/>
      <c r="B42" s="13">
        <v>1829011.0</v>
      </c>
      <c r="C42" s="14">
        <v>45990.92626157407</v>
      </c>
      <c r="D42" s="187" t="s">
        <v>97</v>
      </c>
      <c r="E42" s="188" t="s">
        <v>6547</v>
      </c>
      <c r="F42" s="189"/>
      <c r="G42" s="187" t="s">
        <v>6674</v>
      </c>
      <c r="H42" s="195"/>
      <c r="I42" s="195"/>
      <c r="J42" s="196" t="s">
        <v>6469</v>
      </c>
      <c r="K42" s="196"/>
      <c r="L42" s="192" t="str">
        <f>IFERROR(__xludf.DUMMYFUNCTION("IF(
  AND(D42=""Saída"", J42=""Sangria""),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197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94">
        <f>IFERROR(__xludf.DUMMYFUNCTION("ifna(VALUE(REGEXEXTRACT(E42,""[0-9.]+[,]+[0-9]+"")))"),117.0)</f>
        <v>117</v>
      </c>
      <c r="O42" s="31"/>
      <c r="P42" s="31"/>
      <c r="Q42" s="31"/>
      <c r="R42" s="31"/>
      <c r="S42" s="31"/>
      <c r="T42" s="31"/>
      <c r="U42" s="31"/>
      <c r="V42" s="31"/>
      <c r="W42" s="31"/>
    </row>
    <row r="43" ht="14.25" customHeight="1">
      <c r="A43" s="186"/>
      <c r="B43" s="13">
        <v>1829059.0</v>
      </c>
      <c r="C43" s="14">
        <v>45990.92953703704</v>
      </c>
      <c r="D43" s="187" t="s">
        <v>97</v>
      </c>
      <c r="E43" s="188" t="s">
        <v>6687</v>
      </c>
      <c r="F43" s="189"/>
      <c r="G43" s="187" t="s">
        <v>6691</v>
      </c>
      <c r="H43" s="202"/>
      <c r="I43" s="202"/>
      <c r="J43" s="196" t="s">
        <v>6080</v>
      </c>
      <c r="K43" s="196" t="s">
        <v>6159</v>
      </c>
      <c r="L43" s="192" t="str">
        <f>IFERROR(__xludf.DUMMYFUNCTION("IF(
  AND(D43=""Saída"", J43=""Sangria""),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03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94">
        <f>IFERROR(__xludf.DUMMYFUNCTION("ifna(VALUE(REGEXEXTRACT(E43,""[0-9.]+[,]+[0-9]+"")))"),52.82)</f>
        <v>52.82</v>
      </c>
      <c r="O43" s="31"/>
      <c r="P43" s="31"/>
      <c r="Q43" s="31"/>
      <c r="R43" s="31"/>
      <c r="S43" s="31"/>
      <c r="T43" s="31"/>
      <c r="U43" s="31"/>
      <c r="V43" s="31"/>
      <c r="W43" s="31"/>
    </row>
    <row r="44" ht="14.25" customHeight="1">
      <c r="A44" s="186"/>
      <c r="B44" s="13">
        <v>1831388.0</v>
      </c>
      <c r="C44" s="14">
        <v>45991.87233796297</v>
      </c>
      <c r="D44" s="187" t="s">
        <v>97</v>
      </c>
      <c r="E44" s="188" t="s">
        <v>556</v>
      </c>
      <c r="F44" s="200"/>
      <c r="G44" s="187" t="s">
        <v>6706</v>
      </c>
      <c r="H44" s="202"/>
      <c r="I44" s="202"/>
      <c r="J44" s="196" t="s">
        <v>6469</v>
      </c>
      <c r="K44" s="196"/>
      <c r="L44" s="192" t="str">
        <f>IFERROR(__xludf.DUMMYFUNCTION("IF(
  AND(D44=""Saída"", J44=""Sangria""),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197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94">
        <f>IFERROR(__xludf.DUMMYFUNCTION("ifna(VALUE(REGEXEXTRACT(E44,""[0-9.]+[,]+[0-9]+"")))"),104.0)</f>
        <v>104</v>
      </c>
      <c r="O44" s="31"/>
      <c r="P44" s="31"/>
      <c r="Q44" s="31"/>
      <c r="R44" s="31"/>
      <c r="S44" s="31"/>
      <c r="T44" s="31"/>
      <c r="U44" s="31"/>
      <c r="V44" s="31"/>
      <c r="W44" s="31"/>
    </row>
    <row r="45" ht="14.25" customHeight="1">
      <c r="A45" s="186"/>
      <c r="B45" s="13">
        <v>1831392.0</v>
      </c>
      <c r="C45" s="14">
        <v>45991.87310185185</v>
      </c>
      <c r="D45" s="187" t="s">
        <v>97</v>
      </c>
      <c r="E45" s="188" t="s">
        <v>6547</v>
      </c>
      <c r="F45" s="189"/>
      <c r="G45" s="187" t="s">
        <v>6723</v>
      </c>
      <c r="H45" s="204"/>
      <c r="I45" s="204"/>
      <c r="J45" s="196" t="s">
        <v>6469</v>
      </c>
      <c r="K45" s="196"/>
      <c r="L45" s="192" t="str">
        <f>IFERROR(__xludf.DUMMYFUNCTION("IF(
  AND(D45=""Saída"", J45=""Sangria""),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198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94">
        <f>IFERROR(__xludf.DUMMYFUNCTION("ifna(VALUE(REGEXEXTRACT(E45,""[0-9.]+[,]+[0-9]+"")))"),117.0)</f>
        <v>117</v>
      </c>
      <c r="O45" s="31"/>
      <c r="P45" s="31"/>
      <c r="Q45" s="31"/>
      <c r="R45" s="31"/>
      <c r="S45" s="31"/>
      <c r="T45" s="31"/>
      <c r="U45" s="31"/>
      <c r="V45" s="31"/>
      <c r="W45" s="31"/>
    </row>
    <row r="46" ht="18.75" customHeight="1">
      <c r="A46" s="186"/>
      <c r="B46" s="13">
        <v>1831402.0</v>
      </c>
      <c r="C46" s="14">
        <v>45991.873703703706</v>
      </c>
      <c r="D46" s="187" t="s">
        <v>97</v>
      </c>
      <c r="E46" s="188" t="s">
        <v>6547</v>
      </c>
      <c r="F46" s="189"/>
      <c r="G46" s="187" t="s">
        <v>6732</v>
      </c>
      <c r="H46" s="204"/>
      <c r="I46" s="204"/>
      <c r="J46" s="196" t="s">
        <v>6469</v>
      </c>
      <c r="K46" s="196"/>
      <c r="L46" s="192" t="str">
        <f>IFERROR(__xludf.DUMMYFUNCTION("IF(
  AND(D46=""Saída"", J46=""Sangria""),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197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94">
        <f>IFERROR(__xludf.DUMMYFUNCTION("ifna(VALUE(REGEXEXTRACT(E46,""[0-9.]+[,]+[0-9]+"")))"),117.0)</f>
        <v>117</v>
      </c>
      <c r="O46" s="31"/>
      <c r="P46" s="31"/>
      <c r="Q46" s="31"/>
      <c r="R46" s="31"/>
      <c r="S46" s="31"/>
      <c r="T46" s="31"/>
      <c r="U46" s="31"/>
      <c r="V46" s="31"/>
      <c r="W46" s="31"/>
    </row>
    <row r="47" ht="14.25" customHeight="1">
      <c r="A47" s="186"/>
      <c r="B47" s="13">
        <v>1831408.0</v>
      </c>
      <c r="C47" s="14">
        <v>45991.874247685184</v>
      </c>
      <c r="D47" s="187" t="s">
        <v>97</v>
      </c>
      <c r="E47" s="188" t="s">
        <v>6561</v>
      </c>
      <c r="F47" s="189"/>
      <c r="G47" s="187" t="s">
        <v>6742</v>
      </c>
      <c r="H47" s="204"/>
      <c r="I47" s="204"/>
      <c r="J47" s="196" t="s">
        <v>6469</v>
      </c>
      <c r="K47" s="196"/>
      <c r="L47" s="192" t="str">
        <f>IFERROR(__xludf.DUMMYFUNCTION("IF(
  AND(D47=""Saída"", J47=""Sangria""),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198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94">
        <f>IFERROR(__xludf.DUMMYFUNCTION("ifna(VALUE(REGEXEXTRACT(E47,""[0-9.]+[,]+[0-9]+"")))"),123.0)</f>
        <v>123</v>
      </c>
      <c r="O47" s="31"/>
      <c r="P47" s="31"/>
      <c r="Q47" s="31"/>
      <c r="R47" s="31"/>
      <c r="S47" s="31"/>
      <c r="T47" s="31"/>
      <c r="U47" s="31"/>
      <c r="V47" s="31"/>
      <c r="W47" s="31"/>
    </row>
    <row r="48">
      <c r="A48" s="186"/>
      <c r="B48" s="13">
        <v>1831445.0</v>
      </c>
      <c r="C48" s="14">
        <v>45991.87902777778</v>
      </c>
      <c r="D48" s="187" t="s">
        <v>97</v>
      </c>
      <c r="E48" s="188" t="s">
        <v>6749</v>
      </c>
      <c r="F48" s="189"/>
      <c r="G48" s="187" t="s">
        <v>6752</v>
      </c>
      <c r="H48" s="204"/>
      <c r="I48" s="204"/>
      <c r="J48" s="196" t="s">
        <v>6446</v>
      </c>
      <c r="K48" s="196"/>
      <c r="L48" s="192" t="str">
        <f>IFERROR(__xludf.DUMMYFUNCTION("IF(
  AND(D48=""Saída"", J48=""Sangria""),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197" t="str">
        <f>IFERROR(__xludf.DUMMYFUNCTION("IF(J48=""Compra de Mercadorias"",
   IF(
      COUNTIF(ARRAYFORMULA(TRIM(CLEAN(TO_TEXT(Notas!BS:BS)))), TRIM(CLEAN(TO_TEXT(B48)))) &gt; 0,
      ""Encontrada"",
      ""Não Encontrada""
   ),
"""")"),"Encontrada")</f>
        <v>Encontrada</v>
      </c>
      <c r="N48" s="194">
        <f>IFERROR(__xludf.DUMMYFUNCTION("ifna(VALUE(REGEXEXTRACT(E48,""[0-9.]+[,]+[0-9]+"")))"),62.14)</f>
        <v>62.14</v>
      </c>
      <c r="O48" s="205" t="str">
        <f>B8</f>
        <v>Joice</v>
      </c>
      <c r="P48" s="112"/>
      <c r="Q48" s="112"/>
      <c r="R48" s="112"/>
      <c r="S48" s="128"/>
      <c r="T48" s="129" t="str">
        <f>B9</f>
        <v>Fernando</v>
      </c>
      <c r="U48" s="112"/>
      <c r="V48" s="112"/>
      <c r="W48" s="130"/>
    </row>
    <row r="49" ht="14.25" customHeight="1">
      <c r="A49" s="186"/>
      <c r="B49" s="13">
        <v>1831499.0</v>
      </c>
      <c r="C49" s="14">
        <v>45991.88548611111</v>
      </c>
      <c r="D49" s="187" t="s">
        <v>97</v>
      </c>
      <c r="E49" s="188" t="s">
        <v>763</v>
      </c>
      <c r="F49" s="189"/>
      <c r="G49" s="187" t="s">
        <v>858</v>
      </c>
      <c r="H49" s="204"/>
      <c r="I49" s="204"/>
      <c r="J49" s="196" t="s">
        <v>6544</v>
      </c>
      <c r="K49" s="196" t="s">
        <v>5991</v>
      </c>
      <c r="L49" s="192" t="str">
        <f>IFERROR(__xludf.DUMMYFUNCTION("IF(
  AND(D49=""Saída"", J49=""Sangria""),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"),"Confirmada")</f>
        <v>Confirmada</v>
      </c>
      <c r="M49" s="198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94">
        <f>IFERROR(__xludf.DUMMYFUNCTION("ifna(VALUE(REGEXEXTRACT(E49,""[0-9.]+[,]+[0-9]+"")))"),1000.0)</f>
        <v>1000</v>
      </c>
      <c r="O49" s="52" t="str">
        <f>IFERROR(__xludf.DUMMYFUNCTION("query(C28:L507,""select Col1,Col3,Col8,Col9 where (Col8 = 'Adiantamento' or Col8 = 'Consumo') and Col9 = '""&amp;B8&amp;""'"",1)"),"Data")</f>
        <v>Data</v>
      </c>
      <c r="P49" s="53" t="str">
        <f>IFERROR(__xludf.DUMMYFUNCTION("""COMPUTED_VALUE"""),"Valor ")</f>
        <v>Valor </v>
      </c>
      <c r="Q49" s="53" t="str">
        <f>IFERROR(__xludf.DUMMYFUNCTION("""COMPUTED_VALUE"""),"Tipo")</f>
        <v>Tipo</v>
      </c>
      <c r="R49" s="53" t="str">
        <f>IFERROR(__xludf.DUMMYFUNCTION("""COMPUTED_VALUE"""),"Funcionário")</f>
        <v>Funcionário</v>
      </c>
      <c r="S49" s="55"/>
      <c r="T49" s="56" t="str">
        <f>IFERROR(__xludf.DUMMYFUNCTION("query(C28:L507,""select Col1,Col3,Col8,Col9 where (Col8 = 'Adiantamento' or Col8 = 'Consumo') and Col9 = '""&amp;B9&amp;""'"",1)"),"Data")</f>
        <v>Data</v>
      </c>
      <c r="U49" s="56" t="str">
        <f>IFERROR(__xludf.DUMMYFUNCTION("""COMPUTED_VALUE"""),"Valor ")</f>
        <v>Valor </v>
      </c>
      <c r="V49" s="56" t="str">
        <f>IFERROR(__xludf.DUMMYFUNCTION("""COMPUTED_VALUE"""),"Tipo")</f>
        <v>Tipo</v>
      </c>
      <c r="W49" s="57" t="str">
        <f>IFERROR(__xludf.DUMMYFUNCTION("""COMPUTED_VALUE"""),"Funcionário")</f>
        <v>Funcionário</v>
      </c>
    </row>
    <row r="50" ht="14.25" customHeight="1">
      <c r="A50" s="186"/>
      <c r="B50" s="13">
        <v>1831717.0</v>
      </c>
      <c r="C50" s="14">
        <v>45991.90803240741</v>
      </c>
      <c r="D50" s="187" t="s">
        <v>97</v>
      </c>
      <c r="E50" s="188" t="s">
        <v>6794</v>
      </c>
      <c r="F50" s="200"/>
      <c r="G50" s="187" t="s">
        <v>6795</v>
      </c>
      <c r="H50" s="204"/>
      <c r="I50" s="204"/>
      <c r="J50" s="196" t="s">
        <v>6551</v>
      </c>
      <c r="K50" s="196"/>
      <c r="L50" s="192" t="str">
        <f>IFERROR(__xludf.DUMMYFUNCTION("IF(
  AND(D50=""Saída"", J50=""Sangria""),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01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94">
        <f>IFERROR(__xludf.DUMMYFUNCTION("ifna(VALUE(REGEXEXTRACT(E50,""[0-9.]+[,]+[0-9]+"")))"),816.0)</f>
        <v>816</v>
      </c>
      <c r="O50" s="58"/>
      <c r="P50" s="59"/>
      <c r="Q50" s="59"/>
      <c r="R50" s="59"/>
      <c r="S50" s="61"/>
      <c r="T50" s="162">
        <f>IFERROR(__xludf.DUMMYFUNCTION("""COMPUTED_VALUE"""),45987.79835648148)</f>
        <v>45987.79836</v>
      </c>
      <c r="U50" s="59" t="str">
        <f>IFERROR(__xludf.DUMMYFUNCTION("""COMPUTED_VALUE"""),"R$ 21,13")</f>
        <v>R$ 21,13</v>
      </c>
      <c r="V50" s="59" t="str">
        <f>IFERROR(__xludf.DUMMYFUNCTION("""COMPUTED_VALUE"""),"Consumo")</f>
        <v>Consumo</v>
      </c>
      <c r="W50" s="60" t="str">
        <f>IFERROR(__xludf.DUMMYFUNCTION("""COMPUTED_VALUE"""),"Fernando")</f>
        <v>Fernando</v>
      </c>
    </row>
    <row r="51" ht="19.5" customHeight="1">
      <c r="A51" s="186"/>
      <c r="B51" s="13">
        <v>1833240.0</v>
      </c>
      <c r="C51" s="14">
        <v>45992.66065972222</v>
      </c>
      <c r="D51" s="187" t="s">
        <v>97</v>
      </c>
      <c r="E51" s="188" t="s">
        <v>6809</v>
      </c>
      <c r="F51" s="189"/>
      <c r="G51" s="187" t="s">
        <v>6812</v>
      </c>
      <c r="H51" s="204"/>
      <c r="I51" s="204"/>
      <c r="J51" s="196" t="s">
        <v>6446</v>
      </c>
      <c r="K51" s="196"/>
      <c r="L51" s="192" t="str">
        <f>IFERROR(__xludf.DUMMYFUNCTION("IF(
  AND(D51=""Saída"", J51=""Sangria""),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198" t="str">
        <f>IFERROR(__xludf.DUMMYFUNCTION("IF(J51=""Compra de Mercadorias"",
   IF(
      COUNTIF(ARRAYFORMULA(TRIM(CLEAN(TO_TEXT(Notas!BS:BS)))), TRIM(CLEAN(TO_TEXT(B51)))) &gt; 0,
      ""Encontrada"",
      ""Não Encontrada""
   ),
"""")"),"Encontrada")</f>
        <v>Encontrada</v>
      </c>
      <c r="N51" s="194">
        <f>IFERROR(__xludf.DUMMYFUNCTION("ifna(VALUE(REGEXEXTRACT(E51,""[0-9.]+[,]+[0-9]+"")))"),206.95)</f>
        <v>206.95</v>
      </c>
      <c r="O51" s="58"/>
      <c r="P51" s="59"/>
      <c r="Q51" s="59"/>
      <c r="R51" s="59"/>
      <c r="S51" s="61"/>
      <c r="T51" s="162">
        <f>IFERROR(__xludf.DUMMYFUNCTION("""COMPUTED_VALUE"""),45988.71277777778)</f>
        <v>45988.71278</v>
      </c>
      <c r="U51" s="59" t="str">
        <f>IFERROR(__xludf.DUMMYFUNCTION("""COMPUTED_VALUE"""),"R$ 11,32")</f>
        <v>R$ 11,32</v>
      </c>
      <c r="V51" s="59" t="str">
        <f>IFERROR(__xludf.DUMMYFUNCTION("""COMPUTED_VALUE"""),"Consumo")</f>
        <v>Consumo</v>
      </c>
      <c r="W51" s="60" t="str">
        <f>IFERROR(__xludf.DUMMYFUNCTION("""COMPUTED_VALUE"""),"Fernando")</f>
        <v>Fernando</v>
      </c>
    </row>
    <row r="52" ht="14.25" customHeight="1">
      <c r="A52" s="186"/>
      <c r="B52" s="13">
        <v>1833494.0</v>
      </c>
      <c r="C52" s="14">
        <v>45992.71895833333</v>
      </c>
      <c r="D52" s="187" t="s">
        <v>97</v>
      </c>
      <c r="E52" s="188" t="s">
        <v>6829</v>
      </c>
      <c r="F52" s="189"/>
      <c r="G52" s="187" t="s">
        <v>6501</v>
      </c>
      <c r="H52" s="204"/>
      <c r="I52" s="204"/>
      <c r="J52" s="196" t="s">
        <v>6080</v>
      </c>
      <c r="K52" s="196" t="s">
        <v>6197</v>
      </c>
      <c r="L52" s="192" t="str">
        <f>IFERROR(__xludf.DUMMYFUNCTION("IF(
  AND(D52=""Saída"", J52=""Sangria""),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197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94">
        <f>IFERROR(__xludf.DUMMYFUNCTION("ifna(VALUE(REGEXEXTRACT(E52,""[0-9.]+[,]+[0-9]+"")))"),23.4)</f>
        <v>23.4</v>
      </c>
      <c r="O52" s="58"/>
      <c r="P52" s="59"/>
      <c r="Q52" s="59"/>
      <c r="R52" s="59"/>
      <c r="S52" s="61"/>
      <c r="T52" s="162">
        <f>IFERROR(__xludf.DUMMYFUNCTION("""COMPUTED_VALUE"""),45989.75633101852)</f>
        <v>45989.75633</v>
      </c>
      <c r="U52" s="59" t="str">
        <f>IFERROR(__xludf.DUMMYFUNCTION("""COMPUTED_VALUE"""),"R$ 14,47")</f>
        <v>R$ 14,47</v>
      </c>
      <c r="V52" s="59" t="str">
        <f>IFERROR(__xludf.DUMMYFUNCTION("""COMPUTED_VALUE"""),"Consumo")</f>
        <v>Consumo</v>
      </c>
      <c r="W52" s="60" t="str">
        <f>IFERROR(__xludf.DUMMYFUNCTION("""COMPUTED_VALUE"""),"Fernando")</f>
        <v>Fernando</v>
      </c>
    </row>
    <row r="53" ht="14.25" customHeight="1">
      <c r="A53" s="186"/>
      <c r="B53" s="13">
        <v>1833528.0</v>
      </c>
      <c r="C53" s="14">
        <v>45992.72589120371</v>
      </c>
      <c r="D53" s="187" t="s">
        <v>97</v>
      </c>
      <c r="E53" s="188" t="s">
        <v>6842</v>
      </c>
      <c r="F53" s="189"/>
      <c r="G53" s="187" t="s">
        <v>109</v>
      </c>
      <c r="H53" s="204"/>
      <c r="I53" s="204"/>
      <c r="J53" s="196" t="s">
        <v>6080</v>
      </c>
      <c r="K53" s="196" t="s">
        <v>6159</v>
      </c>
      <c r="L53" s="192" t="str">
        <f>IFERROR(__xludf.DUMMYFUNCTION("IF(
  AND(D53=""Saída"", J53=""Sangria""),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198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94">
        <f>IFERROR(__xludf.DUMMYFUNCTION("ifna(VALUE(REGEXEXTRACT(E53,""[0-9.]+[,]+[0-9]+"")))"),26.92)</f>
        <v>26.92</v>
      </c>
      <c r="O53" s="58"/>
      <c r="P53" s="59"/>
      <c r="Q53" s="59"/>
      <c r="R53" s="59"/>
      <c r="S53" s="61"/>
      <c r="T53" s="162">
        <f>IFERROR(__xludf.DUMMYFUNCTION("""COMPUTED_VALUE"""),45992.71895833334)</f>
        <v>45992.71896</v>
      </c>
      <c r="U53" s="59" t="str">
        <f>IFERROR(__xludf.DUMMYFUNCTION("""COMPUTED_VALUE"""),"R$ 23,40")</f>
        <v>R$ 23,40</v>
      </c>
      <c r="V53" s="59" t="str">
        <f>IFERROR(__xludf.DUMMYFUNCTION("""COMPUTED_VALUE"""),"Consumo")</f>
        <v>Consumo</v>
      </c>
      <c r="W53" s="60" t="str">
        <f>IFERROR(__xludf.DUMMYFUNCTION("""COMPUTED_VALUE"""),"Fernando")</f>
        <v>Fernando</v>
      </c>
    </row>
    <row r="54" ht="14.25" customHeight="1">
      <c r="A54" s="186"/>
      <c r="B54" s="13">
        <v>1833540.0</v>
      </c>
      <c r="C54" s="14">
        <v>45992.727638888886</v>
      </c>
      <c r="D54" s="187" t="s">
        <v>97</v>
      </c>
      <c r="E54" s="188" t="s">
        <v>6475</v>
      </c>
      <c r="F54" s="189"/>
      <c r="G54" s="187" t="s">
        <v>6865</v>
      </c>
      <c r="H54" s="204"/>
      <c r="I54" s="204"/>
      <c r="J54" s="196" t="s">
        <v>6446</v>
      </c>
      <c r="K54" s="196"/>
      <c r="L54" s="192" t="str">
        <f>IFERROR(__xludf.DUMMYFUNCTION("IF(
  AND(D54=""Saída"", J54=""Sangria""),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197" t="str">
        <f>IFERROR(__xludf.DUMMYFUNCTION("IF(J54=""Compra de Mercadorias"",
   IF(
      COUNTIF(ARRAYFORMULA(TRIM(CLEAN(TO_TEXT(Notas!BS:BS)))), TRIM(CLEAN(TO_TEXT(B54)))) &gt; 0,
      ""Encontrada"",
      ""Não Encontrada""
   ),
"""")"),"Encontrada")</f>
        <v>Encontrada</v>
      </c>
      <c r="N54" s="194">
        <f>IFERROR(__xludf.DUMMYFUNCTION("ifna(VALUE(REGEXEXTRACT(E54,""[0-9.]+[,]+[0-9]+"")))"),250.0)</f>
        <v>250</v>
      </c>
      <c r="O54" s="58"/>
      <c r="P54" s="59"/>
      <c r="Q54" s="59"/>
      <c r="R54" s="59"/>
      <c r="S54" s="61"/>
      <c r="T54" s="162">
        <f>IFERROR(__xludf.DUMMYFUNCTION("""COMPUTED_VALUE"""),45993.74324074074)</f>
        <v>45993.74324</v>
      </c>
      <c r="U54" s="59" t="str">
        <f>IFERROR(__xludf.DUMMYFUNCTION("""COMPUTED_VALUE"""),"R$ 18,12")</f>
        <v>R$ 18,12</v>
      </c>
      <c r="V54" s="59" t="str">
        <f>IFERROR(__xludf.DUMMYFUNCTION("""COMPUTED_VALUE"""),"Consumo")</f>
        <v>Consumo</v>
      </c>
      <c r="W54" s="60" t="str">
        <f>IFERROR(__xludf.DUMMYFUNCTION("""COMPUTED_VALUE"""),"Fernando")</f>
        <v>Fernando</v>
      </c>
    </row>
    <row r="55" ht="14.25" customHeight="1">
      <c r="A55" s="186"/>
      <c r="B55" s="13">
        <v>1833809.0</v>
      </c>
      <c r="C55" s="14">
        <v>45992.79696759259</v>
      </c>
      <c r="D55" s="187" t="s">
        <v>97</v>
      </c>
      <c r="E55" s="188" t="s">
        <v>6880</v>
      </c>
      <c r="F55" s="189"/>
      <c r="G55" s="187" t="s">
        <v>151</v>
      </c>
      <c r="H55" s="204"/>
      <c r="I55" s="204"/>
      <c r="J55" s="196" t="s">
        <v>6080</v>
      </c>
      <c r="K55" s="196" t="s">
        <v>6111</v>
      </c>
      <c r="L55" s="192" t="str">
        <f>IFERROR(__xludf.DUMMYFUNCTION("IF(
  AND(D55=""Saída"", J55=""Sangria""),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01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94">
        <f>IFERROR(__xludf.DUMMYFUNCTION("ifna(VALUE(REGEXEXTRACT(E55,""[0-9.]+[,]+[0-9]+"")))"),13.33)</f>
        <v>13.33</v>
      </c>
      <c r="O55" s="58"/>
      <c r="P55" s="85"/>
      <c r="Q55" s="85"/>
      <c r="R55" s="85"/>
      <c r="S55" s="87"/>
      <c r="T55" s="162">
        <f>IFERROR(__xludf.DUMMYFUNCTION("""COMPUTED_VALUE"""),45994.71193287037)</f>
        <v>45994.71193</v>
      </c>
      <c r="U55" s="85" t="str">
        <f>IFERROR(__xludf.DUMMYFUNCTION("""COMPUTED_VALUE"""),"R$ 34,72")</f>
        <v>R$ 34,72</v>
      </c>
      <c r="V55" s="85" t="str">
        <f>IFERROR(__xludf.DUMMYFUNCTION("""COMPUTED_VALUE"""),"Consumo")</f>
        <v>Consumo</v>
      </c>
      <c r="W55" s="86" t="str">
        <f>IFERROR(__xludf.DUMMYFUNCTION("""COMPUTED_VALUE"""),"Fernando")</f>
        <v>Fernando</v>
      </c>
    </row>
    <row r="56" ht="14.25" customHeight="1">
      <c r="A56" s="186"/>
      <c r="B56" s="13">
        <v>1835483.0</v>
      </c>
      <c r="C56" s="14">
        <v>45993.73511574074</v>
      </c>
      <c r="D56" s="187" t="s">
        <v>97</v>
      </c>
      <c r="E56" s="188" t="s">
        <v>141</v>
      </c>
      <c r="F56" s="189"/>
      <c r="G56" s="187" t="s">
        <v>109</v>
      </c>
      <c r="H56" s="204"/>
      <c r="I56" s="204"/>
      <c r="J56" s="196" t="s">
        <v>6080</v>
      </c>
      <c r="K56" s="196" t="s">
        <v>6159</v>
      </c>
      <c r="L56" s="192" t="str">
        <f>IFERROR(__xludf.DUMMYFUNCTION("IF(
  AND(D56=""Saída"", J56=""Sangria""),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197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94">
        <f>IFERROR(__xludf.DUMMYFUNCTION("ifna(VALUE(REGEXEXTRACT(E56,""[0-9.]+[,]+[0-9]+"")))"),15.98)</f>
        <v>15.98</v>
      </c>
      <c r="O56" s="94"/>
      <c r="P56" s="95"/>
      <c r="Q56" s="95"/>
      <c r="R56" s="95"/>
      <c r="S56" s="97"/>
      <c r="T56" s="206">
        <f>IFERROR(__xludf.DUMMYFUNCTION("""COMPUTED_VALUE"""),45999.703368055554)</f>
        <v>45999.70337</v>
      </c>
      <c r="U56" s="95" t="str">
        <f>IFERROR(__xludf.DUMMYFUNCTION("""COMPUTED_VALUE"""),"R$ 20,00")</f>
        <v>R$ 20,00</v>
      </c>
      <c r="V56" s="95" t="str">
        <f>IFERROR(__xludf.DUMMYFUNCTION("""COMPUTED_VALUE"""),"Consumo")</f>
        <v>Consumo</v>
      </c>
      <c r="W56" s="96" t="str">
        <f>IFERROR(__xludf.DUMMYFUNCTION("""COMPUTED_VALUE"""),"Fernando")</f>
        <v>Fernando</v>
      </c>
    </row>
    <row r="57" ht="17.25" customHeight="1">
      <c r="A57" s="186"/>
      <c r="B57" s="13">
        <v>1835515.0</v>
      </c>
      <c r="C57" s="14">
        <v>45993.74324074074</v>
      </c>
      <c r="D57" s="187" t="s">
        <v>97</v>
      </c>
      <c r="E57" s="188" t="s">
        <v>6899</v>
      </c>
      <c r="F57" s="189"/>
      <c r="G57" s="187" t="s">
        <v>6501</v>
      </c>
      <c r="H57" s="204"/>
      <c r="I57" s="204"/>
      <c r="J57" s="196" t="s">
        <v>6080</v>
      </c>
      <c r="K57" s="196" t="s">
        <v>6197</v>
      </c>
      <c r="L57" s="192" t="str">
        <f>IFERROR(__xludf.DUMMYFUNCTION("IF(
  AND(D57=""Saída"", J57=""Sangria""),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198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94">
        <f>IFERROR(__xludf.DUMMYFUNCTION("ifna(VALUE(REGEXEXTRACT(E57,""[0-9.]+[,]+[0-9]+"")))"),18.12)</f>
        <v>18.12</v>
      </c>
      <c r="O57" s="94"/>
      <c r="P57" s="95"/>
      <c r="Q57" s="95"/>
      <c r="R57" s="95"/>
      <c r="S57" s="97"/>
      <c r="T57" s="206">
        <f>IFERROR(__xludf.DUMMYFUNCTION("""COMPUTED_VALUE"""),45999.703935185185)</f>
        <v>45999.70394</v>
      </c>
      <c r="U57" s="95" t="str">
        <f>IFERROR(__xludf.DUMMYFUNCTION("""COMPUTED_VALUE"""),"R$ 10,00")</f>
        <v>R$ 10,00</v>
      </c>
      <c r="V57" s="95" t="str">
        <f>IFERROR(__xludf.DUMMYFUNCTION("""COMPUTED_VALUE"""),"Consumo")</f>
        <v>Consumo</v>
      </c>
      <c r="W57" s="96" t="str">
        <f>IFERROR(__xludf.DUMMYFUNCTION("""COMPUTED_VALUE"""),"Fernando")</f>
        <v>Fernando</v>
      </c>
    </row>
    <row r="58" ht="14.25" customHeight="1">
      <c r="A58" s="186"/>
      <c r="B58" s="13">
        <v>1835707.0</v>
      </c>
      <c r="C58" s="14">
        <v>45993.79331018519</v>
      </c>
      <c r="D58" s="187" t="s">
        <v>97</v>
      </c>
      <c r="E58" s="188" t="s">
        <v>1647</v>
      </c>
      <c r="F58" s="189"/>
      <c r="G58" s="187" t="s">
        <v>282</v>
      </c>
      <c r="H58" s="204"/>
      <c r="I58" s="204"/>
      <c r="J58" s="196" t="s">
        <v>6080</v>
      </c>
      <c r="K58" s="196" t="s">
        <v>6111</v>
      </c>
      <c r="L58" s="192" t="str">
        <f>IFERROR(__xludf.DUMMYFUNCTION("IF(
  AND(D58=""Saída"", J58=""Sangria""),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197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94">
        <f>IFERROR(__xludf.DUMMYFUNCTION("ifna(VALUE(REGEXEXTRACT(E58,""[0-9.]+[,]+[0-9]+"")))"),11.45)</f>
        <v>11.45</v>
      </c>
      <c r="O58" s="94"/>
      <c r="P58" s="95"/>
      <c r="Q58" s="95"/>
      <c r="R58" s="95"/>
      <c r="S58" s="97"/>
      <c r="T58" s="206">
        <f>IFERROR(__xludf.DUMMYFUNCTION("""COMPUTED_VALUE"""),46000.757002314815)</f>
        <v>46000.757</v>
      </c>
      <c r="U58" s="95" t="str">
        <f>IFERROR(__xludf.DUMMYFUNCTION("""COMPUTED_VALUE"""),"R$ 33,71")</f>
        <v>R$ 33,71</v>
      </c>
      <c r="V58" s="95" t="str">
        <f>IFERROR(__xludf.DUMMYFUNCTION("""COMPUTED_VALUE"""),"Consumo")</f>
        <v>Consumo</v>
      </c>
      <c r="W58" s="96" t="str">
        <f>IFERROR(__xludf.DUMMYFUNCTION("""COMPUTED_VALUE"""),"Fernando")</f>
        <v>Fernando</v>
      </c>
    </row>
    <row r="59" ht="14.25" customHeight="1">
      <c r="A59" s="186"/>
      <c r="B59" s="13">
        <v>1835791.0</v>
      </c>
      <c r="C59" s="14">
        <v>45993.82469907407</v>
      </c>
      <c r="D59" s="187" t="s">
        <v>97</v>
      </c>
      <c r="E59" s="188" t="s">
        <v>6914</v>
      </c>
      <c r="F59" s="200"/>
      <c r="G59" s="187" t="s">
        <v>282</v>
      </c>
      <c r="H59" s="204"/>
      <c r="I59" s="204"/>
      <c r="J59" s="196" t="s">
        <v>6080</v>
      </c>
      <c r="K59" s="196" t="s">
        <v>6111</v>
      </c>
      <c r="L59" s="192" t="str">
        <f>IFERROR(__xludf.DUMMYFUNCTION("IF(
  AND(D59=""Saída"", J59=""Sangria""),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198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94">
        <f>IFERROR(__xludf.DUMMYFUNCTION("ifna(VALUE(REGEXEXTRACT(E59,""[0-9.]+[,]+[0-9]+"")))"),26.0)</f>
        <v>26</v>
      </c>
      <c r="O59" s="94"/>
      <c r="P59" s="95"/>
      <c r="Q59" s="95"/>
      <c r="R59" s="95"/>
      <c r="S59" s="97"/>
      <c r="T59" s="206">
        <f>IFERROR(__xludf.DUMMYFUNCTION("""COMPUTED_VALUE"""),46001.77606481481)</f>
        <v>46001.77606</v>
      </c>
      <c r="U59" s="95" t="str">
        <f>IFERROR(__xludf.DUMMYFUNCTION("""COMPUTED_VALUE"""),"R$ 21,64")</f>
        <v>R$ 21,64</v>
      </c>
      <c r="V59" s="95" t="str">
        <f>IFERROR(__xludf.DUMMYFUNCTION("""COMPUTED_VALUE"""),"Consumo")</f>
        <v>Consumo</v>
      </c>
      <c r="W59" s="96" t="str">
        <f>IFERROR(__xludf.DUMMYFUNCTION("""COMPUTED_VALUE"""),"Fernando")</f>
        <v>Fernando</v>
      </c>
    </row>
    <row r="60" ht="14.25" customHeight="1">
      <c r="A60" s="186"/>
      <c r="B60" s="13">
        <v>1836937.0</v>
      </c>
      <c r="C60" s="14">
        <v>45994.640856481485</v>
      </c>
      <c r="D60" s="187" t="s">
        <v>97</v>
      </c>
      <c r="E60" s="188" t="s">
        <v>6930</v>
      </c>
      <c r="F60" s="189"/>
      <c r="G60" s="187" t="s">
        <v>6931</v>
      </c>
      <c r="H60" s="204"/>
      <c r="I60" s="204"/>
      <c r="J60" s="196" t="s">
        <v>6446</v>
      </c>
      <c r="K60" s="196"/>
      <c r="L60" s="192" t="str">
        <f>IFERROR(__xludf.DUMMYFUNCTION("IF(
  AND(D60=""Saída"", J60=""Sangria""),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197" t="str">
        <f>IFERROR(__xludf.DUMMYFUNCTION("IF(J60=""Compra de Mercadorias"",
   IF(
      COUNTIF(ARRAYFORMULA(TRIM(CLEAN(TO_TEXT(Notas!BS:BS)))), TRIM(CLEAN(TO_TEXT(B60)))) &gt; 0,
      ""Encontrada"",
      ""Não Encontrada""
   ),
"""")"),"Encontrada")</f>
        <v>Encontrada</v>
      </c>
      <c r="N60" s="194">
        <f>IFERROR(__xludf.DUMMYFUNCTION("ifna(VALUE(REGEXEXTRACT(E60,""[0-9.]+[,]+[0-9]+"")))"),71.25)</f>
        <v>71.25</v>
      </c>
      <c r="O60" s="207"/>
      <c r="P60" s="208"/>
      <c r="Q60" s="209"/>
      <c r="R60" s="210"/>
      <c r="S60" s="97"/>
      <c r="T60" s="206">
        <f>IFERROR(__xludf.DUMMYFUNCTION("""COMPUTED_VALUE"""),46006.71221064815)</f>
        <v>46006.71221</v>
      </c>
      <c r="U60" s="95" t="str">
        <f>IFERROR(__xludf.DUMMYFUNCTION("""COMPUTED_VALUE"""),"R$ 13,00")</f>
        <v>R$ 13,00</v>
      </c>
      <c r="V60" s="95" t="str">
        <f>IFERROR(__xludf.DUMMYFUNCTION("""COMPUTED_VALUE"""),"Consumo")</f>
        <v>Consumo</v>
      </c>
      <c r="W60" s="96" t="str">
        <f>IFERROR(__xludf.DUMMYFUNCTION("""COMPUTED_VALUE"""),"Fernando")</f>
        <v>Fernando</v>
      </c>
    </row>
    <row r="61" ht="14.25" customHeight="1">
      <c r="A61" s="186"/>
      <c r="B61" s="13">
        <v>1836946.0</v>
      </c>
      <c r="C61" s="14">
        <v>45994.642592592594</v>
      </c>
      <c r="D61" s="187" t="s">
        <v>97</v>
      </c>
      <c r="E61" s="188" t="s">
        <v>6951</v>
      </c>
      <c r="F61" s="189"/>
      <c r="G61" s="187" t="s">
        <v>6953</v>
      </c>
      <c r="H61" s="204"/>
      <c r="I61" s="204"/>
      <c r="J61" s="196" t="s">
        <v>6446</v>
      </c>
      <c r="K61" s="196"/>
      <c r="L61" s="192" t="str">
        <f>IFERROR(__xludf.DUMMYFUNCTION("IF(
  AND(D61=""Saída"", J61=""Sangria""),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198" t="str">
        <f>IFERROR(__xludf.DUMMYFUNCTION("IF(J61=""Compra de Mercadorias"",
   IF(
      COUNTIF(ARRAYFORMULA(TRIM(CLEAN(TO_TEXT(Notas!BS:BS)))), TRIM(CLEAN(TO_TEXT(B61)))) &gt; 0,
      ""Encontrada"",
      ""Não Encontrada""
   ),
"""")"),"Encontrada")</f>
        <v>Encontrada</v>
      </c>
      <c r="N61" s="194">
        <f>IFERROR(__xludf.DUMMYFUNCTION("ifna(VALUE(REGEXEXTRACT(E61,""[0-9.]+[,]+[0-9]+"")))"),354.5)</f>
        <v>354.5</v>
      </c>
      <c r="O61" s="94"/>
      <c r="P61" s="95"/>
      <c r="Q61" s="95"/>
      <c r="R61" s="95"/>
      <c r="S61" s="97"/>
      <c r="T61" s="95"/>
      <c r="U61" s="95"/>
      <c r="V61" s="95"/>
      <c r="W61" s="96"/>
    </row>
    <row r="62" ht="14.25" customHeight="1">
      <c r="A62" s="186"/>
      <c r="B62" s="13">
        <v>1837199.0</v>
      </c>
      <c r="C62" s="14">
        <v>45994.695543981485</v>
      </c>
      <c r="D62" s="187" t="s">
        <v>97</v>
      </c>
      <c r="E62" s="188" t="s">
        <v>6969</v>
      </c>
      <c r="F62" s="189"/>
      <c r="G62" s="187" t="s">
        <v>6970</v>
      </c>
      <c r="H62" s="204"/>
      <c r="I62" s="204"/>
      <c r="J62" s="196" t="s">
        <v>6446</v>
      </c>
      <c r="K62" s="196"/>
      <c r="L62" s="192" t="str">
        <f>IFERROR(__xludf.DUMMYFUNCTION("IF(
  AND(D62=""Saída"", J62=""Sangria""),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197" t="str">
        <f>IFERROR(__xludf.DUMMYFUNCTION("IF(J62=""Compra de Mercadorias"",
   IF(
      COUNTIF(ARRAYFORMULA(TRIM(CLEAN(TO_TEXT(Notas!BS:BS)))), TRIM(CLEAN(TO_TEXT(B62)))) &gt; 0,
      ""Encontrada"",
      ""Não Encontrada""
   ),
"""")"),"Encontrada")</f>
        <v>Encontrada</v>
      </c>
      <c r="N62" s="194">
        <f>IFERROR(__xludf.DUMMYFUNCTION("ifna(VALUE(REGEXEXTRACT(E62,""[0-9.]+[,]+[0-9]+"")))"),1078.11)</f>
        <v>1078.11</v>
      </c>
      <c r="O62" s="94"/>
      <c r="P62" s="95"/>
      <c r="Q62" s="95"/>
      <c r="R62" s="95"/>
      <c r="S62" s="97"/>
      <c r="T62" s="95"/>
      <c r="U62" s="95"/>
      <c r="V62" s="95"/>
      <c r="W62" s="96"/>
    </row>
    <row r="63" ht="14.25" customHeight="1">
      <c r="A63" s="186"/>
      <c r="B63" s="13">
        <v>1837276.0</v>
      </c>
      <c r="C63" s="14">
        <v>45994.71193287037</v>
      </c>
      <c r="D63" s="187" t="s">
        <v>97</v>
      </c>
      <c r="E63" s="188" t="s">
        <v>6979</v>
      </c>
      <c r="F63" s="189"/>
      <c r="G63" s="187" t="s">
        <v>6501</v>
      </c>
      <c r="H63" s="204"/>
      <c r="I63" s="204"/>
      <c r="J63" s="196" t="s">
        <v>6080</v>
      </c>
      <c r="K63" s="196" t="s">
        <v>6197</v>
      </c>
      <c r="L63" s="192" t="str">
        <f>IFERROR(__xludf.DUMMYFUNCTION("IF(
  AND(D63=""Saída"", J63=""Sangria""),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198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94">
        <f>IFERROR(__xludf.DUMMYFUNCTION("ifna(VALUE(REGEXEXTRACT(E63,""[0-9.]+[,]+[0-9]+"")))"),34.72)</f>
        <v>34.72</v>
      </c>
      <c r="O63" s="114"/>
      <c r="P63" s="115"/>
      <c r="Q63" s="115"/>
      <c r="R63" s="115"/>
      <c r="S63" s="116"/>
      <c r="T63" s="115"/>
      <c r="U63" s="115"/>
      <c r="V63" s="115"/>
      <c r="W63" s="117"/>
    </row>
    <row r="64" ht="35.25" customHeight="1">
      <c r="A64" s="186"/>
      <c r="B64" s="13">
        <v>1837362.0</v>
      </c>
      <c r="C64" s="14">
        <v>45994.726956018516</v>
      </c>
      <c r="D64" s="187" t="s">
        <v>97</v>
      </c>
      <c r="E64" s="188" t="s">
        <v>6997</v>
      </c>
      <c r="F64" s="189"/>
      <c r="G64" s="187" t="s">
        <v>109</v>
      </c>
      <c r="H64" s="204"/>
      <c r="I64" s="204"/>
      <c r="J64" s="196" t="s">
        <v>6080</v>
      </c>
      <c r="K64" s="196" t="s">
        <v>6159</v>
      </c>
      <c r="L64" s="192" t="str">
        <f>IFERROR(__xludf.DUMMYFUNCTION("IF(
  AND(D64=""Saída"", J64=""Sangria""),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197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94">
        <f>IFERROR(__xludf.DUMMYFUNCTION("ifna(VALUE(REGEXEXTRACT(E64,""[0-9.]+[,]+[0-9]+"")))"),21.86)</f>
        <v>21.86</v>
      </c>
      <c r="S64" s="31"/>
    </row>
    <row r="65" ht="14.25" customHeight="1">
      <c r="A65" s="186"/>
      <c r="B65" s="13">
        <v>1837660.0</v>
      </c>
      <c r="C65" s="14">
        <v>45994.80197916667</v>
      </c>
      <c r="D65" s="187" t="s">
        <v>97</v>
      </c>
      <c r="E65" s="188" t="s">
        <v>7010</v>
      </c>
      <c r="F65" s="200"/>
      <c r="G65" s="187" t="s">
        <v>282</v>
      </c>
      <c r="H65" s="204"/>
      <c r="I65" s="204"/>
      <c r="J65" s="196" t="s">
        <v>6080</v>
      </c>
      <c r="K65" s="196" t="s">
        <v>6111</v>
      </c>
      <c r="L65" s="192" t="str">
        <f>IFERROR(__xludf.DUMMYFUNCTION("IF(
  AND(D65=""Saída"", J65=""Sangria""),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198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94">
        <f>IFERROR(__xludf.DUMMYFUNCTION("ifna(VALUE(REGEXEXTRACT(E65,""[0-9.]+[,]+[0-9]+"")))"),11.2)</f>
        <v>11.2</v>
      </c>
      <c r="S65" s="31"/>
    </row>
    <row r="66" ht="14.25" customHeight="1">
      <c r="A66" s="186"/>
      <c r="B66" s="13">
        <v>1839079.0</v>
      </c>
      <c r="C66" s="14">
        <v>45995.69447916667</v>
      </c>
      <c r="D66" s="187" t="s">
        <v>97</v>
      </c>
      <c r="E66" s="188" t="s">
        <v>7019</v>
      </c>
      <c r="F66" s="189"/>
      <c r="G66" s="187" t="s">
        <v>7020</v>
      </c>
      <c r="H66" s="204"/>
      <c r="I66" s="204"/>
      <c r="J66" s="196" t="s">
        <v>6446</v>
      </c>
      <c r="K66" s="196"/>
      <c r="L66" s="192" t="str">
        <f>IFERROR(__xludf.DUMMYFUNCTION("IF(
  AND(D66=""Saída"", J66=""Sangria""),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197" t="str">
        <f>IFERROR(__xludf.DUMMYFUNCTION("IF(J66=""Compra de Mercadorias"",
   IF(
      COUNTIF(ARRAYFORMULA(TRIM(CLEAN(TO_TEXT(Notas!BS:BS)))), TRIM(CLEAN(TO_TEXT(B66)))) &gt; 0,
      ""Encontrada"",
      ""Não Encontrada""
   ),
"""")"),"Encontrada")</f>
        <v>Encontrada</v>
      </c>
      <c r="N66" s="194">
        <f>IFERROR(__xludf.DUMMYFUNCTION("ifna(VALUE(REGEXEXTRACT(E66,""[0-9.]+[,]+[0-9]+"")))"),279.0)</f>
        <v>279</v>
      </c>
      <c r="S66" s="31"/>
    </row>
    <row r="67" ht="14.25" customHeight="1">
      <c r="A67" s="186"/>
      <c r="B67" s="13">
        <v>1839167.0</v>
      </c>
      <c r="C67" s="14">
        <v>45995.71501157407</v>
      </c>
      <c r="D67" s="187" t="s">
        <v>97</v>
      </c>
      <c r="E67" s="188" t="s">
        <v>7026</v>
      </c>
      <c r="F67" s="189"/>
      <c r="G67" s="187" t="s">
        <v>109</v>
      </c>
      <c r="H67" s="204"/>
      <c r="I67" s="204"/>
      <c r="J67" s="196" t="s">
        <v>6080</v>
      </c>
      <c r="K67" s="196" t="s">
        <v>6159</v>
      </c>
      <c r="L67" s="192" t="str">
        <f>IFERROR(__xludf.DUMMYFUNCTION("IF(
  AND(D67=""Saída"", J67=""Sangria""),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198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94">
        <f>IFERROR(__xludf.DUMMYFUNCTION("ifna(VALUE(REGEXEXTRACT(E67,""[0-9.]+[,]+[0-9]+"")))"),23.02)</f>
        <v>23.02</v>
      </c>
      <c r="S67" s="31"/>
    </row>
    <row r="68">
      <c r="A68" s="186"/>
      <c r="B68" s="13">
        <v>1839428.0</v>
      </c>
      <c r="C68" s="14">
        <v>45995.77311342592</v>
      </c>
      <c r="D68" s="187" t="s">
        <v>97</v>
      </c>
      <c r="E68" s="188" t="s">
        <v>7036</v>
      </c>
      <c r="F68" s="200"/>
      <c r="G68" s="187" t="s">
        <v>109</v>
      </c>
      <c r="H68" s="204"/>
      <c r="I68" s="204"/>
      <c r="J68" s="196" t="s">
        <v>6080</v>
      </c>
      <c r="K68" s="196" t="s">
        <v>6159</v>
      </c>
      <c r="L68" s="192" t="str">
        <f>IFERROR(__xludf.DUMMYFUNCTION("IF(
  AND(D68=""Saída"", J68=""Sangria""),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197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94">
        <f>IFERROR(__xludf.DUMMYFUNCTION("ifna(VALUE(REGEXEXTRACT(E68,""[0-9.]+[,]+[0-9]+"")))"),23.9)</f>
        <v>23.9</v>
      </c>
      <c r="O68" s="205" t="str">
        <f>B10</f>
        <v/>
      </c>
      <c r="P68" s="112"/>
      <c r="Q68" s="112"/>
      <c r="R68" s="112"/>
      <c r="S68" s="128"/>
      <c r="T68" s="129" t="str">
        <f>B11</f>
        <v/>
      </c>
      <c r="U68" s="112"/>
      <c r="V68" s="112"/>
      <c r="W68" s="130"/>
    </row>
    <row r="69" ht="14.25" customHeight="1">
      <c r="A69" s="186"/>
      <c r="B69" s="13">
        <v>1841202.0</v>
      </c>
      <c r="C69" s="14">
        <v>45996.7006712963</v>
      </c>
      <c r="D69" s="187" t="s">
        <v>97</v>
      </c>
      <c r="E69" s="188" t="s">
        <v>7058</v>
      </c>
      <c r="F69" s="189"/>
      <c r="G69" s="187" t="s">
        <v>7059</v>
      </c>
      <c r="H69" s="204"/>
      <c r="I69" s="204"/>
      <c r="J69" s="196" t="s">
        <v>6446</v>
      </c>
      <c r="K69" s="196"/>
      <c r="L69" s="192" t="str">
        <f>IFERROR(__xludf.DUMMYFUNCTION("IF(
  AND(D69=""Saída"", J69=""Sangria""),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198" t="str">
        <f>IFERROR(__xludf.DUMMYFUNCTION("IF(J69=""Compra de Mercadorias"",
   IF(
      COUNTIF(ARRAYFORMULA(TRIM(CLEAN(TO_TEXT(Notas!BS:BS)))), TRIM(CLEAN(TO_TEXT(B69)))) &gt; 0,
      ""Encontrada"",
      ""Não Encontrada""
   ),
"""")"),"Encontrada")</f>
        <v>Encontrada</v>
      </c>
      <c r="N69" s="194">
        <f>IFERROR(__xludf.DUMMYFUNCTION("ifna(VALUE(REGEXEXTRACT(E69,""[0-9.]+[,]+[0-9]+"")))"),375.0)</f>
        <v>375</v>
      </c>
      <c r="O69" s="52" t="str">
        <f>IFERROR(__xludf.DUMMYFUNCTION("query(C28:L507,""select Col1,Col3,Col8,Col9 where (Col8 = 'Adiantamento' or Col8 = 'Consumo') and Col9 = '""&amp;B10&amp;""'"",1)"),"Data")</f>
        <v>Data</v>
      </c>
      <c r="P69" s="53" t="str">
        <f>IFERROR(__xludf.DUMMYFUNCTION("""COMPUTED_VALUE"""),"Valor ")</f>
        <v>Valor </v>
      </c>
      <c r="Q69" s="53" t="str">
        <f>IFERROR(__xludf.DUMMYFUNCTION("""COMPUTED_VALUE"""),"Tipo")</f>
        <v>Tipo</v>
      </c>
      <c r="R69" s="53" t="str">
        <f>IFERROR(__xludf.DUMMYFUNCTION("""COMPUTED_VALUE"""),"Funcionário")</f>
        <v>Funcionário</v>
      </c>
      <c r="S69" s="55"/>
      <c r="T69" s="56" t="str">
        <f>IFERROR(__xludf.DUMMYFUNCTION("query(C28:L507,""select Col1,Col3,Col8,Col9 where (Col8 = 'Adiantamento' or Col8 = 'Consumo') and Col9 = '""&amp;B11&amp;""'"",1)"),"Data")</f>
        <v>Data</v>
      </c>
      <c r="U69" s="56" t="str">
        <f>IFERROR(__xludf.DUMMYFUNCTION("""COMPUTED_VALUE"""),"Valor ")</f>
        <v>Valor </v>
      </c>
      <c r="V69" s="56" t="str">
        <f>IFERROR(__xludf.DUMMYFUNCTION("""COMPUTED_VALUE"""),"Tipo")</f>
        <v>Tipo</v>
      </c>
      <c r="W69" s="57" t="str">
        <f>IFERROR(__xludf.DUMMYFUNCTION("""COMPUTED_VALUE"""),"Funcionário")</f>
        <v>Funcionário</v>
      </c>
    </row>
    <row r="70" ht="14.25" customHeight="1">
      <c r="A70" s="186"/>
      <c r="B70" s="13">
        <v>1843049.0</v>
      </c>
      <c r="C70" s="14">
        <v>45997.57671296296</v>
      </c>
      <c r="D70" s="187" t="s">
        <v>97</v>
      </c>
      <c r="E70" s="188" t="s">
        <v>7089</v>
      </c>
      <c r="F70" s="189"/>
      <c r="G70" s="187" t="s">
        <v>7090</v>
      </c>
      <c r="H70" s="204"/>
      <c r="I70" s="204"/>
      <c r="J70" s="196" t="s">
        <v>6446</v>
      </c>
      <c r="K70" s="196"/>
      <c r="L70" s="192" t="str">
        <f>IFERROR(__xludf.DUMMYFUNCTION("IF(
  AND(D70=""Saída"", J70=""Sangria""),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197" t="str">
        <f>IFERROR(__xludf.DUMMYFUNCTION("IF(J70=""Compra de Mercadorias"",
   IF(
      COUNTIF(ARRAYFORMULA(TRIM(CLEAN(TO_TEXT(Notas!BS:BS)))), TRIM(CLEAN(TO_TEXT(B70)))) &gt; 0,
      ""Encontrada"",
      ""Não Encontrada""
   ),
"""")"),"Encontrada")</f>
        <v>Encontrada</v>
      </c>
      <c r="N70" s="194">
        <f>IFERROR(__xludf.DUMMYFUNCTION("ifna(VALUE(REGEXEXTRACT(E70,""[0-9.]+[,]+[0-9]+"")))"),118.47)</f>
        <v>118.47</v>
      </c>
      <c r="O70" s="58"/>
      <c r="P70" s="59"/>
      <c r="Q70" s="59"/>
      <c r="R70" s="59"/>
      <c r="S70" s="61"/>
      <c r="T70" s="59"/>
      <c r="U70" s="59"/>
      <c r="V70" s="59"/>
      <c r="W70" s="60"/>
    </row>
    <row r="71" ht="14.25" customHeight="1">
      <c r="A71" s="186"/>
      <c r="B71" s="13">
        <v>1844311.0</v>
      </c>
      <c r="C71" s="14">
        <v>45997.846712962964</v>
      </c>
      <c r="D71" s="187" t="s">
        <v>97</v>
      </c>
      <c r="E71" s="188" t="s">
        <v>6764</v>
      </c>
      <c r="F71" s="189"/>
      <c r="G71" s="187" t="s">
        <v>7103</v>
      </c>
      <c r="H71" s="204"/>
      <c r="I71" s="204"/>
      <c r="J71" s="196" t="s">
        <v>6446</v>
      </c>
      <c r="K71" s="196"/>
      <c r="L71" s="192" t="str">
        <f>IFERROR(__xludf.DUMMYFUNCTION("IF(
  AND(D71=""Saída"", J71=""Sangria""),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198" t="str">
        <f>IFERROR(__xludf.DUMMYFUNCTION("IF(J71=""Compra de Mercadorias"",
   IF(
      COUNTIF(ARRAYFORMULA(TRIM(CLEAN(TO_TEXT(Notas!BS:BS)))), TRIM(CLEAN(TO_TEXT(B71)))) &gt; 0,
      ""Encontrada"",
      ""Não Encontrada""
   ),
"""")"),"Encontrada")</f>
        <v>Encontrada</v>
      </c>
      <c r="N71" s="194">
        <f>IFERROR(__xludf.DUMMYFUNCTION("ifna(VALUE(REGEXEXTRACT(E71,""[0-9.]+[,]+[0-9]+"")))"),85.0)</f>
        <v>85</v>
      </c>
      <c r="O71" s="58"/>
      <c r="P71" s="59"/>
      <c r="Q71" s="59"/>
      <c r="R71" s="59"/>
      <c r="S71" s="61"/>
      <c r="T71" s="59"/>
      <c r="U71" s="59"/>
      <c r="V71" s="59"/>
      <c r="W71" s="60"/>
    </row>
    <row r="72" ht="14.25" customHeight="1">
      <c r="A72" s="186"/>
      <c r="B72" s="13">
        <v>1844740.0</v>
      </c>
      <c r="C72" s="14">
        <v>45997.91260416667</v>
      </c>
      <c r="D72" s="187" t="s">
        <v>97</v>
      </c>
      <c r="E72" s="188" t="s">
        <v>7119</v>
      </c>
      <c r="F72" s="189"/>
      <c r="G72" s="187" t="s">
        <v>7120</v>
      </c>
      <c r="H72" s="204"/>
      <c r="I72" s="204"/>
      <c r="J72" s="196" t="s">
        <v>6469</v>
      </c>
      <c r="K72" s="196"/>
      <c r="L72" s="192" t="str">
        <f>IFERROR(__xludf.DUMMYFUNCTION("IF(
  AND(D72=""Saída"", J72=""Sangria""),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197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94">
        <f>IFERROR(__xludf.DUMMYFUNCTION("ifna(VALUE(REGEXEXTRACT(E72,""[0-9.]+[,]+[0-9]+"")))"),1419.81)</f>
        <v>1419.81</v>
      </c>
      <c r="O72" s="58"/>
      <c r="P72" s="59"/>
      <c r="Q72" s="59"/>
      <c r="R72" s="59"/>
      <c r="S72" s="61"/>
      <c r="T72" s="59"/>
      <c r="U72" s="59"/>
      <c r="V72" s="59"/>
      <c r="W72" s="60"/>
    </row>
    <row r="73" ht="14.25" customHeight="1">
      <c r="A73" s="186"/>
      <c r="B73" s="13">
        <v>1844796.0</v>
      </c>
      <c r="C73" s="14">
        <v>45997.91841435185</v>
      </c>
      <c r="D73" s="187" t="s">
        <v>97</v>
      </c>
      <c r="E73" s="188" t="s">
        <v>6547</v>
      </c>
      <c r="F73" s="189"/>
      <c r="G73" s="187" t="s">
        <v>7124</v>
      </c>
      <c r="H73" s="204"/>
      <c r="I73" s="204"/>
      <c r="J73" s="196" t="s">
        <v>6469</v>
      </c>
      <c r="K73" s="196"/>
      <c r="L73" s="192" t="str">
        <f>IFERROR(__xludf.DUMMYFUNCTION("IF(
  AND(D73=""Saída"", J73=""Sangria""),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198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94">
        <f>IFERROR(__xludf.DUMMYFUNCTION("ifna(VALUE(REGEXEXTRACT(E73,""[0-9.]+[,]+[0-9]+"")))"),117.0)</f>
        <v>117</v>
      </c>
      <c r="O73" s="58"/>
      <c r="P73" s="59"/>
      <c r="Q73" s="59"/>
      <c r="R73" s="59"/>
      <c r="S73" s="61"/>
      <c r="T73" s="59"/>
      <c r="U73" s="59"/>
      <c r="V73" s="59"/>
      <c r="W73" s="60"/>
    </row>
    <row r="74" ht="17.25" customHeight="1">
      <c r="A74" s="186"/>
      <c r="B74" s="13">
        <v>1844805.0</v>
      </c>
      <c r="C74" s="14">
        <v>45997.91913194444</v>
      </c>
      <c r="D74" s="187" t="s">
        <v>97</v>
      </c>
      <c r="E74" s="188" t="s">
        <v>6547</v>
      </c>
      <c r="F74" s="189"/>
      <c r="G74" s="187" t="s">
        <v>7156</v>
      </c>
      <c r="H74" s="204"/>
      <c r="I74" s="204"/>
      <c r="J74" s="196" t="s">
        <v>6469</v>
      </c>
      <c r="K74" s="196"/>
      <c r="L74" s="192" t="str">
        <f>IFERROR(__xludf.DUMMYFUNCTION("IF(
  AND(D74=""Saída"", J74=""Sangria""),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197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94">
        <f>IFERROR(__xludf.DUMMYFUNCTION("ifna(VALUE(REGEXEXTRACT(E74,""[0-9.]+[,]+[0-9]+"")))"),117.0)</f>
        <v>117</v>
      </c>
      <c r="O74" s="58"/>
      <c r="P74" s="59"/>
      <c r="Q74" s="59"/>
      <c r="R74" s="59"/>
      <c r="S74" s="61"/>
      <c r="T74" s="59"/>
      <c r="U74" s="59"/>
      <c r="V74" s="59"/>
      <c r="W74" s="60"/>
    </row>
    <row r="75">
      <c r="A75" s="186"/>
      <c r="B75" s="13">
        <v>1847808.0</v>
      </c>
      <c r="C75" s="14">
        <v>45998.90467592593</v>
      </c>
      <c r="D75" s="187" t="s">
        <v>97</v>
      </c>
      <c r="E75" s="188" t="s">
        <v>6561</v>
      </c>
      <c r="F75" s="189"/>
      <c r="G75" s="187" t="s">
        <v>7174</v>
      </c>
      <c r="H75" s="204"/>
      <c r="I75" s="204"/>
      <c r="J75" s="196" t="s">
        <v>6469</v>
      </c>
      <c r="K75" s="196"/>
      <c r="L75" s="192" t="str">
        <f>IFERROR(__xludf.DUMMYFUNCTION("IF(
  AND(D75=""Saída"", J75=""Sangria""),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198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94">
        <f>IFERROR(__xludf.DUMMYFUNCTION("ifna(VALUE(REGEXEXTRACT(E75,""[0-9.]+[,]+[0-9]+"")))"),123.0)</f>
        <v>123</v>
      </c>
      <c r="O75" s="58"/>
      <c r="P75" s="85"/>
      <c r="Q75" s="85"/>
      <c r="R75" s="85"/>
      <c r="S75" s="87"/>
      <c r="T75" s="85"/>
      <c r="U75" s="85"/>
      <c r="V75" s="85"/>
      <c r="W75" s="86"/>
    </row>
    <row r="76" ht="28.5" customHeight="1">
      <c r="A76" s="186"/>
      <c r="B76" s="13">
        <v>1847815.0</v>
      </c>
      <c r="C76" s="14">
        <v>45998.90534722222</v>
      </c>
      <c r="D76" s="187" t="s">
        <v>97</v>
      </c>
      <c r="E76" s="188" t="s">
        <v>6895</v>
      </c>
      <c r="F76" s="189"/>
      <c r="G76" s="187" t="s">
        <v>7179</v>
      </c>
      <c r="H76" s="204"/>
      <c r="I76" s="204"/>
      <c r="J76" s="196" t="s">
        <v>6469</v>
      </c>
      <c r="K76" s="196"/>
      <c r="L76" s="192" t="str">
        <f>IFERROR(__xludf.DUMMYFUNCTION("IF(
  AND(D76=""Saída"", J76=""Sangria""),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197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94">
        <f>IFERROR(__xludf.DUMMYFUNCTION("ifna(VALUE(REGEXEXTRACT(E76,""[0-9.]+[,]+[0-9]+"")))"),97.0)</f>
        <v>97</v>
      </c>
      <c r="O76" s="94"/>
      <c r="P76" s="95"/>
      <c r="Q76" s="95"/>
      <c r="R76" s="95"/>
      <c r="S76" s="97"/>
      <c r="T76" s="95"/>
      <c r="U76" s="95"/>
      <c r="V76" s="95"/>
      <c r="W76" s="96"/>
    </row>
    <row r="77" ht="14.25" customHeight="1">
      <c r="A77" s="186"/>
      <c r="B77" s="13">
        <v>1847837.0</v>
      </c>
      <c r="C77" s="14">
        <v>45998.90729166667</v>
      </c>
      <c r="D77" s="187" t="s">
        <v>97</v>
      </c>
      <c r="E77" s="188" t="s">
        <v>6547</v>
      </c>
      <c r="F77" s="189"/>
      <c r="G77" s="187" t="s">
        <v>7124</v>
      </c>
      <c r="H77" s="204"/>
      <c r="I77" s="204"/>
      <c r="J77" s="196" t="s">
        <v>6469</v>
      </c>
      <c r="K77" s="196"/>
      <c r="L77" s="192" t="str">
        <f>IFERROR(__xludf.DUMMYFUNCTION("IF(
  AND(D77=""Saída"", J77=""Sangria""),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198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94">
        <f>IFERROR(__xludf.DUMMYFUNCTION("ifna(VALUE(REGEXEXTRACT(E77,""[0-9.]+[,]+[0-9]+"")))"),117.0)</f>
        <v>117</v>
      </c>
      <c r="O77" s="207"/>
      <c r="P77" s="208"/>
      <c r="Q77" s="209"/>
      <c r="R77" s="210"/>
      <c r="S77" s="97"/>
      <c r="T77" s="95"/>
      <c r="U77" s="95"/>
      <c r="V77" s="95"/>
      <c r="W77" s="96"/>
    </row>
    <row r="78" ht="34.5" customHeight="1">
      <c r="A78" s="186"/>
      <c r="B78" s="13">
        <v>1847841.0</v>
      </c>
      <c r="C78" s="14">
        <v>45998.9078125</v>
      </c>
      <c r="D78" s="187" t="s">
        <v>97</v>
      </c>
      <c r="E78" s="188" t="s">
        <v>6547</v>
      </c>
      <c r="F78" s="200"/>
      <c r="G78" s="187" t="s">
        <v>7208</v>
      </c>
      <c r="H78" s="204"/>
      <c r="I78" s="204"/>
      <c r="J78" s="196" t="s">
        <v>6469</v>
      </c>
      <c r="K78" s="196"/>
      <c r="L78" s="192" t="str">
        <f>IFERROR(__xludf.DUMMYFUNCTION("IF(
  AND(D78=""Saída"", J78=""Sangria""),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197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94">
        <f>IFERROR(__xludf.DUMMYFUNCTION("ifna(VALUE(REGEXEXTRACT(E78,""[0-9.]+[,]+[0-9]+"")))"),117.0)</f>
        <v>117</v>
      </c>
      <c r="O78" s="207"/>
      <c r="P78" s="208"/>
      <c r="Q78" s="209"/>
      <c r="R78" s="210"/>
      <c r="S78" s="97"/>
      <c r="T78" s="95"/>
      <c r="U78" s="95"/>
      <c r="V78" s="95"/>
      <c r="W78" s="96"/>
    </row>
    <row r="79" ht="14.25" customHeight="1">
      <c r="A79" s="186"/>
      <c r="B79" s="13">
        <v>1847850.0</v>
      </c>
      <c r="C79" s="14">
        <v>45998.9084375</v>
      </c>
      <c r="D79" s="187" t="s">
        <v>97</v>
      </c>
      <c r="E79" s="188" t="s">
        <v>6547</v>
      </c>
      <c r="F79" s="189"/>
      <c r="G79" s="187" t="s">
        <v>6732</v>
      </c>
      <c r="H79" s="204"/>
      <c r="I79" s="204"/>
      <c r="J79" s="196" t="s">
        <v>6469</v>
      </c>
      <c r="K79" s="196"/>
      <c r="L79" s="192" t="str">
        <f>IFERROR(__xludf.DUMMYFUNCTION("IF(
  AND(D79=""Saída"", J79=""Sangria""),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198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94">
        <f>IFERROR(__xludf.DUMMYFUNCTION("ifna(VALUE(REGEXEXTRACT(E79,""[0-9.]+[,]+[0-9]+"")))"),117.0)</f>
        <v>117</v>
      </c>
      <c r="O79" s="207"/>
      <c r="P79" s="208"/>
      <c r="Q79" s="209"/>
      <c r="R79" s="210"/>
      <c r="S79" s="97"/>
      <c r="T79" s="95"/>
      <c r="U79" s="95"/>
      <c r="V79" s="95"/>
      <c r="W79" s="96"/>
    </row>
    <row r="80" ht="14.25" customHeight="1">
      <c r="A80" s="186"/>
      <c r="B80" s="13">
        <v>1847982.0</v>
      </c>
      <c r="C80" s="14">
        <v>45998.91826388889</v>
      </c>
      <c r="D80" s="187" t="s">
        <v>97</v>
      </c>
      <c r="E80" s="188" t="s">
        <v>7240</v>
      </c>
      <c r="F80" s="189"/>
      <c r="G80" s="187" t="s">
        <v>7241</v>
      </c>
      <c r="H80" s="204"/>
      <c r="I80" s="204"/>
      <c r="J80" s="196" t="s">
        <v>6551</v>
      </c>
      <c r="K80" s="196"/>
      <c r="L80" s="192" t="str">
        <f>IFERROR(__xludf.DUMMYFUNCTION("IF(
  AND(D80=""Saída"", J80=""Sangria""),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197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94">
        <f>IFERROR(__xludf.DUMMYFUNCTION("ifna(VALUE(REGEXEXTRACT(E80,""[0-9.]+[,]+[0-9]+"")))"),917.0)</f>
        <v>917</v>
      </c>
      <c r="O80" s="207"/>
      <c r="P80" s="208"/>
      <c r="Q80" s="209"/>
      <c r="R80" s="210"/>
      <c r="S80" s="97"/>
      <c r="T80" s="95"/>
      <c r="U80" s="95"/>
      <c r="V80" s="95"/>
      <c r="W80" s="96"/>
    </row>
    <row r="81" ht="14.25" customHeight="1">
      <c r="A81" s="186"/>
      <c r="B81" s="13">
        <v>1848061.0</v>
      </c>
      <c r="C81" s="14">
        <v>45998.92259259259</v>
      </c>
      <c r="D81" s="187" t="s">
        <v>97</v>
      </c>
      <c r="E81" s="188" t="s">
        <v>7252</v>
      </c>
      <c r="F81" s="200"/>
      <c r="G81" s="187" t="s">
        <v>858</v>
      </c>
      <c r="H81" s="204"/>
      <c r="I81" s="204"/>
      <c r="J81" s="196" t="s">
        <v>6544</v>
      </c>
      <c r="K81" s="196" t="s">
        <v>5991</v>
      </c>
      <c r="L81" s="192" t="str">
        <f>IFERROR(__xludf.DUMMYFUNCTION("IF(
  AND(D81=""Saída"", J81=""Sangria""),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"),"Confirmada")</f>
        <v>Confirmada</v>
      </c>
      <c r="M81" s="198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94">
        <f>IFERROR(__xludf.DUMMYFUNCTION("ifna(VALUE(REGEXEXTRACT(E81,""[0-9.]+[,]+[0-9]+"")))"),2500.0)</f>
        <v>2500</v>
      </c>
      <c r="O81" s="94"/>
      <c r="P81" s="95"/>
      <c r="Q81" s="95"/>
      <c r="R81" s="95"/>
      <c r="S81" s="97"/>
      <c r="T81" s="95"/>
      <c r="U81" s="95"/>
      <c r="V81" s="95"/>
      <c r="W81" s="96"/>
    </row>
    <row r="82" ht="14.25" customHeight="1">
      <c r="A82" s="186"/>
      <c r="B82" s="13">
        <v>1849534.0</v>
      </c>
      <c r="C82" s="14">
        <v>45999.703368055554</v>
      </c>
      <c r="D82" s="187" t="s">
        <v>97</v>
      </c>
      <c r="E82" s="188" t="s">
        <v>1164</v>
      </c>
      <c r="F82" s="189"/>
      <c r="G82" s="187" t="s">
        <v>6501</v>
      </c>
      <c r="H82" s="204"/>
      <c r="I82" s="204"/>
      <c r="J82" s="196" t="s">
        <v>6080</v>
      </c>
      <c r="K82" s="196" t="s">
        <v>6197</v>
      </c>
      <c r="L82" s="192" t="str">
        <f>IFERROR(__xludf.DUMMYFUNCTION("IF(
  AND(D82=""Saída"", J82=""Sangria""),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197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94">
        <f>IFERROR(__xludf.DUMMYFUNCTION("ifna(VALUE(REGEXEXTRACT(E82,""[0-9.]+[,]+[0-9]+"")))"),20.0)</f>
        <v>20</v>
      </c>
      <c r="O82" s="94"/>
      <c r="P82" s="95"/>
      <c r="Q82" s="95"/>
      <c r="R82" s="95"/>
      <c r="S82" s="97"/>
      <c r="T82" s="95"/>
      <c r="U82" s="95"/>
      <c r="V82" s="95"/>
      <c r="W82" s="96"/>
    </row>
    <row r="83" ht="14.25" customHeight="1">
      <c r="A83" s="186"/>
      <c r="B83" s="13">
        <v>1849539.0</v>
      </c>
      <c r="C83" s="14">
        <v>45999.703935185185</v>
      </c>
      <c r="D83" s="187" t="s">
        <v>97</v>
      </c>
      <c r="E83" s="188" t="s">
        <v>1090</v>
      </c>
      <c r="F83" s="189"/>
      <c r="G83" s="187" t="s">
        <v>6501</v>
      </c>
      <c r="H83" s="204"/>
      <c r="I83" s="204"/>
      <c r="J83" s="196" t="s">
        <v>6080</v>
      </c>
      <c r="K83" s="196" t="s">
        <v>6197</v>
      </c>
      <c r="L83" s="192" t="str">
        <f>IFERROR(__xludf.DUMMYFUNCTION("IF(
  AND(D83=""Saída"", J83=""Sangria""),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198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94">
        <f>IFERROR(__xludf.DUMMYFUNCTION("ifna(VALUE(REGEXEXTRACT(E83,""[0-9.]+[,]+[0-9]+"")))"),10.0)</f>
        <v>10</v>
      </c>
      <c r="O83" s="114"/>
      <c r="P83" s="115"/>
      <c r="Q83" s="115"/>
      <c r="R83" s="115"/>
      <c r="S83" s="97"/>
      <c r="T83" s="115"/>
      <c r="U83" s="115"/>
      <c r="V83" s="115"/>
      <c r="W83" s="117"/>
    </row>
    <row r="84" ht="14.25" customHeight="1">
      <c r="A84" s="186"/>
      <c r="B84" s="13">
        <v>1849851.0</v>
      </c>
      <c r="C84" s="14">
        <v>45999.78125</v>
      </c>
      <c r="D84" s="187" t="s">
        <v>97</v>
      </c>
      <c r="E84" s="188" t="s">
        <v>6475</v>
      </c>
      <c r="F84" s="200"/>
      <c r="G84" s="187" t="s">
        <v>7288</v>
      </c>
      <c r="H84" s="204"/>
      <c r="I84" s="204"/>
      <c r="J84" s="196" t="s">
        <v>6446</v>
      </c>
      <c r="K84" s="196"/>
      <c r="L84" s="192" t="str">
        <f>IFERROR(__xludf.DUMMYFUNCTION("IF(
  AND(D84=""Saída"", J84=""Sangria""),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197" t="str">
        <f>IFERROR(__xludf.DUMMYFUNCTION("IF(J84=""Compra de Mercadorias"",
   IF(
      COUNTIF(ARRAYFORMULA(TRIM(CLEAN(TO_TEXT(Notas!BS:BS)))), TRIM(CLEAN(TO_TEXT(B84)))) &gt; 0,
      ""Encontrada"",
      ""Não Encontrada""
   ),
"""")"),"Encontrada")</f>
        <v>Encontrada</v>
      </c>
      <c r="N84" s="194">
        <f>IFERROR(__xludf.DUMMYFUNCTION("ifna(VALUE(REGEXEXTRACT(E84,""[0-9.]+[,]+[0-9]+"")))"),250.0)</f>
        <v>250</v>
      </c>
      <c r="O84" s="211"/>
      <c r="P84" s="212"/>
      <c r="Q84" s="212"/>
      <c r="R84" s="212"/>
      <c r="S84" s="97"/>
      <c r="T84" s="212"/>
      <c r="U84" s="212"/>
      <c r="V84" s="212"/>
      <c r="W84" s="213"/>
    </row>
    <row r="85" ht="14.25" customHeight="1">
      <c r="A85" s="186"/>
      <c r="B85" s="13">
        <v>1851383.0</v>
      </c>
      <c r="C85" s="14">
        <v>46000.74561342593</v>
      </c>
      <c r="D85" s="187" t="s">
        <v>97</v>
      </c>
      <c r="E85" s="188" t="s">
        <v>7300</v>
      </c>
      <c r="F85" s="189"/>
      <c r="G85" s="187" t="s">
        <v>7301</v>
      </c>
      <c r="H85" s="204"/>
      <c r="I85" s="204"/>
      <c r="J85" s="196" t="s">
        <v>6446</v>
      </c>
      <c r="K85" s="196"/>
      <c r="L85" s="192" t="str">
        <f>IFERROR(__xludf.DUMMYFUNCTION("IF(
  AND(D85=""Saída"", J85=""Sangria""),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198" t="str">
        <f>IFERROR(__xludf.DUMMYFUNCTION("IF(J85=""Compra de Mercadorias"",
   IF(
      COUNTIF(ARRAYFORMULA(TRIM(CLEAN(TO_TEXT(Notas!BS:BS)))), TRIM(CLEAN(TO_TEXT(B85)))) &gt; 0,
      ""Encontrada"",
      ""Não Encontrada""
   ),
"""")"),"Encontrada")</f>
        <v>Encontrada</v>
      </c>
      <c r="N85" s="194">
        <f>IFERROR(__xludf.DUMMYFUNCTION("ifna(VALUE(REGEXEXTRACT(E85,""[0-9.]+[,]+[0-9]+"")))"),45.0)</f>
        <v>45</v>
      </c>
      <c r="O85" s="211"/>
      <c r="P85" s="212"/>
      <c r="Q85" s="212"/>
      <c r="R85" s="212"/>
      <c r="S85" s="97"/>
      <c r="T85" s="212"/>
      <c r="U85" s="212"/>
      <c r="V85" s="212"/>
      <c r="W85" s="213"/>
    </row>
    <row r="86" ht="14.25" customHeight="1">
      <c r="A86" s="186"/>
      <c r="B86" s="13">
        <v>1851391.0</v>
      </c>
      <c r="C86" s="14">
        <v>46000.7471875</v>
      </c>
      <c r="D86" s="187" t="s">
        <v>97</v>
      </c>
      <c r="E86" s="188" t="s">
        <v>7309</v>
      </c>
      <c r="F86" s="189"/>
      <c r="G86" s="187" t="s">
        <v>7310</v>
      </c>
      <c r="H86" s="204"/>
      <c r="I86" s="204"/>
      <c r="J86" s="196" t="s">
        <v>6446</v>
      </c>
      <c r="K86" s="196"/>
      <c r="L86" s="192" t="str">
        <f>IFERROR(__xludf.DUMMYFUNCTION("IF(
  AND(D86=""Saída"", J86=""Sangria""),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197" t="str">
        <f>IFERROR(__xludf.DUMMYFUNCTION("IF(J86=""Compra de Mercadorias"",
   IF(
      COUNTIF(ARRAYFORMULA(TRIM(CLEAN(TO_TEXT(Notas!BS:BS)))), TRIM(CLEAN(TO_TEXT(B86)))) &gt; 0,
      ""Encontrada"",
      ""Não Encontrada""
   ),
"""")"),"Encontrada")</f>
        <v>Encontrada</v>
      </c>
      <c r="N86" s="194">
        <f>IFERROR(__xludf.DUMMYFUNCTION("ifna(VALUE(REGEXEXTRACT(E86,""[0-9.]+[,]+[0-9]+"")))"),154.0)</f>
        <v>154</v>
      </c>
      <c r="O86" s="211"/>
      <c r="P86" s="212"/>
      <c r="Q86" s="212"/>
      <c r="R86" s="212"/>
      <c r="S86" s="97"/>
      <c r="T86" s="212"/>
      <c r="U86" s="212"/>
      <c r="V86" s="212"/>
      <c r="W86" s="213"/>
    </row>
    <row r="87" ht="14.25" customHeight="1">
      <c r="A87" s="186"/>
      <c r="B87" s="13">
        <v>1851413.0</v>
      </c>
      <c r="C87" s="14">
        <v>46000.75109953704</v>
      </c>
      <c r="D87" s="187" t="s">
        <v>97</v>
      </c>
      <c r="E87" s="188" t="s">
        <v>7323</v>
      </c>
      <c r="F87" s="189"/>
      <c r="G87" s="187" t="s">
        <v>7324</v>
      </c>
      <c r="H87" s="204"/>
      <c r="I87" s="204"/>
      <c r="J87" s="196" t="s">
        <v>6446</v>
      </c>
      <c r="K87" s="196"/>
      <c r="L87" s="192" t="str">
        <f>IFERROR(__xludf.DUMMYFUNCTION("IF(
  AND(D87=""Saída"", J87=""Sangria""),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198" t="str">
        <f>IFERROR(__xludf.DUMMYFUNCTION("IF(J87=""Compra de Mercadorias"",
   IF(
      COUNTIF(ARRAYFORMULA(TRIM(CLEAN(TO_TEXT(Notas!BS:BS)))), TRIM(CLEAN(TO_TEXT(B87)))) &gt; 0,
      ""Encontrada"",
      ""Não Encontrada""
   ),
"""")"),"Encontrada")</f>
        <v>Encontrada</v>
      </c>
      <c r="N87" s="194">
        <f>IFERROR(__xludf.DUMMYFUNCTION("ifna(VALUE(REGEXEXTRACT(E87,""[0-9.]+[,]+[0-9]+"")))"),49.98)</f>
        <v>49.98</v>
      </c>
      <c r="O87" s="211"/>
      <c r="P87" s="212"/>
      <c r="Q87" s="212"/>
      <c r="R87" s="212"/>
      <c r="S87" s="97"/>
      <c r="T87" s="212"/>
      <c r="U87" s="212"/>
      <c r="V87" s="212"/>
      <c r="W87" s="213"/>
    </row>
    <row r="88" ht="14.25" customHeight="1">
      <c r="A88" s="186"/>
      <c r="B88" s="13">
        <v>1851426.0</v>
      </c>
      <c r="C88" s="14">
        <v>46000.757002314815</v>
      </c>
      <c r="D88" s="187" t="s">
        <v>97</v>
      </c>
      <c r="E88" s="188" t="s">
        <v>7335</v>
      </c>
      <c r="F88" s="189"/>
      <c r="G88" s="187" t="s">
        <v>6501</v>
      </c>
      <c r="H88" s="204"/>
      <c r="I88" s="204"/>
      <c r="J88" s="196" t="s">
        <v>6080</v>
      </c>
      <c r="K88" s="196" t="s">
        <v>6197</v>
      </c>
      <c r="L88" s="192" t="str">
        <f>IFERROR(__xludf.DUMMYFUNCTION("IF(
  AND(D88=""Saída"", J88=""Sangria""),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197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94">
        <f>IFERROR(__xludf.DUMMYFUNCTION("ifna(VALUE(REGEXEXTRACT(E88,""[0-9.]+[,]+[0-9]+"")))"),33.71)</f>
        <v>33.71</v>
      </c>
      <c r="O88" s="214"/>
      <c r="P88" s="215"/>
      <c r="Q88" s="215"/>
      <c r="R88" s="215"/>
      <c r="S88" s="216"/>
      <c r="T88" s="215"/>
      <c r="U88" s="215"/>
      <c r="V88" s="215"/>
      <c r="W88" s="217"/>
    </row>
    <row r="89" ht="14.25" customHeight="1">
      <c r="A89" s="186"/>
      <c r="B89" s="13">
        <v>1852978.0</v>
      </c>
      <c r="C89" s="14">
        <v>46001.77606481482</v>
      </c>
      <c r="D89" s="187" t="s">
        <v>97</v>
      </c>
      <c r="E89" s="188" t="s">
        <v>7347</v>
      </c>
      <c r="F89" s="189"/>
      <c r="G89" s="187" t="s">
        <v>7348</v>
      </c>
      <c r="H89" s="204"/>
      <c r="I89" s="204"/>
      <c r="J89" s="196" t="s">
        <v>6080</v>
      </c>
      <c r="K89" s="196" t="s">
        <v>6197</v>
      </c>
      <c r="L89" s="192" t="str">
        <f>IFERROR(__xludf.DUMMYFUNCTION("IF(
  AND(D89=""Saída"", J89=""Sangria""),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198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94">
        <f>IFERROR(__xludf.DUMMYFUNCTION("ifna(VALUE(REGEXEXTRACT(E89,""[0-9.]+[,]+[0-9]+"")))"),21.64)</f>
        <v>21.64</v>
      </c>
      <c r="O89" s="31"/>
      <c r="P89" s="31"/>
      <c r="Q89" s="31"/>
      <c r="R89" s="31"/>
      <c r="S89" s="31"/>
      <c r="T89" s="31"/>
      <c r="U89" s="31"/>
      <c r="V89" s="31"/>
      <c r="W89" s="31"/>
    </row>
    <row r="90" ht="14.25" customHeight="1">
      <c r="A90" s="186"/>
      <c r="B90" s="13">
        <v>1852985.0</v>
      </c>
      <c r="C90" s="14">
        <v>46001.77736111111</v>
      </c>
      <c r="D90" s="187" t="s">
        <v>97</v>
      </c>
      <c r="E90" s="188" t="s">
        <v>163</v>
      </c>
      <c r="F90" s="200"/>
      <c r="G90" s="187" t="s">
        <v>7357</v>
      </c>
      <c r="H90" s="204"/>
      <c r="I90" s="204"/>
      <c r="J90" s="196"/>
      <c r="K90" s="196"/>
      <c r="L90" s="192" t="str">
        <f>IFERROR(__xludf.DUMMYFUNCTION("IF(
  AND(D90=""Saída"", J90=""Sangria""),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197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94">
        <f>IFERROR(__xludf.DUMMYFUNCTION("ifna(VALUE(REGEXEXTRACT(E90,""[0-9.]+[,]+[0-9]+"")))"),0.01)</f>
        <v>0.01</v>
      </c>
      <c r="O90" s="31"/>
      <c r="P90" s="31"/>
      <c r="Q90" s="31"/>
      <c r="R90" s="31"/>
      <c r="S90" s="31"/>
      <c r="T90" s="31"/>
      <c r="U90" s="31"/>
      <c r="V90" s="31"/>
      <c r="W90" s="31"/>
    </row>
    <row r="91" ht="14.25" customHeight="1">
      <c r="A91" s="186"/>
      <c r="B91" s="13">
        <v>1854939.0</v>
      </c>
      <c r="C91" s="14">
        <v>46002.80498842592</v>
      </c>
      <c r="D91" s="187" t="s">
        <v>97</v>
      </c>
      <c r="E91" s="188" t="s">
        <v>7367</v>
      </c>
      <c r="F91" s="189"/>
      <c r="G91" s="187" t="s">
        <v>282</v>
      </c>
      <c r="H91" s="204"/>
      <c r="I91" s="204"/>
      <c r="J91" s="196" t="s">
        <v>6080</v>
      </c>
      <c r="K91" s="196" t="s">
        <v>6111</v>
      </c>
      <c r="L91" s="192" t="str">
        <f>IFERROR(__xludf.DUMMYFUNCTION("IF(
  AND(D91=""Saída"", J91=""Sangria""),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198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94">
        <f>IFERROR(__xludf.DUMMYFUNCTION("ifna(VALUE(REGEXEXTRACT(E91,""[0-9.]+[,]+[0-9]+"")))"),12.96)</f>
        <v>12.96</v>
      </c>
      <c r="O91" s="31"/>
      <c r="P91" s="31"/>
      <c r="Q91" s="31"/>
      <c r="R91" s="31"/>
      <c r="S91" s="31"/>
      <c r="T91" s="31"/>
      <c r="U91" s="31"/>
      <c r="V91" s="31"/>
      <c r="W91" s="31"/>
    </row>
    <row r="92" ht="14.25" customHeight="1">
      <c r="A92" s="186"/>
      <c r="B92" s="13">
        <v>1856540.0</v>
      </c>
      <c r="C92" s="14">
        <v>46003.693923611114</v>
      </c>
      <c r="D92" s="187" t="s">
        <v>97</v>
      </c>
      <c r="E92" s="188" t="s">
        <v>6475</v>
      </c>
      <c r="F92" s="189"/>
      <c r="G92" s="187" t="s">
        <v>7383</v>
      </c>
      <c r="H92" s="204"/>
      <c r="I92" s="204"/>
      <c r="J92" s="196" t="s">
        <v>6446</v>
      </c>
      <c r="K92" s="196"/>
      <c r="L92" s="192" t="str">
        <f>IFERROR(__xludf.DUMMYFUNCTION("IF(
  AND(D92=""Saída"", J92=""Sangria""),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197" t="str">
        <f>IFERROR(__xludf.DUMMYFUNCTION("IF(J92=""Compra de Mercadorias"",
   IF(
      COUNTIF(ARRAYFORMULA(TRIM(CLEAN(TO_TEXT(Notas!BS:BS)))), TRIM(CLEAN(TO_TEXT(B92)))) &gt; 0,
      ""Encontrada"",
      ""Não Encontrada""
   ),
"""")"),"Encontrada")</f>
        <v>Encontrada</v>
      </c>
      <c r="N92" s="194">
        <f>IFERROR(__xludf.DUMMYFUNCTION("ifna(VALUE(REGEXEXTRACT(E92,""[0-9.]+[,]+[0-9]+"")))"),250.0)</f>
        <v>250</v>
      </c>
      <c r="O92" s="31"/>
      <c r="P92" s="31"/>
      <c r="Q92" s="31"/>
      <c r="R92" s="31"/>
      <c r="S92" s="31"/>
      <c r="T92" s="31"/>
      <c r="U92" s="194"/>
      <c r="V92" s="194"/>
      <c r="W92" s="194"/>
    </row>
    <row r="93" ht="14.25" customHeight="1">
      <c r="A93" s="186"/>
      <c r="B93" s="13">
        <v>1856818.0</v>
      </c>
      <c r="C93" s="14">
        <v>46003.7671412037</v>
      </c>
      <c r="D93" s="187" t="s">
        <v>97</v>
      </c>
      <c r="E93" s="188" t="s">
        <v>7396</v>
      </c>
      <c r="F93" s="189"/>
      <c r="G93" s="187" t="s">
        <v>7397</v>
      </c>
      <c r="H93" s="204"/>
      <c r="I93" s="204"/>
      <c r="J93" s="196" t="s">
        <v>6446</v>
      </c>
      <c r="K93" s="196"/>
      <c r="L93" s="192" t="str">
        <f>IFERROR(__xludf.DUMMYFUNCTION("IF(
  AND(D93=""Saída"", J93=""Sangria""),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198" t="str">
        <f>IFERROR(__xludf.DUMMYFUNCTION("IF(J93=""Compra de Mercadorias"",
   IF(
      COUNTIF(ARRAYFORMULA(TRIM(CLEAN(TO_TEXT(Notas!BS:BS)))), TRIM(CLEAN(TO_TEXT(B93)))) &gt; 0,
      ""Encontrada"",
      ""Não Encontrada""
   ),
"""")"),"Encontrada")</f>
        <v>Encontrada</v>
      </c>
      <c r="N93" s="194">
        <f>IFERROR(__xludf.DUMMYFUNCTION("ifna(VALUE(REGEXEXTRACT(E93,""[0-9.]+[,]+[0-9]+"")))"),108.03)</f>
        <v>108.03</v>
      </c>
      <c r="O93" s="218" t="s">
        <v>7094</v>
      </c>
      <c r="P93" s="219"/>
      <c r="Q93" s="219"/>
      <c r="R93" s="219"/>
      <c r="S93" s="219"/>
      <c r="T93" s="64"/>
      <c r="U93" s="194"/>
      <c r="V93" s="194"/>
      <c r="W93" s="194"/>
    </row>
    <row r="94" ht="14.25" customHeight="1">
      <c r="A94" s="186"/>
      <c r="B94" s="13">
        <v>1856828.0</v>
      </c>
      <c r="C94" s="14">
        <v>46003.76905092593</v>
      </c>
      <c r="D94" s="187" t="s">
        <v>97</v>
      </c>
      <c r="E94" s="188" t="s">
        <v>7403</v>
      </c>
      <c r="F94" s="189"/>
      <c r="G94" s="187" t="s">
        <v>7404</v>
      </c>
      <c r="H94" s="204"/>
      <c r="I94" s="204"/>
      <c r="J94" s="196" t="s">
        <v>6446</v>
      </c>
      <c r="K94" s="196"/>
      <c r="L94" s="192" t="str">
        <f>IFERROR(__xludf.DUMMYFUNCTION("IF(
  AND(D94=""Saída"", J94=""Sangria""),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197" t="str">
        <f>IFERROR(__xludf.DUMMYFUNCTION("IF(J94=""Compra de Mercadorias"",
   IF(
      COUNTIF(ARRAYFORMULA(TRIM(CLEAN(TO_TEXT(Notas!BS:BS)))), TRIM(CLEAN(TO_TEXT(B94)))) &gt; 0,
      ""Encontrada"",
      ""Não Encontrada""
   ),
"""")"),"Encontrada")</f>
        <v>Encontrada</v>
      </c>
      <c r="N94" s="194">
        <f>IFERROR(__xludf.DUMMYFUNCTION("ifna(VALUE(REGEXEXTRACT(E94,""[0-9.]+[,]+[0-9]+"")))"),192.93)</f>
        <v>192.93</v>
      </c>
      <c r="O94" s="220"/>
      <c r="T94" s="221"/>
      <c r="U94" s="194"/>
      <c r="V94" s="194"/>
      <c r="W94" s="194"/>
    </row>
    <row r="95" ht="14.25" customHeight="1">
      <c r="A95" s="186"/>
      <c r="B95" s="13">
        <v>1858752.0</v>
      </c>
      <c r="C95" s="14">
        <v>46004.76204861111</v>
      </c>
      <c r="D95" s="187" t="s">
        <v>97</v>
      </c>
      <c r="E95" s="188" t="s">
        <v>532</v>
      </c>
      <c r="F95" s="189"/>
      <c r="G95" s="187" t="s">
        <v>7409</v>
      </c>
      <c r="H95" s="204"/>
      <c r="I95" s="204"/>
      <c r="J95" s="196" t="s">
        <v>6469</v>
      </c>
      <c r="K95" s="196"/>
      <c r="L95" s="192" t="str">
        <f>IFERROR(__xludf.DUMMYFUNCTION("IF(
  AND(D95=""Saída"", J95=""Sangria""),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198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94">
        <f>IFERROR(__xludf.DUMMYFUNCTION("ifna(VALUE(REGEXEXTRACT(E95,""[0-9.]+[,]+[0-9]+"")))"),65.0)</f>
        <v>65</v>
      </c>
      <c r="O95" s="222" t="s">
        <v>0</v>
      </c>
      <c r="P95" s="223" t="s">
        <v>10</v>
      </c>
      <c r="Q95" s="223" t="s">
        <v>7118</v>
      </c>
      <c r="R95" s="223" t="s">
        <v>51</v>
      </c>
      <c r="S95" s="224" t="s">
        <v>38</v>
      </c>
      <c r="T95" s="221"/>
      <c r="U95" s="194"/>
      <c r="V95" s="194"/>
      <c r="W95" s="194"/>
    </row>
    <row r="96" ht="14.25" customHeight="1">
      <c r="A96" s="186"/>
      <c r="B96" s="13">
        <v>1858794.0</v>
      </c>
      <c r="C96" s="14">
        <v>46004.77171296296</v>
      </c>
      <c r="D96" s="187" t="s">
        <v>97</v>
      </c>
      <c r="E96" s="188" t="s">
        <v>7416</v>
      </c>
      <c r="F96" s="189"/>
      <c r="G96" s="187" t="s">
        <v>858</v>
      </c>
      <c r="H96" s="204"/>
      <c r="I96" s="204"/>
      <c r="J96" s="196" t="s">
        <v>6544</v>
      </c>
      <c r="K96" s="196" t="s">
        <v>5991</v>
      </c>
      <c r="L96" s="192" t="str">
        <f>IFERROR(__xludf.DUMMYFUNCTION("IF(
  AND(D96=""Saída"", J96=""Sangria""),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"),"Confirmada")</f>
        <v>Confirmada</v>
      </c>
      <c r="M96" s="197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94">
        <f>IFERROR(__xludf.DUMMYFUNCTION("ifna(VALUE(REGEXEXTRACT(E96,""[0-9.]+[,]+[0-9]+"")))"),1800.0)</f>
        <v>1800</v>
      </c>
      <c r="O96" s="225" t="s">
        <v>2279</v>
      </c>
      <c r="P96" s="208">
        <v>45987.0</v>
      </c>
      <c r="Q96" s="209" t="s">
        <v>126</v>
      </c>
      <c r="R96" s="210">
        <v>500.0</v>
      </c>
      <c r="S96" s="226"/>
      <c r="T96" s="227" t="str">
        <f t="shared" ref="T96:T116" si="1">IFERROR(VLOOKUP(Q96, $A$4:$B$11, 2, FALSE), "")</f>
        <v>Sabrina</v>
      </c>
      <c r="U96" s="194"/>
      <c r="V96" s="194"/>
      <c r="W96" s="194"/>
    </row>
    <row r="97" ht="14.25" customHeight="1">
      <c r="A97" s="186"/>
      <c r="B97" s="13">
        <v>1859029.0</v>
      </c>
      <c r="C97" s="14">
        <v>46004.832337962966</v>
      </c>
      <c r="D97" s="187" t="s">
        <v>97</v>
      </c>
      <c r="E97" s="188" t="s">
        <v>6547</v>
      </c>
      <c r="F97" s="189"/>
      <c r="G97" s="187" t="s">
        <v>7124</v>
      </c>
      <c r="H97" s="204"/>
      <c r="I97" s="204"/>
      <c r="J97" s="196" t="s">
        <v>6469</v>
      </c>
      <c r="K97" s="196"/>
      <c r="L97" s="192" t="str">
        <f>IFERROR(__xludf.DUMMYFUNCTION("IF(
  AND(D97=""Saída"", J97=""Sangria""),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198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94">
        <f>IFERROR(__xludf.DUMMYFUNCTION("ifna(VALUE(REGEXEXTRACT(E97,""[0-9.]+[,]+[0-9]+"")))"),117.0)</f>
        <v>117</v>
      </c>
      <c r="O97" s="225" t="s">
        <v>2310</v>
      </c>
      <c r="P97" s="208">
        <v>45999.0</v>
      </c>
      <c r="Q97" s="209" t="s">
        <v>113</v>
      </c>
      <c r="R97" s="210">
        <v>300.0</v>
      </c>
      <c r="S97" s="228"/>
      <c r="T97" s="227" t="str">
        <f t="shared" si="1"/>
        <v>Renata</v>
      </c>
      <c r="U97" s="194"/>
      <c r="V97" s="194"/>
      <c r="W97" s="194"/>
    </row>
    <row r="98" ht="14.25" customHeight="1">
      <c r="A98" s="186"/>
      <c r="B98" s="13">
        <v>1859159.0</v>
      </c>
      <c r="C98" s="14">
        <v>46004.85916666667</v>
      </c>
      <c r="D98" s="187" t="s">
        <v>97</v>
      </c>
      <c r="E98" s="188" t="s">
        <v>6561</v>
      </c>
      <c r="F98" s="189"/>
      <c r="G98" s="187" t="s">
        <v>7444</v>
      </c>
      <c r="H98" s="204"/>
      <c r="I98" s="204"/>
      <c r="J98" s="196" t="s">
        <v>6469</v>
      </c>
      <c r="K98" s="196"/>
      <c r="L98" s="192" t="str">
        <f>IFERROR(__xludf.DUMMYFUNCTION("IF(
  AND(D98=""Saída"", J98=""Sangria""),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197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94">
        <f>IFERROR(__xludf.DUMMYFUNCTION("ifna(VALUE(REGEXEXTRACT(E98,""[0-9.]+[,]+[0-9]+"")))"),123.0)</f>
        <v>123</v>
      </c>
      <c r="O98" s="225"/>
      <c r="P98" s="208"/>
      <c r="Q98" s="209"/>
      <c r="R98" s="210"/>
      <c r="S98" s="229"/>
      <c r="T98" s="227" t="str">
        <f t="shared" si="1"/>
        <v/>
      </c>
      <c r="U98" s="194"/>
      <c r="V98" s="194"/>
      <c r="W98" s="194"/>
    </row>
    <row r="99" ht="14.25" customHeight="1">
      <c r="A99" s="186"/>
      <c r="B99" s="13">
        <v>1861927.0</v>
      </c>
      <c r="C99" s="14">
        <v>46005.87535879629</v>
      </c>
      <c r="D99" s="187" t="s">
        <v>97</v>
      </c>
      <c r="E99" s="188" t="s">
        <v>7451</v>
      </c>
      <c r="F99" s="189"/>
      <c r="G99" s="187" t="s">
        <v>7455</v>
      </c>
      <c r="H99" s="204"/>
      <c r="I99" s="204"/>
      <c r="J99" s="196" t="s">
        <v>6551</v>
      </c>
      <c r="K99" s="196"/>
      <c r="L99" s="192" t="str">
        <f>IFERROR(__xludf.DUMMYFUNCTION("IF(
  AND(D99=""Saída"", J99=""Sangria""),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198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94">
        <f>IFERROR(__xludf.DUMMYFUNCTION("ifna(VALUE(REGEXEXTRACT(E99,""[0-9.]+[,]+[0-9]+"")))"),92.0)</f>
        <v>92</v>
      </c>
      <c r="O99" s="225"/>
      <c r="P99" s="208"/>
      <c r="Q99" s="209"/>
      <c r="R99" s="210"/>
      <c r="S99" s="230"/>
      <c r="T99" s="227" t="str">
        <f t="shared" si="1"/>
        <v/>
      </c>
      <c r="U99" s="194"/>
      <c r="V99" s="194"/>
      <c r="W99" s="194"/>
    </row>
    <row r="100" ht="14.25" customHeight="1">
      <c r="A100" s="186"/>
      <c r="B100" s="13">
        <v>1861963.0</v>
      </c>
      <c r="C100" s="14">
        <v>46005.87944444444</v>
      </c>
      <c r="D100" s="187" t="s">
        <v>97</v>
      </c>
      <c r="E100" s="188" t="s">
        <v>7451</v>
      </c>
      <c r="F100" s="200"/>
      <c r="G100" s="187" t="s">
        <v>7468</v>
      </c>
      <c r="H100" s="204"/>
      <c r="I100" s="204"/>
      <c r="J100" s="196" t="s">
        <v>6551</v>
      </c>
      <c r="K100" s="196"/>
      <c r="L100" s="192" t="str">
        <f>IFERROR(__xludf.DUMMYFUNCTION("IF(
  AND(D100=""Saída"", J100=""Sangria""),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197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94">
        <f>IFERROR(__xludf.DUMMYFUNCTION("ifna(VALUE(REGEXEXTRACT(E100,""[0-9.]+[,]+[0-9]+"")))"),92.0)</f>
        <v>92</v>
      </c>
      <c r="O100" s="225"/>
      <c r="P100" s="208"/>
      <c r="Q100" s="209"/>
      <c r="R100" s="210"/>
      <c r="S100" s="229"/>
      <c r="T100" s="227" t="str">
        <f t="shared" si="1"/>
        <v/>
      </c>
      <c r="U100" s="194"/>
      <c r="V100" s="194"/>
      <c r="W100" s="194"/>
    </row>
    <row r="101" ht="14.25" customHeight="1">
      <c r="A101" s="186"/>
      <c r="B101" s="13">
        <v>1862003.0</v>
      </c>
      <c r="C101" s="14">
        <v>46005.8858912037</v>
      </c>
      <c r="D101" s="187" t="s">
        <v>97</v>
      </c>
      <c r="E101" s="188" t="s">
        <v>6547</v>
      </c>
      <c r="F101" s="189"/>
      <c r="G101" s="187" t="s">
        <v>7482</v>
      </c>
      <c r="H101" s="204"/>
      <c r="I101" s="204"/>
      <c r="J101" s="196" t="s">
        <v>6469</v>
      </c>
      <c r="K101" s="196"/>
      <c r="L101" s="192" t="str">
        <f>IFERROR(__xludf.DUMMYFUNCTION("IF(
  AND(D101=""Saída"", J101=""Sangria""),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198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94">
        <f>IFERROR(__xludf.DUMMYFUNCTION("ifna(VALUE(REGEXEXTRACT(E101,""[0-9.]+[,]+[0-9]+"")))"),117.0)</f>
        <v>117</v>
      </c>
      <c r="O101" s="231"/>
      <c r="P101" s="232"/>
      <c r="Q101" s="233"/>
      <c r="R101" s="234"/>
      <c r="S101" s="230"/>
      <c r="T101" s="227" t="str">
        <f t="shared" si="1"/>
        <v/>
      </c>
      <c r="U101" s="194"/>
      <c r="V101" s="194"/>
      <c r="W101" s="194"/>
    </row>
    <row r="102" ht="14.25" customHeight="1">
      <c r="A102" s="186"/>
      <c r="B102" s="13">
        <v>1862035.0</v>
      </c>
      <c r="C102" s="14">
        <v>46005.8909375</v>
      </c>
      <c r="D102" s="187" t="s">
        <v>97</v>
      </c>
      <c r="E102" s="188" t="s">
        <v>1071</v>
      </c>
      <c r="F102" s="189"/>
      <c r="G102" s="187" t="s">
        <v>7497</v>
      </c>
      <c r="H102" s="204"/>
      <c r="I102" s="204"/>
      <c r="J102" s="196" t="s">
        <v>6469</v>
      </c>
      <c r="K102" s="196"/>
      <c r="L102" s="192" t="str">
        <f>IFERROR(__xludf.DUMMYFUNCTION("IF(
  AND(D102=""Saída"", J102=""Sangria""),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197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94">
        <f>IFERROR(__xludf.DUMMYFUNCTION("ifna(VALUE(REGEXEXTRACT(E102,""[0-9.]+[,]+[0-9]+"")))"),110.0)</f>
        <v>110</v>
      </c>
      <c r="O102" s="235"/>
      <c r="P102" s="236"/>
      <c r="Q102" s="229"/>
      <c r="R102" s="237" t="str">
        <f t="shared" ref="R102:R138" si="2">IFERROR(VLOOKUP(Q102, $B$4:$C$18, 2, FALSE), "")</f>
        <v/>
      </c>
      <c r="S102" s="229" t="str">
        <f t="shared" ref="S102:S138" si="3">IFERROR(VLOOKUP(Q102, $A$4:$B$18, 2, FALSE), "")</f>
        <v/>
      </c>
      <c r="T102" s="227" t="str">
        <f t="shared" si="1"/>
        <v/>
      </c>
      <c r="U102" s="194"/>
      <c r="V102" s="194"/>
      <c r="W102" s="194"/>
    </row>
    <row r="103" ht="14.25" customHeight="1">
      <c r="A103" s="186"/>
      <c r="B103" s="13">
        <v>1862181.0</v>
      </c>
      <c r="C103" s="14">
        <v>46005.904490740744</v>
      </c>
      <c r="D103" s="187" t="s">
        <v>97</v>
      </c>
      <c r="E103" s="188" t="s">
        <v>7509</v>
      </c>
      <c r="F103" s="189"/>
      <c r="G103" s="187" t="s">
        <v>7511</v>
      </c>
      <c r="H103" s="204"/>
      <c r="I103" s="204"/>
      <c r="J103" s="196" t="s">
        <v>6551</v>
      </c>
      <c r="K103" s="196"/>
      <c r="L103" s="192" t="str">
        <f>IFERROR(__xludf.DUMMYFUNCTION("IF(
  AND(D103=""Saída"", J103=""Sangria""),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198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94">
        <f>IFERROR(__xludf.DUMMYFUNCTION("ifna(VALUE(REGEXEXTRACT(E103,""[0-9.]+[,]+[0-9]+"")))"),644.0)</f>
        <v>644</v>
      </c>
      <c r="O103" s="238"/>
      <c r="P103" s="239"/>
      <c r="Q103" s="230"/>
      <c r="R103" s="240" t="str">
        <f t="shared" si="2"/>
        <v/>
      </c>
      <c r="S103" s="230" t="str">
        <f t="shared" si="3"/>
        <v/>
      </c>
      <c r="T103" s="227" t="str">
        <f t="shared" si="1"/>
        <v/>
      </c>
      <c r="U103" s="194"/>
      <c r="V103" s="194"/>
      <c r="W103" s="194"/>
    </row>
    <row r="104" ht="14.25" customHeight="1">
      <c r="A104" s="186"/>
      <c r="B104" s="13">
        <v>1862370.0</v>
      </c>
      <c r="C104" s="14">
        <v>46005.92018518518</v>
      </c>
      <c r="D104" s="187" t="s">
        <v>97</v>
      </c>
      <c r="E104" s="188" t="s">
        <v>7523</v>
      </c>
      <c r="F104" s="189"/>
      <c r="G104" s="187" t="s">
        <v>7524</v>
      </c>
      <c r="H104" s="204"/>
      <c r="I104" s="204"/>
      <c r="J104" s="196" t="s">
        <v>6469</v>
      </c>
      <c r="K104" s="196"/>
      <c r="L104" s="192" t="str">
        <f>IFERROR(__xludf.DUMMYFUNCTION("IF(
  AND(D104=""Saída"", J104=""Sangria""),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197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94">
        <f>IFERROR(__xludf.DUMMYFUNCTION("ifna(VALUE(REGEXEXTRACT(E104,""[0-9.]+[,]+[0-9]+"")))"),640.89)</f>
        <v>640.89</v>
      </c>
      <c r="O104" s="235"/>
      <c r="P104" s="236"/>
      <c r="Q104" s="229"/>
      <c r="R104" s="237" t="str">
        <f t="shared" si="2"/>
        <v/>
      </c>
      <c r="S104" s="229" t="str">
        <f t="shared" si="3"/>
        <v/>
      </c>
      <c r="T104" s="227" t="str">
        <f t="shared" si="1"/>
        <v/>
      </c>
      <c r="U104" s="194"/>
      <c r="V104" s="194"/>
      <c r="W104" s="194"/>
    </row>
    <row r="105" ht="14.25" customHeight="1">
      <c r="A105" s="186"/>
      <c r="B105" s="13">
        <v>1862584.0</v>
      </c>
      <c r="C105" s="14">
        <v>46005.931875</v>
      </c>
      <c r="D105" s="187" t="s">
        <v>97</v>
      </c>
      <c r="E105" s="188" t="s">
        <v>763</v>
      </c>
      <c r="F105" s="200"/>
      <c r="G105" s="187" t="s">
        <v>858</v>
      </c>
      <c r="H105" s="204"/>
      <c r="I105" s="204"/>
      <c r="J105" s="196" t="s">
        <v>6544</v>
      </c>
      <c r="K105" s="196" t="s">
        <v>5991</v>
      </c>
      <c r="L105" s="192" t="str">
        <f>IFERROR(__xludf.DUMMYFUNCTION("IF(
  AND(D105=""Saída"", J105=""Sangria""),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"),"Confirmada")</f>
        <v>Confirmada</v>
      </c>
      <c r="M105" s="198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94">
        <f>IFERROR(__xludf.DUMMYFUNCTION("ifna(VALUE(REGEXEXTRACT(E105,""[0-9.]+[,]+[0-9]+"")))"),1000.0)</f>
        <v>1000</v>
      </c>
      <c r="O105" s="238"/>
      <c r="P105" s="239"/>
      <c r="Q105" s="230"/>
      <c r="R105" s="240" t="str">
        <f t="shared" si="2"/>
        <v/>
      </c>
      <c r="S105" s="230" t="str">
        <f t="shared" si="3"/>
        <v/>
      </c>
      <c r="T105" s="227" t="str">
        <f t="shared" si="1"/>
        <v/>
      </c>
      <c r="U105" s="194"/>
      <c r="V105" s="194"/>
      <c r="W105" s="194"/>
    </row>
    <row r="106" ht="14.25" customHeight="1">
      <c r="A106" s="186"/>
      <c r="B106" s="13">
        <v>1863893.0</v>
      </c>
      <c r="C106" s="14">
        <v>46006.71221064815</v>
      </c>
      <c r="D106" s="187" t="s">
        <v>97</v>
      </c>
      <c r="E106" s="188" t="s">
        <v>7544</v>
      </c>
      <c r="F106" s="189"/>
      <c r="G106" s="187" t="s">
        <v>6501</v>
      </c>
      <c r="H106" s="204"/>
      <c r="I106" s="204"/>
      <c r="J106" s="196" t="s">
        <v>6080</v>
      </c>
      <c r="K106" s="196" t="s">
        <v>6197</v>
      </c>
      <c r="L106" s="192" t="str">
        <f>IFERROR(__xludf.DUMMYFUNCTION("IF(
  AND(D106=""Saída"", J106=""Sangria""),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197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94">
        <f>IFERROR(__xludf.DUMMYFUNCTION("ifna(VALUE(REGEXEXTRACT(E106,""[0-9.]+[,]+[0-9]+"")))"),13.0)</f>
        <v>13</v>
      </c>
      <c r="O106" s="235"/>
      <c r="P106" s="236"/>
      <c r="Q106" s="229"/>
      <c r="R106" s="237" t="str">
        <f t="shared" si="2"/>
        <v/>
      </c>
      <c r="S106" s="229" t="str">
        <f t="shared" si="3"/>
        <v/>
      </c>
      <c r="T106" s="227" t="str">
        <f t="shared" si="1"/>
        <v/>
      </c>
      <c r="U106" s="194"/>
      <c r="V106" s="194"/>
      <c r="W106" s="194"/>
    </row>
    <row r="107" ht="14.25" customHeight="1">
      <c r="A107" s="186"/>
      <c r="B107" s="13">
        <v>1864067.0</v>
      </c>
      <c r="C107" s="14">
        <v>46006.750555555554</v>
      </c>
      <c r="D107" s="187" t="s">
        <v>97</v>
      </c>
      <c r="E107" s="188" t="s">
        <v>6475</v>
      </c>
      <c r="F107" s="189"/>
      <c r="G107" s="187" t="s">
        <v>7555</v>
      </c>
      <c r="H107" s="204"/>
      <c r="I107" s="204"/>
      <c r="J107" s="196" t="s">
        <v>6446</v>
      </c>
      <c r="K107" s="196"/>
      <c r="L107" s="192" t="str">
        <f>IFERROR(__xludf.DUMMYFUNCTION("IF(
  AND(D107=""Saída"", J107=""Sangria""),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198" t="str">
        <f>IFERROR(__xludf.DUMMYFUNCTION("IF(J107=""Compra de Mercadorias"",
   IF(
      COUNTIF(ARRAYFORMULA(TRIM(CLEAN(TO_TEXT(Notas!BS:BS)))), TRIM(CLEAN(TO_TEXT(B107)))) &gt; 0,
      ""Encontrada"",
      ""Não Encontrada""
   ),
"""")"),"Encontrada")</f>
        <v>Encontrada</v>
      </c>
      <c r="N107" s="194">
        <f>IFERROR(__xludf.DUMMYFUNCTION("ifna(VALUE(REGEXEXTRACT(E107,""[0-9.]+[,]+[0-9]+"")))"),250.0)</f>
        <v>250</v>
      </c>
      <c r="O107" s="238"/>
      <c r="P107" s="230"/>
      <c r="Q107" s="230"/>
      <c r="R107" s="240" t="str">
        <f t="shared" si="2"/>
        <v/>
      </c>
      <c r="S107" s="230" t="str">
        <f t="shared" si="3"/>
        <v/>
      </c>
      <c r="T107" s="227" t="str">
        <f t="shared" si="1"/>
        <v/>
      </c>
      <c r="U107" s="194"/>
      <c r="V107" s="194"/>
      <c r="W107" s="194"/>
    </row>
    <row r="108" ht="14.25" customHeight="1">
      <c r="A108" s="186"/>
      <c r="B108" s="13">
        <v>1864552.0</v>
      </c>
      <c r="C108" s="14">
        <v>46006.89313657407</v>
      </c>
      <c r="D108" s="187" t="s">
        <v>97</v>
      </c>
      <c r="E108" s="188" t="s">
        <v>7560</v>
      </c>
      <c r="F108" s="189"/>
      <c r="G108" s="187" t="s">
        <v>7563</v>
      </c>
      <c r="H108" s="204"/>
      <c r="I108" s="204"/>
      <c r="J108" s="196" t="s">
        <v>6446</v>
      </c>
      <c r="K108" s="196"/>
      <c r="L108" s="192" t="str">
        <f>IFERROR(__xludf.DUMMYFUNCTION("IF(
  AND(D108=""Saída"", J108=""Sangria""),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197" t="str">
        <f>IFERROR(__xludf.DUMMYFUNCTION("IF(J108=""Compra de Mercadorias"",
   IF(
      COUNTIF(ARRAYFORMULA(TRIM(CLEAN(TO_TEXT(Notas!BS:BS)))), TRIM(CLEAN(TO_TEXT(B108)))) &gt; 0,
      ""Encontrada"",
      ""Não Encontrada""
   ),
"""")"),"Encontrada")</f>
        <v>Encontrada</v>
      </c>
      <c r="N108" s="194">
        <f>IFERROR(__xludf.DUMMYFUNCTION("ifna(VALUE(REGEXEXTRACT(E108,""[0-9.]+[,]+[0-9]+"")))"),199.94)</f>
        <v>199.94</v>
      </c>
      <c r="O108" s="235"/>
      <c r="P108" s="229"/>
      <c r="Q108" s="229"/>
      <c r="R108" s="237" t="str">
        <f t="shared" si="2"/>
        <v/>
      </c>
      <c r="S108" s="229" t="str">
        <f t="shared" si="3"/>
        <v/>
      </c>
      <c r="T108" s="227" t="str">
        <f t="shared" si="1"/>
        <v/>
      </c>
      <c r="U108" s="194"/>
      <c r="V108" s="194"/>
      <c r="W108" s="194"/>
    </row>
    <row r="109" ht="14.25" customHeight="1">
      <c r="A109" s="186"/>
      <c r="B109" s="13">
        <v>1865644.0</v>
      </c>
      <c r="C109" s="14">
        <v>46007.69127314815</v>
      </c>
      <c r="D109" s="187" t="s">
        <v>97</v>
      </c>
      <c r="E109" s="188" t="s">
        <v>7575</v>
      </c>
      <c r="F109" s="200"/>
      <c r="G109" s="187" t="s">
        <v>7578</v>
      </c>
      <c r="H109" s="204"/>
      <c r="I109" s="204"/>
      <c r="J109" s="196" t="s">
        <v>6446</v>
      </c>
      <c r="K109" s="196"/>
      <c r="L109" s="192" t="str">
        <f>IFERROR(__xludf.DUMMYFUNCTION("IF(
  AND(D109=""Saída"", J109=""Sangria""),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198" t="str">
        <f>IFERROR(__xludf.DUMMYFUNCTION("IF(J109=""Compra de Mercadorias"",
   IF(
      COUNTIF(ARRAYFORMULA(TRIM(CLEAN(TO_TEXT(Notas!BS:BS)))), TRIM(CLEAN(TO_TEXT(B109)))) &gt; 0,
      ""Encontrada"",
      ""Não Encontrada""
   ),
"""")"),"Encontrada")</f>
        <v>Encontrada</v>
      </c>
      <c r="N109" s="194">
        <f>IFERROR(__xludf.DUMMYFUNCTION("ifna(VALUE(REGEXEXTRACT(E109,""[0-9.]+[,]+[0-9]+"")))"),237.1)</f>
        <v>237.1</v>
      </c>
      <c r="O109" s="238"/>
      <c r="P109" s="230"/>
      <c r="Q109" s="230"/>
      <c r="R109" s="240" t="str">
        <f t="shared" si="2"/>
        <v/>
      </c>
      <c r="S109" s="230" t="str">
        <f t="shared" si="3"/>
        <v/>
      </c>
      <c r="T109" s="227" t="str">
        <f t="shared" si="1"/>
        <v/>
      </c>
      <c r="U109" s="194"/>
      <c r="V109" s="194"/>
      <c r="W109" s="194"/>
    </row>
    <row r="110" ht="14.25" customHeight="1">
      <c r="A110" s="186"/>
      <c r="B110" s="13">
        <v>1867635.0</v>
      </c>
      <c r="C110" s="14">
        <v>46008.73304398148</v>
      </c>
      <c r="D110" s="187" t="s">
        <v>97</v>
      </c>
      <c r="E110" s="188" t="s">
        <v>7591</v>
      </c>
      <c r="F110" s="189"/>
      <c r="G110" s="187" t="s">
        <v>282</v>
      </c>
      <c r="H110" s="204"/>
      <c r="I110" s="204"/>
      <c r="J110" s="196" t="s">
        <v>6080</v>
      </c>
      <c r="K110" s="196" t="s">
        <v>6111</v>
      </c>
      <c r="L110" s="192" t="str">
        <f>IFERROR(__xludf.DUMMYFUNCTION("IF(
  AND(D110=""Saída"", J110=""Sangria""),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197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94">
        <f>IFERROR(__xludf.DUMMYFUNCTION("ifna(VALUE(REGEXEXTRACT(E110,""[0-9.]+[,]+[0-9]+"")))"),11.05)</f>
        <v>11.05</v>
      </c>
      <c r="O110" s="235"/>
      <c r="P110" s="229"/>
      <c r="Q110" s="229"/>
      <c r="R110" s="237" t="str">
        <f t="shared" si="2"/>
        <v/>
      </c>
      <c r="S110" s="229" t="str">
        <f t="shared" si="3"/>
        <v/>
      </c>
      <c r="T110" s="227" t="str">
        <f t="shared" si="1"/>
        <v/>
      </c>
      <c r="U110" s="194"/>
      <c r="V110" s="194"/>
      <c r="W110" s="194"/>
    </row>
    <row r="111" ht="14.25" customHeight="1">
      <c r="A111" s="186"/>
      <c r="B111" s="13">
        <v>1869367.0</v>
      </c>
      <c r="C111" s="14">
        <v>46009.70196759259</v>
      </c>
      <c r="D111" s="187" t="s">
        <v>97</v>
      </c>
      <c r="E111" s="188" t="s">
        <v>7602</v>
      </c>
      <c r="F111" s="189"/>
      <c r="G111" s="187" t="s">
        <v>7604</v>
      </c>
      <c r="H111" s="204"/>
      <c r="I111" s="204"/>
      <c r="J111" s="196" t="s">
        <v>6446</v>
      </c>
      <c r="K111" s="196"/>
      <c r="L111" s="192" t="str">
        <f>IFERROR(__xludf.DUMMYFUNCTION("IF(
  AND(D111=""Saída"", J111=""Sangria""),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198" t="str">
        <f>IFERROR(__xludf.DUMMYFUNCTION("IF(J111=""Compra de Mercadorias"",
   IF(
      COUNTIF(ARRAYFORMULA(TRIM(CLEAN(TO_TEXT(Notas!BS:BS)))), TRIM(CLEAN(TO_TEXT(B111)))) &gt; 0,
      ""Encontrada"",
      ""Não Encontrada""
   ),
"""")"),"Encontrada")</f>
        <v>Encontrada</v>
      </c>
      <c r="N111" s="194">
        <f>IFERROR(__xludf.DUMMYFUNCTION("ifna(VALUE(REGEXEXTRACT(E111,""[0-9.]+[,]+[0-9]+"")))"),163.36)</f>
        <v>163.36</v>
      </c>
      <c r="O111" s="238"/>
      <c r="P111" s="230"/>
      <c r="Q111" s="230"/>
      <c r="R111" s="240" t="str">
        <f t="shared" si="2"/>
        <v/>
      </c>
      <c r="S111" s="230" t="str">
        <f t="shared" si="3"/>
        <v/>
      </c>
      <c r="T111" s="227" t="str">
        <f t="shared" si="1"/>
        <v/>
      </c>
      <c r="U111" s="194"/>
      <c r="V111" s="194"/>
      <c r="W111" s="194"/>
    </row>
    <row r="112" ht="14.25" customHeight="1">
      <c r="A112" s="186"/>
      <c r="B112" s="13">
        <v>1869662.0</v>
      </c>
      <c r="C112" s="14">
        <v>46009.763645833336</v>
      </c>
      <c r="D112" s="187" t="s">
        <v>97</v>
      </c>
      <c r="E112" s="188" t="s">
        <v>7615</v>
      </c>
      <c r="F112" s="189"/>
      <c r="G112" s="187" t="s">
        <v>7618</v>
      </c>
      <c r="H112" s="204"/>
      <c r="I112" s="204"/>
      <c r="J112" s="196" t="s">
        <v>6446</v>
      </c>
      <c r="K112" s="196"/>
      <c r="L112" s="192" t="str">
        <f>IFERROR(__xludf.DUMMYFUNCTION("IF(
  AND(D112=""Saída"", J112=""Sangria""),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197" t="str">
        <f>IFERROR(__xludf.DUMMYFUNCTION("IF(J112=""Compra de Mercadorias"",
   IF(
      COUNTIF(ARRAYFORMULA(TRIM(CLEAN(TO_TEXT(Notas!BS:BS)))), TRIM(CLEAN(TO_TEXT(B112)))) &gt; 0,
      ""Encontrada"",
      ""Não Encontrada""
   ),
"""")"),"Encontrada")</f>
        <v>Encontrada</v>
      </c>
      <c r="N112" s="194">
        <f>IFERROR(__xludf.DUMMYFUNCTION("ifna(VALUE(REGEXEXTRACT(E112,""[0-9.]+[,]+[0-9]+"")))"),5.3)</f>
        <v>5.3</v>
      </c>
      <c r="O112" s="235"/>
      <c r="P112" s="229"/>
      <c r="Q112" s="229"/>
      <c r="R112" s="237" t="str">
        <f t="shared" si="2"/>
        <v/>
      </c>
      <c r="S112" s="229" t="str">
        <f t="shared" si="3"/>
        <v/>
      </c>
      <c r="T112" s="227" t="str">
        <f t="shared" si="1"/>
        <v/>
      </c>
      <c r="U112" s="194"/>
      <c r="V112" s="194"/>
      <c r="W112" s="194"/>
    </row>
    <row r="113" ht="14.25" customHeight="1">
      <c r="A113" s="186"/>
      <c r="B113" s="13">
        <v>1869675.0</v>
      </c>
      <c r="C113" s="14">
        <v>46009.76671296296</v>
      </c>
      <c r="D113" s="187" t="s">
        <v>97</v>
      </c>
      <c r="E113" s="188" t="s">
        <v>7623</v>
      </c>
      <c r="F113" s="200"/>
      <c r="G113" s="187" t="s">
        <v>7624</v>
      </c>
      <c r="H113" s="204"/>
      <c r="I113" s="204"/>
      <c r="J113" s="196" t="s">
        <v>6446</v>
      </c>
      <c r="K113" s="196"/>
      <c r="L113" s="192" t="str">
        <f>IFERROR(__xludf.DUMMYFUNCTION("IF(
  AND(D113=""Saída"", J113=""Sangria""),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198" t="str">
        <f>IFERROR(__xludf.DUMMYFUNCTION("IF(J113=""Compra de Mercadorias"",
   IF(
      COUNTIF(ARRAYFORMULA(TRIM(CLEAN(TO_TEXT(Notas!BS:BS)))), TRIM(CLEAN(TO_TEXT(B113)))) &gt; 0,
      ""Encontrada"",
      ""Não Encontrada""
   ),
"""")"),"Encontrada")</f>
        <v>Encontrada</v>
      </c>
      <c r="N113" s="194">
        <f>IFERROR(__xludf.DUMMYFUNCTION("ifna(VALUE(REGEXEXTRACT(E113,""[0-9.]+[,]+[0-9]+"")))"),77.94)</f>
        <v>77.94</v>
      </c>
      <c r="O113" s="238"/>
      <c r="P113" s="230"/>
      <c r="Q113" s="230"/>
      <c r="R113" s="240" t="str">
        <f t="shared" si="2"/>
        <v/>
      </c>
      <c r="S113" s="230" t="str">
        <f t="shared" si="3"/>
        <v/>
      </c>
      <c r="T113" s="227" t="str">
        <f t="shared" si="1"/>
        <v/>
      </c>
      <c r="U113" s="194"/>
      <c r="V113" s="194"/>
      <c r="W113" s="194"/>
    </row>
    <row r="114" ht="14.25" customHeight="1">
      <c r="A114" s="186"/>
      <c r="B114" s="13">
        <v>1871252.0</v>
      </c>
      <c r="C114" s="14">
        <v>46010.672326388885</v>
      </c>
      <c r="D114" s="187" t="s">
        <v>97</v>
      </c>
      <c r="E114" s="188" t="s">
        <v>7058</v>
      </c>
      <c r="F114" s="189"/>
      <c r="G114" s="187" t="s">
        <v>7637</v>
      </c>
      <c r="H114" s="204"/>
      <c r="I114" s="204"/>
      <c r="J114" s="196" t="s">
        <v>6446</v>
      </c>
      <c r="K114" s="196"/>
      <c r="L114" s="192" t="str">
        <f>IFERROR(__xludf.DUMMYFUNCTION("IF(
  AND(D114=""Saída"", J114=""Sangria""),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197" t="str">
        <f>IFERROR(__xludf.DUMMYFUNCTION("IF(J114=""Compra de Mercadorias"",
   IF(
      COUNTIF(ARRAYFORMULA(TRIM(CLEAN(TO_TEXT(Notas!BS:BS)))), TRIM(CLEAN(TO_TEXT(B114)))) &gt; 0,
      ""Encontrada"",
      ""Não Encontrada""
   ),
"""")"),"Encontrada")</f>
        <v>Encontrada</v>
      </c>
      <c r="N114" s="194">
        <f>IFERROR(__xludf.DUMMYFUNCTION("ifna(VALUE(REGEXEXTRACT(E114,""[0-9.]+[,]+[0-9]+"")))"),375.0)</f>
        <v>375</v>
      </c>
      <c r="O114" s="235"/>
      <c r="P114" s="229"/>
      <c r="Q114" s="229"/>
      <c r="R114" s="237" t="str">
        <f t="shared" si="2"/>
        <v/>
      </c>
      <c r="S114" s="229" t="str">
        <f t="shared" si="3"/>
        <v/>
      </c>
      <c r="T114" s="227" t="str">
        <f t="shared" si="1"/>
        <v/>
      </c>
      <c r="U114" s="194"/>
      <c r="V114" s="194"/>
      <c r="W114" s="194"/>
    </row>
    <row r="115" ht="14.25" customHeight="1">
      <c r="A115" s="186"/>
      <c r="B115" s="13">
        <v>1871785.0</v>
      </c>
      <c r="C115" s="14">
        <v>46010.76967592593</v>
      </c>
      <c r="D115" s="187" t="s">
        <v>97</v>
      </c>
      <c r="E115" s="188" t="s">
        <v>7499</v>
      </c>
      <c r="F115" s="189"/>
      <c r="G115" s="187" t="s">
        <v>7652</v>
      </c>
      <c r="H115" s="204"/>
      <c r="I115" s="204"/>
      <c r="J115" s="196" t="s">
        <v>6544</v>
      </c>
      <c r="K115" s="196" t="s">
        <v>5991</v>
      </c>
      <c r="L115" s="192" t="str">
        <f>IFERROR(__xludf.DUMMYFUNCTION("IF(
  AND(D115=""Saída"", J115=""Sangria""),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"),"Confirmada")</f>
        <v>Confirmada</v>
      </c>
      <c r="M115" s="198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94">
        <f>IFERROR(__xludf.DUMMYFUNCTION("ifna(VALUE(REGEXEXTRACT(E115,""[0-9.]+[,]+[0-9]+"")))"),1700.0)</f>
        <v>1700</v>
      </c>
      <c r="O115" s="238"/>
      <c r="P115" s="230"/>
      <c r="Q115" s="230"/>
      <c r="R115" s="240" t="str">
        <f t="shared" si="2"/>
        <v/>
      </c>
      <c r="S115" s="230" t="str">
        <f t="shared" si="3"/>
        <v/>
      </c>
      <c r="T115" s="227" t="str">
        <f t="shared" si="1"/>
        <v/>
      </c>
      <c r="U115" s="194"/>
      <c r="V115" s="194"/>
      <c r="W115" s="194"/>
    </row>
    <row r="116" ht="14.25" customHeight="1">
      <c r="A116" s="186"/>
      <c r="B116" s="13">
        <v>1872013.0</v>
      </c>
      <c r="C116" s="14">
        <v>46010.827511574076</v>
      </c>
      <c r="D116" s="187" t="s">
        <v>97</v>
      </c>
      <c r="E116" s="188" t="s">
        <v>7667</v>
      </c>
      <c r="F116" s="189"/>
      <c r="G116" s="187" t="s">
        <v>7668</v>
      </c>
      <c r="H116" s="204"/>
      <c r="I116" s="204"/>
      <c r="J116" s="196" t="s">
        <v>6446</v>
      </c>
      <c r="K116" s="196"/>
      <c r="L116" s="192" t="str">
        <f>IFERROR(__xludf.DUMMYFUNCTION("IF(
  AND(D116=""Saída"", J116=""Sangria""),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197" t="str">
        <f>IFERROR(__xludf.DUMMYFUNCTION("IF(J116=""Compra de Mercadorias"",
   IF(
      COUNTIF(ARRAYFORMULA(TRIM(CLEAN(TO_TEXT(Notas!BS:BS)))), TRIM(CLEAN(TO_TEXT(B116)))) &gt; 0,
      ""Encontrada"",
      ""Não Encontrada""
   ),
"""")"),"Encontrada")</f>
        <v>Encontrada</v>
      </c>
      <c r="N116" s="194">
        <f>IFERROR(__xludf.DUMMYFUNCTION("ifna(VALUE(REGEXEXTRACT(E116,""[0-9.]+[,]+[0-9]+"")))"),119.13)</f>
        <v>119.13</v>
      </c>
      <c r="O116" s="235"/>
      <c r="P116" s="229"/>
      <c r="Q116" s="229"/>
      <c r="R116" s="237" t="str">
        <f t="shared" si="2"/>
        <v/>
      </c>
      <c r="S116" s="229" t="str">
        <f t="shared" si="3"/>
        <v/>
      </c>
      <c r="T116" s="227" t="str">
        <f t="shared" si="1"/>
        <v/>
      </c>
      <c r="U116" s="194"/>
      <c r="V116" s="194"/>
      <c r="W116" s="194"/>
    </row>
    <row r="117" ht="14.25" customHeight="1">
      <c r="A117" s="186"/>
      <c r="B117" s="13">
        <v>1872351.0</v>
      </c>
      <c r="C117" s="14">
        <v>46010.901967592596</v>
      </c>
      <c r="D117" s="187" t="s">
        <v>97</v>
      </c>
      <c r="E117" s="188" t="s">
        <v>6466</v>
      </c>
      <c r="F117" s="189"/>
      <c r="G117" s="187" t="s">
        <v>7677</v>
      </c>
      <c r="H117" s="204"/>
      <c r="I117" s="204"/>
      <c r="J117" s="196" t="s">
        <v>6469</v>
      </c>
      <c r="K117" s="196"/>
      <c r="L117" s="192" t="str">
        <f>IFERROR(__xludf.DUMMYFUNCTION("IF(
  AND(D117=""Saída"", J117=""Sangria""),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198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94">
        <f>IFERROR(__xludf.DUMMYFUNCTION("ifna(VALUE(REGEXEXTRACT(E117,""[0-9.]+[,]+[0-9]+"")))"),91.0)</f>
        <v>91</v>
      </c>
      <c r="O117" s="238"/>
      <c r="P117" s="230"/>
      <c r="Q117" s="230"/>
      <c r="R117" s="240" t="str">
        <f t="shared" si="2"/>
        <v/>
      </c>
      <c r="S117" s="230" t="str">
        <f t="shared" si="3"/>
        <v/>
      </c>
      <c r="T117" s="242" t="str">
        <f t="shared" ref="T117:T138" si="4">IFERROR(VLOOKUP(Q117, $A$4:$B$18, 2, FALSE), "")</f>
        <v/>
      </c>
      <c r="U117" s="194"/>
      <c r="V117" s="194"/>
      <c r="W117" s="194"/>
    </row>
    <row r="118" ht="14.25" customHeight="1">
      <c r="A118" s="186"/>
      <c r="B118" s="13">
        <v>1874233.0</v>
      </c>
      <c r="C118" s="14">
        <v>46011.79471064815</v>
      </c>
      <c r="D118" s="187" t="s">
        <v>97</v>
      </c>
      <c r="E118" s="188" t="s">
        <v>7681</v>
      </c>
      <c r="F118" s="189"/>
      <c r="G118" s="187" t="s">
        <v>7682</v>
      </c>
      <c r="H118" s="204"/>
      <c r="I118" s="204"/>
      <c r="J118" s="196" t="s">
        <v>6469</v>
      </c>
      <c r="K118" s="196"/>
      <c r="L118" s="192" t="str">
        <f>IFERROR(__xludf.DUMMYFUNCTION("IF(
  AND(D118=""Saída"", J118=""Sangria""),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197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94">
        <f>IFERROR(__xludf.DUMMYFUNCTION("ifna(VALUE(REGEXEXTRACT(E118,""[0-9.]+[,]+[0-9]+"")))"),71.5)</f>
        <v>71.5</v>
      </c>
      <c r="O118" s="235"/>
      <c r="P118" s="229"/>
      <c r="Q118" s="229"/>
      <c r="R118" s="237" t="str">
        <f t="shared" si="2"/>
        <v/>
      </c>
      <c r="S118" s="229" t="str">
        <f t="shared" si="3"/>
        <v/>
      </c>
      <c r="T118" s="242" t="str">
        <f t="shared" si="4"/>
        <v/>
      </c>
      <c r="U118" s="194"/>
      <c r="V118" s="194"/>
      <c r="W118" s="194"/>
    </row>
    <row r="119" ht="14.25" customHeight="1">
      <c r="A119" s="186"/>
      <c r="B119" s="13">
        <v>1874791.0</v>
      </c>
      <c r="C119" s="14">
        <v>46011.896157407406</v>
      </c>
      <c r="D119" s="187" t="s">
        <v>97</v>
      </c>
      <c r="E119" s="188" t="s">
        <v>7698</v>
      </c>
      <c r="F119" s="189"/>
      <c r="G119" s="187" t="s">
        <v>7699</v>
      </c>
      <c r="H119" s="204"/>
      <c r="I119" s="204"/>
      <c r="J119" s="196" t="s">
        <v>6446</v>
      </c>
      <c r="K119" s="196"/>
      <c r="L119" s="192" t="str">
        <f>IFERROR(__xludf.DUMMYFUNCTION("IF(
  AND(D119=""Saída"", J119=""Sangria""),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198" t="str">
        <f>IFERROR(__xludf.DUMMYFUNCTION("IF(J119=""Compra de Mercadorias"",
   IF(
      COUNTIF(ARRAYFORMULA(TRIM(CLEAN(TO_TEXT(Notas!BS:BS)))), TRIM(CLEAN(TO_TEXT(B119)))) &gt; 0,
      ""Encontrada"",
      ""Não Encontrada""
   ),
"""")"),"Encontrada")</f>
        <v>Encontrada</v>
      </c>
      <c r="N119" s="194">
        <f>IFERROR(__xludf.DUMMYFUNCTION("ifna(VALUE(REGEXEXTRACT(E119,""[0-9.]+[,]+[0-9]+"")))"),137.64)</f>
        <v>137.64</v>
      </c>
      <c r="O119" s="238"/>
      <c r="P119" s="230"/>
      <c r="Q119" s="230"/>
      <c r="R119" s="240" t="str">
        <f t="shared" si="2"/>
        <v/>
      </c>
      <c r="S119" s="230" t="str">
        <f t="shared" si="3"/>
        <v/>
      </c>
      <c r="T119" s="242" t="str">
        <f t="shared" si="4"/>
        <v/>
      </c>
      <c r="U119" s="194"/>
      <c r="V119" s="194"/>
      <c r="W119" s="194"/>
    </row>
    <row r="120" ht="14.25" customHeight="1">
      <c r="A120" s="186"/>
      <c r="B120" s="13">
        <v>1874842.0</v>
      </c>
      <c r="C120" s="14">
        <v>46011.90226851852</v>
      </c>
      <c r="D120" s="187" t="s">
        <v>97</v>
      </c>
      <c r="E120" s="188" t="s">
        <v>7499</v>
      </c>
      <c r="F120" s="189"/>
      <c r="G120" s="187" t="s">
        <v>858</v>
      </c>
      <c r="H120" s="204"/>
      <c r="I120" s="204"/>
      <c r="J120" s="196" t="s">
        <v>6544</v>
      </c>
      <c r="K120" s="196" t="s">
        <v>5991</v>
      </c>
      <c r="L120" s="192" t="str">
        <f>IFERROR(__xludf.DUMMYFUNCTION("IF(
  AND(D120=""Saída"", J120=""Sangria""),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"),"Confirmada")</f>
        <v>Confirmada</v>
      </c>
      <c r="M120" s="197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94">
        <f>IFERROR(__xludf.DUMMYFUNCTION("ifna(VALUE(REGEXEXTRACT(E120,""[0-9.]+[,]+[0-9]+"")))"),1700.0)</f>
        <v>1700</v>
      </c>
      <c r="O120" s="235"/>
      <c r="P120" s="229"/>
      <c r="Q120" s="229"/>
      <c r="R120" s="237" t="str">
        <f t="shared" si="2"/>
        <v/>
      </c>
      <c r="S120" s="229" t="str">
        <f t="shared" si="3"/>
        <v/>
      </c>
      <c r="T120" s="242" t="str">
        <f t="shared" si="4"/>
        <v/>
      </c>
      <c r="U120" s="194"/>
      <c r="V120" s="194"/>
      <c r="W120" s="194"/>
    </row>
    <row r="121" ht="14.25" customHeight="1">
      <c r="A121" s="186"/>
      <c r="B121" s="13">
        <v>1874872.0</v>
      </c>
      <c r="C121" s="14">
        <v>46011.90746527778</v>
      </c>
      <c r="D121" s="187" t="s">
        <v>97</v>
      </c>
      <c r="E121" s="188" t="s">
        <v>7718</v>
      </c>
      <c r="F121" s="189"/>
      <c r="G121" s="187" t="s">
        <v>7721</v>
      </c>
      <c r="H121" s="204"/>
      <c r="I121" s="204"/>
      <c r="J121" s="196" t="s">
        <v>6469</v>
      </c>
      <c r="K121" s="196"/>
      <c r="L121" s="192" t="str">
        <f>IFERROR(__xludf.DUMMYFUNCTION("IF(
  AND(D121=""Saída"", J121=""Sangria""),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198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94">
        <f>IFERROR(__xludf.DUMMYFUNCTION("ifna(VALUE(REGEXEXTRACT(E121,""[0-9.]+[,]+[0-9]+"")))"),528.85)</f>
        <v>528.85</v>
      </c>
      <c r="O121" s="238"/>
      <c r="P121" s="230"/>
      <c r="Q121" s="230"/>
      <c r="R121" s="240" t="str">
        <f t="shared" si="2"/>
        <v/>
      </c>
      <c r="S121" s="230" t="str">
        <f t="shared" si="3"/>
        <v/>
      </c>
      <c r="T121" s="242" t="str">
        <f t="shared" si="4"/>
        <v/>
      </c>
      <c r="U121" s="194"/>
      <c r="V121" s="194"/>
      <c r="W121" s="194"/>
    </row>
    <row r="122" ht="14.25" customHeight="1">
      <c r="A122" s="186"/>
      <c r="B122" s="13">
        <v>1874892.0</v>
      </c>
      <c r="C122" s="14">
        <v>46011.90971064815</v>
      </c>
      <c r="D122" s="187" t="s">
        <v>97</v>
      </c>
      <c r="E122" s="188" t="s">
        <v>6561</v>
      </c>
      <c r="F122" s="189"/>
      <c r="G122" s="187" t="s">
        <v>7735</v>
      </c>
      <c r="H122" s="204"/>
      <c r="I122" s="204"/>
      <c r="J122" s="196" t="s">
        <v>6469</v>
      </c>
      <c r="K122" s="196"/>
      <c r="L122" s="192" t="str">
        <f>IFERROR(__xludf.DUMMYFUNCTION("IF(
  AND(D122=""Saída"", J122=""Sangria""),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197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94">
        <f>IFERROR(__xludf.DUMMYFUNCTION("ifna(VALUE(REGEXEXTRACT(E122,""[0-9.]+[,]+[0-9]+"")))"),123.0)</f>
        <v>123</v>
      </c>
      <c r="O122" s="235"/>
      <c r="P122" s="229"/>
      <c r="Q122" s="229"/>
      <c r="R122" s="237" t="str">
        <f t="shared" si="2"/>
        <v/>
      </c>
      <c r="S122" s="229" t="str">
        <f t="shared" si="3"/>
        <v/>
      </c>
      <c r="T122" s="242" t="str">
        <f t="shared" si="4"/>
        <v/>
      </c>
      <c r="U122" s="194"/>
      <c r="V122" s="194"/>
      <c r="W122" s="194"/>
    </row>
    <row r="123" ht="14.25" customHeight="1">
      <c r="A123" s="186"/>
      <c r="B123" s="13">
        <v>1874896.0</v>
      </c>
      <c r="C123" s="14">
        <v>46011.910150462965</v>
      </c>
      <c r="D123" s="187" t="s">
        <v>97</v>
      </c>
      <c r="E123" s="188" t="s">
        <v>6561</v>
      </c>
      <c r="F123" s="200"/>
      <c r="G123" s="187" t="s">
        <v>7741</v>
      </c>
      <c r="H123" s="204"/>
      <c r="I123" s="204"/>
      <c r="J123" s="196" t="s">
        <v>6469</v>
      </c>
      <c r="K123" s="196"/>
      <c r="L123" s="192" t="str">
        <f>IFERROR(__xludf.DUMMYFUNCTION("IF(
  AND(D123=""Saída"", J123=""Sangria""),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198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94">
        <f>IFERROR(__xludf.DUMMYFUNCTION("ifna(VALUE(REGEXEXTRACT(E123,""[0-9.]+[,]+[0-9]+"")))"),123.0)</f>
        <v>123</v>
      </c>
      <c r="O123" s="238"/>
      <c r="P123" s="230"/>
      <c r="Q123" s="230"/>
      <c r="R123" s="240" t="str">
        <f t="shared" si="2"/>
        <v/>
      </c>
      <c r="S123" s="230" t="str">
        <f t="shared" si="3"/>
        <v/>
      </c>
      <c r="T123" s="242" t="str">
        <f t="shared" si="4"/>
        <v/>
      </c>
      <c r="U123" s="194"/>
      <c r="V123" s="194"/>
      <c r="W123" s="194"/>
    </row>
    <row r="124" ht="14.25" customHeight="1">
      <c r="A124" s="186"/>
      <c r="B124" s="13">
        <v>1875183.0</v>
      </c>
      <c r="C124" s="14">
        <v>46011.931666666664</v>
      </c>
      <c r="D124" s="187" t="s">
        <v>97</v>
      </c>
      <c r="E124" s="188" t="s">
        <v>7753</v>
      </c>
      <c r="F124" s="189"/>
      <c r="G124" s="187" t="s">
        <v>7754</v>
      </c>
      <c r="H124" s="204"/>
      <c r="I124" s="204"/>
      <c r="J124" s="196" t="s">
        <v>6469</v>
      </c>
      <c r="K124" s="196"/>
      <c r="L124" s="192" t="str">
        <f>IFERROR(__xludf.DUMMYFUNCTION("IF(
  AND(D124=""Saída"", J124=""Sangria""),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197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94">
        <f>IFERROR(__xludf.DUMMYFUNCTION("ifna(VALUE(REGEXEXTRACT(E124,""[0-9.]+[,]+[0-9]+"")))"),57.0)</f>
        <v>57</v>
      </c>
      <c r="O124" s="235"/>
      <c r="P124" s="229"/>
      <c r="Q124" s="229"/>
      <c r="R124" s="237" t="str">
        <f t="shared" si="2"/>
        <v/>
      </c>
      <c r="S124" s="229" t="str">
        <f t="shared" si="3"/>
        <v/>
      </c>
      <c r="T124" s="242" t="str">
        <f t="shared" si="4"/>
        <v/>
      </c>
      <c r="U124" s="194"/>
      <c r="V124" s="194"/>
      <c r="W124" s="194"/>
    </row>
    <row r="125" ht="14.25" customHeight="1">
      <c r="A125" s="186"/>
      <c r="B125" s="13">
        <v>1877593.0</v>
      </c>
      <c r="C125" s="14">
        <v>46012.878969907404</v>
      </c>
      <c r="D125" s="187" t="s">
        <v>97</v>
      </c>
      <c r="E125" s="188" t="s">
        <v>7765</v>
      </c>
      <c r="F125" s="189"/>
      <c r="G125" s="187" t="s">
        <v>7766</v>
      </c>
      <c r="H125" s="204"/>
      <c r="I125" s="204"/>
      <c r="J125" s="196" t="s">
        <v>6551</v>
      </c>
      <c r="K125" s="196"/>
      <c r="L125" s="192" t="str">
        <f>IFERROR(__xludf.DUMMYFUNCTION("IF(
  AND(D125=""Saída"", J125=""Sangria""),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198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94">
        <f>IFERROR(__xludf.DUMMYFUNCTION("ifna(VALUE(REGEXEXTRACT(E125,""[0-9.]+[,]+[0-9]+"")))"),60.0)</f>
        <v>60</v>
      </c>
      <c r="O125" s="238"/>
      <c r="P125" s="230"/>
      <c r="Q125" s="230"/>
      <c r="R125" s="240" t="str">
        <f t="shared" si="2"/>
        <v/>
      </c>
      <c r="S125" s="230" t="str">
        <f t="shared" si="3"/>
        <v/>
      </c>
      <c r="T125" s="242" t="str">
        <f t="shared" si="4"/>
        <v/>
      </c>
      <c r="U125" s="194"/>
      <c r="V125" s="194"/>
      <c r="W125" s="194"/>
    </row>
    <row r="126" ht="14.25" customHeight="1">
      <c r="A126" s="186"/>
      <c r="B126" s="13">
        <v>1877839.0</v>
      </c>
      <c r="C126" s="14">
        <v>46012.9093287037</v>
      </c>
      <c r="D126" s="187" t="s">
        <v>97</v>
      </c>
      <c r="E126" s="188" t="s">
        <v>6561</v>
      </c>
      <c r="F126" s="189"/>
      <c r="G126" s="187" t="s">
        <v>7777</v>
      </c>
      <c r="H126" s="204"/>
      <c r="I126" s="204"/>
      <c r="J126" s="196" t="s">
        <v>6469</v>
      </c>
      <c r="K126" s="196"/>
      <c r="L126" s="192" t="str">
        <f>IFERROR(__xludf.DUMMYFUNCTION("IF(
  AND(D126=""Saída"", J126=""Sangria""),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197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94">
        <f>IFERROR(__xludf.DUMMYFUNCTION("ifna(VALUE(REGEXEXTRACT(E126,""[0-9.]+[,]+[0-9]+"")))"),123.0)</f>
        <v>123</v>
      </c>
      <c r="O126" s="235"/>
      <c r="P126" s="229"/>
      <c r="Q126" s="229"/>
      <c r="R126" s="237" t="str">
        <f t="shared" si="2"/>
        <v/>
      </c>
      <c r="S126" s="229" t="str">
        <f t="shared" si="3"/>
        <v/>
      </c>
      <c r="T126" s="242" t="str">
        <f t="shared" si="4"/>
        <v/>
      </c>
      <c r="U126" s="194"/>
      <c r="V126" s="194"/>
      <c r="W126" s="194"/>
    </row>
    <row r="127" ht="14.25" customHeight="1">
      <c r="A127" s="186"/>
      <c r="B127" s="13">
        <v>1877846.0</v>
      </c>
      <c r="C127" s="14">
        <v>46012.90962962963</v>
      </c>
      <c r="D127" s="187" t="s">
        <v>97</v>
      </c>
      <c r="E127" s="188" t="s">
        <v>6561</v>
      </c>
      <c r="F127" s="200"/>
      <c r="G127" s="187" t="s">
        <v>7785</v>
      </c>
      <c r="H127" s="204"/>
      <c r="I127" s="204"/>
      <c r="J127" s="196" t="s">
        <v>6469</v>
      </c>
      <c r="K127" s="196"/>
      <c r="L127" s="192" t="str">
        <f>IFERROR(__xludf.DUMMYFUNCTION("IF(
  AND(D127=""Saída"", J127=""Sangria""),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198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94">
        <f>IFERROR(__xludf.DUMMYFUNCTION("ifna(VALUE(REGEXEXTRACT(E127,""[0-9.]+[,]+[0-9]+"")))"),123.0)</f>
        <v>123</v>
      </c>
      <c r="O127" s="238"/>
      <c r="P127" s="230"/>
      <c r="Q127" s="230"/>
      <c r="R127" s="240" t="str">
        <f t="shared" si="2"/>
        <v/>
      </c>
      <c r="S127" s="230" t="str">
        <f t="shared" si="3"/>
        <v/>
      </c>
      <c r="T127" s="242" t="str">
        <f t="shared" si="4"/>
        <v/>
      </c>
      <c r="U127" s="194"/>
      <c r="V127" s="194"/>
      <c r="W127" s="194"/>
    </row>
    <row r="128" ht="14.25" customHeight="1">
      <c r="A128" s="186"/>
      <c r="B128" s="13">
        <v>1879187.0</v>
      </c>
      <c r="C128" s="14">
        <v>46013.569710648146</v>
      </c>
      <c r="D128" s="187" t="s">
        <v>97</v>
      </c>
      <c r="E128" s="188" t="s">
        <v>7790</v>
      </c>
      <c r="F128" s="189"/>
      <c r="G128" s="187" t="s">
        <v>7791</v>
      </c>
      <c r="H128" s="204"/>
      <c r="I128" s="204"/>
      <c r="J128" s="196" t="s">
        <v>6551</v>
      </c>
      <c r="K128" s="196"/>
      <c r="L128" s="192" t="str">
        <f>IFERROR(__xludf.DUMMYFUNCTION("IF(
  AND(D128=""Saída"", J128=""Sangria""),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197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94">
        <f>IFERROR(__xludf.DUMMYFUNCTION("ifna(VALUE(REGEXEXTRACT(E128,""[0-9.]+[,]+[0-9]+"")))"),972.0)</f>
        <v>972</v>
      </c>
      <c r="O128" s="235"/>
      <c r="P128" s="229"/>
      <c r="Q128" s="229"/>
      <c r="R128" s="237" t="str">
        <f t="shared" si="2"/>
        <v/>
      </c>
      <c r="S128" s="229" t="str">
        <f t="shared" si="3"/>
        <v/>
      </c>
      <c r="T128" s="242" t="str">
        <f t="shared" si="4"/>
        <v/>
      </c>
      <c r="U128" s="194"/>
      <c r="V128" s="194"/>
      <c r="W128" s="194"/>
    </row>
    <row r="129" ht="14.25" customHeight="1">
      <c r="A129" s="186"/>
      <c r="B129" s="13">
        <v>1879759.0</v>
      </c>
      <c r="C129" s="14">
        <v>46013.71209490741</v>
      </c>
      <c r="D129" s="187" t="s">
        <v>97</v>
      </c>
      <c r="E129" s="188" t="s">
        <v>7803</v>
      </c>
      <c r="F129" s="189"/>
      <c r="G129" s="187" t="s">
        <v>858</v>
      </c>
      <c r="H129" s="204"/>
      <c r="I129" s="204"/>
      <c r="J129" s="196" t="s">
        <v>6544</v>
      </c>
      <c r="K129" s="196" t="s">
        <v>5991</v>
      </c>
      <c r="L129" s="192" t="str">
        <f>IFERROR(__xludf.DUMMYFUNCTION("IF(
  AND(D129=""Saída"", J129=""Sangria""),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"),"Caixa Sangria")</f>
        <v>Caixa Sangria</v>
      </c>
      <c r="M129" s="198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94">
        <f>IFERROR(__xludf.DUMMYFUNCTION("ifna(VALUE(REGEXEXTRACT(E129,""[0-9.]+[,]+[0-9]+"")))"),1050.0)</f>
        <v>1050</v>
      </c>
      <c r="O129" s="238"/>
      <c r="P129" s="230"/>
      <c r="Q129" s="230"/>
      <c r="R129" s="240" t="str">
        <f t="shared" si="2"/>
        <v/>
      </c>
      <c r="S129" s="230" t="str">
        <f t="shared" si="3"/>
        <v/>
      </c>
      <c r="T129" s="242" t="str">
        <f t="shared" si="4"/>
        <v/>
      </c>
      <c r="U129" s="194"/>
      <c r="V129" s="194"/>
      <c r="W129" s="194"/>
    </row>
    <row r="130" ht="14.25" customHeight="1">
      <c r="A130" s="186"/>
      <c r="B130" s="13">
        <v>1880143.0</v>
      </c>
      <c r="C130" s="14">
        <v>46013.77893518518</v>
      </c>
      <c r="D130" s="187" t="s">
        <v>97</v>
      </c>
      <c r="E130" s="188" t="s">
        <v>7681</v>
      </c>
      <c r="F130" s="189"/>
      <c r="G130" s="187" t="s">
        <v>7812</v>
      </c>
      <c r="H130" s="204"/>
      <c r="I130" s="204"/>
      <c r="J130" s="196" t="s">
        <v>6469</v>
      </c>
      <c r="K130" s="196"/>
      <c r="L130" s="192" t="str">
        <f>IFERROR(__xludf.DUMMYFUNCTION("IF(
  AND(D130=""Saída"", J130=""Sangria""),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197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94">
        <f>IFERROR(__xludf.DUMMYFUNCTION("ifna(VALUE(REGEXEXTRACT(E130,""[0-9.]+[,]+[0-9]+"")))"),71.5)</f>
        <v>71.5</v>
      </c>
      <c r="O130" s="235"/>
      <c r="P130" s="229"/>
      <c r="Q130" s="229"/>
      <c r="R130" s="237" t="str">
        <f t="shared" si="2"/>
        <v/>
      </c>
      <c r="S130" s="229" t="str">
        <f t="shared" si="3"/>
        <v/>
      </c>
      <c r="T130" s="242" t="str">
        <f t="shared" si="4"/>
        <v/>
      </c>
      <c r="U130" s="194"/>
      <c r="V130" s="194"/>
      <c r="W130" s="194"/>
    </row>
    <row r="131" ht="14.25" customHeight="1">
      <c r="A131" s="186"/>
      <c r="B131" s="13">
        <v>1880249.0</v>
      </c>
      <c r="C131" s="14">
        <v>46013.80792824074</v>
      </c>
      <c r="D131" s="187" t="s">
        <v>97</v>
      </c>
      <c r="E131" s="188" t="s">
        <v>7817</v>
      </c>
      <c r="F131" s="189"/>
      <c r="G131" s="187" t="s">
        <v>7820</v>
      </c>
      <c r="H131" s="204"/>
      <c r="I131" s="204"/>
      <c r="J131" s="196" t="s">
        <v>6446</v>
      </c>
      <c r="K131" s="196"/>
      <c r="L131" s="192" t="str">
        <f>IFERROR(__xludf.DUMMYFUNCTION("IF(
  AND(D131=""Saída"", J131=""Sangria""),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198" t="str">
        <f>IFERROR(__xludf.DUMMYFUNCTION("IF(J131=""Compra de Mercadorias"",
   IF(
      COUNTIF(ARRAYFORMULA(TRIM(CLEAN(TO_TEXT(Notas!BS:BS)))), TRIM(CLEAN(TO_TEXT(B131)))) &gt; 0,
      ""Encontrada"",
      ""Não Encontrada""
   ),
"""")"),"Encontrada")</f>
        <v>Encontrada</v>
      </c>
      <c r="N131" s="194">
        <f>IFERROR(__xludf.DUMMYFUNCTION("ifna(VALUE(REGEXEXTRACT(E131,""[0-9.]+[,]+[0-9]+"")))"),151.33)</f>
        <v>151.33</v>
      </c>
      <c r="O131" s="238"/>
      <c r="P131" s="230"/>
      <c r="Q131" s="230"/>
      <c r="R131" s="240" t="str">
        <f t="shared" si="2"/>
        <v/>
      </c>
      <c r="S131" s="230" t="str">
        <f t="shared" si="3"/>
        <v/>
      </c>
      <c r="T131" s="242" t="str">
        <f t="shared" si="4"/>
        <v/>
      </c>
      <c r="U131" s="194"/>
      <c r="V131" s="194"/>
      <c r="W131" s="194"/>
    </row>
    <row r="132" ht="14.25" customHeight="1">
      <c r="A132" s="186"/>
      <c r="B132" s="13">
        <v>1880657.0</v>
      </c>
      <c r="C132" s="14">
        <v>46013.904340277775</v>
      </c>
      <c r="D132" s="187" t="s">
        <v>97</v>
      </c>
      <c r="E132" s="188" t="s">
        <v>7829</v>
      </c>
      <c r="F132" s="200"/>
      <c r="G132" s="187" t="s">
        <v>7830</v>
      </c>
      <c r="H132" s="204"/>
      <c r="I132" s="204"/>
      <c r="J132" s="196" t="s">
        <v>6469</v>
      </c>
      <c r="K132" s="196"/>
      <c r="L132" s="192" t="str">
        <f>IFERROR(__xludf.DUMMYFUNCTION("IF(
  AND(D132=""Saída"", J132=""Sangria""),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197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94">
        <f>IFERROR(__xludf.DUMMYFUNCTION("ifna(VALUE(REGEXEXTRACT(E132,""[0-9.]+[,]+[0-9]+"")))"),72.0)</f>
        <v>72</v>
      </c>
      <c r="O132" s="235"/>
      <c r="P132" s="229"/>
      <c r="Q132" s="229"/>
      <c r="R132" s="237" t="str">
        <f t="shared" si="2"/>
        <v/>
      </c>
      <c r="S132" s="229" t="str">
        <f t="shared" si="3"/>
        <v/>
      </c>
      <c r="T132" s="242" t="str">
        <f t="shared" si="4"/>
        <v/>
      </c>
      <c r="U132" s="194"/>
      <c r="V132" s="194"/>
      <c r="W132" s="194"/>
    </row>
    <row r="133" ht="14.25" customHeight="1">
      <c r="A133" s="186"/>
      <c r="B133" s="13"/>
      <c r="C133" s="14"/>
      <c r="D133" s="187"/>
      <c r="E133" s="188"/>
      <c r="F133" s="189"/>
      <c r="G133" s="187"/>
      <c r="H133" s="204"/>
      <c r="I133" s="204"/>
      <c r="J133" s="196"/>
      <c r="K133" s="196"/>
      <c r="L133" s="192" t="str">
        <f>IFERROR(__xludf.DUMMYFUNCTION("IF(
  AND(D133=""Saída"", J133=""Sangria""),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198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94" t="str">
        <f>IFERROR(__xludf.DUMMYFUNCTION("ifna(VALUE(REGEXEXTRACT(E133,""[0-9.]+[,]+[0-9]+"")))"),"")</f>
        <v/>
      </c>
      <c r="O133" s="243"/>
      <c r="P133" s="244"/>
      <c r="Q133" s="244"/>
      <c r="R133" s="245" t="str">
        <f t="shared" si="2"/>
        <v/>
      </c>
      <c r="S133" s="244" t="str">
        <f t="shared" si="3"/>
        <v/>
      </c>
      <c r="T133" s="242" t="str">
        <f t="shared" si="4"/>
        <v/>
      </c>
      <c r="U133" s="194"/>
      <c r="V133" s="194"/>
      <c r="W133" s="194"/>
    </row>
    <row r="134" ht="14.25" customHeight="1">
      <c r="A134" s="186"/>
      <c r="B134" s="13"/>
      <c r="C134" s="14"/>
      <c r="D134" s="187"/>
      <c r="E134" s="188"/>
      <c r="F134" s="189"/>
      <c r="G134" s="187"/>
      <c r="H134" s="204"/>
      <c r="I134" s="204"/>
      <c r="J134" s="196"/>
      <c r="K134" s="196"/>
      <c r="L134" s="192" t="str">
        <f>IFERROR(__xludf.DUMMYFUNCTION("IF(
  AND(D134=""Saída"", J134=""Sangria""),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197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94" t="str">
        <f>IFERROR(__xludf.DUMMYFUNCTION("ifna(VALUE(REGEXEXTRACT(E134,""[0-9.]+[,]+[0-9]+"")))"),"")</f>
        <v/>
      </c>
      <c r="O134" s="243"/>
      <c r="P134" s="244"/>
      <c r="Q134" s="244"/>
      <c r="R134" s="245" t="str">
        <f t="shared" si="2"/>
        <v/>
      </c>
      <c r="S134" s="244" t="str">
        <f t="shared" si="3"/>
        <v/>
      </c>
      <c r="T134" s="242" t="str">
        <f t="shared" si="4"/>
        <v/>
      </c>
      <c r="U134" s="194"/>
      <c r="V134" s="194"/>
      <c r="W134" s="194"/>
    </row>
    <row r="135" ht="14.25" customHeight="1">
      <c r="A135" s="186"/>
      <c r="B135" s="13"/>
      <c r="C135" s="14"/>
      <c r="D135" s="187"/>
      <c r="E135" s="188"/>
      <c r="F135" s="189"/>
      <c r="G135" s="187"/>
      <c r="H135" s="204"/>
      <c r="I135" s="204"/>
      <c r="J135" s="196"/>
      <c r="K135" s="196"/>
      <c r="L135" s="192" t="str">
        <f>IFERROR(__xludf.DUMMYFUNCTION("IF(
  AND(D135=""Saída"", J135=""Sangria""),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198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94" t="str">
        <f>IFERROR(__xludf.DUMMYFUNCTION("ifna(VALUE(REGEXEXTRACT(E135,""[0-9.]+[,]+[0-9]+"")))"),"")</f>
        <v/>
      </c>
      <c r="O135" s="243"/>
      <c r="P135" s="244"/>
      <c r="Q135" s="244"/>
      <c r="R135" s="245" t="str">
        <f t="shared" si="2"/>
        <v/>
      </c>
      <c r="S135" s="244" t="str">
        <f t="shared" si="3"/>
        <v/>
      </c>
      <c r="T135" s="242" t="str">
        <f t="shared" si="4"/>
        <v/>
      </c>
      <c r="U135" s="194"/>
      <c r="V135" s="194"/>
      <c r="W135" s="194"/>
    </row>
    <row r="136" ht="14.25" customHeight="1">
      <c r="A136" s="186"/>
      <c r="B136" s="13"/>
      <c r="C136" s="14"/>
      <c r="D136" s="187"/>
      <c r="E136" s="188"/>
      <c r="F136" s="189"/>
      <c r="G136" s="187"/>
      <c r="H136" s="204"/>
      <c r="I136" s="204"/>
      <c r="J136" s="196"/>
      <c r="K136" s="196"/>
      <c r="L136" s="192" t="str">
        <f>IFERROR(__xludf.DUMMYFUNCTION("IF(
  AND(D136=""Saída"", J136=""Sangria""),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197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94" t="str">
        <f>IFERROR(__xludf.DUMMYFUNCTION("ifna(VALUE(REGEXEXTRACT(E136,""[0-9.]+[,]+[0-9]+"")))"),"")</f>
        <v/>
      </c>
      <c r="O136" s="243"/>
      <c r="P136" s="244"/>
      <c r="Q136" s="244"/>
      <c r="R136" s="245" t="str">
        <f t="shared" si="2"/>
        <v/>
      </c>
      <c r="S136" s="244" t="str">
        <f t="shared" si="3"/>
        <v/>
      </c>
      <c r="T136" s="242" t="str">
        <f t="shared" si="4"/>
        <v/>
      </c>
      <c r="U136" s="194"/>
      <c r="V136" s="194"/>
      <c r="W136" s="194"/>
    </row>
    <row r="137" ht="14.25" customHeight="1">
      <c r="A137" s="186"/>
      <c r="B137" s="13"/>
      <c r="C137" s="14"/>
      <c r="D137" s="187"/>
      <c r="E137" s="188"/>
      <c r="F137" s="189"/>
      <c r="G137" s="187"/>
      <c r="H137" s="204"/>
      <c r="I137" s="204"/>
      <c r="J137" s="196"/>
      <c r="K137" s="196"/>
      <c r="L137" s="192" t="str">
        <f>IFERROR(__xludf.DUMMYFUNCTION("IF(
  AND(D137=""Saída"", J137=""Sangria""),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198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94" t="str">
        <f>IFERROR(__xludf.DUMMYFUNCTION("ifna(VALUE(REGEXEXTRACT(E137,""[0-9.]+[,]+[0-9]+"")))"),"")</f>
        <v/>
      </c>
      <c r="O137" s="243"/>
      <c r="P137" s="244"/>
      <c r="Q137" s="244"/>
      <c r="R137" s="245" t="str">
        <f t="shared" si="2"/>
        <v/>
      </c>
      <c r="S137" s="244" t="str">
        <f t="shared" si="3"/>
        <v/>
      </c>
      <c r="T137" s="242" t="str">
        <f t="shared" si="4"/>
        <v/>
      </c>
      <c r="U137" s="194"/>
      <c r="V137" s="194"/>
      <c r="W137" s="194"/>
    </row>
    <row r="138" ht="14.25" customHeight="1">
      <c r="A138" s="186"/>
      <c r="B138" s="13"/>
      <c r="C138" s="14"/>
      <c r="D138" s="187"/>
      <c r="E138" s="188"/>
      <c r="F138" s="200"/>
      <c r="G138" s="187"/>
      <c r="H138" s="204"/>
      <c r="I138" s="204"/>
      <c r="J138" s="196"/>
      <c r="K138" s="196"/>
      <c r="L138" s="192" t="str">
        <f>IFERROR(__xludf.DUMMYFUNCTION("IF(
  AND(D138=""Saída"", J138=""Sangria""),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197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94" t="str">
        <f>IFERROR(__xludf.DUMMYFUNCTION("ifna(VALUE(REGEXEXTRACT(E138,""[0-9.]+[,]+[0-9]+"")))"),"")</f>
        <v/>
      </c>
      <c r="O138" s="246"/>
      <c r="P138" s="247"/>
      <c r="Q138" s="247"/>
      <c r="R138" s="248" t="str">
        <f t="shared" si="2"/>
        <v/>
      </c>
      <c r="S138" s="247" t="str">
        <f t="shared" si="3"/>
        <v/>
      </c>
      <c r="T138" s="249" t="str">
        <f t="shared" si="4"/>
        <v/>
      </c>
      <c r="U138" s="194"/>
      <c r="V138" s="194"/>
      <c r="W138" s="194"/>
    </row>
    <row r="139" ht="14.25" customHeight="1">
      <c r="A139" s="186"/>
      <c r="B139" s="13"/>
      <c r="C139" s="14"/>
      <c r="D139" s="187"/>
      <c r="E139" s="188"/>
      <c r="F139" s="200"/>
      <c r="G139" s="187"/>
      <c r="H139" s="204"/>
      <c r="I139" s="204"/>
      <c r="J139" s="196"/>
      <c r="K139" s="196"/>
      <c r="L139" s="192" t="str">
        <f>IFERROR(__xludf.DUMMYFUNCTION("IF(
  AND(D139=""Saída"", J139=""Sangria""),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198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94" t="str">
        <f>IFERROR(__xludf.DUMMYFUNCTION("ifna(VALUE(REGEXEXTRACT(E139,""[0-9.]+[,]+[0-9]+"")))"),"")</f>
        <v/>
      </c>
      <c r="O139" s="194"/>
      <c r="P139" s="194"/>
      <c r="Q139" s="194"/>
      <c r="R139" s="194"/>
      <c r="S139" s="194"/>
      <c r="T139" s="194"/>
      <c r="U139" s="194"/>
      <c r="V139" s="194"/>
      <c r="W139" s="194"/>
    </row>
    <row r="140" ht="14.25" customHeight="1">
      <c r="A140" s="186"/>
      <c r="B140" s="13"/>
      <c r="C140" s="14"/>
      <c r="D140" s="187"/>
      <c r="E140" s="188"/>
      <c r="F140" s="189"/>
      <c r="G140" s="187"/>
      <c r="H140" s="204"/>
      <c r="I140" s="204"/>
      <c r="J140" s="196"/>
      <c r="K140" s="196"/>
      <c r="L140" s="192" t="str">
        <f>IFERROR(__xludf.DUMMYFUNCTION("IF(
  AND(D140=""Saída"", J140=""Sangria""),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197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94" t="str">
        <f>IFERROR(__xludf.DUMMYFUNCTION("ifna(VALUE(REGEXEXTRACT(E140,""[0-9.]+[,]+[0-9]+"")))"),"")</f>
        <v/>
      </c>
      <c r="O140" s="250" t="s">
        <v>7561</v>
      </c>
      <c r="W140" s="194"/>
    </row>
    <row r="141" ht="14.25" customHeight="1">
      <c r="A141" s="186"/>
      <c r="B141" s="13"/>
      <c r="C141" s="14"/>
      <c r="D141" s="187"/>
      <c r="E141" s="188"/>
      <c r="F141" s="189"/>
      <c r="G141" s="187"/>
      <c r="H141" s="204"/>
      <c r="I141" s="204"/>
      <c r="J141" s="196"/>
      <c r="K141" s="196"/>
      <c r="L141" s="192" t="str">
        <f>IFERROR(__xludf.DUMMYFUNCTION("IF(
  AND(D141=""Saída"", J141=""Sangria""),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198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94" t="str">
        <f>IFERROR(__xludf.DUMMYFUNCTION("ifna(VALUE(REGEXEXTRACT(E141,""[0-9.]+[,]+[0-9]+"")))"),"")</f>
        <v/>
      </c>
      <c r="O141" s="251" t="str">
        <f>IFERROR(__xludf.DUMMYFUNCTION("QUERY(B28:M507,""Select B,C,D,E,G,H,I,M where M = 'Não Encontrada'"",1)"),"ID")</f>
        <v>ID</v>
      </c>
      <c r="P141" s="251" t="str">
        <f>IFERROR(__xludf.DUMMYFUNCTION("""COMPUTED_VALUE"""),"Data")</f>
        <v>Data</v>
      </c>
      <c r="Q141" s="251" t="str">
        <f>IFERROR(__xludf.DUMMYFUNCTION("""COMPUTED_VALUE"""),"Entrada/Saída")</f>
        <v>Entrada/Saída</v>
      </c>
      <c r="R141" s="252" t="str">
        <f>IFERROR(__xludf.DUMMYFUNCTION("""COMPUTED_VALUE"""),"Valor ")</f>
        <v>Valor </v>
      </c>
      <c r="S141" s="251" t="str">
        <f>IFERROR(__xludf.DUMMYFUNCTION("""COMPUTED_VALUE"""),"Descrição")</f>
        <v>Descrição</v>
      </c>
      <c r="V141" s="253" t="str">
        <f>IFERROR(__xludf.DUMMYFUNCTION("""COMPUTED_VALUE"""),"Nota")</f>
        <v>Nota</v>
      </c>
      <c r="W141" s="194"/>
    </row>
    <row r="142" ht="14.25" customHeight="1">
      <c r="A142" s="186"/>
      <c r="B142" s="13"/>
      <c r="C142" s="14"/>
      <c r="D142" s="187"/>
      <c r="E142" s="188"/>
      <c r="F142" s="189"/>
      <c r="G142" s="187"/>
      <c r="H142" s="204"/>
      <c r="I142" s="204"/>
      <c r="J142" s="196"/>
      <c r="K142" s="196"/>
      <c r="L142" s="192" t="str">
        <f>IFERROR(__xludf.DUMMYFUNCTION("IF(
  AND(D142=""Saída"", J142=""Sangria""),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197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94" t="str">
        <f>IFERROR(__xludf.DUMMYFUNCTION("ifna(VALUE(REGEXEXTRACT(E142,""[0-9.]+[,]+[0-9]+"")))"),"")</f>
        <v/>
      </c>
      <c r="O142" s="254"/>
      <c r="P142" s="255"/>
      <c r="Q142" s="254"/>
      <c r="R142" s="256"/>
      <c r="S142" s="254"/>
      <c r="V142" s="254"/>
      <c r="W142" s="194"/>
    </row>
    <row r="143" ht="14.25" customHeight="1">
      <c r="A143" s="186"/>
      <c r="B143" s="13"/>
      <c r="C143" s="14"/>
      <c r="D143" s="187"/>
      <c r="E143" s="188"/>
      <c r="F143" s="189"/>
      <c r="G143" s="187"/>
      <c r="H143" s="204"/>
      <c r="I143" s="204"/>
      <c r="J143" s="196"/>
      <c r="K143" s="196"/>
      <c r="L143" s="192" t="str">
        <f>IFERROR(__xludf.DUMMYFUNCTION("IF(
  AND(D143=""Saída"", J143=""Sangria""),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198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94" t="str">
        <f>IFERROR(__xludf.DUMMYFUNCTION("ifna(VALUE(REGEXEXTRACT(E143,""[0-9.]+[,]+[0-9]+"")))"),"")</f>
        <v/>
      </c>
      <c r="O143" s="258"/>
      <c r="P143" s="259"/>
      <c r="Q143" s="258"/>
      <c r="R143" s="260"/>
      <c r="S143" s="258"/>
      <c r="V143" s="258"/>
      <c r="W143" s="194"/>
    </row>
    <row r="144" ht="14.25" customHeight="1">
      <c r="A144" s="186"/>
      <c r="B144" s="13"/>
      <c r="C144" s="14"/>
      <c r="D144" s="187"/>
      <c r="E144" s="188"/>
      <c r="F144" s="200"/>
      <c r="G144" s="187"/>
      <c r="H144" s="204"/>
      <c r="I144" s="204"/>
      <c r="J144" s="196"/>
      <c r="K144" s="196"/>
      <c r="L144" s="192" t="str">
        <f>IFERROR(__xludf.DUMMYFUNCTION("IF(
  AND(D144=""Saída"", J144=""Sangria""),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197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94" t="str">
        <f>IFERROR(__xludf.DUMMYFUNCTION("ifna(VALUE(REGEXEXTRACT(E144,""[0-9.]+[,]+[0-9]+"")))"),"")</f>
        <v/>
      </c>
      <c r="O144" s="254"/>
      <c r="P144" s="255"/>
      <c r="Q144" s="254"/>
      <c r="R144" s="256"/>
      <c r="S144" s="254"/>
      <c r="V144" s="254"/>
      <c r="W144" s="194"/>
    </row>
    <row r="145" ht="14.25" customHeight="1">
      <c r="A145" s="186"/>
      <c r="B145" s="13"/>
      <c r="C145" s="14"/>
      <c r="D145" s="187"/>
      <c r="E145" s="188"/>
      <c r="F145" s="189"/>
      <c r="G145" s="187"/>
      <c r="H145" s="204"/>
      <c r="I145" s="204"/>
      <c r="J145" s="196"/>
      <c r="K145" s="196"/>
      <c r="L145" s="192" t="str">
        <f>IFERROR(__xludf.DUMMYFUNCTION("IF(
  AND(D145=""Saída"", J145=""Sangria""),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198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94" t="str">
        <f>IFERROR(__xludf.DUMMYFUNCTION("ifna(VALUE(REGEXEXTRACT(E145,""[0-9.]+[,]+[0-9]+"")))"),"")</f>
        <v/>
      </c>
      <c r="O145" s="258"/>
      <c r="P145" s="259"/>
      <c r="Q145" s="258"/>
      <c r="R145" s="260"/>
      <c r="S145" s="258"/>
      <c r="V145" s="258"/>
      <c r="W145" s="194"/>
    </row>
    <row r="146" ht="14.25" customHeight="1">
      <c r="A146" s="186"/>
      <c r="B146" s="13"/>
      <c r="C146" s="14"/>
      <c r="D146" s="187"/>
      <c r="E146" s="188"/>
      <c r="F146" s="189"/>
      <c r="G146" s="187"/>
      <c r="H146" s="204"/>
      <c r="I146" s="204"/>
      <c r="J146" s="196"/>
      <c r="K146" s="196"/>
      <c r="L146" s="192" t="str">
        <f>IFERROR(__xludf.DUMMYFUNCTION("IF(
  AND(D146=""Saída"", J146=""Sangria""),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197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94" t="str">
        <f>IFERROR(__xludf.DUMMYFUNCTION("ifna(VALUE(REGEXEXTRACT(E146,""[0-9.]+[,]+[0-9]+"")))"),"")</f>
        <v/>
      </c>
      <c r="O146" s="254"/>
      <c r="P146" s="255"/>
      <c r="Q146" s="254"/>
      <c r="R146" s="256"/>
      <c r="S146" s="254"/>
      <c r="V146" s="254"/>
      <c r="W146" s="194"/>
    </row>
    <row r="147" ht="14.25" customHeight="1">
      <c r="A147" s="186"/>
      <c r="B147" s="13"/>
      <c r="C147" s="14"/>
      <c r="D147" s="187"/>
      <c r="E147" s="188"/>
      <c r="F147" s="189"/>
      <c r="G147" s="187"/>
      <c r="H147" s="204"/>
      <c r="I147" s="204"/>
      <c r="J147" s="196"/>
      <c r="K147" s="196"/>
      <c r="L147" s="192" t="str">
        <f>IFERROR(__xludf.DUMMYFUNCTION("IF(
  AND(D147=""Saída"", J147=""Sangria""),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198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94" t="str">
        <f>IFERROR(__xludf.DUMMYFUNCTION("ifna(VALUE(REGEXEXTRACT(E147,""[0-9.]+[,]+[0-9]+"")))"),"")</f>
        <v/>
      </c>
      <c r="O147" s="258"/>
      <c r="P147" s="259"/>
      <c r="Q147" s="258"/>
      <c r="R147" s="260"/>
      <c r="S147" s="258"/>
      <c r="V147" s="258"/>
      <c r="W147" s="194"/>
    </row>
    <row r="148" ht="14.25" customHeight="1">
      <c r="A148" s="186"/>
      <c r="B148" s="13"/>
      <c r="C148" s="14"/>
      <c r="D148" s="187"/>
      <c r="E148" s="188"/>
      <c r="F148" s="200"/>
      <c r="G148" s="187"/>
      <c r="H148" s="204"/>
      <c r="I148" s="204"/>
      <c r="J148" s="196"/>
      <c r="K148" s="196"/>
      <c r="L148" s="192" t="str">
        <f>IFERROR(__xludf.DUMMYFUNCTION("IF(
  AND(D148=""Saída"", J148=""Sangria""),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197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94" t="str">
        <f>IFERROR(__xludf.DUMMYFUNCTION("ifna(VALUE(REGEXEXTRACT(E148,""[0-9.]+[,]+[0-9]+"")))"),"")</f>
        <v/>
      </c>
      <c r="O148" s="254"/>
      <c r="P148" s="255"/>
      <c r="Q148" s="254"/>
      <c r="R148" s="256"/>
      <c r="S148" s="254"/>
      <c r="V148" s="254"/>
      <c r="W148" s="194"/>
    </row>
    <row r="149" ht="14.25" customHeight="1">
      <c r="A149" s="186"/>
      <c r="B149" s="13"/>
      <c r="C149" s="14"/>
      <c r="D149" s="187"/>
      <c r="E149" s="188"/>
      <c r="F149" s="189"/>
      <c r="G149" s="187"/>
      <c r="H149" s="204"/>
      <c r="I149" s="204"/>
      <c r="J149" s="196"/>
      <c r="K149" s="196"/>
      <c r="L149" s="192" t="str">
        <f>IFERROR(__xludf.DUMMYFUNCTION("IF(
  AND(D149=""Saída"", J149=""Sangria""),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198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94" t="str">
        <f>IFERROR(__xludf.DUMMYFUNCTION("ifna(VALUE(REGEXEXTRACT(E149,""[0-9.]+[,]+[0-9]+"")))"),"")</f>
        <v/>
      </c>
      <c r="O149" s="258"/>
      <c r="P149" s="259"/>
      <c r="Q149" s="258"/>
      <c r="R149" s="260"/>
      <c r="S149" s="258"/>
      <c r="V149" s="258"/>
      <c r="W149" s="194"/>
    </row>
    <row r="150" ht="14.25" customHeight="1">
      <c r="A150" s="186"/>
      <c r="B150" s="13"/>
      <c r="C150" s="14"/>
      <c r="D150" s="187"/>
      <c r="E150" s="188"/>
      <c r="F150" s="189"/>
      <c r="G150" s="187"/>
      <c r="H150" s="204"/>
      <c r="I150" s="204"/>
      <c r="J150" s="196"/>
      <c r="K150" s="196"/>
      <c r="L150" s="192" t="str">
        <f>IFERROR(__xludf.DUMMYFUNCTION("IF(
  AND(D150=""Saída"", J150=""Sangria""),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197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94" t="str">
        <f>IFERROR(__xludf.DUMMYFUNCTION("ifna(VALUE(REGEXEXTRACT(E150,""[0-9.]+[,]+[0-9]+"")))"),"")</f>
        <v/>
      </c>
      <c r="O150" s="254"/>
      <c r="P150" s="255"/>
      <c r="Q150" s="254"/>
      <c r="R150" s="256"/>
      <c r="S150" s="254"/>
      <c r="V150" s="254"/>
      <c r="W150" s="194"/>
    </row>
    <row r="151" ht="14.25" customHeight="1">
      <c r="A151" s="186"/>
      <c r="B151" s="13"/>
      <c r="C151" s="14"/>
      <c r="D151" s="187"/>
      <c r="E151" s="188"/>
      <c r="F151" s="189"/>
      <c r="G151" s="187"/>
      <c r="H151" s="204"/>
      <c r="I151" s="204"/>
      <c r="J151" s="196"/>
      <c r="K151" s="196"/>
      <c r="L151" s="192" t="str">
        <f>IFERROR(__xludf.DUMMYFUNCTION("IF(
  AND(D151=""Saída"", J151=""Sangria""),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198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94" t="str">
        <f>IFERROR(__xludf.DUMMYFUNCTION("ifna(VALUE(REGEXEXTRACT(E151,""[0-9.]+[,]+[0-9]+"")))"),"")</f>
        <v/>
      </c>
      <c r="O151" s="258"/>
      <c r="P151" s="259"/>
      <c r="Q151" s="258"/>
      <c r="R151" s="260"/>
      <c r="S151" s="258"/>
      <c r="V151" s="258"/>
      <c r="W151" s="194"/>
    </row>
    <row r="152" ht="14.25" customHeight="1">
      <c r="A152" s="186"/>
      <c r="B152" s="13"/>
      <c r="C152" s="14"/>
      <c r="D152" s="187"/>
      <c r="E152" s="188"/>
      <c r="F152" s="189"/>
      <c r="G152" s="187"/>
      <c r="H152" s="204"/>
      <c r="I152" s="204"/>
      <c r="J152" s="196"/>
      <c r="K152" s="196"/>
      <c r="L152" s="192" t="str">
        <f>IFERROR(__xludf.DUMMYFUNCTION("IF(
  AND(D152=""Saída"", J152=""Sangria""),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197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94" t="str">
        <f>IFERROR(__xludf.DUMMYFUNCTION("ifna(VALUE(REGEXEXTRACT(E152,""[0-9.]+[,]+[0-9]+"")))"),"")</f>
        <v/>
      </c>
      <c r="O152" s="254"/>
      <c r="P152" s="255"/>
      <c r="Q152" s="254"/>
      <c r="R152" s="256"/>
      <c r="S152" s="254"/>
      <c r="V152" s="254"/>
      <c r="W152" s="194"/>
    </row>
    <row r="153" ht="14.25" customHeight="1">
      <c r="A153" s="186"/>
      <c r="B153" s="13"/>
      <c r="C153" s="14"/>
      <c r="D153" s="187"/>
      <c r="E153" s="188"/>
      <c r="F153" s="200"/>
      <c r="G153" s="187"/>
      <c r="H153" s="204"/>
      <c r="I153" s="204"/>
      <c r="J153" s="196"/>
      <c r="K153" s="196"/>
      <c r="L153" s="192" t="str">
        <f>IFERROR(__xludf.DUMMYFUNCTION("IF(
  AND(D153=""Saída"", J153=""Sangria""),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198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94" t="str">
        <f>IFERROR(__xludf.DUMMYFUNCTION("ifna(VALUE(REGEXEXTRACT(E153,""[0-9.]+[,]+[0-9]+"")))"),"")</f>
        <v/>
      </c>
      <c r="O153" s="258"/>
      <c r="P153" s="259"/>
      <c r="Q153" s="258"/>
      <c r="R153" s="260"/>
      <c r="S153" s="258"/>
      <c r="V153" s="258"/>
      <c r="W153" s="194"/>
    </row>
    <row r="154" ht="14.25" customHeight="1">
      <c r="A154" s="186"/>
      <c r="B154" s="13"/>
      <c r="C154" s="14"/>
      <c r="D154" s="187"/>
      <c r="E154" s="188"/>
      <c r="F154" s="189"/>
      <c r="G154" s="187"/>
      <c r="H154" s="204"/>
      <c r="I154" s="204"/>
      <c r="J154" s="196"/>
      <c r="K154" s="196"/>
      <c r="L154" s="192" t="str">
        <f>IFERROR(__xludf.DUMMYFUNCTION("IF(
  AND(D154=""Saída"", J154=""Sangria""),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197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94" t="str">
        <f>IFERROR(__xludf.DUMMYFUNCTION("ifna(VALUE(REGEXEXTRACT(E154,""[0-9.]+[,]+[0-9]+"")))"),"")</f>
        <v/>
      </c>
      <c r="O154" s="254"/>
      <c r="P154" s="255"/>
      <c r="Q154" s="254"/>
      <c r="R154" s="256"/>
      <c r="S154" s="254"/>
      <c r="V154" s="254"/>
      <c r="W154" s="194"/>
    </row>
    <row r="155" ht="14.25" customHeight="1">
      <c r="A155" s="186"/>
      <c r="B155" s="13"/>
      <c r="C155" s="14"/>
      <c r="D155" s="187"/>
      <c r="E155" s="188"/>
      <c r="F155" s="189"/>
      <c r="G155" s="187"/>
      <c r="H155" s="204"/>
      <c r="I155" s="204"/>
      <c r="J155" s="196"/>
      <c r="K155" s="196"/>
      <c r="L155" s="192" t="str">
        <f>IFERROR(__xludf.DUMMYFUNCTION("IF(
  AND(D155=""Saída"", J155=""Sangria""),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198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94" t="str">
        <f>IFERROR(__xludf.DUMMYFUNCTION("ifna(VALUE(REGEXEXTRACT(E155,""[0-9.]+[,]+[0-9]+"")))"),"")</f>
        <v/>
      </c>
      <c r="O155" s="258"/>
      <c r="P155" s="259"/>
      <c r="Q155" s="258"/>
      <c r="R155" s="260"/>
      <c r="S155" s="258"/>
      <c r="V155" s="258"/>
      <c r="W155" s="194"/>
    </row>
    <row r="156" ht="14.25" customHeight="1">
      <c r="A156" s="186"/>
      <c r="B156" s="13"/>
      <c r="C156" s="14"/>
      <c r="D156" s="187"/>
      <c r="E156" s="188"/>
      <c r="F156" s="189"/>
      <c r="G156" s="187"/>
      <c r="H156" s="204"/>
      <c r="I156" s="204"/>
      <c r="J156" s="196"/>
      <c r="K156" s="196"/>
      <c r="L156" s="192" t="str">
        <f>IFERROR(__xludf.DUMMYFUNCTION("IF(
  AND(D156=""Saída"", J156=""Sangria""),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197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94" t="str">
        <f>IFERROR(__xludf.DUMMYFUNCTION("ifna(VALUE(REGEXEXTRACT(E156,""[0-9.]+[,]+[0-9]+"")))"),"")</f>
        <v/>
      </c>
      <c r="O156" s="254"/>
      <c r="P156" s="255"/>
      <c r="Q156" s="254"/>
      <c r="R156" s="256"/>
      <c r="S156" s="254"/>
      <c r="V156" s="254"/>
      <c r="W156" s="194"/>
    </row>
    <row r="157" ht="14.25" customHeight="1">
      <c r="A157" s="186"/>
      <c r="B157" s="13"/>
      <c r="C157" s="14"/>
      <c r="D157" s="187"/>
      <c r="E157" s="188"/>
      <c r="F157" s="200"/>
      <c r="G157" s="187"/>
      <c r="H157" s="204"/>
      <c r="I157" s="204"/>
      <c r="J157" s="196"/>
      <c r="K157" s="196"/>
      <c r="L157" s="192" t="str">
        <f>IFERROR(__xludf.DUMMYFUNCTION("IF(
  AND(D157=""Saída"", J157=""Sangria""),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198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94" t="str">
        <f>IFERROR(__xludf.DUMMYFUNCTION("ifna(VALUE(REGEXEXTRACT(E157,""[0-9.]+[,]+[0-9]+"")))"),"")</f>
        <v/>
      </c>
      <c r="O157" s="258"/>
      <c r="P157" s="259"/>
      <c r="Q157" s="258"/>
      <c r="R157" s="260"/>
      <c r="S157" s="258"/>
      <c r="V157" s="258"/>
      <c r="W157" s="194"/>
    </row>
    <row r="158" ht="14.25" customHeight="1">
      <c r="A158" s="186"/>
      <c r="B158" s="13"/>
      <c r="C158" s="14"/>
      <c r="D158" s="187"/>
      <c r="E158" s="188"/>
      <c r="F158" s="200"/>
      <c r="G158" s="187"/>
      <c r="H158" s="204"/>
      <c r="I158" s="204"/>
      <c r="J158" s="196"/>
      <c r="K158" s="196"/>
      <c r="L158" s="192" t="str">
        <f>IFERROR(__xludf.DUMMYFUNCTION("IF(
  AND(D158=""Saída"", J158=""Sangria""),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197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94" t="str">
        <f>IFERROR(__xludf.DUMMYFUNCTION("ifna(VALUE(REGEXEXTRACT(E158,""[0-9.]+[,]+[0-9]+"")))"),"")</f>
        <v/>
      </c>
      <c r="O158" s="254"/>
      <c r="P158" s="255"/>
      <c r="Q158" s="254"/>
      <c r="R158" s="256"/>
      <c r="S158" s="254"/>
      <c r="V158" s="254"/>
      <c r="W158" s="194"/>
    </row>
    <row r="159" ht="14.25" customHeight="1">
      <c r="A159" s="186"/>
      <c r="B159" s="13"/>
      <c r="C159" s="14"/>
      <c r="D159" s="187"/>
      <c r="E159" s="188"/>
      <c r="F159" s="189"/>
      <c r="G159" s="187"/>
      <c r="H159" s="204"/>
      <c r="I159" s="204"/>
      <c r="J159" s="196"/>
      <c r="K159" s="196"/>
      <c r="L159" s="192" t="str">
        <f>IFERROR(__xludf.DUMMYFUNCTION("IF(
  AND(D159=""Saída"", J159=""Sangria""),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198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94" t="str">
        <f>IFERROR(__xludf.DUMMYFUNCTION("ifna(VALUE(REGEXEXTRACT(E159,""[0-9.]+[,]+[0-9]+"")))"),"")</f>
        <v/>
      </c>
      <c r="O159" s="258"/>
      <c r="P159" s="259"/>
      <c r="Q159" s="258"/>
      <c r="R159" s="260"/>
      <c r="S159" s="258"/>
      <c r="V159" s="258"/>
      <c r="W159" s="194"/>
    </row>
    <row r="160" ht="14.25" customHeight="1">
      <c r="A160" s="186"/>
      <c r="B160" s="13"/>
      <c r="C160" s="14"/>
      <c r="D160" s="187"/>
      <c r="E160" s="188"/>
      <c r="F160" s="189"/>
      <c r="G160" s="187"/>
      <c r="H160" s="204"/>
      <c r="I160" s="204"/>
      <c r="J160" s="196"/>
      <c r="K160" s="196"/>
      <c r="L160" s="192" t="str">
        <f>IFERROR(__xludf.DUMMYFUNCTION("IF(
  AND(D160=""Saída"", J160=""Sangria""),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197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94" t="str">
        <f>IFERROR(__xludf.DUMMYFUNCTION("ifna(VALUE(REGEXEXTRACT(E160,""[0-9.]+[,]+[0-9]+"")))"),"")</f>
        <v/>
      </c>
      <c r="O160" s="254"/>
      <c r="P160" s="255"/>
      <c r="Q160" s="254"/>
      <c r="R160" s="256"/>
      <c r="S160" s="254"/>
      <c r="V160" s="254"/>
      <c r="W160" s="194"/>
    </row>
    <row r="161" ht="14.25" customHeight="1">
      <c r="A161" s="186"/>
      <c r="B161" s="13"/>
      <c r="C161" s="14"/>
      <c r="D161" s="187"/>
      <c r="E161" s="188"/>
      <c r="F161" s="189"/>
      <c r="G161" s="187"/>
      <c r="H161" s="204"/>
      <c r="I161" s="204"/>
      <c r="J161" s="196"/>
      <c r="K161" s="196"/>
      <c r="L161" s="192" t="str">
        <f>IFERROR(__xludf.DUMMYFUNCTION("IF(
  AND(D161=""Saída"", J161=""Sangria""),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198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94" t="str">
        <f>IFERROR(__xludf.DUMMYFUNCTION("ifna(VALUE(REGEXEXTRACT(E161,""[0-9.]+[,]+[0-9]+"")))"),"")</f>
        <v/>
      </c>
      <c r="O161" s="258"/>
      <c r="P161" s="262"/>
      <c r="Q161" s="258"/>
      <c r="R161" s="260"/>
      <c r="S161" s="258"/>
      <c r="V161" s="258"/>
      <c r="W161" s="194"/>
    </row>
    <row r="162" ht="14.25" customHeight="1">
      <c r="A162" s="186"/>
      <c r="B162" s="13"/>
      <c r="C162" s="14"/>
      <c r="D162" s="187"/>
      <c r="E162" s="188"/>
      <c r="F162" s="189"/>
      <c r="G162" s="187"/>
      <c r="H162" s="204"/>
      <c r="I162" s="204"/>
      <c r="J162" s="196"/>
      <c r="K162" s="196"/>
      <c r="L162" s="192" t="str">
        <f>IFERROR(__xludf.DUMMYFUNCTION("IF(
  AND(D162=""Saída"", J162=""Sangria""),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197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94" t="str">
        <f>IFERROR(__xludf.DUMMYFUNCTION("ifna(VALUE(REGEXEXTRACT(E162,""[0-9.]+[,]+[0-9]+"")))"),"")</f>
        <v/>
      </c>
      <c r="O162" s="254"/>
      <c r="P162" s="263"/>
      <c r="Q162" s="254"/>
      <c r="R162" s="256"/>
      <c r="S162" s="254"/>
      <c r="V162" s="254"/>
      <c r="W162" s="194"/>
    </row>
    <row r="163" ht="14.25" customHeight="1">
      <c r="A163" s="186"/>
      <c r="B163" s="13"/>
      <c r="C163" s="14"/>
      <c r="D163" s="187"/>
      <c r="E163" s="188"/>
      <c r="F163" s="189"/>
      <c r="G163" s="187"/>
      <c r="H163" s="204"/>
      <c r="I163" s="204"/>
      <c r="J163" s="196"/>
      <c r="K163" s="196"/>
      <c r="L163" s="192" t="str">
        <f>IFERROR(__xludf.DUMMYFUNCTION("IF(
  AND(D163=""Saída"", J163=""Sangria""),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198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94" t="str">
        <f>IFERROR(__xludf.DUMMYFUNCTION("ifna(VALUE(REGEXEXTRACT(E163,""[0-9.]+[,]+[0-9]+"")))"),"")</f>
        <v/>
      </c>
      <c r="O163" s="258"/>
      <c r="P163" s="262"/>
      <c r="Q163" s="258"/>
      <c r="R163" s="260"/>
      <c r="S163" s="258"/>
      <c r="V163" s="258"/>
      <c r="W163" s="194"/>
    </row>
    <row r="164" ht="14.25" customHeight="1">
      <c r="A164" s="186"/>
      <c r="B164" s="13"/>
      <c r="C164" s="14"/>
      <c r="D164" s="187"/>
      <c r="E164" s="188"/>
      <c r="F164" s="189"/>
      <c r="G164" s="187"/>
      <c r="H164" s="204"/>
      <c r="I164" s="204"/>
      <c r="J164" s="196"/>
      <c r="K164" s="196"/>
      <c r="L164" s="192" t="str">
        <f>IFERROR(__xludf.DUMMYFUNCTION("IF(
  AND(D164=""Saída"", J164=""Sangria""),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197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94" t="str">
        <f>IFERROR(__xludf.DUMMYFUNCTION("ifna(VALUE(REGEXEXTRACT(E164,""[0-9.]+[,]+[0-9]+"")))"),"")</f>
        <v/>
      </c>
      <c r="O164" s="254"/>
      <c r="P164" s="263"/>
      <c r="Q164" s="254"/>
      <c r="R164" s="256"/>
      <c r="S164" s="254"/>
      <c r="V164" s="254"/>
      <c r="W164" s="194"/>
    </row>
    <row r="165" ht="14.25" customHeight="1">
      <c r="A165" s="186"/>
      <c r="B165" s="13"/>
      <c r="C165" s="14"/>
      <c r="D165" s="187"/>
      <c r="E165" s="188"/>
      <c r="F165" s="200"/>
      <c r="G165" s="187"/>
      <c r="H165" s="204"/>
      <c r="I165" s="204"/>
      <c r="J165" s="196"/>
      <c r="K165" s="196"/>
      <c r="L165" s="192" t="str">
        <f>IFERROR(__xludf.DUMMYFUNCTION("IF(
  AND(D165=""Saída"", J165=""Sangria""),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198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94" t="str">
        <f>IFERROR(__xludf.DUMMYFUNCTION("ifna(VALUE(REGEXEXTRACT(E165,""[0-9.]+[,]+[0-9]+"")))"),"")</f>
        <v/>
      </c>
      <c r="O165" s="264"/>
      <c r="P165" s="262"/>
      <c r="Q165" s="258"/>
      <c r="R165" s="260"/>
      <c r="S165" s="258"/>
      <c r="V165" s="258"/>
      <c r="W165" s="194"/>
    </row>
    <row r="166" ht="14.25" customHeight="1">
      <c r="A166" s="186"/>
      <c r="B166" s="13"/>
      <c r="C166" s="14"/>
      <c r="D166" s="187"/>
      <c r="E166" s="188"/>
      <c r="F166" s="189"/>
      <c r="G166" s="187"/>
      <c r="H166" s="204"/>
      <c r="I166" s="204"/>
      <c r="J166" s="196"/>
      <c r="K166" s="196"/>
      <c r="L166" s="192" t="str">
        <f>IFERROR(__xludf.DUMMYFUNCTION("IF(
  AND(D166=""Saída"", J166=""Sangria""),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197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94" t="str">
        <f>IFERROR(__xludf.DUMMYFUNCTION("ifna(VALUE(REGEXEXTRACT(E166,""[0-9.]+[,]+[0-9]+"")))"),"")</f>
        <v/>
      </c>
      <c r="O166" s="254"/>
      <c r="P166" s="263"/>
      <c r="Q166" s="254"/>
      <c r="R166" s="256"/>
      <c r="S166" s="254"/>
      <c r="V166" s="254"/>
      <c r="W166" s="194"/>
    </row>
    <row r="167" ht="14.25" customHeight="1">
      <c r="A167" s="186"/>
      <c r="B167" s="13"/>
      <c r="C167" s="14"/>
      <c r="D167" s="187"/>
      <c r="E167" s="188"/>
      <c r="F167" s="189"/>
      <c r="G167" s="187"/>
      <c r="H167" s="204"/>
      <c r="I167" s="204"/>
      <c r="J167" s="196"/>
      <c r="K167" s="196"/>
      <c r="L167" s="192" t="str">
        <f>IFERROR(__xludf.DUMMYFUNCTION("IF(
  AND(D167=""Saída"", J167=""Sangria""),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198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94" t="str">
        <f>IFERROR(__xludf.DUMMYFUNCTION("ifna(VALUE(REGEXEXTRACT(E167,""[0-9.]+[,]+[0-9]+"")))"),"")</f>
        <v/>
      </c>
      <c r="O167" s="258"/>
      <c r="P167" s="262"/>
      <c r="Q167" s="258"/>
      <c r="R167" s="260"/>
      <c r="S167" s="258"/>
      <c r="V167" s="258"/>
      <c r="W167" s="194"/>
    </row>
    <row r="168" ht="14.25" customHeight="1">
      <c r="A168" s="186"/>
      <c r="B168" s="13"/>
      <c r="C168" s="14"/>
      <c r="D168" s="187"/>
      <c r="E168" s="188"/>
      <c r="F168" s="189"/>
      <c r="G168" s="187"/>
      <c r="H168" s="204"/>
      <c r="I168" s="204"/>
      <c r="J168" s="196"/>
      <c r="K168" s="196"/>
      <c r="L168" s="192" t="str">
        <f>IFERROR(__xludf.DUMMYFUNCTION("IF(
  AND(D168=""Saída"", J168=""Sangria""),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197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94" t="str">
        <f>IFERROR(__xludf.DUMMYFUNCTION("ifna(VALUE(REGEXEXTRACT(E168,""[0-9.]+[,]+[0-9]+"")))"),"")</f>
        <v/>
      </c>
      <c r="O168" s="254"/>
      <c r="P168" s="263"/>
      <c r="Q168" s="254"/>
      <c r="R168" s="256"/>
      <c r="S168" s="254"/>
      <c r="V168" s="254"/>
      <c r="W168" s="194"/>
    </row>
    <row r="169" ht="14.25" customHeight="1">
      <c r="A169" s="186"/>
      <c r="B169" s="13"/>
      <c r="C169" s="14"/>
      <c r="D169" s="187"/>
      <c r="E169" s="188"/>
      <c r="F169" s="200"/>
      <c r="G169" s="187"/>
      <c r="H169" s="204"/>
      <c r="I169" s="204"/>
      <c r="J169" s="196"/>
      <c r="K169" s="196"/>
      <c r="L169" s="192" t="str">
        <f>IFERROR(__xludf.DUMMYFUNCTION("IF(
  AND(D169=""Saída"", J169=""Sangria""),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198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94" t="str">
        <f>IFERROR(__xludf.DUMMYFUNCTION("ifna(VALUE(REGEXEXTRACT(E169,""[0-9.]+[,]+[0-9]+"")))"),"")</f>
        <v/>
      </c>
      <c r="O169" s="258"/>
      <c r="P169" s="262"/>
      <c r="Q169" s="258"/>
      <c r="R169" s="258"/>
      <c r="S169" s="258"/>
      <c r="V169" s="258"/>
      <c r="W169" s="194"/>
    </row>
    <row r="170" ht="14.25" customHeight="1">
      <c r="A170" s="186"/>
      <c r="B170" s="13"/>
      <c r="C170" s="14"/>
      <c r="D170" s="187"/>
      <c r="E170" s="188"/>
      <c r="F170" s="189"/>
      <c r="G170" s="187"/>
      <c r="H170" s="204"/>
      <c r="I170" s="204"/>
      <c r="J170" s="196"/>
      <c r="K170" s="196"/>
      <c r="L170" s="192" t="str">
        <f>IFERROR(__xludf.DUMMYFUNCTION("IF(
  AND(D170=""Saída"", J170=""Sangria""),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197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94" t="str">
        <f>IFERROR(__xludf.DUMMYFUNCTION("ifna(VALUE(REGEXEXTRACT(E170,""[0-9.]+[,]+[0-9]+"")))"),"")</f>
        <v/>
      </c>
      <c r="O170" s="254"/>
      <c r="P170" s="263"/>
      <c r="Q170" s="254"/>
      <c r="R170" s="254"/>
      <c r="S170" s="254"/>
      <c r="V170" s="254"/>
      <c r="W170" s="194"/>
    </row>
    <row r="171" ht="14.25" customHeight="1">
      <c r="A171" s="186"/>
      <c r="B171" s="13"/>
      <c r="C171" s="14"/>
      <c r="D171" s="187"/>
      <c r="E171" s="188"/>
      <c r="F171" s="189"/>
      <c r="G171" s="187"/>
      <c r="H171" s="204"/>
      <c r="I171" s="204"/>
      <c r="J171" s="196"/>
      <c r="K171" s="196"/>
      <c r="L171" s="192" t="str">
        <f>IFERROR(__xludf.DUMMYFUNCTION("IF(
  AND(D171=""Saída"", J171=""Sangria""),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198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94" t="str">
        <f>IFERROR(__xludf.DUMMYFUNCTION("ifna(VALUE(REGEXEXTRACT(E171,""[0-9.]+[,]+[0-9]+"")))"),"")</f>
        <v/>
      </c>
      <c r="O171" s="258"/>
      <c r="P171" s="262"/>
      <c r="Q171" s="258"/>
      <c r="R171" s="258"/>
      <c r="S171" s="258"/>
      <c r="V171" s="258"/>
      <c r="W171" s="194"/>
    </row>
    <row r="172" ht="14.25" customHeight="1">
      <c r="A172" s="186"/>
      <c r="B172" s="13"/>
      <c r="C172" s="14"/>
      <c r="D172" s="187"/>
      <c r="E172" s="188"/>
      <c r="F172" s="200"/>
      <c r="G172" s="187"/>
      <c r="H172" s="204"/>
      <c r="I172" s="204"/>
      <c r="J172" s="196"/>
      <c r="K172" s="196"/>
      <c r="L172" s="192" t="str">
        <f>IFERROR(__xludf.DUMMYFUNCTION("IF(
  AND(D172=""Saída"", J172=""Sangria""),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197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94" t="str">
        <f>IFERROR(__xludf.DUMMYFUNCTION("ifna(VALUE(REGEXEXTRACT(E172,""[0-9.]+[,]+[0-9]+"")))"),"")</f>
        <v/>
      </c>
      <c r="O172" s="254"/>
      <c r="P172" s="263"/>
      <c r="Q172" s="254"/>
      <c r="R172" s="254"/>
      <c r="S172" s="254"/>
      <c r="V172" s="254"/>
      <c r="W172" s="194"/>
    </row>
    <row r="173" ht="14.25" customHeight="1">
      <c r="A173" s="186"/>
      <c r="B173" s="13"/>
      <c r="C173" s="14"/>
      <c r="D173" s="187"/>
      <c r="E173" s="188"/>
      <c r="F173" s="189"/>
      <c r="G173" s="187"/>
      <c r="H173" s="204"/>
      <c r="I173" s="204"/>
      <c r="J173" s="196"/>
      <c r="K173" s="196"/>
      <c r="L173" s="192" t="str">
        <f>IFERROR(__xludf.DUMMYFUNCTION("IF(
  AND(D173=""Saída"", J173=""Sangria""),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198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94" t="str">
        <f>IFERROR(__xludf.DUMMYFUNCTION("ifna(VALUE(REGEXEXTRACT(E173,""[0-9.]+[,]+[0-9]+"")))"),"")</f>
        <v/>
      </c>
      <c r="O173" s="258"/>
      <c r="P173" s="265"/>
      <c r="Q173" s="258"/>
      <c r="R173" s="258"/>
      <c r="S173" s="258"/>
      <c r="V173" s="258"/>
      <c r="W173" s="194"/>
    </row>
    <row r="174" ht="14.25" customHeight="1">
      <c r="A174" s="186"/>
      <c r="B174" s="13"/>
      <c r="C174" s="14"/>
      <c r="D174" s="187"/>
      <c r="E174" s="188"/>
      <c r="F174" s="189"/>
      <c r="G174" s="187"/>
      <c r="H174" s="204"/>
      <c r="I174" s="204"/>
      <c r="J174" s="196"/>
      <c r="K174" s="196"/>
      <c r="L174" s="192" t="str">
        <f>IFERROR(__xludf.DUMMYFUNCTION("IF(
  AND(D174=""Saída"", J174=""Sangria""),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197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94" t="str">
        <f>IFERROR(__xludf.DUMMYFUNCTION("ifna(VALUE(REGEXEXTRACT(E174,""[0-9.]+[,]+[0-9]+"")))"),"")</f>
        <v/>
      </c>
      <c r="O174" s="254"/>
      <c r="P174" s="263"/>
      <c r="Q174" s="254"/>
      <c r="R174" s="254"/>
      <c r="S174" s="254"/>
      <c r="V174" s="254"/>
      <c r="W174" s="194"/>
    </row>
    <row r="175" ht="14.25" customHeight="1">
      <c r="A175" s="186"/>
      <c r="B175" s="13"/>
      <c r="C175" s="14"/>
      <c r="D175" s="187"/>
      <c r="E175" s="188"/>
      <c r="F175" s="200"/>
      <c r="G175" s="187"/>
      <c r="H175" s="204"/>
      <c r="I175" s="204"/>
      <c r="J175" s="196"/>
      <c r="K175" s="196"/>
      <c r="L175" s="192" t="str">
        <f>IFERROR(__xludf.DUMMYFUNCTION("IF(
  AND(D175=""Saída"", J175=""Sangria""),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198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94" t="str">
        <f>IFERROR(__xludf.DUMMYFUNCTION("ifna(VALUE(REGEXEXTRACT(E175,""[0-9.]+[,]+[0-9]+"")))"),"")</f>
        <v/>
      </c>
      <c r="O175" s="258"/>
      <c r="P175" s="262"/>
      <c r="Q175" s="258"/>
      <c r="R175" s="258"/>
      <c r="S175" s="258"/>
      <c r="V175" s="258"/>
      <c r="W175" s="194"/>
    </row>
    <row r="176" ht="14.25" customHeight="1">
      <c r="A176" s="186"/>
      <c r="B176" s="13"/>
      <c r="C176" s="14"/>
      <c r="D176" s="187"/>
      <c r="E176" s="188"/>
      <c r="F176" s="189"/>
      <c r="G176" s="187"/>
      <c r="H176" s="204"/>
      <c r="I176" s="204"/>
      <c r="J176" s="196"/>
      <c r="K176" s="196"/>
      <c r="L176" s="192" t="str">
        <f>IFERROR(__xludf.DUMMYFUNCTION("IF(
  AND(D176=""Saída"", J176=""Sangria""),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197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94" t="str">
        <f>IFERROR(__xludf.DUMMYFUNCTION("ifna(VALUE(REGEXEXTRACT(E176,""[0-9.]+[,]+[0-9]+"")))"),"")</f>
        <v/>
      </c>
      <c r="O176" s="254"/>
      <c r="P176" s="263"/>
      <c r="Q176" s="254"/>
      <c r="R176" s="254"/>
      <c r="S176" s="254"/>
      <c r="V176" s="254"/>
      <c r="W176" s="194"/>
    </row>
    <row r="177" ht="14.25" customHeight="1">
      <c r="A177" s="186"/>
      <c r="B177" s="13"/>
      <c r="C177" s="14"/>
      <c r="D177" s="187"/>
      <c r="E177" s="188"/>
      <c r="F177" s="189"/>
      <c r="G177" s="187"/>
      <c r="H177" s="204"/>
      <c r="I177" s="204"/>
      <c r="K177" s="196"/>
      <c r="L177" s="192" t="str">
        <f>IFERROR(__xludf.DUMMYFUNCTION("IF(
  AND(D177=""Saída"", J177=""Sangria""),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198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94" t="str">
        <f>IFERROR(__xludf.DUMMYFUNCTION("ifna(VALUE(REGEXEXTRACT(E177,""[0-9.]+[,]+[0-9]+"")))"),"")</f>
        <v/>
      </c>
      <c r="O177" s="258"/>
      <c r="P177" s="262"/>
      <c r="Q177" s="258"/>
      <c r="R177" s="258"/>
      <c r="S177" s="258"/>
      <c r="V177" s="258"/>
      <c r="W177" s="194"/>
    </row>
    <row r="178" ht="14.25" customHeight="1">
      <c r="A178" s="186"/>
      <c r="B178" s="13"/>
      <c r="C178" s="14"/>
      <c r="D178" s="187"/>
      <c r="E178" s="188"/>
      <c r="F178" s="189"/>
      <c r="G178" s="187"/>
      <c r="H178" s="204"/>
      <c r="I178" s="204"/>
      <c r="J178" s="196"/>
      <c r="K178" s="196"/>
      <c r="L178" s="192" t="str">
        <f>IFERROR(__xludf.DUMMYFUNCTION("IF(
  AND(D178=""Saída"", J178=""Sangria""),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197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94" t="str">
        <f>IFERROR(__xludf.DUMMYFUNCTION("ifna(VALUE(REGEXEXTRACT(E178,""[0-9.]+[,]+[0-9]+"")))"),"")</f>
        <v/>
      </c>
      <c r="O178" s="254"/>
      <c r="P178" s="263"/>
      <c r="Q178" s="254"/>
      <c r="R178" s="254"/>
      <c r="S178" s="254"/>
      <c r="V178" s="254"/>
      <c r="W178" s="194"/>
    </row>
    <row r="179" ht="14.25" customHeight="1">
      <c r="A179" s="186"/>
      <c r="B179" s="13"/>
      <c r="C179" s="14"/>
      <c r="D179" s="187"/>
      <c r="E179" s="188"/>
      <c r="F179" s="200"/>
      <c r="G179" s="187"/>
      <c r="H179" s="204"/>
      <c r="I179" s="204"/>
      <c r="J179" s="196"/>
      <c r="K179" s="196"/>
      <c r="L179" s="192" t="str">
        <f>IFERROR(__xludf.DUMMYFUNCTION("IF(
  AND(D179=""Saída"", J179=""Sangria""),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198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94" t="str">
        <f>IFERROR(__xludf.DUMMYFUNCTION("ifna(VALUE(REGEXEXTRACT(E179,""[0-9.]+[,]+[0-9]+"")))"),"")</f>
        <v/>
      </c>
      <c r="O179" s="258"/>
      <c r="P179" s="262"/>
      <c r="Q179" s="258"/>
      <c r="R179" s="258"/>
      <c r="S179" s="258"/>
      <c r="V179" s="258"/>
      <c r="W179" s="194"/>
    </row>
    <row r="180" ht="14.25" customHeight="1">
      <c r="A180" s="186"/>
      <c r="B180" s="13"/>
      <c r="C180" s="14"/>
      <c r="D180" s="187"/>
      <c r="E180" s="188"/>
      <c r="F180" s="189"/>
      <c r="G180" s="187"/>
      <c r="H180" s="204"/>
      <c r="I180" s="204"/>
      <c r="K180" s="196"/>
      <c r="L180" s="192" t="str">
        <f>IFERROR(__xludf.DUMMYFUNCTION("IF(
  AND(D180=""Saída"", J180=""Sangria""),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197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94" t="str">
        <f>IFERROR(__xludf.DUMMYFUNCTION("ifna(VALUE(REGEXEXTRACT(E180,""[0-9.]+[,]+[0-9]+"")))"),"")</f>
        <v/>
      </c>
      <c r="O180" s="254"/>
      <c r="P180" s="263"/>
      <c r="Q180" s="254"/>
      <c r="R180" s="254"/>
      <c r="S180" s="254"/>
      <c r="V180" s="254"/>
      <c r="W180" s="194"/>
    </row>
    <row r="181" ht="14.25" customHeight="1">
      <c r="A181" s="186"/>
      <c r="B181" s="13"/>
      <c r="C181" s="14"/>
      <c r="D181" s="187"/>
      <c r="E181" s="188"/>
      <c r="F181" s="189"/>
      <c r="G181" s="187"/>
      <c r="H181" s="204"/>
      <c r="I181" s="204"/>
      <c r="J181" s="196"/>
      <c r="K181" s="196"/>
      <c r="L181" s="192" t="str">
        <f>IFERROR(__xludf.DUMMYFUNCTION("IF(
  AND(D181=""Saída"", J181=""Sangria""),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198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94" t="str">
        <f>IFERROR(__xludf.DUMMYFUNCTION("ifna(VALUE(REGEXEXTRACT(E181,""[0-9.]+[,]+[0-9]+"")))"),"")</f>
        <v/>
      </c>
      <c r="O181" s="258"/>
      <c r="P181" s="262"/>
      <c r="Q181" s="258"/>
      <c r="R181" s="258"/>
      <c r="S181" s="258"/>
      <c r="V181" s="258"/>
      <c r="W181" s="194"/>
    </row>
    <row r="182" ht="14.25" customHeight="1">
      <c r="A182" s="186"/>
      <c r="B182" s="13"/>
      <c r="C182" s="14"/>
      <c r="D182" s="187"/>
      <c r="E182" s="188"/>
      <c r="F182" s="189"/>
      <c r="G182" s="187"/>
      <c r="H182" s="204"/>
      <c r="I182" s="204"/>
      <c r="J182" s="196"/>
      <c r="K182" s="196"/>
      <c r="L182" s="192" t="str">
        <f>IFERROR(__xludf.DUMMYFUNCTION("IF(
  AND(D182=""Saída"", J182=""Sangria""),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197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94" t="str">
        <f>IFERROR(__xludf.DUMMYFUNCTION("ifna(VALUE(REGEXEXTRACT(E182,""[0-9.]+[,]+[0-9]+"")))"),"")</f>
        <v/>
      </c>
      <c r="O182" s="254"/>
      <c r="P182" s="263"/>
      <c r="Q182" s="254"/>
      <c r="R182" s="254"/>
      <c r="S182" s="254"/>
      <c r="V182" s="254"/>
      <c r="W182" s="194"/>
    </row>
    <row r="183" ht="14.25" customHeight="1">
      <c r="A183" s="186"/>
      <c r="B183" s="13"/>
      <c r="C183" s="14"/>
      <c r="D183" s="187"/>
      <c r="E183" s="188"/>
      <c r="F183" s="200"/>
      <c r="G183" s="187"/>
      <c r="H183" s="204"/>
      <c r="I183" s="204"/>
      <c r="J183" s="196"/>
      <c r="K183" s="196"/>
      <c r="L183" s="192" t="str">
        <f>IFERROR(__xludf.DUMMYFUNCTION("IF(
  AND(D183=""Saída"", J183=""Sangria""),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198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94" t="str">
        <f>IFERROR(__xludf.DUMMYFUNCTION("ifna(VALUE(REGEXEXTRACT(E183,""[0-9.]+[,]+[0-9]+"")))"),"")</f>
        <v/>
      </c>
      <c r="O183" s="258"/>
      <c r="P183" s="262"/>
      <c r="Q183" s="258"/>
      <c r="R183" s="258"/>
      <c r="S183" s="258"/>
      <c r="V183" s="258"/>
      <c r="W183" s="194"/>
    </row>
    <row r="184" ht="14.25" customHeight="1">
      <c r="A184" s="186"/>
      <c r="B184" s="13"/>
      <c r="C184" s="14"/>
      <c r="D184" s="187"/>
      <c r="E184" s="188"/>
      <c r="F184" s="200"/>
      <c r="G184" s="187"/>
      <c r="H184" s="204"/>
      <c r="I184" s="204"/>
      <c r="J184" s="196"/>
      <c r="K184" s="196"/>
      <c r="L184" s="192" t="str">
        <f>IFERROR(__xludf.DUMMYFUNCTION("IF(
  AND(D184=""Saída"", J184=""Sangria""),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197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94" t="str">
        <f>IFERROR(__xludf.DUMMYFUNCTION("ifna(VALUE(REGEXEXTRACT(E184,""[0-9.]+[,]+[0-9]+"")))"),"")</f>
        <v/>
      </c>
      <c r="O184" s="254"/>
      <c r="P184" s="263"/>
      <c r="Q184" s="254"/>
      <c r="R184" s="254"/>
      <c r="S184" s="254"/>
      <c r="V184" s="254"/>
      <c r="W184" s="194"/>
    </row>
    <row r="185" ht="14.25" customHeight="1">
      <c r="A185" s="186"/>
      <c r="B185" s="13"/>
      <c r="C185" s="14"/>
      <c r="D185" s="187"/>
      <c r="E185" s="188"/>
      <c r="F185" s="189"/>
      <c r="G185" s="187"/>
      <c r="H185" s="204"/>
      <c r="I185" s="204"/>
      <c r="J185" s="196"/>
      <c r="K185" s="196"/>
      <c r="L185" s="192" t="str">
        <f>IFERROR(__xludf.DUMMYFUNCTION("IF(
  AND(D185=""Saída"", J185=""Sangria""),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198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94" t="str">
        <f>IFERROR(__xludf.DUMMYFUNCTION("ifna(VALUE(REGEXEXTRACT(E185,""[0-9.]+[,]+[0-9]+"")))"),"")</f>
        <v/>
      </c>
      <c r="O185" s="258"/>
      <c r="P185" s="262"/>
      <c r="Q185" s="258"/>
      <c r="R185" s="258"/>
      <c r="S185" s="258"/>
      <c r="V185" s="258"/>
      <c r="W185" s="194"/>
    </row>
    <row r="186" ht="14.25" customHeight="1">
      <c r="A186" s="186"/>
      <c r="B186" s="13"/>
      <c r="C186" s="14"/>
      <c r="D186" s="187"/>
      <c r="E186" s="188"/>
      <c r="F186" s="200"/>
      <c r="G186" s="187"/>
      <c r="H186" s="204"/>
      <c r="I186" s="204"/>
      <c r="J186" s="196"/>
      <c r="K186" s="196"/>
      <c r="L186" s="192" t="str">
        <f>IFERROR(__xludf.DUMMYFUNCTION("IF(
  AND(D186=""Saída"", J186=""Sangria""),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197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94" t="str">
        <f>IFERROR(__xludf.DUMMYFUNCTION("ifna(VALUE(REGEXEXTRACT(E186,""[0-9.]+[,]+[0-9]+"")))"),"")</f>
        <v/>
      </c>
      <c r="O186" s="254"/>
      <c r="P186" s="263"/>
      <c r="Q186" s="254"/>
      <c r="R186" s="254"/>
      <c r="S186" s="254"/>
      <c r="V186" s="254"/>
      <c r="W186" s="194"/>
    </row>
    <row r="187" ht="14.25" customHeight="1">
      <c r="A187" s="186"/>
      <c r="B187" s="13"/>
      <c r="C187" s="14"/>
      <c r="D187" s="187"/>
      <c r="E187" s="188"/>
      <c r="F187" s="189"/>
      <c r="G187" s="187"/>
      <c r="H187" s="204"/>
      <c r="I187" s="204"/>
      <c r="J187" s="196"/>
      <c r="K187" s="196"/>
      <c r="L187" s="192" t="str">
        <f>IFERROR(__xludf.DUMMYFUNCTION("IF(
  AND(D187=""Saída"", J187=""Sangria""),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198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94" t="str">
        <f>IFERROR(__xludf.DUMMYFUNCTION("ifna(VALUE(REGEXEXTRACT(E187,""[0-9.]+[,]+[0-9]+"")))"),"")</f>
        <v/>
      </c>
      <c r="O187" s="258"/>
      <c r="P187" s="262"/>
      <c r="Q187" s="258"/>
      <c r="R187" s="258"/>
      <c r="S187" s="258"/>
      <c r="V187" s="258"/>
      <c r="W187" s="194"/>
    </row>
    <row r="188" ht="14.25" customHeight="1">
      <c r="A188" s="186"/>
      <c r="B188" s="13"/>
      <c r="C188" s="14"/>
      <c r="D188" s="187"/>
      <c r="E188" s="188"/>
      <c r="F188" s="189"/>
      <c r="G188" s="187"/>
      <c r="H188" s="204"/>
      <c r="I188" s="204"/>
      <c r="J188" s="196"/>
      <c r="K188" s="196"/>
      <c r="L188" s="192" t="str">
        <f>IFERROR(__xludf.DUMMYFUNCTION("IF(
  AND(D188=""Saída"", J188=""Sangria""),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197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94" t="str">
        <f>IFERROR(__xludf.DUMMYFUNCTION("ifna(VALUE(REGEXEXTRACT(E188,""[0-9.]+[,]+[0-9]+"")))"),"")</f>
        <v/>
      </c>
      <c r="O188" s="254"/>
      <c r="P188" s="263"/>
      <c r="Q188" s="254"/>
      <c r="R188" s="254"/>
      <c r="S188" s="254"/>
      <c r="V188" s="254"/>
      <c r="W188" s="194"/>
    </row>
    <row r="189" ht="14.25" customHeight="1">
      <c r="A189" s="186"/>
      <c r="B189" s="13"/>
      <c r="C189" s="14"/>
      <c r="D189" s="187"/>
      <c r="E189" s="188"/>
      <c r="F189" s="189"/>
      <c r="G189" s="187"/>
      <c r="H189" s="204"/>
      <c r="I189" s="204"/>
      <c r="J189" s="196"/>
      <c r="K189" s="196"/>
      <c r="L189" s="192" t="str">
        <f>IFERROR(__xludf.DUMMYFUNCTION("IF(
  AND(D189=""Saída"", J189=""Sangria""),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198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94" t="str">
        <f>IFERROR(__xludf.DUMMYFUNCTION("ifna(VALUE(REGEXEXTRACT(E189,""[0-9.]+[,]+[0-9]+"")))"),"")</f>
        <v/>
      </c>
      <c r="O189" s="258"/>
      <c r="P189" s="262"/>
      <c r="Q189" s="258"/>
      <c r="R189" s="258"/>
      <c r="S189" s="258"/>
      <c r="V189" s="258"/>
      <c r="W189" s="194"/>
    </row>
    <row r="190" ht="14.25" customHeight="1">
      <c r="A190" s="186"/>
      <c r="B190" s="13"/>
      <c r="C190" s="14"/>
      <c r="D190" s="187"/>
      <c r="E190" s="188"/>
      <c r="F190" s="189"/>
      <c r="G190" s="187"/>
      <c r="H190" s="204"/>
      <c r="I190" s="204"/>
      <c r="J190" s="196"/>
      <c r="K190" s="196"/>
      <c r="L190" s="192" t="str">
        <f>IFERROR(__xludf.DUMMYFUNCTION("IF(
  AND(D190=""Saída"", J190=""Sangria""),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197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94" t="str">
        <f>IFERROR(__xludf.DUMMYFUNCTION("ifna(VALUE(REGEXEXTRACT(E190,""[0-9.]+[,]+[0-9]+"")))"),"")</f>
        <v/>
      </c>
      <c r="O190" s="254"/>
      <c r="P190" s="263"/>
      <c r="Q190" s="254"/>
      <c r="R190" s="254"/>
      <c r="S190" s="254"/>
      <c r="V190" s="254"/>
      <c r="W190" s="194"/>
    </row>
    <row r="191" ht="14.25" customHeight="1">
      <c r="A191" s="186"/>
      <c r="B191" s="13"/>
      <c r="C191" s="14"/>
      <c r="D191" s="187"/>
      <c r="E191" s="188"/>
      <c r="F191" s="189"/>
      <c r="G191" s="187"/>
      <c r="H191" s="204"/>
      <c r="I191" s="204"/>
      <c r="J191" s="266"/>
      <c r="K191" s="196"/>
      <c r="L191" s="192" t="str">
        <f>IFERROR(__xludf.DUMMYFUNCTION("IF(
  AND(D191=""Saída"", J191=""Sangria""),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198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94" t="str">
        <f>IFERROR(__xludf.DUMMYFUNCTION("ifna(VALUE(REGEXEXTRACT(E191,""[0-9.]+[,]+[0-9]+"")))"),"")</f>
        <v/>
      </c>
      <c r="O191" s="258"/>
      <c r="P191" s="262"/>
      <c r="Q191" s="258"/>
      <c r="R191" s="258"/>
      <c r="S191" s="258"/>
      <c r="V191" s="258"/>
      <c r="W191" s="194"/>
    </row>
    <row r="192" ht="14.25" customHeight="1">
      <c r="A192" s="186"/>
      <c r="B192" s="13"/>
      <c r="C192" s="14"/>
      <c r="D192" s="187"/>
      <c r="E192" s="188"/>
      <c r="F192" s="200"/>
      <c r="G192" s="187"/>
      <c r="H192" s="204"/>
      <c r="I192" s="204"/>
      <c r="J192" s="196"/>
      <c r="K192" s="196"/>
      <c r="L192" s="192" t="str">
        <f>IFERROR(__xludf.DUMMYFUNCTION("IF(
  AND(D192=""Saída"", J192=""Sangria""),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197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94" t="str">
        <f>IFERROR(__xludf.DUMMYFUNCTION("ifna(VALUE(REGEXEXTRACT(E192,""[0-9.]+[,]+[0-9]+"")))"),"")</f>
        <v/>
      </c>
      <c r="O192" s="254"/>
      <c r="P192" s="263"/>
      <c r="Q192" s="254"/>
      <c r="R192" s="254"/>
      <c r="S192" s="254"/>
      <c r="V192" s="254"/>
      <c r="W192" s="194"/>
    </row>
    <row r="193" ht="14.25" customHeight="1">
      <c r="A193" s="186"/>
      <c r="B193" s="13"/>
      <c r="C193" s="14"/>
      <c r="D193" s="187"/>
      <c r="E193" s="188"/>
      <c r="F193" s="189"/>
      <c r="G193" s="187"/>
      <c r="H193" s="204"/>
      <c r="I193" s="204"/>
      <c r="J193" s="196"/>
      <c r="K193" s="196"/>
      <c r="L193" s="192" t="str">
        <f>IFERROR(__xludf.DUMMYFUNCTION("IF(
  AND(D193=""Saída"", J193=""Sangria""),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198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94" t="str">
        <f>IFERROR(__xludf.DUMMYFUNCTION("ifna(VALUE(REGEXEXTRACT(E193,""[0-9.]+[,]+[0-9]+"")))"),"")</f>
        <v/>
      </c>
      <c r="O193" s="194"/>
      <c r="P193" s="194"/>
      <c r="Q193" s="194"/>
      <c r="R193" s="194"/>
      <c r="S193" s="194"/>
      <c r="T193" s="194"/>
      <c r="U193" s="194"/>
      <c r="V193" s="194"/>
      <c r="W193" s="194"/>
    </row>
    <row r="194" ht="14.25" customHeight="1">
      <c r="A194" s="186"/>
      <c r="B194" s="13"/>
      <c r="C194" s="14"/>
      <c r="D194" s="187"/>
      <c r="E194" s="188"/>
      <c r="F194" s="189"/>
      <c r="G194" s="187"/>
      <c r="H194" s="204"/>
      <c r="I194" s="204"/>
      <c r="J194" s="196"/>
      <c r="K194" s="196"/>
      <c r="L194" s="192" t="str">
        <f>IFERROR(__xludf.DUMMYFUNCTION("IF(
  AND(D194=""Saída"", J194=""Sangria""),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197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94" t="str">
        <f>IFERROR(__xludf.DUMMYFUNCTION("ifna(VALUE(REGEXEXTRACT(E194,""[0-9.]+[,]+[0-9]+"")))"),"")</f>
        <v/>
      </c>
      <c r="O194" s="194"/>
      <c r="P194" s="194"/>
      <c r="Q194" s="194"/>
      <c r="R194" s="194"/>
      <c r="S194" s="194"/>
      <c r="T194" s="194"/>
      <c r="U194" s="194"/>
      <c r="V194" s="194"/>
      <c r="W194" s="194"/>
    </row>
    <row r="195" ht="14.25" customHeight="1">
      <c r="A195" s="186"/>
      <c r="B195" s="13"/>
      <c r="C195" s="14"/>
      <c r="D195" s="187"/>
      <c r="E195" s="188"/>
      <c r="F195" s="200"/>
      <c r="G195" s="187"/>
      <c r="H195" s="204"/>
      <c r="I195" s="204"/>
      <c r="J195" s="196"/>
      <c r="K195" s="196"/>
      <c r="L195" s="192" t="str">
        <f>IFERROR(__xludf.DUMMYFUNCTION("IF(
  AND(D195=""Saída"", J195=""Sangria""),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198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94" t="str">
        <f>IFERROR(__xludf.DUMMYFUNCTION("ifna(VALUE(REGEXEXTRACT(E195,""[0-9.]+[,]+[0-9]+"")))"),"")</f>
        <v/>
      </c>
      <c r="O195" s="194"/>
      <c r="P195" s="194"/>
      <c r="Q195" s="194"/>
      <c r="R195" s="194"/>
      <c r="S195" s="194"/>
      <c r="T195" s="194"/>
      <c r="U195" s="194"/>
      <c r="V195" s="194"/>
      <c r="W195" s="194"/>
    </row>
    <row r="196" ht="14.25" customHeight="1">
      <c r="A196" s="186"/>
      <c r="B196" s="13"/>
      <c r="C196" s="14"/>
      <c r="D196" s="187"/>
      <c r="E196" s="188"/>
      <c r="F196" s="189"/>
      <c r="G196" s="187"/>
      <c r="H196" s="204"/>
      <c r="I196" s="204"/>
      <c r="K196" s="196"/>
      <c r="L196" s="192" t="str">
        <f>IFERROR(__xludf.DUMMYFUNCTION("IF(
  AND(D196=""Saída"", J196=""Sangria""),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197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94" t="str">
        <f>IFERROR(__xludf.DUMMYFUNCTION("ifna(VALUE(REGEXEXTRACT(E196,""[0-9.]+[,]+[0-9]+"")))"),"")</f>
        <v/>
      </c>
      <c r="O196" s="194"/>
      <c r="P196" s="194"/>
      <c r="Q196" s="194"/>
      <c r="R196" s="194"/>
      <c r="S196" s="194"/>
      <c r="T196" s="194"/>
      <c r="U196" s="194"/>
      <c r="V196" s="194"/>
      <c r="W196" s="194"/>
    </row>
    <row r="197" ht="14.25" customHeight="1">
      <c r="A197" s="186"/>
      <c r="B197" s="13"/>
      <c r="C197" s="14"/>
      <c r="D197" s="187"/>
      <c r="E197" s="188"/>
      <c r="F197" s="189"/>
      <c r="G197" s="187"/>
      <c r="H197" s="204"/>
      <c r="I197" s="204"/>
      <c r="J197" s="196"/>
      <c r="K197" s="196"/>
      <c r="L197" s="192" t="str">
        <f>IFERROR(__xludf.DUMMYFUNCTION("IF(
  AND(D197=""Saída"", J197=""Sangria""),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198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94" t="str">
        <f>IFERROR(__xludf.DUMMYFUNCTION("ifna(VALUE(REGEXEXTRACT(E197,""[0-9.]+[,]+[0-9]+"")))"),"")</f>
        <v/>
      </c>
      <c r="O197" s="194"/>
      <c r="P197" s="194"/>
      <c r="Q197" s="194"/>
      <c r="R197" s="194"/>
      <c r="S197" s="194"/>
      <c r="T197" s="194"/>
      <c r="U197" s="194"/>
      <c r="V197" s="194"/>
      <c r="W197" s="194"/>
    </row>
    <row r="198" ht="14.25" customHeight="1">
      <c r="A198" s="186"/>
      <c r="B198" s="13"/>
      <c r="C198" s="14"/>
      <c r="D198" s="187"/>
      <c r="E198" s="188"/>
      <c r="F198" s="189"/>
      <c r="G198" s="187"/>
      <c r="H198" s="204"/>
      <c r="I198" s="204"/>
      <c r="J198" s="196"/>
      <c r="K198" s="196"/>
      <c r="L198" s="192" t="str">
        <f>IFERROR(__xludf.DUMMYFUNCTION("IF(
  AND(D198=""Saída"", J198=""Sangria""),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197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94" t="str">
        <f>IFERROR(__xludf.DUMMYFUNCTION("ifna(VALUE(REGEXEXTRACT(E198,""[0-9.]+[,]+[0-9]+"")))"),"")</f>
        <v/>
      </c>
      <c r="O198" s="194"/>
      <c r="P198" s="194"/>
      <c r="Q198" s="194"/>
      <c r="R198" s="194"/>
      <c r="S198" s="194"/>
      <c r="T198" s="194"/>
      <c r="U198" s="194"/>
      <c r="V198" s="194"/>
      <c r="W198" s="194"/>
    </row>
    <row r="199" ht="14.25" customHeight="1">
      <c r="A199" s="186"/>
      <c r="B199" s="13"/>
      <c r="C199" s="14"/>
      <c r="D199" s="187"/>
      <c r="E199" s="188"/>
      <c r="F199" s="189"/>
      <c r="G199" s="187"/>
      <c r="H199" s="204"/>
      <c r="I199" s="204"/>
      <c r="J199" s="196"/>
      <c r="K199" s="196"/>
      <c r="L199" s="192" t="str">
        <f>IFERROR(__xludf.DUMMYFUNCTION("IF(
  AND(D199=""Saída"", J199=""Sangria""),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198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94" t="str">
        <f>IFERROR(__xludf.DUMMYFUNCTION("ifna(VALUE(REGEXEXTRACT(E199,""[0-9.]+[,]+[0-9]+"")))"),"")</f>
        <v/>
      </c>
      <c r="O199" s="194"/>
      <c r="P199" s="194"/>
      <c r="Q199" s="194"/>
      <c r="R199" s="194"/>
      <c r="S199" s="194"/>
      <c r="T199" s="194"/>
      <c r="U199" s="194"/>
      <c r="V199" s="194"/>
      <c r="W199" s="194"/>
    </row>
    <row r="200" ht="14.25" customHeight="1">
      <c r="A200" s="186"/>
      <c r="B200" s="13"/>
      <c r="C200" s="14"/>
      <c r="D200" s="187"/>
      <c r="E200" s="188"/>
      <c r="F200" s="189"/>
      <c r="G200" s="187"/>
      <c r="H200" s="204"/>
      <c r="I200" s="204"/>
      <c r="J200" s="196"/>
      <c r="K200" s="196"/>
      <c r="L200" s="192" t="str">
        <f>IFERROR(__xludf.DUMMYFUNCTION("IF(
  AND(D200=""Saída"", J200=""Sangria""),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197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94" t="str">
        <f>IFERROR(__xludf.DUMMYFUNCTION("ifna(VALUE(REGEXEXTRACT(E200,""[0-9.]+[,]+[0-9]+"")))"),"")</f>
        <v/>
      </c>
      <c r="O200" s="194"/>
      <c r="P200" s="194"/>
      <c r="Q200" s="194"/>
      <c r="R200" s="194"/>
      <c r="S200" s="194"/>
      <c r="T200" s="194"/>
      <c r="U200" s="194"/>
      <c r="V200" s="194"/>
      <c r="W200" s="194"/>
    </row>
    <row r="201" ht="14.25" customHeight="1">
      <c r="A201" s="186"/>
      <c r="B201" s="13"/>
      <c r="C201" s="14"/>
      <c r="D201" s="187"/>
      <c r="E201" s="188"/>
      <c r="F201" s="189"/>
      <c r="G201" s="187"/>
      <c r="H201" s="204"/>
      <c r="I201" s="204"/>
      <c r="J201" s="196"/>
      <c r="K201" s="196"/>
      <c r="L201" s="192" t="str">
        <f>IFERROR(__xludf.DUMMYFUNCTION("IF(
  AND(D201=""Saída"", J201=""Sangria""),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198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94" t="str">
        <f>IFERROR(__xludf.DUMMYFUNCTION("ifna(VALUE(REGEXEXTRACT(E201,""[0-9.]+[,]+[0-9]+"")))"),"")</f>
        <v/>
      </c>
      <c r="O201" s="194"/>
      <c r="P201" s="194"/>
      <c r="Q201" s="194"/>
      <c r="R201" s="194"/>
      <c r="S201" s="194"/>
      <c r="T201" s="194"/>
      <c r="U201" s="194"/>
      <c r="V201" s="194"/>
      <c r="W201" s="194"/>
    </row>
    <row r="202" ht="14.25" customHeight="1">
      <c r="A202" s="186"/>
      <c r="B202" s="13"/>
      <c r="C202" s="14"/>
      <c r="D202" s="187"/>
      <c r="E202" s="188"/>
      <c r="F202" s="189"/>
      <c r="G202" s="187"/>
      <c r="H202" s="204"/>
      <c r="I202" s="204"/>
      <c r="J202" s="196"/>
      <c r="K202" s="196"/>
      <c r="L202" s="192" t="str">
        <f>IFERROR(__xludf.DUMMYFUNCTION("IF(
  AND(D202=""Saída"", J202=""Sangria""),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197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94" t="str">
        <f>IFERROR(__xludf.DUMMYFUNCTION("ifna(VALUE(REGEXEXTRACT(E202,""[0-9.]+[,]+[0-9]+"")))"),"")</f>
        <v/>
      </c>
      <c r="O202" s="194"/>
      <c r="P202" s="194"/>
      <c r="Q202" s="194"/>
      <c r="R202" s="194"/>
      <c r="S202" s="194"/>
      <c r="T202" s="194"/>
      <c r="U202" s="194"/>
      <c r="V202" s="194"/>
      <c r="W202" s="194"/>
    </row>
    <row r="203" ht="14.25" customHeight="1">
      <c r="A203" s="186"/>
      <c r="B203" s="13"/>
      <c r="C203" s="14"/>
      <c r="D203" s="187"/>
      <c r="E203" s="188"/>
      <c r="F203" s="189"/>
      <c r="G203" s="187"/>
      <c r="H203" s="204"/>
      <c r="I203" s="204"/>
      <c r="J203" s="196"/>
      <c r="K203" s="196"/>
      <c r="L203" s="192" t="str">
        <f>IFERROR(__xludf.DUMMYFUNCTION("IF(
  AND(D203=""Saída"", J203=""Sangria""),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198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94" t="str">
        <f>IFERROR(__xludf.DUMMYFUNCTION("ifna(VALUE(REGEXEXTRACT(E203,""[0-9.]+[,]+[0-9]+"")))"),"")</f>
        <v/>
      </c>
      <c r="O203" s="194"/>
      <c r="P203" s="194"/>
      <c r="Q203" s="194"/>
      <c r="R203" s="194"/>
      <c r="S203" s="194"/>
      <c r="T203" s="194"/>
      <c r="U203" s="194"/>
      <c r="V203" s="194"/>
      <c r="W203" s="194"/>
    </row>
    <row r="204" ht="14.25" customHeight="1">
      <c r="A204" s="186"/>
      <c r="B204" s="13"/>
      <c r="C204" s="14"/>
      <c r="D204" s="187"/>
      <c r="E204" s="188"/>
      <c r="F204" s="189"/>
      <c r="G204" s="187"/>
      <c r="H204" s="204"/>
      <c r="I204" s="204"/>
      <c r="J204" s="196"/>
      <c r="K204" s="196"/>
      <c r="L204" s="192" t="str">
        <f>IFERROR(__xludf.DUMMYFUNCTION("IF(
  AND(D204=""Saída"", J204=""Sangria""),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197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94" t="str">
        <f>IFERROR(__xludf.DUMMYFUNCTION("ifna(VALUE(REGEXEXTRACT(E204,""[0-9.]+[,]+[0-9]+"")))"),"")</f>
        <v/>
      </c>
      <c r="O204" s="194"/>
      <c r="P204" s="194"/>
      <c r="Q204" s="194"/>
      <c r="R204" s="194"/>
      <c r="S204" s="194"/>
      <c r="T204" s="194"/>
      <c r="U204" s="194"/>
      <c r="V204" s="194"/>
      <c r="W204" s="194"/>
    </row>
    <row r="205" ht="14.25" customHeight="1">
      <c r="A205" s="186"/>
      <c r="B205" s="13"/>
      <c r="C205" s="14"/>
      <c r="D205" s="187"/>
      <c r="E205" s="188"/>
      <c r="F205" s="200"/>
      <c r="G205" s="187"/>
      <c r="H205" s="204"/>
      <c r="I205" s="204"/>
      <c r="J205" s="196"/>
      <c r="K205" s="196"/>
      <c r="L205" s="192" t="str">
        <f>IFERROR(__xludf.DUMMYFUNCTION("IF(
  AND(D205=""Saída"", J205=""Sangria""),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198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94" t="str">
        <f>IFERROR(__xludf.DUMMYFUNCTION("ifna(VALUE(REGEXEXTRACT(E205,""[0-9.]+[,]+[0-9]+"")))"),"")</f>
        <v/>
      </c>
      <c r="O205" s="194"/>
      <c r="P205" s="194"/>
      <c r="Q205" s="194"/>
      <c r="R205" s="194"/>
      <c r="S205" s="194"/>
      <c r="T205" s="194"/>
      <c r="U205" s="194"/>
      <c r="V205" s="194"/>
      <c r="W205" s="194"/>
    </row>
    <row r="206" ht="14.25" customHeight="1">
      <c r="A206" s="186"/>
      <c r="B206" s="13"/>
      <c r="C206" s="14"/>
      <c r="D206" s="187"/>
      <c r="E206" s="188"/>
      <c r="F206" s="189"/>
      <c r="G206" s="187"/>
      <c r="H206" s="204"/>
      <c r="I206" s="204"/>
      <c r="J206" s="196"/>
      <c r="K206" s="196"/>
      <c r="L206" s="192" t="str">
        <f>IFERROR(__xludf.DUMMYFUNCTION("IF(
  AND(D206=""Saída"", J206=""Sangria""),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197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94" t="str">
        <f>IFERROR(__xludf.DUMMYFUNCTION("ifna(VALUE(REGEXEXTRACT(E206,""[0-9.]+[,]+[0-9]+"")))"),"")</f>
        <v/>
      </c>
      <c r="O206" s="194"/>
      <c r="P206" s="194"/>
      <c r="Q206" s="194"/>
      <c r="R206" s="194"/>
      <c r="S206" s="194"/>
      <c r="T206" s="194"/>
      <c r="U206" s="194"/>
      <c r="V206" s="194"/>
      <c r="W206" s="194"/>
    </row>
    <row r="207" ht="14.25" customHeight="1">
      <c r="A207" s="186"/>
      <c r="B207" s="13"/>
      <c r="C207" s="14"/>
      <c r="D207" s="187"/>
      <c r="E207" s="188"/>
      <c r="F207" s="189"/>
      <c r="G207" s="187"/>
      <c r="H207" s="204"/>
      <c r="I207" s="204"/>
      <c r="J207" s="196"/>
      <c r="K207" s="196"/>
      <c r="L207" s="192" t="str">
        <f>IFERROR(__xludf.DUMMYFUNCTION("IF(
  AND(D207=""Saída"", J207=""Sangria""),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198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94" t="str">
        <f>IFERROR(__xludf.DUMMYFUNCTION("ifna(VALUE(REGEXEXTRACT(E207,""[0-9.]+[,]+[0-9]+"")))"),"")</f>
        <v/>
      </c>
      <c r="O207" s="194"/>
      <c r="P207" s="194"/>
      <c r="Q207" s="194"/>
      <c r="R207" s="194"/>
      <c r="S207" s="194"/>
      <c r="T207" s="194"/>
      <c r="U207" s="194"/>
      <c r="V207" s="194"/>
      <c r="W207" s="194"/>
    </row>
    <row r="208" ht="14.25" customHeight="1">
      <c r="A208" s="186"/>
      <c r="B208" s="13"/>
      <c r="C208" s="14"/>
      <c r="D208" s="187"/>
      <c r="E208" s="188"/>
      <c r="F208" s="189"/>
      <c r="G208" s="187"/>
      <c r="H208" s="204"/>
      <c r="I208" s="204"/>
      <c r="J208" s="196"/>
      <c r="K208" s="196"/>
      <c r="L208" s="192" t="str">
        <f>IFERROR(__xludf.DUMMYFUNCTION("IF(
  AND(D208=""Saída"", J208=""Sangria""),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197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94" t="str">
        <f>IFERROR(__xludf.DUMMYFUNCTION("ifna(VALUE(REGEXEXTRACT(E208,""[0-9.]+[,]+[0-9]+"")))"),"")</f>
        <v/>
      </c>
      <c r="O208" s="194"/>
      <c r="P208" s="194"/>
      <c r="Q208" s="194"/>
      <c r="R208" s="194"/>
      <c r="S208" s="194"/>
      <c r="T208" s="194"/>
      <c r="U208" s="194"/>
      <c r="V208" s="194"/>
      <c r="W208" s="194"/>
    </row>
    <row r="209" ht="14.25" customHeight="1">
      <c r="A209" s="186"/>
      <c r="B209" s="13"/>
      <c r="C209" s="14"/>
      <c r="D209" s="187"/>
      <c r="E209" s="188"/>
      <c r="F209" s="189"/>
      <c r="G209" s="187"/>
      <c r="H209" s="204"/>
      <c r="I209" s="204"/>
      <c r="K209" s="196"/>
      <c r="L209" s="192" t="str">
        <f>IFERROR(__xludf.DUMMYFUNCTION("IF(
  AND(D209=""Saída"", J209=""Sangria""),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198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94" t="str">
        <f>IFERROR(__xludf.DUMMYFUNCTION("ifna(VALUE(REGEXEXTRACT(E209,""[0-9.]+[,]+[0-9]+"")))"),"")</f>
        <v/>
      </c>
      <c r="O209" s="194"/>
      <c r="P209" s="194"/>
      <c r="Q209" s="194"/>
      <c r="R209" s="194"/>
      <c r="S209" s="194"/>
      <c r="T209" s="194"/>
      <c r="U209" s="194"/>
      <c r="V209" s="194"/>
      <c r="W209" s="194"/>
    </row>
    <row r="210" ht="14.25" customHeight="1">
      <c r="A210" s="186"/>
      <c r="B210" s="13"/>
      <c r="C210" s="14"/>
      <c r="D210" s="187"/>
      <c r="E210" s="188"/>
      <c r="F210" s="200"/>
      <c r="G210" s="187"/>
      <c r="H210" s="204"/>
      <c r="I210" s="204"/>
      <c r="J210" s="196"/>
      <c r="K210" s="196"/>
      <c r="L210" s="192" t="str">
        <f>IFERROR(__xludf.DUMMYFUNCTION("IF(
  AND(D210=""Saída"", J210=""Sangria""),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197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94" t="str">
        <f>IFERROR(__xludf.DUMMYFUNCTION("ifna(VALUE(REGEXEXTRACT(E210,""[0-9.]+[,]+[0-9]+"")))"),"")</f>
        <v/>
      </c>
      <c r="O210" s="194"/>
      <c r="P210" s="194"/>
      <c r="Q210" s="194"/>
      <c r="R210" s="194"/>
      <c r="S210" s="194"/>
      <c r="T210" s="194"/>
      <c r="U210" s="194"/>
      <c r="V210" s="194"/>
      <c r="W210" s="194"/>
    </row>
    <row r="211" ht="14.25" customHeight="1">
      <c r="A211" s="186"/>
      <c r="B211" s="13"/>
      <c r="C211" s="14"/>
      <c r="D211" s="187"/>
      <c r="E211" s="188"/>
      <c r="F211" s="189"/>
      <c r="G211" s="187"/>
      <c r="H211" s="204"/>
      <c r="I211" s="204"/>
      <c r="J211" s="196"/>
      <c r="K211" s="196"/>
      <c r="L211" s="192" t="str">
        <f>IFERROR(__xludf.DUMMYFUNCTION("IF(
  AND(D211=""Saída"", J211=""Sangria""),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198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94" t="str">
        <f>IFERROR(__xludf.DUMMYFUNCTION("ifna(VALUE(REGEXEXTRACT(E211,""[0-9.]+[,]+[0-9]+"")))"),"")</f>
        <v/>
      </c>
      <c r="O211" s="194"/>
      <c r="P211" s="194"/>
      <c r="Q211" s="194"/>
      <c r="R211" s="194"/>
      <c r="S211" s="194"/>
      <c r="T211" s="194"/>
      <c r="U211" s="194"/>
      <c r="V211" s="194"/>
      <c r="W211" s="194"/>
    </row>
    <row r="212" ht="14.25" customHeight="1">
      <c r="A212" s="186"/>
      <c r="B212" s="13"/>
      <c r="C212" s="14"/>
      <c r="D212" s="187"/>
      <c r="E212" s="188"/>
      <c r="F212" s="200"/>
      <c r="G212" s="187"/>
      <c r="H212" s="204"/>
      <c r="I212" s="204"/>
      <c r="J212" s="196"/>
      <c r="K212" s="196"/>
      <c r="L212" s="192" t="str">
        <f>IFERROR(__xludf.DUMMYFUNCTION("IF(
  AND(D212=""Saída"", J212=""Sangria""),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197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94" t="str">
        <f>IFERROR(__xludf.DUMMYFUNCTION("ifna(VALUE(REGEXEXTRACT(E212,""[0-9.]+[,]+[0-9]+"")))"),"")</f>
        <v/>
      </c>
      <c r="O212" s="194"/>
      <c r="P212" s="194"/>
      <c r="Q212" s="194"/>
      <c r="R212" s="194"/>
      <c r="S212" s="194"/>
      <c r="T212" s="194"/>
      <c r="U212" s="194"/>
      <c r="V212" s="194"/>
      <c r="W212" s="194"/>
    </row>
    <row r="213" ht="14.25" customHeight="1">
      <c r="A213" s="186"/>
      <c r="B213" s="13"/>
      <c r="C213" s="14"/>
      <c r="D213" s="187"/>
      <c r="E213" s="188"/>
      <c r="F213" s="189"/>
      <c r="G213" s="187"/>
      <c r="H213" s="204"/>
      <c r="I213" s="204"/>
      <c r="J213" s="196"/>
      <c r="K213" s="196"/>
      <c r="L213" s="192" t="str">
        <f>IFERROR(__xludf.DUMMYFUNCTION("IF(
  AND(D213=""Saída"", J213=""Sangria""),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198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94" t="str">
        <f>IFERROR(__xludf.DUMMYFUNCTION("ifna(VALUE(REGEXEXTRACT(E213,""[0-9.]+[,]+[0-9]+"")))"),"")</f>
        <v/>
      </c>
      <c r="O213" s="194"/>
      <c r="P213" s="194"/>
      <c r="Q213" s="194"/>
      <c r="R213" s="194"/>
      <c r="S213" s="194"/>
      <c r="T213" s="194"/>
      <c r="U213" s="194"/>
      <c r="V213" s="194"/>
      <c r="W213" s="194"/>
    </row>
    <row r="214" ht="14.25" customHeight="1">
      <c r="A214" s="186"/>
      <c r="B214" s="13"/>
      <c r="C214" s="14"/>
      <c r="D214" s="187"/>
      <c r="E214" s="188"/>
      <c r="F214" s="189"/>
      <c r="G214" s="187"/>
      <c r="H214" s="204"/>
      <c r="I214" s="204"/>
      <c r="J214" s="196"/>
      <c r="K214" s="196"/>
      <c r="L214" s="192" t="str">
        <f>IFERROR(__xludf.DUMMYFUNCTION("IF(
  AND(D214=""Saída"", J214=""Sangria""),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197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94" t="str">
        <f>IFERROR(__xludf.DUMMYFUNCTION("ifna(VALUE(REGEXEXTRACT(E214,""[0-9.]+[,]+[0-9]+"")))"),"")</f>
        <v/>
      </c>
      <c r="O214" s="194"/>
      <c r="P214" s="194"/>
      <c r="Q214" s="194"/>
      <c r="R214" s="194"/>
      <c r="S214" s="194"/>
      <c r="T214" s="194"/>
      <c r="U214" s="194"/>
      <c r="V214" s="194"/>
      <c r="W214" s="194"/>
    </row>
    <row r="215" ht="14.25" customHeight="1">
      <c r="A215" s="186"/>
      <c r="B215" s="13"/>
      <c r="C215" s="14"/>
      <c r="D215" s="187"/>
      <c r="E215" s="188"/>
      <c r="F215" s="189"/>
      <c r="G215" s="187"/>
      <c r="H215" s="204"/>
      <c r="I215" s="204"/>
      <c r="J215" s="196"/>
      <c r="K215" s="196"/>
      <c r="L215" s="192" t="str">
        <f>IFERROR(__xludf.DUMMYFUNCTION("IF(
  AND(D215=""Saída"", J215=""Sangria""),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198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94" t="str">
        <f>IFERROR(__xludf.DUMMYFUNCTION("ifna(VALUE(REGEXEXTRACT(E215,""[0-9.]+[,]+[0-9]+"")))"),"")</f>
        <v/>
      </c>
      <c r="O215" s="194"/>
      <c r="P215" s="194"/>
      <c r="Q215" s="194"/>
      <c r="R215" s="194"/>
      <c r="S215" s="194"/>
      <c r="T215" s="194"/>
      <c r="U215" s="194"/>
      <c r="V215" s="194"/>
      <c r="W215" s="194"/>
    </row>
    <row r="216" ht="14.25" customHeight="1">
      <c r="A216" s="186"/>
      <c r="B216" s="13"/>
      <c r="C216" s="14"/>
      <c r="D216" s="187"/>
      <c r="E216" s="188"/>
      <c r="F216" s="200"/>
      <c r="G216" s="187"/>
      <c r="H216" s="204"/>
      <c r="I216" s="204"/>
      <c r="J216" s="196"/>
      <c r="K216" s="196"/>
      <c r="L216" s="192" t="str">
        <f>IFERROR(__xludf.DUMMYFUNCTION("IF(
  AND(D216=""Saída"", J216=""Sangria""),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197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94" t="str">
        <f>IFERROR(__xludf.DUMMYFUNCTION("ifna(VALUE(REGEXEXTRACT(E216,""[0-9.]+[,]+[0-9]+"")))"),"")</f>
        <v/>
      </c>
      <c r="O216" s="194"/>
      <c r="P216" s="194"/>
      <c r="Q216" s="194"/>
      <c r="R216" s="194"/>
      <c r="S216" s="194"/>
      <c r="T216" s="194"/>
      <c r="U216" s="194"/>
      <c r="V216" s="194"/>
      <c r="W216" s="194"/>
    </row>
    <row r="217" ht="14.25" customHeight="1">
      <c r="A217" s="186"/>
      <c r="B217" s="13"/>
      <c r="C217" s="14"/>
      <c r="D217" s="187"/>
      <c r="E217" s="188"/>
      <c r="F217" s="189"/>
      <c r="G217" s="187"/>
      <c r="H217" s="204"/>
      <c r="I217" s="204"/>
      <c r="J217" s="196"/>
      <c r="K217" s="196"/>
      <c r="L217" s="192" t="str">
        <f>IFERROR(__xludf.DUMMYFUNCTION("IF(
  AND(D217=""Saída"", J217=""Sangria""),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198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94" t="str">
        <f>IFERROR(__xludf.DUMMYFUNCTION("ifna(VALUE(REGEXEXTRACT(E217,""[0-9.]+[,]+[0-9]+"")))"),"")</f>
        <v/>
      </c>
      <c r="O217" s="194"/>
      <c r="P217" s="194"/>
      <c r="Q217" s="194"/>
      <c r="R217" s="194"/>
      <c r="S217" s="194"/>
      <c r="T217" s="194"/>
      <c r="U217" s="194"/>
      <c r="V217" s="194"/>
      <c r="W217" s="194"/>
    </row>
    <row r="218" ht="14.25" customHeight="1">
      <c r="A218" s="186"/>
      <c r="B218" s="13"/>
      <c r="C218" s="14"/>
      <c r="D218" s="187"/>
      <c r="E218" s="188"/>
      <c r="F218" s="189"/>
      <c r="G218" s="187"/>
      <c r="H218" s="204"/>
      <c r="I218" s="204"/>
      <c r="J218" s="196"/>
      <c r="K218" s="196"/>
      <c r="L218" s="192" t="str">
        <f>IFERROR(__xludf.DUMMYFUNCTION("IF(
  AND(D218=""Saída"", J218=""Sangria""),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197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94" t="str">
        <f>IFERROR(__xludf.DUMMYFUNCTION("ifna(VALUE(REGEXEXTRACT(E218,""[0-9.]+[,]+[0-9]+"")))"),"")</f>
        <v/>
      </c>
      <c r="O218" s="194"/>
      <c r="P218" s="194"/>
      <c r="Q218" s="194"/>
      <c r="R218" s="194"/>
      <c r="S218" s="194"/>
      <c r="T218" s="194"/>
      <c r="U218" s="194"/>
      <c r="V218" s="194"/>
      <c r="W218" s="194"/>
    </row>
    <row r="219" ht="14.25" customHeight="1">
      <c r="A219" s="186"/>
      <c r="B219" s="13"/>
      <c r="C219" s="14"/>
      <c r="D219" s="187"/>
      <c r="E219" s="188"/>
      <c r="F219" s="189"/>
      <c r="G219" s="187"/>
      <c r="H219" s="204"/>
      <c r="I219" s="204"/>
      <c r="J219" s="196"/>
      <c r="K219" s="196"/>
      <c r="L219" s="192" t="str">
        <f>IFERROR(__xludf.DUMMYFUNCTION("IF(
  AND(D219=""Saída"", J219=""Sangria""),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198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94" t="str">
        <f>IFERROR(__xludf.DUMMYFUNCTION("ifna(VALUE(REGEXEXTRACT(E219,""[0-9.]+[,]+[0-9]+"")))"),"")</f>
        <v/>
      </c>
      <c r="O219" s="194"/>
      <c r="P219" s="194"/>
      <c r="Q219" s="194"/>
      <c r="R219" s="194"/>
      <c r="S219" s="194"/>
      <c r="T219" s="194"/>
      <c r="U219" s="194"/>
      <c r="V219" s="194"/>
      <c r="W219" s="194"/>
    </row>
    <row r="220" ht="14.25" customHeight="1">
      <c r="A220" s="186"/>
      <c r="B220" s="13"/>
      <c r="C220" s="14"/>
      <c r="D220" s="187"/>
      <c r="E220" s="188"/>
      <c r="F220" s="189"/>
      <c r="G220" s="187"/>
      <c r="H220" s="204"/>
      <c r="I220" s="204"/>
      <c r="J220" s="196"/>
      <c r="K220" s="196"/>
      <c r="L220" s="192" t="str">
        <f>IFERROR(__xludf.DUMMYFUNCTION("IF(
  AND(D220=""Saída"", J220=""Sangria""),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197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94" t="str">
        <f>IFERROR(__xludf.DUMMYFUNCTION("ifna(VALUE(REGEXEXTRACT(E220,""[0-9.]+[,]+[0-9]+"")))"),"")</f>
        <v/>
      </c>
      <c r="O220" s="194"/>
      <c r="P220" s="194"/>
      <c r="Q220" s="194"/>
      <c r="R220" s="194"/>
      <c r="S220" s="194"/>
      <c r="T220" s="194"/>
      <c r="U220" s="194"/>
      <c r="V220" s="194"/>
      <c r="W220" s="194"/>
    </row>
    <row r="221" ht="14.25" customHeight="1">
      <c r="A221" s="186"/>
      <c r="B221" s="13"/>
      <c r="C221" s="14"/>
      <c r="D221" s="187"/>
      <c r="E221" s="188"/>
      <c r="F221" s="189"/>
      <c r="G221" s="187"/>
      <c r="H221" s="204"/>
      <c r="I221" s="204"/>
      <c r="J221" s="196"/>
      <c r="K221" s="196"/>
      <c r="L221" s="192" t="str">
        <f>IFERROR(__xludf.DUMMYFUNCTION("IF(
  AND(D221=""Saída"", J221=""Sangria""),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198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94" t="str">
        <f>IFERROR(__xludf.DUMMYFUNCTION("ifna(VALUE(REGEXEXTRACT(E221,""[0-9.]+[,]+[0-9]+"")))"),"")</f>
        <v/>
      </c>
      <c r="O221" s="194"/>
      <c r="P221" s="194"/>
      <c r="Q221" s="194"/>
      <c r="R221" s="194"/>
      <c r="S221" s="194"/>
      <c r="T221" s="194"/>
      <c r="U221" s="194"/>
      <c r="V221" s="194"/>
      <c r="W221" s="194"/>
    </row>
    <row r="222" ht="14.25" customHeight="1">
      <c r="A222" s="186"/>
      <c r="B222" s="13"/>
      <c r="C222" s="14"/>
      <c r="D222" s="187"/>
      <c r="E222" s="188"/>
      <c r="F222" s="189"/>
      <c r="G222" s="187"/>
      <c r="H222" s="204"/>
      <c r="I222" s="204"/>
      <c r="J222" s="196"/>
      <c r="K222" s="196"/>
      <c r="L222" s="192" t="str">
        <f>IFERROR(__xludf.DUMMYFUNCTION("IF(
  AND(D222=""Saída"", J222=""Sangria""),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197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94" t="str">
        <f>IFERROR(__xludf.DUMMYFUNCTION("ifna(VALUE(REGEXEXTRACT(E222,""[0-9.]+[,]+[0-9]+"")))"),"")</f>
        <v/>
      </c>
      <c r="O222" s="194"/>
      <c r="P222" s="194"/>
      <c r="Q222" s="194"/>
      <c r="R222" s="194"/>
      <c r="S222" s="194"/>
      <c r="T222" s="194"/>
      <c r="U222" s="194"/>
      <c r="V222" s="194"/>
      <c r="W222" s="194"/>
    </row>
    <row r="223" ht="14.25" customHeight="1">
      <c r="A223" s="186"/>
      <c r="B223" s="13"/>
      <c r="C223" s="14"/>
      <c r="D223" s="187"/>
      <c r="E223" s="188"/>
      <c r="F223" s="189"/>
      <c r="G223" s="187"/>
      <c r="H223" s="204"/>
      <c r="I223" s="204"/>
      <c r="J223" s="196"/>
      <c r="K223" s="196"/>
      <c r="L223" s="192" t="str">
        <f>IFERROR(__xludf.DUMMYFUNCTION("IF(
  AND(D223=""Saída"", J223=""Sangria""),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198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94" t="str">
        <f>IFERROR(__xludf.DUMMYFUNCTION("ifna(VALUE(REGEXEXTRACT(E223,""[0-9.]+[,]+[0-9]+"")))"),"")</f>
        <v/>
      </c>
      <c r="O223" s="194"/>
      <c r="P223" s="194"/>
      <c r="Q223" s="194"/>
      <c r="R223" s="194"/>
      <c r="S223" s="194"/>
      <c r="T223" s="194"/>
      <c r="U223" s="194"/>
      <c r="V223" s="194"/>
      <c r="W223" s="194"/>
    </row>
    <row r="224" ht="14.25" customHeight="1">
      <c r="A224" s="186"/>
      <c r="B224" s="13"/>
      <c r="C224" s="14"/>
      <c r="D224" s="187"/>
      <c r="E224" s="188"/>
      <c r="F224" s="189"/>
      <c r="G224" s="187"/>
      <c r="H224" s="204"/>
      <c r="I224" s="204"/>
      <c r="J224" s="196"/>
      <c r="K224" s="196"/>
      <c r="L224" s="192" t="str">
        <f>IFERROR(__xludf.DUMMYFUNCTION("IF(
  AND(D224=""Saída"", J224=""Sangria""),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197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94" t="str">
        <f>IFERROR(__xludf.DUMMYFUNCTION("ifna(VALUE(REGEXEXTRACT(E224,""[0-9.]+[,]+[0-9]+"")))"),"")</f>
        <v/>
      </c>
      <c r="O224" s="194"/>
      <c r="P224" s="194"/>
      <c r="Q224" s="194"/>
      <c r="R224" s="194"/>
      <c r="S224" s="194"/>
      <c r="T224" s="194"/>
      <c r="U224" s="194"/>
      <c r="V224" s="194"/>
      <c r="W224" s="194"/>
    </row>
    <row r="225" ht="14.25" customHeight="1">
      <c r="A225" s="186"/>
      <c r="B225" s="13"/>
      <c r="C225" s="14"/>
      <c r="D225" s="187"/>
      <c r="E225" s="188"/>
      <c r="F225" s="189"/>
      <c r="G225" s="187"/>
      <c r="H225" s="204"/>
      <c r="I225" s="204"/>
      <c r="J225" s="196"/>
      <c r="K225" s="202"/>
      <c r="L225" s="192" t="str">
        <f>IFERROR(__xludf.DUMMYFUNCTION("IF(
  AND(D225=""Saída"", J225=""Sangria""),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198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94" t="str">
        <f>IFERROR(__xludf.DUMMYFUNCTION("ifna(VALUE(REGEXEXTRACT(E225,""[0-9.]+[,]+[0-9]+"")))"),"")</f>
        <v/>
      </c>
      <c r="O225" s="194"/>
      <c r="P225" s="194"/>
      <c r="Q225" s="194"/>
      <c r="R225" s="194"/>
      <c r="S225" s="194"/>
      <c r="T225" s="194"/>
      <c r="U225" s="194"/>
      <c r="V225" s="194"/>
      <c r="W225" s="194"/>
    </row>
    <row r="226" ht="14.25" customHeight="1">
      <c r="A226" s="186"/>
      <c r="B226" s="13"/>
      <c r="C226" s="14"/>
      <c r="D226" s="187"/>
      <c r="E226" s="188"/>
      <c r="F226" s="200"/>
      <c r="G226" s="187"/>
      <c r="H226" s="204"/>
      <c r="I226" s="204"/>
      <c r="J226" s="196"/>
      <c r="K226" s="196"/>
      <c r="L226" s="192" t="str">
        <f>IFERROR(__xludf.DUMMYFUNCTION("IF(
  AND(D226=""Saída"", J226=""Sangria""),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197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94" t="str">
        <f>IFERROR(__xludf.DUMMYFUNCTION("ifna(VALUE(REGEXEXTRACT(E226,""[0-9.]+[,]+[0-9]+"")))"),"")</f>
        <v/>
      </c>
      <c r="O226" s="194"/>
      <c r="P226" s="194"/>
      <c r="Q226" s="194"/>
      <c r="R226" s="194"/>
      <c r="S226" s="194"/>
      <c r="T226" s="194"/>
      <c r="U226" s="194"/>
      <c r="V226" s="194"/>
      <c r="W226" s="194"/>
    </row>
    <row r="227" ht="14.25" customHeight="1">
      <c r="A227" s="186"/>
      <c r="B227" s="13"/>
      <c r="C227" s="14"/>
      <c r="D227" s="187"/>
      <c r="E227" s="188"/>
      <c r="F227" s="189"/>
      <c r="G227" s="187"/>
      <c r="H227" s="204"/>
      <c r="I227" s="204"/>
      <c r="J227" s="196"/>
      <c r="K227" s="196"/>
      <c r="L227" s="192" t="str">
        <f>IFERROR(__xludf.DUMMYFUNCTION("IF(
  AND(D227=""Saída"", J227=""Sangria""),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198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94" t="str">
        <f>IFERROR(__xludf.DUMMYFUNCTION("ifna(VALUE(REGEXEXTRACT(E227,""[0-9.]+[,]+[0-9]+"")))"),"")</f>
        <v/>
      </c>
      <c r="O227" s="194"/>
      <c r="P227" s="194"/>
      <c r="Q227" s="194"/>
      <c r="R227" s="194"/>
      <c r="S227" s="194"/>
      <c r="T227" s="194"/>
      <c r="U227" s="194"/>
      <c r="V227" s="194"/>
      <c r="W227" s="194"/>
    </row>
    <row r="228" ht="14.25" customHeight="1">
      <c r="A228" s="186"/>
      <c r="B228" s="13"/>
      <c r="C228" s="14"/>
      <c r="D228" s="187"/>
      <c r="E228" s="188"/>
      <c r="F228" s="189"/>
      <c r="G228" s="187"/>
      <c r="H228" s="204"/>
      <c r="I228" s="204"/>
      <c r="J228" s="196"/>
      <c r="K228" s="196"/>
      <c r="L228" s="192" t="str">
        <f>IFERROR(__xludf.DUMMYFUNCTION("IF(
  AND(D228=""Saída"", J228=""Sangria""),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197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94" t="str">
        <f>IFERROR(__xludf.DUMMYFUNCTION("ifna(VALUE(REGEXEXTRACT(E228,""[0-9.]+[,]+[0-9]+"")))"),"")</f>
        <v/>
      </c>
      <c r="O228" s="194"/>
      <c r="P228" s="194"/>
      <c r="Q228" s="194"/>
      <c r="R228" s="194"/>
      <c r="S228" s="194"/>
      <c r="T228" s="194"/>
      <c r="U228" s="194"/>
      <c r="V228" s="194"/>
      <c r="W228" s="194"/>
    </row>
    <row r="229" ht="14.25" customHeight="1">
      <c r="A229" s="186"/>
      <c r="B229" s="13"/>
      <c r="C229" s="14"/>
      <c r="D229" s="187"/>
      <c r="E229" s="188"/>
      <c r="F229" s="189"/>
      <c r="G229" s="187"/>
      <c r="H229" s="204"/>
      <c r="I229" s="204"/>
      <c r="J229" s="196"/>
      <c r="K229" s="196"/>
      <c r="L229" s="192" t="str">
        <f>IFERROR(__xludf.DUMMYFUNCTION("IF(
  AND(D229=""Saída"", J229=""Sangria""),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198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94" t="str">
        <f>IFERROR(__xludf.DUMMYFUNCTION("ifna(VALUE(REGEXEXTRACT(E229,""[0-9.]+[,]+[0-9]+"")))"),"")</f>
        <v/>
      </c>
      <c r="O229" s="194"/>
      <c r="P229" s="194"/>
      <c r="Q229" s="194"/>
      <c r="R229" s="194"/>
      <c r="S229" s="194"/>
      <c r="T229" s="194"/>
      <c r="U229" s="194"/>
      <c r="V229" s="194"/>
      <c r="W229" s="194"/>
    </row>
    <row r="230" ht="14.25" customHeight="1">
      <c r="A230" s="186"/>
      <c r="B230" s="13"/>
      <c r="C230" s="14"/>
      <c r="D230" s="187"/>
      <c r="E230" s="188"/>
      <c r="F230" s="189"/>
      <c r="G230" s="187"/>
      <c r="H230" s="204"/>
      <c r="I230" s="204"/>
      <c r="J230" s="196"/>
      <c r="K230" s="196"/>
      <c r="L230" s="192" t="str">
        <f>IFERROR(__xludf.DUMMYFUNCTION("IF(
  AND(D230=""Saída"", J230=""Sangria""),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197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94" t="str">
        <f>IFERROR(__xludf.DUMMYFUNCTION("ifna(VALUE(REGEXEXTRACT(E230,""[0-9.]+[,]+[0-9]+"")))"),"")</f>
        <v/>
      </c>
      <c r="O230" s="194"/>
      <c r="P230" s="194"/>
      <c r="Q230" s="194"/>
      <c r="R230" s="194"/>
      <c r="S230" s="194"/>
      <c r="T230" s="194"/>
      <c r="U230" s="194"/>
      <c r="V230" s="194"/>
      <c r="W230" s="194"/>
    </row>
    <row r="231" ht="14.25" customHeight="1">
      <c r="A231" s="186"/>
      <c r="B231" s="13"/>
      <c r="C231" s="14"/>
      <c r="D231" s="187"/>
      <c r="E231" s="188"/>
      <c r="F231" s="189"/>
      <c r="G231" s="13"/>
      <c r="H231" s="204"/>
      <c r="I231" s="204"/>
      <c r="J231" s="196"/>
      <c r="K231" s="196"/>
      <c r="L231" s="192" t="str">
        <f>IFERROR(__xludf.DUMMYFUNCTION("IF(
  AND(D231=""Saída"", J231=""Sangria""),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198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94" t="str">
        <f>IFERROR(__xludf.DUMMYFUNCTION("ifna(VALUE(REGEXEXTRACT(E231,""[0-9.]+[,]+[0-9]+"")))"),"")</f>
        <v/>
      </c>
      <c r="O231" s="194"/>
      <c r="P231" s="194"/>
      <c r="Q231" s="194"/>
      <c r="R231" s="194"/>
      <c r="S231" s="194"/>
      <c r="T231" s="194"/>
      <c r="U231" s="194"/>
      <c r="V231" s="194"/>
      <c r="W231" s="194"/>
    </row>
    <row r="232" ht="14.25" customHeight="1">
      <c r="A232" s="186"/>
      <c r="B232" s="13"/>
      <c r="C232" s="14"/>
      <c r="D232" s="187"/>
      <c r="E232" s="188"/>
      <c r="F232" s="200"/>
      <c r="G232" s="187"/>
      <c r="H232" s="204"/>
      <c r="I232" s="204"/>
      <c r="J232" s="196"/>
      <c r="K232" s="196"/>
      <c r="L232" s="192" t="str">
        <f>IFERROR(__xludf.DUMMYFUNCTION("IF(
  AND(D232=""Saída"", J232=""Sangria""),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197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94" t="str">
        <f>IFERROR(__xludf.DUMMYFUNCTION("ifna(VALUE(REGEXEXTRACT(E232,""[0-9.]+[,]+[0-9]+"")))"),"")</f>
        <v/>
      </c>
      <c r="O232" s="194"/>
      <c r="P232" s="194"/>
      <c r="Q232" s="194"/>
      <c r="R232" s="194"/>
      <c r="S232" s="194"/>
      <c r="T232" s="194"/>
      <c r="U232" s="194"/>
      <c r="V232" s="194"/>
      <c r="W232" s="194"/>
    </row>
    <row r="233" ht="14.25" customHeight="1">
      <c r="A233" s="186"/>
      <c r="B233" s="13"/>
      <c r="C233" s="14"/>
      <c r="D233" s="187"/>
      <c r="E233" s="188"/>
      <c r="F233" s="189"/>
      <c r="G233" s="187"/>
      <c r="H233" s="204"/>
      <c r="I233" s="204"/>
      <c r="J233" s="196"/>
      <c r="K233" s="196"/>
      <c r="L233" s="192" t="str">
        <f>IFERROR(__xludf.DUMMYFUNCTION("IF(
  AND(D233=""Saída"", J233=""Sangria""),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198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94" t="str">
        <f>IFERROR(__xludf.DUMMYFUNCTION("ifna(VALUE(REGEXEXTRACT(E233,""[0-9.]+[,]+[0-9]+"")))"),"")</f>
        <v/>
      </c>
      <c r="O233" s="194"/>
      <c r="P233" s="194"/>
      <c r="Q233" s="194"/>
      <c r="R233" s="194"/>
      <c r="S233" s="194"/>
      <c r="T233" s="194"/>
      <c r="U233" s="194"/>
      <c r="V233" s="194"/>
      <c r="W233" s="194"/>
    </row>
    <row r="234" ht="14.25" customHeight="1">
      <c r="A234" s="186"/>
      <c r="B234" s="13"/>
      <c r="C234" s="14"/>
      <c r="D234" s="187"/>
      <c r="E234" s="188"/>
      <c r="F234" s="189"/>
      <c r="G234" s="187"/>
      <c r="H234" s="204"/>
      <c r="I234" s="204"/>
      <c r="J234" s="196"/>
      <c r="K234" s="196"/>
      <c r="L234" s="192" t="str">
        <f>IFERROR(__xludf.DUMMYFUNCTION("IF(
  AND(D234=""Saída"", J234=""Sangria""),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197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94" t="str">
        <f>IFERROR(__xludf.DUMMYFUNCTION("ifna(VALUE(REGEXEXTRACT(E234,""[0-9.]+[,]+[0-9]+"")))"),"")</f>
        <v/>
      </c>
      <c r="O234" s="194"/>
      <c r="P234" s="194"/>
      <c r="Q234" s="194"/>
      <c r="R234" s="194"/>
      <c r="S234" s="194"/>
      <c r="T234" s="194"/>
      <c r="U234" s="194"/>
      <c r="V234" s="194"/>
      <c r="W234" s="194"/>
    </row>
    <row r="235" ht="14.25" customHeight="1">
      <c r="A235" s="186"/>
      <c r="C235" s="14"/>
      <c r="D235" s="187"/>
      <c r="E235" s="188"/>
      <c r="F235" s="189"/>
      <c r="G235" s="187"/>
      <c r="H235" s="204"/>
      <c r="I235" s="204"/>
      <c r="J235" s="196"/>
      <c r="K235" s="196"/>
      <c r="L235" s="192" t="str">
        <f>IFERROR(__xludf.DUMMYFUNCTION("IF(
  AND(D235=""Saída"", J235=""Sangria""),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198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94" t="str">
        <f>IFERROR(__xludf.DUMMYFUNCTION("ifna(VALUE(REGEXEXTRACT(E235,""[0-9.]+[,]+[0-9]+"")))"),"")</f>
        <v/>
      </c>
      <c r="O235" s="194"/>
      <c r="P235" s="194"/>
      <c r="Q235" s="194"/>
      <c r="R235" s="194"/>
      <c r="S235" s="194"/>
      <c r="T235" s="194"/>
      <c r="U235" s="194"/>
      <c r="V235" s="194"/>
      <c r="W235" s="194"/>
    </row>
    <row r="236" ht="14.25" customHeight="1">
      <c r="A236" s="186"/>
      <c r="B236" s="13"/>
      <c r="C236" s="14"/>
      <c r="D236" s="187"/>
      <c r="E236" s="188"/>
      <c r="F236" s="200"/>
      <c r="G236" s="187"/>
      <c r="H236" s="204"/>
      <c r="I236" s="204"/>
      <c r="J236" s="196"/>
      <c r="K236" s="196"/>
      <c r="L236" s="192" t="str">
        <f>IFERROR(__xludf.DUMMYFUNCTION("IF(
  AND(D236=""Saída"", J236=""Sangria""),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197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94" t="str">
        <f>IFERROR(__xludf.DUMMYFUNCTION("ifna(VALUE(REGEXEXTRACT(E236,""[0-9.]+[,]+[0-9]+"")))"),"")</f>
        <v/>
      </c>
      <c r="O236" s="194"/>
      <c r="P236" s="194"/>
      <c r="Q236" s="194"/>
      <c r="R236" s="194"/>
      <c r="S236" s="194"/>
      <c r="T236" s="194"/>
      <c r="U236" s="194"/>
      <c r="V236" s="194"/>
      <c r="W236" s="194"/>
    </row>
    <row r="237" ht="14.25" customHeight="1">
      <c r="A237" s="186"/>
      <c r="B237" s="13"/>
      <c r="C237" s="267"/>
      <c r="D237" s="187"/>
      <c r="E237" s="188"/>
      <c r="F237" s="189"/>
      <c r="G237" s="187"/>
      <c r="H237" s="204"/>
      <c r="I237" s="204"/>
      <c r="J237" s="196"/>
      <c r="K237" s="196"/>
      <c r="L237" s="192" t="str">
        <f>IFERROR(__xludf.DUMMYFUNCTION("IF(
  AND(D237=""Saída"", J237=""Sangria""),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198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94" t="str">
        <f>IFERROR(__xludf.DUMMYFUNCTION("ifna(VALUE(REGEXEXTRACT(E237,""[0-9.]+[,]+[0-9]+"")))"),"")</f>
        <v/>
      </c>
      <c r="O237" s="194"/>
      <c r="P237" s="194"/>
      <c r="Q237" s="194"/>
      <c r="R237" s="194"/>
      <c r="S237" s="194"/>
      <c r="T237" s="194"/>
      <c r="U237" s="194"/>
      <c r="V237" s="194"/>
      <c r="W237" s="194"/>
    </row>
    <row r="238" ht="14.25" customHeight="1">
      <c r="A238" s="186"/>
      <c r="B238" s="13"/>
      <c r="C238" s="14"/>
      <c r="D238" s="187"/>
      <c r="E238" s="188"/>
      <c r="F238" s="189"/>
      <c r="G238" s="187"/>
      <c r="H238" s="204"/>
      <c r="I238" s="204"/>
      <c r="J238" s="196"/>
      <c r="K238" s="196"/>
      <c r="L238" s="192" t="str">
        <f>IFERROR(__xludf.DUMMYFUNCTION("IF(
  AND(D238=""Saída"", J238=""Sangria""),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197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94" t="str">
        <f>IFERROR(__xludf.DUMMYFUNCTION("ifna(VALUE(REGEXEXTRACT(E238,""[0-9.]+[,]+[0-9]+"")))"),"")</f>
        <v/>
      </c>
      <c r="O238" s="194"/>
      <c r="P238" s="194"/>
      <c r="Q238" s="194"/>
      <c r="R238" s="194"/>
      <c r="S238" s="194"/>
      <c r="T238" s="194"/>
      <c r="U238" s="194"/>
      <c r="V238" s="194"/>
      <c r="W238" s="194"/>
    </row>
    <row r="239" ht="14.25" customHeight="1">
      <c r="A239" s="186"/>
      <c r="B239" s="13"/>
      <c r="C239" s="14"/>
      <c r="D239" s="187"/>
      <c r="E239" s="188"/>
      <c r="F239" s="189"/>
      <c r="G239" s="187"/>
      <c r="H239" s="204"/>
      <c r="I239" s="204"/>
      <c r="J239" s="196"/>
      <c r="K239" s="196"/>
      <c r="L239" s="192" t="str">
        <f>IFERROR(__xludf.DUMMYFUNCTION("IF(
  AND(D239=""Saída"", J239=""Sangria""),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198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94" t="str">
        <f>IFERROR(__xludf.DUMMYFUNCTION("ifna(VALUE(REGEXEXTRACT(E239,""[0-9.]+[,]+[0-9]+"")))"),"")</f>
        <v/>
      </c>
      <c r="O239" s="194"/>
      <c r="P239" s="194"/>
      <c r="Q239" s="194"/>
      <c r="R239" s="194"/>
      <c r="S239" s="194"/>
      <c r="T239" s="194"/>
      <c r="U239" s="194"/>
      <c r="V239" s="194"/>
      <c r="W239" s="194"/>
    </row>
    <row r="240" ht="14.25" customHeight="1">
      <c r="A240" s="186"/>
      <c r="B240" s="13"/>
      <c r="C240" s="14"/>
      <c r="D240" s="187"/>
      <c r="E240" s="188"/>
      <c r="F240" s="189"/>
      <c r="G240" s="187"/>
      <c r="H240" s="204"/>
      <c r="I240" s="204"/>
      <c r="J240" s="196"/>
      <c r="K240" s="196"/>
      <c r="L240" s="192" t="str">
        <f>IFERROR(__xludf.DUMMYFUNCTION("IF(
  AND(D240=""Saída"", J240=""Sangria""),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197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94" t="str">
        <f>IFERROR(__xludf.DUMMYFUNCTION("ifna(VALUE(REGEXEXTRACT(E240,""[0-9.]+[,]+[0-9]+"")))"),"")</f>
        <v/>
      </c>
      <c r="O240" s="194"/>
      <c r="P240" s="194"/>
      <c r="Q240" s="194"/>
      <c r="R240" s="194"/>
      <c r="S240" s="194"/>
      <c r="T240" s="194"/>
      <c r="U240" s="194"/>
      <c r="V240" s="194"/>
      <c r="W240" s="194"/>
    </row>
    <row r="241" ht="14.25" customHeight="1">
      <c r="A241" s="186"/>
      <c r="B241" s="13"/>
      <c r="C241" s="14"/>
      <c r="D241" s="187"/>
      <c r="E241" s="188"/>
      <c r="F241" s="189"/>
      <c r="G241" s="187"/>
      <c r="H241" s="204"/>
      <c r="I241" s="204"/>
      <c r="J241" s="196"/>
      <c r="K241" s="196"/>
      <c r="L241" s="192" t="str">
        <f>IFERROR(__xludf.DUMMYFUNCTION("IF(
  AND(D241=""Saída"", J241=""Sangria""),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198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94" t="str">
        <f>IFERROR(__xludf.DUMMYFUNCTION("ifna(VALUE(REGEXEXTRACT(E241,""[0-9.]+[,]+[0-9]+"")))"),"")</f>
        <v/>
      </c>
      <c r="O241" s="194"/>
      <c r="P241" s="194"/>
      <c r="Q241" s="194"/>
      <c r="R241" s="194"/>
      <c r="S241" s="194"/>
      <c r="T241" s="194"/>
      <c r="U241" s="194"/>
      <c r="V241" s="194"/>
      <c r="W241" s="194"/>
    </row>
    <row r="242" ht="14.25" customHeight="1">
      <c r="A242" s="186"/>
      <c r="B242" s="13"/>
      <c r="C242" s="14"/>
      <c r="D242" s="187"/>
      <c r="E242" s="188"/>
      <c r="F242" s="189"/>
      <c r="G242" s="187"/>
      <c r="H242" s="204"/>
      <c r="I242" s="204"/>
      <c r="J242" s="196"/>
      <c r="K242" s="196"/>
      <c r="L242" s="192" t="str">
        <f>IFERROR(__xludf.DUMMYFUNCTION("IF(
  AND(D242=""Saída"", J242=""Sangria""),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197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94" t="str">
        <f>IFERROR(__xludf.DUMMYFUNCTION("ifna(VALUE(REGEXEXTRACT(E242,""[0-9.]+[,]+[0-9]+"")))"),"")</f>
        <v/>
      </c>
      <c r="O242" s="194"/>
      <c r="P242" s="194"/>
      <c r="Q242" s="194"/>
      <c r="R242" s="194"/>
      <c r="S242" s="194"/>
      <c r="T242" s="194"/>
      <c r="U242" s="194"/>
      <c r="V242" s="194"/>
      <c r="W242" s="194"/>
    </row>
    <row r="243" ht="14.25" customHeight="1">
      <c r="A243" s="186"/>
      <c r="B243" s="13"/>
      <c r="C243" s="14"/>
      <c r="D243" s="187"/>
      <c r="E243" s="188"/>
      <c r="F243" s="189"/>
      <c r="G243" s="187"/>
      <c r="H243" s="204"/>
      <c r="I243" s="204"/>
      <c r="J243" s="196"/>
      <c r="K243" s="196"/>
      <c r="L243" s="192" t="str">
        <f>IFERROR(__xludf.DUMMYFUNCTION("IF(
  AND(D243=""Saída"", J243=""Sangria""),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198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94" t="str">
        <f>IFERROR(__xludf.DUMMYFUNCTION("ifna(VALUE(REGEXEXTRACT(E243,""[0-9.]+[,]+[0-9]+"")))"),"")</f>
        <v/>
      </c>
      <c r="O243" s="194"/>
      <c r="P243" s="194"/>
      <c r="Q243" s="194"/>
      <c r="R243" s="194"/>
      <c r="S243" s="194"/>
      <c r="T243" s="194"/>
      <c r="U243" s="194"/>
      <c r="V243" s="194"/>
      <c r="W243" s="194"/>
    </row>
    <row r="244" ht="14.25" customHeight="1">
      <c r="A244" s="186"/>
      <c r="B244" s="13"/>
      <c r="C244" s="14"/>
      <c r="D244" s="187"/>
      <c r="E244" s="188"/>
      <c r="F244" s="189"/>
      <c r="G244" s="187"/>
      <c r="H244" s="204"/>
      <c r="I244" s="204"/>
      <c r="J244" s="196"/>
      <c r="K244" s="196"/>
      <c r="L244" s="192" t="str">
        <f>IFERROR(__xludf.DUMMYFUNCTION("IF(
  AND(D244=""Saída"", J244=""Sangria""),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197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94" t="str">
        <f>IFERROR(__xludf.DUMMYFUNCTION("ifna(VALUE(REGEXEXTRACT(E244,""[0-9.]+[,]+[0-9]+"")))"),"")</f>
        <v/>
      </c>
      <c r="O244" s="194"/>
      <c r="P244" s="194"/>
      <c r="Q244" s="194"/>
      <c r="R244" s="194"/>
      <c r="S244" s="194"/>
      <c r="T244" s="194"/>
      <c r="U244" s="194"/>
      <c r="V244" s="194"/>
      <c r="W244" s="194"/>
    </row>
    <row r="245" ht="14.25" customHeight="1">
      <c r="A245" s="186"/>
      <c r="B245" s="13"/>
      <c r="C245" s="14"/>
      <c r="D245" s="187"/>
      <c r="E245" s="188"/>
      <c r="F245" s="189"/>
      <c r="G245" s="187"/>
      <c r="H245" s="204"/>
      <c r="I245" s="204"/>
      <c r="J245" s="196"/>
      <c r="K245" s="196"/>
      <c r="L245" s="192" t="str">
        <f>IFERROR(__xludf.DUMMYFUNCTION("IF(
  AND(D245=""Saída"", J245=""Sangria""),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198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94" t="str">
        <f>IFERROR(__xludf.DUMMYFUNCTION("ifna(VALUE(REGEXEXTRACT(E245,""[0-9.]+[,]+[0-9]+"")))"),"")</f>
        <v/>
      </c>
      <c r="O245" s="194"/>
      <c r="P245" s="194"/>
      <c r="Q245" s="194"/>
      <c r="R245" s="194"/>
      <c r="S245" s="194"/>
      <c r="T245" s="194"/>
      <c r="U245" s="194"/>
      <c r="V245" s="194"/>
      <c r="W245" s="194"/>
    </row>
    <row r="246" ht="14.25" customHeight="1">
      <c r="A246" s="186"/>
      <c r="C246" s="14"/>
      <c r="D246" s="187"/>
      <c r="E246" s="188"/>
      <c r="F246" s="189"/>
      <c r="G246" s="187"/>
      <c r="H246" s="204"/>
      <c r="I246" s="204"/>
      <c r="J246" s="196"/>
      <c r="K246" s="196"/>
      <c r="L246" s="192" t="str">
        <f>IFERROR(__xludf.DUMMYFUNCTION("IF(
  AND(D246=""Saída"", J246=""Sangria""),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197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94" t="str">
        <f>IFERROR(__xludf.DUMMYFUNCTION("ifna(VALUE(REGEXEXTRACT(E246,""[0-9.]+[,]+[0-9]+"")))"),"")</f>
        <v/>
      </c>
      <c r="O246" s="194"/>
      <c r="P246" s="194"/>
      <c r="Q246" s="194"/>
      <c r="R246" s="194"/>
      <c r="S246" s="194"/>
      <c r="T246" s="194"/>
      <c r="U246" s="194"/>
      <c r="V246" s="194"/>
      <c r="W246" s="194"/>
    </row>
    <row r="247" ht="14.25" customHeight="1">
      <c r="A247" s="186"/>
      <c r="B247" s="13"/>
      <c r="C247" s="14"/>
      <c r="D247" s="187"/>
      <c r="E247" s="188"/>
      <c r="F247" s="200"/>
      <c r="G247" s="187"/>
      <c r="H247" s="204"/>
      <c r="I247" s="204"/>
      <c r="J247" s="196"/>
      <c r="K247" s="196"/>
      <c r="L247" s="192" t="str">
        <f>IFERROR(__xludf.DUMMYFUNCTION("IF(
  AND(D247=""Saída"", J247=""Sangria""),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198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94" t="str">
        <f>IFERROR(__xludf.DUMMYFUNCTION("ifna(VALUE(REGEXEXTRACT(E247,""[0-9.]+[,]+[0-9]+"")))"),"")</f>
        <v/>
      </c>
      <c r="O247" s="194"/>
      <c r="P247" s="194"/>
      <c r="Q247" s="194"/>
      <c r="R247" s="194"/>
      <c r="S247" s="194"/>
      <c r="T247" s="194"/>
      <c r="U247" s="194"/>
      <c r="V247" s="194"/>
      <c r="W247" s="194"/>
    </row>
    <row r="248" ht="14.25" customHeight="1">
      <c r="A248" s="186"/>
      <c r="B248" s="13"/>
      <c r="C248" s="14"/>
      <c r="D248" s="187"/>
      <c r="E248" s="188"/>
      <c r="F248" s="189"/>
      <c r="G248" s="187"/>
      <c r="H248" s="204"/>
      <c r="I248" s="204"/>
      <c r="J248" s="196"/>
      <c r="K248" s="196"/>
      <c r="L248" s="192" t="str">
        <f>IFERROR(__xludf.DUMMYFUNCTION("IF(
  AND(D248=""Saída"", J248=""Sangria""),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197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94" t="str">
        <f>IFERROR(__xludf.DUMMYFUNCTION("ifna(VALUE(REGEXEXTRACT(E248,""[0-9.]+[,]+[0-9]+"")))"),"")</f>
        <v/>
      </c>
      <c r="O248" s="194"/>
      <c r="P248" s="194"/>
      <c r="Q248" s="194"/>
      <c r="R248" s="194"/>
      <c r="S248" s="194"/>
      <c r="T248" s="194"/>
      <c r="U248" s="194"/>
      <c r="V248" s="194"/>
      <c r="W248" s="194"/>
    </row>
    <row r="249" ht="14.25" customHeight="1">
      <c r="A249" s="186"/>
      <c r="B249" s="13"/>
      <c r="C249" s="14"/>
      <c r="D249" s="187"/>
      <c r="E249" s="188"/>
      <c r="F249" s="189"/>
      <c r="G249" s="13"/>
      <c r="H249" s="204"/>
      <c r="I249" s="204"/>
      <c r="J249" s="196"/>
      <c r="K249" s="196"/>
      <c r="L249" s="192" t="str">
        <f>IFERROR(__xludf.DUMMYFUNCTION("IF(
  AND(D249=""Saída"", J249=""Sangria""),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198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94" t="str">
        <f>IFERROR(__xludf.DUMMYFUNCTION("ifna(VALUE(REGEXEXTRACT(E249,""[0-9.]+[,]+[0-9]+"")))"),"")</f>
        <v/>
      </c>
      <c r="O249" s="194"/>
      <c r="P249" s="194"/>
      <c r="Q249" s="194"/>
      <c r="R249" s="194"/>
      <c r="S249" s="194"/>
      <c r="T249" s="194"/>
      <c r="U249" s="194"/>
      <c r="V249" s="194"/>
      <c r="W249" s="194"/>
    </row>
    <row r="250" ht="14.25" customHeight="1">
      <c r="A250" s="186"/>
      <c r="B250" s="13"/>
      <c r="C250" s="14"/>
      <c r="D250" s="187"/>
      <c r="E250" s="188"/>
      <c r="F250" s="200"/>
      <c r="G250" s="187"/>
      <c r="H250" s="204"/>
      <c r="I250" s="204"/>
      <c r="J250" s="196"/>
      <c r="K250" s="196"/>
      <c r="L250" s="192" t="str">
        <f>IFERROR(__xludf.DUMMYFUNCTION("IF(
  AND(D250=""Saída"", J250=""Sangria""),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197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94" t="str">
        <f>IFERROR(__xludf.DUMMYFUNCTION("ifna(VALUE(REGEXEXTRACT(E250,""[0-9.]+[,]+[0-9]+"")))"),"")</f>
        <v/>
      </c>
      <c r="O250" s="194"/>
      <c r="P250" s="194"/>
      <c r="Q250" s="194"/>
      <c r="R250" s="194"/>
      <c r="S250" s="194"/>
      <c r="T250" s="194"/>
      <c r="U250" s="194"/>
      <c r="V250" s="194"/>
      <c r="W250" s="194"/>
    </row>
    <row r="251" ht="14.25" customHeight="1">
      <c r="A251" s="186"/>
      <c r="B251" s="13"/>
      <c r="C251" s="14"/>
      <c r="D251" s="187"/>
      <c r="E251" s="188"/>
      <c r="F251" s="200"/>
      <c r="G251" s="187"/>
      <c r="H251" s="204"/>
      <c r="I251" s="204"/>
      <c r="J251" s="196"/>
      <c r="K251" s="196"/>
      <c r="L251" s="192" t="str">
        <f>IFERROR(__xludf.DUMMYFUNCTION("IF(
  AND(D251=""Saída"", J251=""Sangria""),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198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94" t="str">
        <f>IFERROR(__xludf.DUMMYFUNCTION("ifna(VALUE(REGEXEXTRACT(E251,""[0-9.]+[,]+[0-9]+"")))"),"")</f>
        <v/>
      </c>
      <c r="O251" s="194"/>
      <c r="P251" s="194"/>
      <c r="Q251" s="194"/>
      <c r="R251" s="194"/>
      <c r="S251" s="194"/>
      <c r="T251" s="194"/>
      <c r="U251" s="194"/>
      <c r="V251" s="194"/>
      <c r="W251" s="194"/>
    </row>
    <row r="252" ht="14.25" customHeight="1">
      <c r="A252" s="186"/>
      <c r="B252" s="13"/>
      <c r="C252" s="14"/>
      <c r="D252" s="13"/>
      <c r="E252" s="188"/>
      <c r="F252" s="189"/>
      <c r="G252" s="187"/>
      <c r="H252" s="204"/>
      <c r="I252" s="204"/>
      <c r="J252" s="196"/>
      <c r="K252" s="196"/>
      <c r="L252" s="192" t="str">
        <f>IFERROR(__xludf.DUMMYFUNCTION("IF(
  AND(D252=""Saída"", J252=""Sangria""),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197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94" t="str">
        <f>IFERROR(__xludf.DUMMYFUNCTION("ifna(VALUE(REGEXEXTRACT(E252,""[0-9.]+[,]+[0-9]+"")))"),"")</f>
        <v/>
      </c>
      <c r="O252" s="194"/>
      <c r="P252" s="194"/>
      <c r="Q252" s="194"/>
      <c r="R252" s="194"/>
      <c r="S252" s="194"/>
      <c r="T252" s="194"/>
      <c r="U252" s="194"/>
      <c r="V252" s="194"/>
      <c r="W252" s="194"/>
    </row>
    <row r="253" ht="14.25" customHeight="1">
      <c r="A253" s="186"/>
      <c r="B253" s="13"/>
      <c r="C253" s="14"/>
      <c r="D253" s="187"/>
      <c r="E253" s="188"/>
      <c r="F253" s="189"/>
      <c r="G253" s="187"/>
      <c r="H253" s="204"/>
      <c r="I253" s="204"/>
      <c r="J253" s="196"/>
      <c r="K253" s="196"/>
      <c r="L253" s="192" t="str">
        <f>IFERROR(__xludf.DUMMYFUNCTION("IF(
  AND(D253=""Saída"", J253=""Sangria""),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198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94" t="str">
        <f>IFERROR(__xludf.DUMMYFUNCTION("ifna(VALUE(REGEXEXTRACT(E253,""[0-9.]+[,]+[0-9]+"")))"),"")</f>
        <v/>
      </c>
      <c r="O253" s="194"/>
      <c r="P253" s="194"/>
      <c r="Q253" s="194"/>
      <c r="R253" s="194"/>
      <c r="S253" s="194"/>
      <c r="T253" s="194"/>
      <c r="U253" s="194"/>
      <c r="V253" s="194"/>
      <c r="W253" s="194"/>
    </row>
    <row r="254" ht="14.25" customHeight="1">
      <c r="A254" s="186"/>
      <c r="B254" s="13"/>
      <c r="C254" s="14"/>
      <c r="D254" s="187"/>
      <c r="E254" s="188"/>
      <c r="F254" s="189"/>
      <c r="G254" s="187"/>
      <c r="H254" s="204"/>
      <c r="I254" s="204"/>
      <c r="J254" s="196"/>
      <c r="K254" s="196"/>
      <c r="L254" s="192" t="str">
        <f>IFERROR(__xludf.DUMMYFUNCTION("IF(
  AND(D254=""Saída"", J254=""Sangria""),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197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94" t="str">
        <f>IFERROR(__xludf.DUMMYFUNCTION("ifna(VALUE(REGEXEXTRACT(E254,""[0-9.]+[,]+[0-9]+"")))"),"")</f>
        <v/>
      </c>
      <c r="O254" s="194"/>
      <c r="P254" s="194"/>
      <c r="Q254" s="194"/>
      <c r="R254" s="194"/>
      <c r="S254" s="194"/>
      <c r="T254" s="194"/>
      <c r="U254" s="194"/>
      <c r="V254" s="194"/>
      <c r="W254" s="194"/>
    </row>
    <row r="255" ht="14.25" customHeight="1">
      <c r="A255" s="186"/>
      <c r="B255" s="13"/>
      <c r="C255" s="14"/>
      <c r="D255" s="187"/>
      <c r="E255" s="188"/>
      <c r="F255" s="189"/>
      <c r="G255" s="187"/>
      <c r="H255" s="204"/>
      <c r="I255" s="204"/>
      <c r="J255" s="196"/>
      <c r="K255" s="196"/>
      <c r="L255" s="192" t="str">
        <f>IFERROR(__xludf.DUMMYFUNCTION("IF(
  AND(D255=""Saída"", J255=""Sangria""),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198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94" t="str">
        <f>IFERROR(__xludf.DUMMYFUNCTION("ifna(VALUE(REGEXEXTRACT(E255,""[0-9.]+[,]+[0-9]+"")))"),"")</f>
        <v/>
      </c>
      <c r="O255" s="194"/>
      <c r="P255" s="194"/>
      <c r="Q255" s="194"/>
      <c r="R255" s="194"/>
      <c r="S255" s="194"/>
      <c r="T255" s="194"/>
      <c r="U255" s="194"/>
      <c r="V255" s="194"/>
      <c r="W255" s="194"/>
    </row>
    <row r="256" ht="14.25" customHeight="1">
      <c r="A256" s="186"/>
      <c r="B256" s="13"/>
      <c r="C256" s="14"/>
      <c r="D256" s="187"/>
      <c r="E256" s="188"/>
      <c r="F256" s="189"/>
      <c r="G256" s="187"/>
      <c r="H256" s="204"/>
      <c r="I256" s="204"/>
      <c r="J256" s="196"/>
      <c r="K256" s="196"/>
      <c r="L256" s="192" t="str">
        <f>IFERROR(__xludf.DUMMYFUNCTION("IF(
  AND(D256=""Saída"", J256=""Sangria""),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197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94" t="str">
        <f>IFERROR(__xludf.DUMMYFUNCTION("ifna(VALUE(REGEXEXTRACT(E256,""[0-9.]+[,]+[0-9]+"")))"),"")</f>
        <v/>
      </c>
      <c r="O256" s="194"/>
      <c r="P256" s="194"/>
      <c r="Q256" s="194"/>
      <c r="R256" s="194"/>
      <c r="S256" s="194"/>
      <c r="T256" s="194"/>
      <c r="U256" s="194"/>
      <c r="V256" s="194"/>
      <c r="W256" s="194"/>
    </row>
    <row r="257" ht="14.25" customHeight="1">
      <c r="A257" s="186"/>
      <c r="B257" s="13"/>
      <c r="C257" s="14"/>
      <c r="D257" s="187"/>
      <c r="E257" s="188"/>
      <c r="F257" s="189"/>
      <c r="G257" s="187"/>
      <c r="H257" s="204"/>
      <c r="I257" s="204"/>
      <c r="J257" s="196"/>
      <c r="K257" s="196"/>
      <c r="L257" s="192" t="str">
        <f>IFERROR(__xludf.DUMMYFUNCTION("IF(
  AND(D257=""Saída"", J257=""Sangria""),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198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94" t="str">
        <f>IFERROR(__xludf.DUMMYFUNCTION("ifna(VALUE(REGEXEXTRACT(E257,""[0-9.]+[,]+[0-9]+"")))"),"")</f>
        <v/>
      </c>
      <c r="O257" s="194"/>
      <c r="P257" s="194"/>
      <c r="Q257" s="194"/>
      <c r="R257" s="194"/>
      <c r="S257" s="194"/>
      <c r="T257" s="194"/>
      <c r="U257" s="194"/>
      <c r="V257" s="194"/>
      <c r="W257" s="194"/>
    </row>
    <row r="258" ht="14.25" customHeight="1">
      <c r="A258" s="186"/>
      <c r="B258" s="13"/>
      <c r="C258" s="14"/>
      <c r="D258" s="187"/>
      <c r="E258" s="188"/>
      <c r="F258" s="189"/>
      <c r="G258" s="187"/>
      <c r="H258" s="204"/>
      <c r="I258" s="204"/>
      <c r="J258" s="196"/>
      <c r="K258" s="196"/>
      <c r="L258" s="192" t="str">
        <f>IFERROR(__xludf.DUMMYFUNCTION("IF(
  AND(D258=""Saída"", J258=""Sangria""),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197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94" t="str">
        <f>IFERROR(__xludf.DUMMYFUNCTION("ifna(VALUE(REGEXEXTRACT(E258,""[0-9.]+[,]+[0-9]+"")))"),"")</f>
        <v/>
      </c>
      <c r="O258" s="194"/>
      <c r="P258" s="194"/>
      <c r="Q258" s="194"/>
      <c r="R258" s="194"/>
      <c r="S258" s="194"/>
      <c r="T258" s="194"/>
      <c r="U258" s="194"/>
      <c r="V258" s="194"/>
      <c r="W258" s="194"/>
    </row>
    <row r="259" ht="14.25" customHeight="1">
      <c r="A259" s="186"/>
      <c r="B259" s="13"/>
      <c r="C259" s="14"/>
      <c r="D259" s="187"/>
      <c r="E259" s="188"/>
      <c r="F259" s="189"/>
      <c r="G259" s="187"/>
      <c r="H259" s="204"/>
      <c r="I259" s="204"/>
      <c r="J259" s="196"/>
      <c r="K259" s="196"/>
      <c r="L259" s="192" t="str">
        <f>IFERROR(__xludf.DUMMYFUNCTION("IF(
  AND(D259=""Saída"", J259=""Sangria""),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198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94" t="str">
        <f>IFERROR(__xludf.DUMMYFUNCTION("ifna(VALUE(REGEXEXTRACT(E259,""[0-9.]+[,]+[0-9]+"")))"),"")</f>
        <v/>
      </c>
      <c r="O259" s="194"/>
      <c r="P259" s="194"/>
      <c r="Q259" s="194"/>
      <c r="R259" s="194"/>
      <c r="S259" s="194"/>
      <c r="T259" s="194"/>
      <c r="U259" s="194"/>
      <c r="V259" s="194"/>
      <c r="W259" s="194"/>
    </row>
    <row r="260" ht="14.25" customHeight="1">
      <c r="A260" s="186"/>
      <c r="B260" s="13"/>
      <c r="C260" s="14"/>
      <c r="D260" s="187"/>
      <c r="E260" s="188"/>
      <c r="F260" s="200"/>
      <c r="G260" s="187"/>
      <c r="H260" s="204"/>
      <c r="I260" s="204"/>
      <c r="J260" s="196"/>
      <c r="K260" s="196"/>
      <c r="L260" s="192" t="str">
        <f>IFERROR(__xludf.DUMMYFUNCTION("IF(
  AND(D260=""Saída"", J260=""Sangria""),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197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94" t="str">
        <f>IFERROR(__xludf.DUMMYFUNCTION("ifna(VALUE(REGEXEXTRACT(E260,""[0-9.]+[,]+[0-9]+"")))"),"")</f>
        <v/>
      </c>
      <c r="O260" s="194"/>
      <c r="P260" s="194"/>
      <c r="Q260" s="194"/>
      <c r="R260" s="194"/>
      <c r="S260" s="194"/>
      <c r="T260" s="194"/>
      <c r="U260" s="194"/>
      <c r="V260" s="194"/>
      <c r="W260" s="194"/>
    </row>
    <row r="261" ht="14.25" customHeight="1">
      <c r="A261" s="186"/>
      <c r="B261" s="13"/>
      <c r="C261" s="14"/>
      <c r="D261" s="187"/>
      <c r="E261" s="188"/>
      <c r="F261" s="189"/>
      <c r="G261" s="13"/>
      <c r="H261" s="204"/>
      <c r="I261" s="204"/>
      <c r="J261" s="196"/>
      <c r="K261" s="196"/>
      <c r="L261" s="192" t="str">
        <f>IFERROR(__xludf.DUMMYFUNCTION("IF(
  AND(D261=""Saída"", J261=""Sangria""),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198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94" t="str">
        <f>IFERROR(__xludf.DUMMYFUNCTION("ifna(VALUE(REGEXEXTRACT(E261,""[0-9.]+[,]+[0-9]+"")))"),"")</f>
        <v/>
      </c>
      <c r="O261" s="194"/>
      <c r="P261" s="194"/>
      <c r="Q261" s="194"/>
      <c r="R261" s="194"/>
      <c r="S261" s="194"/>
      <c r="T261" s="194"/>
      <c r="U261" s="194"/>
      <c r="V261" s="194"/>
      <c r="W261" s="194"/>
    </row>
    <row r="262" ht="14.25" customHeight="1">
      <c r="A262" s="186"/>
      <c r="B262" s="13"/>
      <c r="C262" s="14"/>
      <c r="D262" s="187"/>
      <c r="E262" s="188"/>
      <c r="F262" s="189"/>
      <c r="G262" s="13"/>
      <c r="H262" s="204"/>
      <c r="I262" s="204"/>
      <c r="J262" s="196"/>
      <c r="K262" s="196"/>
      <c r="L262" s="192" t="str">
        <f>IFERROR(__xludf.DUMMYFUNCTION("IF(
  AND(D262=""Saída"", J262=""Sangria""),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197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94" t="str">
        <f>IFERROR(__xludf.DUMMYFUNCTION("ifna(VALUE(REGEXEXTRACT(E262,""[0-9.]+[,]+[0-9]+"")))"),"")</f>
        <v/>
      </c>
      <c r="O262" s="194"/>
      <c r="P262" s="194"/>
      <c r="Q262" s="194"/>
      <c r="R262" s="194"/>
      <c r="S262" s="194"/>
      <c r="T262" s="194"/>
      <c r="U262" s="194"/>
      <c r="V262" s="194"/>
      <c r="W262" s="194"/>
    </row>
    <row r="263" ht="14.25" customHeight="1">
      <c r="A263" s="186"/>
      <c r="B263" s="13"/>
      <c r="C263" s="14"/>
      <c r="D263" s="187"/>
      <c r="E263" s="188"/>
      <c r="F263" s="189"/>
      <c r="G263" s="187"/>
      <c r="H263" s="204"/>
      <c r="I263" s="204"/>
      <c r="J263" s="196"/>
      <c r="K263" s="196"/>
      <c r="L263" s="192" t="str">
        <f>IFERROR(__xludf.DUMMYFUNCTION("IF(
  AND(D263=""Saída"", J263=""Sangria""),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198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94" t="str">
        <f>IFERROR(__xludf.DUMMYFUNCTION("ifna(VALUE(REGEXEXTRACT(E263,""[0-9.]+[,]+[0-9]+"")))"),"")</f>
        <v/>
      </c>
      <c r="O263" s="194"/>
      <c r="P263" s="194"/>
      <c r="Q263" s="194"/>
      <c r="R263" s="194"/>
      <c r="S263" s="194"/>
      <c r="T263" s="194"/>
      <c r="U263" s="194"/>
      <c r="V263" s="194"/>
      <c r="W263" s="194"/>
    </row>
    <row r="264" ht="14.25" customHeight="1">
      <c r="A264" s="186"/>
      <c r="B264" s="13"/>
      <c r="C264" s="14"/>
      <c r="D264" s="187"/>
      <c r="E264" s="188"/>
      <c r="F264" s="189"/>
      <c r="G264" s="187"/>
      <c r="H264" s="204"/>
      <c r="I264" s="204"/>
      <c r="J264" s="196"/>
      <c r="K264" s="196"/>
      <c r="L264" s="192" t="str">
        <f>IFERROR(__xludf.DUMMYFUNCTION("IF(
  AND(D264=""Saída"", J264=""Sangria""),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197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94" t="str">
        <f>IFERROR(__xludf.DUMMYFUNCTION("ifna(VALUE(REGEXEXTRACT(E264,""[0-9.]+[,]+[0-9]+"")))"),"")</f>
        <v/>
      </c>
      <c r="O264" s="194"/>
      <c r="P264" s="194"/>
      <c r="Q264" s="194"/>
      <c r="R264" s="194"/>
      <c r="S264" s="194"/>
      <c r="T264" s="194"/>
      <c r="U264" s="194"/>
      <c r="V264" s="194"/>
      <c r="W264" s="194"/>
    </row>
    <row r="265" ht="14.25" customHeight="1">
      <c r="A265" s="186"/>
      <c r="B265" s="13"/>
      <c r="C265" s="14"/>
      <c r="D265" s="187"/>
      <c r="E265" s="188"/>
      <c r="F265" s="200"/>
      <c r="G265" s="187"/>
      <c r="H265" s="204"/>
      <c r="I265" s="204"/>
      <c r="J265" s="196"/>
      <c r="K265" s="196"/>
      <c r="L265" s="192" t="str">
        <f>IFERROR(__xludf.DUMMYFUNCTION("IF(
  AND(D265=""Saída"", J265=""Sangria""),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198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94" t="str">
        <f>IFERROR(__xludf.DUMMYFUNCTION("ifna(VALUE(REGEXEXTRACT(E265,""[0-9.]+[,]+[0-9]+"")))"),"")</f>
        <v/>
      </c>
      <c r="O265" s="194"/>
      <c r="P265" s="194"/>
      <c r="Q265" s="194"/>
      <c r="R265" s="194"/>
      <c r="S265" s="194"/>
      <c r="T265" s="194"/>
      <c r="U265" s="194"/>
      <c r="V265" s="194"/>
      <c r="W265" s="194"/>
    </row>
    <row r="266" ht="14.25" customHeight="1">
      <c r="A266" s="186"/>
      <c r="B266" s="268"/>
      <c r="C266" s="269"/>
      <c r="D266" s="270"/>
      <c r="E266" s="271"/>
      <c r="F266" s="272"/>
      <c r="G266" s="273"/>
      <c r="H266" s="204"/>
      <c r="I266" s="204"/>
      <c r="J266" s="196"/>
      <c r="K266" s="196"/>
      <c r="L266" s="192" t="str">
        <f>IFERROR(__xludf.DUMMYFUNCTION("IF(
  AND(D266=""Saída"", J266=""Sangria""),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197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94" t="str">
        <f>IFERROR(__xludf.DUMMYFUNCTION("ifna(VALUE(REGEXEXTRACT(E266,""[0-9.]+[,]+[0-9]+"")))"),"")</f>
        <v/>
      </c>
      <c r="O266" s="194"/>
      <c r="P266" s="194"/>
      <c r="Q266" s="194"/>
      <c r="R266" s="194"/>
      <c r="S266" s="194"/>
      <c r="T266" s="194"/>
      <c r="U266" s="194"/>
      <c r="V266" s="194"/>
      <c r="W266" s="194"/>
    </row>
    <row r="267" ht="14.25" customHeight="1">
      <c r="A267" s="186"/>
      <c r="B267" s="268"/>
      <c r="C267" s="269"/>
      <c r="D267" s="270"/>
      <c r="E267" s="271"/>
      <c r="F267" s="272"/>
      <c r="G267" s="274"/>
      <c r="H267" s="204"/>
      <c r="I267" s="204"/>
      <c r="J267" s="196"/>
      <c r="K267" s="196"/>
      <c r="L267" s="192" t="str">
        <f>IFERROR(__xludf.DUMMYFUNCTION("IF(
  AND(D267=""Saída"", J267=""Sangria""),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198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94" t="str">
        <f>IFERROR(__xludf.DUMMYFUNCTION("ifna(VALUE(REGEXEXTRACT(E267,""[0-9.]+[,]+[0-9]+"")))"),"")</f>
        <v/>
      </c>
      <c r="O267" s="194"/>
      <c r="P267" s="194"/>
      <c r="Q267" s="194"/>
      <c r="R267" s="194"/>
      <c r="S267" s="194"/>
      <c r="T267" s="194"/>
      <c r="U267" s="194"/>
      <c r="V267" s="194"/>
      <c r="W267" s="194"/>
    </row>
    <row r="268" ht="14.25" customHeight="1">
      <c r="A268" s="186"/>
      <c r="B268" s="268"/>
      <c r="C268" s="269"/>
      <c r="D268" s="270"/>
      <c r="E268" s="271"/>
      <c r="F268" s="272"/>
      <c r="G268" s="273"/>
      <c r="H268" s="204"/>
      <c r="I268" s="204"/>
      <c r="J268" s="212"/>
      <c r="K268" s="196"/>
      <c r="L268" s="192" t="str">
        <f>IFERROR(__xludf.DUMMYFUNCTION("IF(
  AND(D268=""Saída"", J268=""Sangria""),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197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94" t="str">
        <f>IFERROR(__xludf.DUMMYFUNCTION("ifna(VALUE(REGEXEXTRACT(E268,""[0-9.]+[,]+[0-9]+"")))"),"")</f>
        <v/>
      </c>
      <c r="O268" s="194"/>
      <c r="P268" s="194"/>
      <c r="Q268" s="194"/>
      <c r="R268" s="194"/>
      <c r="S268" s="194"/>
      <c r="T268" s="194"/>
      <c r="U268" s="194"/>
      <c r="V268" s="194"/>
      <c r="W268" s="194"/>
    </row>
    <row r="269" ht="14.25" customHeight="1">
      <c r="A269" s="186"/>
      <c r="B269" s="268"/>
      <c r="C269" s="269"/>
      <c r="D269" s="270"/>
      <c r="E269" s="271"/>
      <c r="F269" s="272"/>
      <c r="G269" s="273"/>
      <c r="H269" s="204"/>
      <c r="I269" s="204"/>
      <c r="J269" s="196"/>
      <c r="K269" s="196"/>
      <c r="L269" s="192" t="str">
        <f>IFERROR(__xludf.DUMMYFUNCTION("IF(
  AND(D269=""Saída"", J269=""Sangria""),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198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94" t="str">
        <f>IFERROR(__xludf.DUMMYFUNCTION("ifna(VALUE(REGEXEXTRACT(E269,""[0-9.]+[,]+[0-9]+"")))"),"")</f>
        <v/>
      </c>
      <c r="O269" s="194"/>
      <c r="P269" s="194"/>
      <c r="Q269" s="194"/>
      <c r="R269" s="194"/>
      <c r="S269" s="194"/>
      <c r="T269" s="194"/>
      <c r="U269" s="194"/>
      <c r="V269" s="194"/>
      <c r="W269" s="194"/>
    </row>
    <row r="270" ht="14.25" customHeight="1">
      <c r="A270" s="186"/>
      <c r="B270" s="268"/>
      <c r="C270" s="269"/>
      <c r="D270" s="270"/>
      <c r="E270" s="271"/>
      <c r="F270" s="272"/>
      <c r="G270" s="273"/>
      <c r="H270" s="204"/>
      <c r="I270" s="204"/>
      <c r="J270" s="196"/>
      <c r="K270" s="196"/>
      <c r="L270" s="192" t="str">
        <f>IFERROR(__xludf.DUMMYFUNCTION("IF(
  AND(D270=""Saída"", J270=""Sangria""),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197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94" t="str">
        <f>IFERROR(__xludf.DUMMYFUNCTION("ifna(VALUE(REGEXEXTRACT(E270,""[0-9.]+[,]+[0-9]+"")))"),"")</f>
        <v/>
      </c>
      <c r="O270" s="194"/>
      <c r="P270" s="194"/>
      <c r="Q270" s="194"/>
      <c r="R270" s="194"/>
      <c r="S270" s="194"/>
      <c r="T270" s="194"/>
      <c r="U270" s="194"/>
      <c r="V270" s="194"/>
      <c r="W270" s="194"/>
    </row>
    <row r="271" ht="14.25" customHeight="1">
      <c r="A271" s="186"/>
      <c r="B271" s="268"/>
      <c r="C271" s="269"/>
      <c r="D271" s="270"/>
      <c r="E271" s="275"/>
      <c r="F271" s="276"/>
      <c r="G271" s="273"/>
      <c r="H271" s="204"/>
      <c r="I271" s="204"/>
      <c r="J271" s="196"/>
      <c r="K271" s="196"/>
      <c r="L271" s="192" t="str">
        <f>IFERROR(__xludf.DUMMYFUNCTION("IF(
  AND(D271=""Saída"", J271=""Sangria""),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198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94" t="str">
        <f>IFERROR(__xludf.DUMMYFUNCTION("ifna(VALUE(REGEXEXTRACT(E271,""[0-9.]+[,]+[0-9]+"")))"),"")</f>
        <v/>
      </c>
      <c r="O271" s="194"/>
      <c r="P271" s="194"/>
      <c r="Q271" s="194"/>
      <c r="R271" s="194"/>
      <c r="S271" s="194"/>
      <c r="T271" s="194"/>
      <c r="U271" s="194"/>
      <c r="V271" s="194"/>
      <c r="W271" s="194"/>
    </row>
    <row r="272" ht="14.25" customHeight="1">
      <c r="A272" s="186"/>
      <c r="B272" s="268"/>
      <c r="C272" s="269"/>
      <c r="D272" s="270"/>
      <c r="E272" s="271"/>
      <c r="F272" s="276"/>
      <c r="G272" s="273"/>
      <c r="H272" s="204"/>
      <c r="I272" s="204"/>
      <c r="J272" s="196"/>
      <c r="K272" s="196"/>
      <c r="L272" s="192" t="str">
        <f>IFERROR(__xludf.DUMMYFUNCTION("IF(
  AND(D272=""Saída"", J272=""Sangria""),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197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94" t="str">
        <f>IFERROR(__xludf.DUMMYFUNCTION("ifna(VALUE(REGEXEXTRACT(E272,""[0-9.]+[,]+[0-9]+"")))"),"")</f>
        <v/>
      </c>
      <c r="O272" s="194"/>
      <c r="P272" s="194"/>
      <c r="Q272" s="194"/>
      <c r="R272" s="194"/>
      <c r="S272" s="194"/>
      <c r="T272" s="194"/>
      <c r="U272" s="194"/>
      <c r="V272" s="194"/>
      <c r="W272" s="194"/>
    </row>
    <row r="273" ht="14.25" customHeight="1">
      <c r="A273" s="186"/>
      <c r="B273" s="268"/>
      <c r="C273" s="269"/>
      <c r="D273" s="270"/>
      <c r="E273" s="271"/>
      <c r="F273" s="272"/>
      <c r="G273" s="273"/>
      <c r="H273" s="204"/>
      <c r="I273" s="204"/>
      <c r="J273" s="196"/>
      <c r="K273" s="196"/>
      <c r="L273" s="192" t="str">
        <f>IFERROR(__xludf.DUMMYFUNCTION("IF(
  AND(D273=""Saída"", J273=""Sangria""),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198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94" t="str">
        <f>IFERROR(__xludf.DUMMYFUNCTION("ifna(VALUE(REGEXEXTRACT(E273,""[0-9.]+[,]+[0-9]+"")))"),"")</f>
        <v/>
      </c>
      <c r="O273" s="194"/>
      <c r="P273" s="194"/>
      <c r="Q273" s="194"/>
      <c r="R273" s="194"/>
      <c r="S273" s="194"/>
      <c r="T273" s="194"/>
      <c r="U273" s="194"/>
      <c r="V273" s="194"/>
      <c r="W273" s="194"/>
    </row>
    <row r="274" ht="14.25" customHeight="1">
      <c r="A274" s="186"/>
      <c r="B274" s="268"/>
      <c r="C274" s="269"/>
      <c r="D274" s="270"/>
      <c r="E274" s="271"/>
      <c r="F274" s="272"/>
      <c r="G274" s="273"/>
      <c r="H274" s="204"/>
      <c r="I274" s="204"/>
      <c r="J274" s="196"/>
      <c r="K274" s="196"/>
      <c r="L274" s="192" t="str">
        <f>IFERROR(__xludf.DUMMYFUNCTION("IF(
  AND(D274=""Saída"", J274=""Sangria""),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197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94" t="str">
        <f>IFERROR(__xludf.DUMMYFUNCTION("ifna(VALUE(REGEXEXTRACT(E274,""[0-9.]+[,]+[0-9]+"")))"),"")</f>
        <v/>
      </c>
      <c r="O274" s="194"/>
      <c r="P274" s="194"/>
      <c r="Q274" s="194"/>
      <c r="R274" s="194"/>
      <c r="S274" s="194"/>
      <c r="T274" s="194"/>
      <c r="U274" s="194"/>
      <c r="V274" s="194"/>
      <c r="W274" s="194"/>
    </row>
    <row r="275" ht="14.25" customHeight="1">
      <c r="A275" s="186"/>
      <c r="B275" s="268"/>
      <c r="C275" s="269"/>
      <c r="D275" s="270"/>
      <c r="E275" s="271"/>
      <c r="F275" s="276"/>
      <c r="G275" s="273"/>
      <c r="H275" s="204"/>
      <c r="I275" s="204"/>
      <c r="J275" s="196"/>
      <c r="K275" s="196"/>
      <c r="L275" s="192" t="str">
        <f>IFERROR(__xludf.DUMMYFUNCTION("IF(
  AND(D275=""Saída"", J275=""Sangria""),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198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94" t="str">
        <f>IFERROR(__xludf.DUMMYFUNCTION("ifna(VALUE(REGEXEXTRACT(E275,""[0-9.]+[,]+[0-9]+"")))"),"")</f>
        <v/>
      </c>
      <c r="O275" s="194"/>
      <c r="P275" s="194"/>
      <c r="Q275" s="194"/>
      <c r="R275" s="194"/>
      <c r="S275" s="194"/>
      <c r="T275" s="194"/>
      <c r="U275" s="194"/>
      <c r="V275" s="194"/>
      <c r="W275" s="194"/>
    </row>
    <row r="276" ht="14.25" customHeight="1">
      <c r="A276" s="186"/>
      <c r="B276" s="268"/>
      <c r="C276" s="269"/>
      <c r="D276" s="270"/>
      <c r="E276" s="271"/>
      <c r="F276" s="272"/>
      <c r="G276" s="273"/>
      <c r="H276" s="204"/>
      <c r="I276" s="204"/>
      <c r="J276" s="196"/>
      <c r="K276" s="196"/>
      <c r="L276" s="192" t="str">
        <f>IFERROR(__xludf.DUMMYFUNCTION("IF(
  AND(D276=""Saída"", J276=""Sangria""),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197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94" t="str">
        <f>IFERROR(__xludf.DUMMYFUNCTION("ifna(VALUE(REGEXEXTRACT(E276,""[0-9.]+[,]+[0-9]+"")))"),"")</f>
        <v/>
      </c>
      <c r="O276" s="194"/>
      <c r="P276" s="194"/>
      <c r="Q276" s="194"/>
      <c r="R276" s="194"/>
      <c r="S276" s="194"/>
      <c r="T276" s="194"/>
      <c r="U276" s="194"/>
      <c r="V276" s="194"/>
      <c r="W276" s="194"/>
    </row>
    <row r="277" ht="14.25" customHeight="1">
      <c r="A277" s="186"/>
      <c r="B277" s="268"/>
      <c r="C277" s="269"/>
      <c r="D277" s="270"/>
      <c r="E277" s="271"/>
      <c r="F277" s="272"/>
      <c r="G277" s="273"/>
      <c r="H277" s="204"/>
      <c r="I277" s="204"/>
      <c r="J277" s="196"/>
      <c r="K277" s="196"/>
      <c r="L277" s="192" t="str">
        <f>IFERROR(__xludf.DUMMYFUNCTION("IF(
  AND(D277=""Saída"", J277=""Sangria""),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198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94" t="str">
        <f>IFERROR(__xludf.DUMMYFUNCTION("ifna(VALUE(REGEXEXTRACT(E277,""[0-9.]+[,]+[0-9]+"")))"),"")</f>
        <v/>
      </c>
      <c r="O277" s="194"/>
      <c r="P277" s="194"/>
      <c r="Q277" s="194"/>
      <c r="R277" s="194"/>
      <c r="S277" s="194"/>
      <c r="T277" s="194"/>
      <c r="U277" s="194"/>
      <c r="V277" s="194"/>
      <c r="W277" s="194"/>
    </row>
    <row r="278" ht="14.25" customHeight="1">
      <c r="A278" s="186"/>
      <c r="B278" s="268"/>
      <c r="C278" s="269"/>
      <c r="D278" s="270"/>
      <c r="E278" s="271"/>
      <c r="F278" s="272"/>
      <c r="G278" s="273"/>
      <c r="H278" s="204"/>
      <c r="I278" s="204"/>
      <c r="J278" s="196"/>
      <c r="K278" s="196"/>
      <c r="L278" s="192" t="str">
        <f>IFERROR(__xludf.DUMMYFUNCTION("IF(
  AND(D278=""Saída"", J278=""Sangria""),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197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94" t="str">
        <f>IFERROR(__xludf.DUMMYFUNCTION("ifna(VALUE(REGEXEXTRACT(E278,""[0-9.]+[,]+[0-9]+"")))"),"")</f>
        <v/>
      </c>
      <c r="O278" s="194"/>
      <c r="P278" s="194"/>
      <c r="Q278" s="194"/>
      <c r="R278" s="194"/>
      <c r="S278" s="194"/>
      <c r="T278" s="194"/>
      <c r="U278" s="194"/>
      <c r="V278" s="194"/>
      <c r="W278" s="194"/>
    </row>
    <row r="279" ht="14.25" customHeight="1">
      <c r="A279" s="186"/>
      <c r="B279" s="268"/>
      <c r="C279" s="269"/>
      <c r="D279" s="270"/>
      <c r="E279" s="271"/>
      <c r="F279" s="272"/>
      <c r="G279" s="273"/>
      <c r="H279" s="204"/>
      <c r="I279" s="204"/>
      <c r="J279" s="196"/>
      <c r="K279" s="196"/>
      <c r="L279" s="192" t="str">
        <f>IFERROR(__xludf.DUMMYFUNCTION("IF(
  AND(D279=""Saída"", J279=""Sangria""),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198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94" t="str">
        <f>IFERROR(__xludf.DUMMYFUNCTION("ifna(VALUE(REGEXEXTRACT(E279,""[0-9.]+[,]+[0-9]+"")))"),"")</f>
        <v/>
      </c>
      <c r="O279" s="194"/>
      <c r="P279" s="194"/>
      <c r="Q279" s="194"/>
      <c r="R279" s="194"/>
      <c r="S279" s="194"/>
      <c r="T279" s="194"/>
      <c r="U279" s="194"/>
      <c r="V279" s="194"/>
      <c r="W279" s="194"/>
    </row>
    <row r="280" ht="14.25" customHeight="1">
      <c r="A280" s="186"/>
      <c r="B280" s="268"/>
      <c r="C280" s="269"/>
      <c r="D280" s="270"/>
      <c r="E280" s="271"/>
      <c r="F280" s="272"/>
      <c r="G280" s="273"/>
      <c r="H280" s="204"/>
      <c r="I280" s="204"/>
      <c r="J280" s="196"/>
      <c r="K280" s="202"/>
      <c r="L280" s="192" t="str">
        <f>IFERROR(__xludf.DUMMYFUNCTION("IF(
  AND(D280=""Saída"", J280=""Sangria""),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197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94" t="str">
        <f>IFERROR(__xludf.DUMMYFUNCTION("ifna(VALUE(REGEXEXTRACT(E280,""[0-9.]+[,]+[0-9]+"")))"),"")</f>
        <v/>
      </c>
      <c r="O280" s="194"/>
      <c r="P280" s="194"/>
      <c r="Q280" s="194"/>
      <c r="R280" s="194"/>
      <c r="S280" s="194"/>
      <c r="T280" s="194"/>
      <c r="U280" s="194"/>
      <c r="V280" s="194"/>
      <c r="W280" s="194"/>
    </row>
    <row r="281" ht="14.25" customHeight="1">
      <c r="A281" s="186"/>
      <c r="B281" s="268"/>
      <c r="C281" s="269"/>
      <c r="D281" s="270"/>
      <c r="E281" s="271"/>
      <c r="F281" s="272"/>
      <c r="G281" s="273"/>
      <c r="H281" s="204"/>
      <c r="I281" s="204"/>
      <c r="J281" s="196"/>
      <c r="K281" s="196"/>
      <c r="L281" s="192" t="str">
        <f>IFERROR(__xludf.DUMMYFUNCTION("IF(
  AND(D281=""Saída"", J281=""Sangria""),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198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94" t="str">
        <f>IFERROR(__xludf.DUMMYFUNCTION("ifna(VALUE(REGEXEXTRACT(E281,""[0-9.]+[,]+[0-9]+"")))"),"")</f>
        <v/>
      </c>
      <c r="O281" s="194"/>
      <c r="P281" s="194"/>
      <c r="Q281" s="194"/>
      <c r="R281" s="194"/>
      <c r="S281" s="194"/>
      <c r="T281" s="194"/>
      <c r="U281" s="194"/>
      <c r="V281" s="194"/>
      <c r="W281" s="194"/>
    </row>
    <row r="282" ht="14.25" customHeight="1">
      <c r="A282" s="186"/>
      <c r="B282" s="268"/>
      <c r="C282" s="269"/>
      <c r="D282" s="270"/>
      <c r="E282" s="275"/>
      <c r="F282" s="272"/>
      <c r="G282" s="273"/>
      <c r="H282" s="204"/>
      <c r="I282" s="204"/>
      <c r="J282" s="196"/>
      <c r="K282" s="196"/>
      <c r="L282" s="192" t="str">
        <f>IFERROR(__xludf.DUMMYFUNCTION("IF(
  AND(D282=""Saída"", J282=""Sangria""),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197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94" t="str">
        <f>IFERROR(__xludf.DUMMYFUNCTION("ifna(VALUE(REGEXEXTRACT(E282,""[0-9.]+[,]+[0-9]+"")))"),"")</f>
        <v/>
      </c>
      <c r="O282" s="194"/>
      <c r="P282" s="194"/>
      <c r="Q282" s="194"/>
      <c r="R282" s="194"/>
      <c r="S282" s="194"/>
      <c r="T282" s="194"/>
      <c r="U282" s="194"/>
      <c r="V282" s="194"/>
      <c r="W282" s="194"/>
    </row>
    <row r="283" ht="14.25" customHeight="1">
      <c r="A283" s="186"/>
      <c r="B283" s="268"/>
      <c r="C283" s="269"/>
      <c r="D283" s="270"/>
      <c r="E283" s="271"/>
      <c r="F283" s="272"/>
      <c r="G283" s="273"/>
      <c r="H283" s="204"/>
      <c r="I283" s="204"/>
      <c r="J283" s="196"/>
      <c r="K283" s="196"/>
      <c r="L283" s="192" t="str">
        <f>IFERROR(__xludf.DUMMYFUNCTION("IF(
  AND(D283=""Saída"", J283=""Sangria""),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198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94" t="str">
        <f>IFERROR(__xludf.DUMMYFUNCTION("ifna(VALUE(REGEXEXTRACT(E283,""[0-9.]+[,]+[0-9]+"")))"),"")</f>
        <v/>
      </c>
      <c r="O283" s="194"/>
      <c r="P283" s="194"/>
      <c r="Q283" s="194"/>
      <c r="R283" s="194"/>
      <c r="S283" s="194"/>
      <c r="T283" s="194"/>
      <c r="U283" s="194"/>
      <c r="V283" s="194"/>
      <c r="W283" s="194"/>
    </row>
    <row r="284" ht="14.25" customHeight="1">
      <c r="A284" s="186"/>
      <c r="B284" s="268"/>
      <c r="C284" s="269"/>
      <c r="D284" s="270"/>
      <c r="E284" s="271"/>
      <c r="F284" s="272"/>
      <c r="G284" s="273"/>
      <c r="H284" s="204"/>
      <c r="I284" s="204"/>
      <c r="J284" s="196"/>
      <c r="K284" s="202"/>
      <c r="L284" s="192" t="str">
        <f>IFERROR(__xludf.DUMMYFUNCTION("IF(
  AND(D284=""Saída"", J284=""Sangria""),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197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94" t="str">
        <f>IFERROR(__xludf.DUMMYFUNCTION("ifna(VALUE(REGEXEXTRACT(E284,""[0-9.]+[,]+[0-9]+"")))"),"")</f>
        <v/>
      </c>
      <c r="O284" s="194"/>
      <c r="P284" s="194"/>
      <c r="Q284" s="194"/>
      <c r="R284" s="194"/>
      <c r="S284" s="194"/>
      <c r="T284" s="194"/>
      <c r="U284" s="194"/>
      <c r="V284" s="194"/>
      <c r="W284" s="194"/>
    </row>
    <row r="285" ht="14.25" customHeight="1">
      <c r="A285" s="186"/>
      <c r="B285" s="268"/>
      <c r="C285" s="269"/>
      <c r="D285" s="270"/>
      <c r="E285" s="271"/>
      <c r="F285" s="276"/>
      <c r="G285" s="273"/>
      <c r="H285" s="204"/>
      <c r="I285" s="204"/>
      <c r="J285" s="196"/>
      <c r="K285" s="196"/>
      <c r="L285" s="192" t="str">
        <f>IFERROR(__xludf.DUMMYFUNCTION("IF(
  AND(D285=""Saída"", J285=""Sangria""),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198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94" t="str">
        <f>IFERROR(__xludf.DUMMYFUNCTION("ifna(VALUE(REGEXEXTRACT(E285,""[0-9.]+[,]+[0-9]+"")))"),"")</f>
        <v/>
      </c>
      <c r="O285" s="194"/>
      <c r="P285" s="194"/>
      <c r="Q285" s="194"/>
      <c r="R285" s="194"/>
      <c r="S285" s="194"/>
      <c r="T285" s="194"/>
      <c r="U285" s="194"/>
      <c r="V285" s="194"/>
      <c r="W285" s="194"/>
    </row>
    <row r="286" ht="14.25" customHeight="1">
      <c r="A286" s="186"/>
      <c r="B286" s="268"/>
      <c r="C286" s="269"/>
      <c r="D286" s="270"/>
      <c r="E286" s="271"/>
      <c r="F286" s="276"/>
      <c r="G286" s="273"/>
      <c r="H286" s="204"/>
      <c r="I286" s="204"/>
      <c r="J286" s="196"/>
      <c r="K286" s="196"/>
      <c r="L286" s="192" t="str">
        <f>IFERROR(__xludf.DUMMYFUNCTION("IF(
  AND(D286=""Saída"", J286=""Sangria""),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197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94" t="str">
        <f>IFERROR(__xludf.DUMMYFUNCTION("ifna(VALUE(REGEXEXTRACT(E286,""[0-9.]+[,]+[0-9]+"")))"),"")</f>
        <v/>
      </c>
      <c r="O286" s="194"/>
      <c r="P286" s="194"/>
      <c r="Q286" s="194"/>
      <c r="R286" s="194"/>
      <c r="S286" s="194"/>
      <c r="T286" s="194"/>
      <c r="U286" s="194"/>
      <c r="V286" s="194"/>
      <c r="W286" s="194"/>
    </row>
    <row r="287" ht="14.25" customHeight="1">
      <c r="A287" s="186"/>
      <c r="B287" s="268"/>
      <c r="C287" s="269"/>
      <c r="D287" s="270"/>
      <c r="E287" s="271"/>
      <c r="F287" s="272"/>
      <c r="G287" s="273"/>
      <c r="H287" s="204"/>
      <c r="I287" s="204"/>
      <c r="J287" s="212"/>
      <c r="K287" s="202"/>
      <c r="L287" s="192" t="str">
        <f>IFERROR(__xludf.DUMMYFUNCTION("IF(
  AND(D287=""Saída"", J287=""Sangria""),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198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94" t="str">
        <f>IFERROR(__xludf.DUMMYFUNCTION("ifna(VALUE(REGEXEXTRACT(E287,""[0-9.]+[,]+[0-9]+"")))"),"")</f>
        <v/>
      </c>
      <c r="O287" s="194"/>
      <c r="P287" s="194"/>
      <c r="Q287" s="194"/>
      <c r="R287" s="194"/>
      <c r="S287" s="194"/>
      <c r="T287" s="194"/>
      <c r="U287" s="194"/>
      <c r="V287" s="194"/>
      <c r="W287" s="194"/>
    </row>
    <row r="288" ht="14.25" customHeight="1">
      <c r="A288" s="186"/>
      <c r="B288" s="268"/>
      <c r="C288" s="269"/>
      <c r="D288" s="270"/>
      <c r="E288" s="271"/>
      <c r="F288" s="272"/>
      <c r="G288" s="273"/>
      <c r="H288" s="204"/>
      <c r="I288" s="204"/>
      <c r="J288" s="196"/>
      <c r="K288" s="202"/>
      <c r="L288" s="192" t="str">
        <f>IFERROR(__xludf.DUMMYFUNCTION("IF(
  AND(D288=""Saída"", J288=""Sangria""),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197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94" t="str">
        <f>IFERROR(__xludf.DUMMYFUNCTION("ifna(VALUE(REGEXEXTRACT(E288,""[0-9.]+[,]+[0-9]+"")))"),"")</f>
        <v/>
      </c>
      <c r="O288" s="194"/>
      <c r="P288" s="194"/>
      <c r="Q288" s="194"/>
      <c r="R288" s="194"/>
      <c r="S288" s="194"/>
      <c r="T288" s="194"/>
      <c r="U288" s="194"/>
      <c r="V288" s="194"/>
      <c r="W288" s="194"/>
    </row>
    <row r="289" ht="14.25" customHeight="1">
      <c r="A289" s="186"/>
      <c r="B289" s="268"/>
      <c r="C289" s="269"/>
      <c r="D289" s="270"/>
      <c r="E289" s="271"/>
      <c r="F289" s="272"/>
      <c r="G289" s="273"/>
      <c r="H289" s="204"/>
      <c r="I289" s="204"/>
      <c r="J289" s="196"/>
      <c r="K289" s="196"/>
      <c r="L289" s="192" t="str">
        <f>IFERROR(__xludf.DUMMYFUNCTION("IF(
  AND(D289=""Saída"", J289=""Sangria""),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198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94" t="str">
        <f>IFERROR(__xludf.DUMMYFUNCTION("ifna(VALUE(REGEXEXTRACT(E289,""[0-9.]+[,]+[0-9]+"")))"),"")</f>
        <v/>
      </c>
      <c r="O289" s="194"/>
      <c r="P289" s="194"/>
      <c r="Q289" s="194"/>
      <c r="R289" s="194"/>
      <c r="S289" s="194"/>
      <c r="T289" s="194"/>
      <c r="U289" s="194"/>
      <c r="V289" s="194"/>
      <c r="W289" s="194"/>
    </row>
    <row r="290" ht="14.25" customHeight="1">
      <c r="A290" s="186"/>
      <c r="B290" s="268"/>
      <c r="C290" s="269"/>
      <c r="D290" s="270"/>
      <c r="E290" s="271"/>
      <c r="F290" s="272"/>
      <c r="G290" s="273"/>
      <c r="H290" s="204"/>
      <c r="I290" s="204"/>
      <c r="J290" s="196"/>
      <c r="K290" s="196"/>
      <c r="L290" s="192" t="str">
        <f>IFERROR(__xludf.DUMMYFUNCTION("IF(
  AND(D290=""Saída"", J290=""Sangria""),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197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94" t="str">
        <f>IFERROR(__xludf.DUMMYFUNCTION("ifna(VALUE(REGEXEXTRACT(E290,""[0-9.]+[,]+[0-9]+"")))"),"")</f>
        <v/>
      </c>
      <c r="O290" s="194"/>
      <c r="P290" s="194"/>
      <c r="Q290" s="194"/>
      <c r="R290" s="194"/>
      <c r="S290" s="194"/>
      <c r="T290" s="194"/>
      <c r="U290" s="194"/>
      <c r="V290" s="194"/>
      <c r="W290" s="194"/>
    </row>
    <row r="291" ht="14.25" customHeight="1">
      <c r="A291" s="186"/>
      <c r="B291" s="268"/>
      <c r="C291" s="269"/>
      <c r="D291" s="270"/>
      <c r="E291" s="271"/>
      <c r="F291" s="272"/>
      <c r="G291" s="273"/>
      <c r="H291" s="204"/>
      <c r="I291" s="204"/>
      <c r="J291" s="196"/>
      <c r="K291" s="196"/>
      <c r="L291" s="192" t="str">
        <f>IFERROR(__xludf.DUMMYFUNCTION("IF(
  AND(D291=""Saída"", J291=""Sangria""),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198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94" t="str">
        <f>IFERROR(__xludf.DUMMYFUNCTION("ifna(VALUE(REGEXEXTRACT(E291,""[0-9.]+[,]+[0-9]+"")))"),"")</f>
        <v/>
      </c>
      <c r="O291" s="194"/>
      <c r="P291" s="194"/>
      <c r="Q291" s="194"/>
      <c r="R291" s="194"/>
      <c r="S291" s="194"/>
      <c r="T291" s="194"/>
      <c r="U291" s="194"/>
      <c r="V291" s="194"/>
      <c r="W291" s="194"/>
    </row>
    <row r="292" ht="14.25" customHeight="1">
      <c r="A292" s="31"/>
      <c r="B292" s="268"/>
      <c r="C292" s="269"/>
      <c r="D292" s="270"/>
      <c r="E292" s="271"/>
      <c r="F292" s="272"/>
      <c r="G292" s="273"/>
      <c r="H292" s="204"/>
      <c r="I292" s="204"/>
      <c r="J292" s="196"/>
      <c r="K292" s="196"/>
      <c r="L292" s="192" t="str">
        <f>IFERROR(__xludf.DUMMYFUNCTION("IF(
  AND(D292=""Saída"", J292=""Sangria""),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197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94" t="str">
        <f>IFERROR(__xludf.DUMMYFUNCTION("ifna(VALUE(REGEXEXTRACT(E292,""[0-9.]+[,]+[0-9]+"")))"),"")</f>
        <v/>
      </c>
      <c r="O292" s="194"/>
      <c r="P292" s="194"/>
      <c r="Q292" s="194"/>
      <c r="R292" s="194"/>
      <c r="S292" s="194"/>
      <c r="T292" s="194"/>
      <c r="U292" s="194"/>
      <c r="V292" s="194"/>
      <c r="W292" s="194"/>
    </row>
    <row r="293" ht="14.25" customHeight="1">
      <c r="A293" s="31"/>
      <c r="B293" s="268"/>
      <c r="C293" s="269"/>
      <c r="D293" s="270"/>
      <c r="E293" s="271"/>
      <c r="F293" s="272"/>
      <c r="G293" s="273"/>
      <c r="H293" s="204"/>
      <c r="I293" s="204"/>
      <c r="J293" s="196"/>
      <c r="K293" s="202"/>
      <c r="L293" s="192" t="str">
        <f>IFERROR(__xludf.DUMMYFUNCTION("IF(
  AND(D293=""Saída"", J293=""Sangria""),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198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94" t="str">
        <f>IFERROR(__xludf.DUMMYFUNCTION("ifna(VALUE(REGEXEXTRACT(E293,""[0-9.]+[,]+[0-9]+"")))"),"")</f>
        <v/>
      </c>
      <c r="O293" s="194"/>
      <c r="P293" s="194"/>
      <c r="Q293" s="194"/>
      <c r="R293" s="194"/>
      <c r="S293" s="194"/>
      <c r="T293" s="194"/>
      <c r="U293" s="194"/>
      <c r="V293" s="194"/>
      <c r="W293" s="194"/>
    </row>
    <row r="294" ht="14.25" customHeight="1">
      <c r="A294" s="31"/>
      <c r="B294" s="268"/>
      <c r="C294" s="269"/>
      <c r="D294" s="270"/>
      <c r="E294" s="275"/>
      <c r="F294" s="272"/>
      <c r="G294" s="273"/>
      <c r="H294" s="204"/>
      <c r="I294" s="204"/>
      <c r="J294" s="196"/>
      <c r="K294" s="196"/>
      <c r="L294" s="192" t="str">
        <f>IFERROR(__xludf.DUMMYFUNCTION("IF(
  AND(D294=""Saída"", J294=""Sangria""),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197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94" t="str">
        <f>IFERROR(__xludf.DUMMYFUNCTION("ifna(VALUE(REGEXEXTRACT(E294,""[0-9.]+[,]+[0-9]+"")))"),"")</f>
        <v/>
      </c>
      <c r="O294" s="194"/>
      <c r="P294" s="194"/>
      <c r="Q294" s="194"/>
      <c r="R294" s="194"/>
      <c r="S294" s="194"/>
      <c r="T294" s="194"/>
      <c r="U294" s="194"/>
      <c r="V294" s="194"/>
      <c r="W294" s="194"/>
    </row>
    <row r="295" ht="14.25" customHeight="1">
      <c r="A295" s="31"/>
      <c r="B295" s="268"/>
      <c r="C295" s="269"/>
      <c r="D295" s="270"/>
      <c r="E295" s="271"/>
      <c r="F295" s="272"/>
      <c r="G295" s="273"/>
      <c r="H295" s="204"/>
      <c r="I295" s="204"/>
      <c r="J295" s="196"/>
      <c r="K295" s="196"/>
      <c r="L295" s="192" t="str">
        <f>IFERROR(__xludf.DUMMYFUNCTION("IF(
  AND(D295=""Saída"", J295=""Sangria""),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198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94" t="str">
        <f>IFERROR(__xludf.DUMMYFUNCTION("ifna(VALUE(REGEXEXTRACT(E295,""[0-9.]+[,]+[0-9]+"")))"),"")</f>
        <v/>
      </c>
      <c r="O295" s="194"/>
      <c r="P295" s="194"/>
      <c r="Q295" s="194"/>
      <c r="R295" s="194"/>
      <c r="S295" s="194"/>
      <c r="T295" s="194"/>
      <c r="U295" s="194"/>
      <c r="V295" s="194"/>
      <c r="W295" s="194"/>
    </row>
    <row r="296" ht="14.25" customHeight="1">
      <c r="A296" s="31"/>
      <c r="B296" s="268"/>
      <c r="C296" s="269"/>
      <c r="D296" s="270"/>
      <c r="E296" s="271"/>
      <c r="F296" s="276"/>
      <c r="G296" s="273"/>
      <c r="H296" s="204"/>
      <c r="I296" s="204"/>
      <c r="J296" s="196"/>
      <c r="K296" s="196"/>
      <c r="L296" s="192" t="str">
        <f>IFERROR(__xludf.DUMMYFUNCTION("IF(
  AND(D296=""Saída"", J296=""Sangria""),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197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94" t="str">
        <f>IFERROR(__xludf.DUMMYFUNCTION("ifna(VALUE(REGEXEXTRACT(E296,""[0-9.]+[,]+[0-9]+"")))"),"")</f>
        <v/>
      </c>
      <c r="O296" s="194"/>
      <c r="P296" s="194"/>
      <c r="Q296" s="194"/>
      <c r="R296" s="194"/>
      <c r="S296" s="194"/>
      <c r="T296" s="194"/>
      <c r="U296" s="194"/>
      <c r="V296" s="194"/>
      <c r="W296" s="194"/>
    </row>
    <row r="297" ht="14.25" customHeight="1">
      <c r="A297" s="31"/>
      <c r="B297" s="268"/>
      <c r="C297" s="269"/>
      <c r="D297" s="270"/>
      <c r="E297" s="271"/>
      <c r="F297" s="272"/>
      <c r="G297" s="273"/>
      <c r="H297" s="204"/>
      <c r="I297" s="204"/>
      <c r="J297" s="196"/>
      <c r="K297" s="196"/>
      <c r="L297" s="192" t="str">
        <f>IFERROR(__xludf.DUMMYFUNCTION("IF(
  AND(D297=""Saída"", J297=""Sangria""),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198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94" t="str">
        <f>IFERROR(__xludf.DUMMYFUNCTION("ifna(VALUE(REGEXEXTRACT(E297,""[0-9.]+[,]+[0-9]+"")))"),"")</f>
        <v/>
      </c>
      <c r="O297" s="194"/>
      <c r="P297" s="194"/>
      <c r="Q297" s="194"/>
      <c r="R297" s="194"/>
      <c r="S297" s="194"/>
      <c r="T297" s="194"/>
      <c r="U297" s="194"/>
      <c r="V297" s="194"/>
      <c r="W297" s="194"/>
    </row>
    <row r="298" ht="14.25" customHeight="1">
      <c r="A298" s="31"/>
      <c r="B298" s="268"/>
      <c r="C298" s="269"/>
      <c r="D298" s="270"/>
      <c r="E298" s="271"/>
      <c r="F298" s="272"/>
      <c r="G298" s="273"/>
      <c r="H298" s="204"/>
      <c r="I298" s="204"/>
      <c r="J298" s="196"/>
      <c r="K298" s="196"/>
      <c r="L298" s="192" t="str">
        <f>IFERROR(__xludf.DUMMYFUNCTION("IF(
  AND(D298=""Saída"", J298=""Sangria""),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197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94" t="str">
        <f>IFERROR(__xludf.DUMMYFUNCTION("ifna(VALUE(REGEXEXTRACT(E298,""[0-9.]+[,]+[0-9]+"")))"),"")</f>
        <v/>
      </c>
      <c r="O298" s="194"/>
      <c r="P298" s="194"/>
      <c r="Q298" s="194"/>
      <c r="R298" s="194"/>
      <c r="S298" s="194"/>
      <c r="T298" s="194"/>
      <c r="U298" s="194"/>
      <c r="V298" s="194"/>
      <c r="W298" s="194"/>
    </row>
    <row r="299" ht="14.25" customHeight="1">
      <c r="A299" s="31"/>
      <c r="B299" s="268"/>
      <c r="C299" s="269"/>
      <c r="D299" s="270"/>
      <c r="E299" s="271"/>
      <c r="F299" s="272"/>
      <c r="G299" s="273"/>
      <c r="H299" s="204"/>
      <c r="I299" s="204"/>
      <c r="J299" s="196"/>
      <c r="K299" s="196"/>
      <c r="L299" s="192" t="str">
        <f>IFERROR(__xludf.DUMMYFUNCTION("IF(
  AND(D299=""Saída"", J299=""Sangria""),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198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94" t="str">
        <f>IFERROR(__xludf.DUMMYFUNCTION("ifna(VALUE(REGEXEXTRACT(E299,""[0-9.]+[,]+[0-9]+"")))"),"")</f>
        <v/>
      </c>
      <c r="O299" s="194"/>
      <c r="P299" s="194"/>
      <c r="Q299" s="194"/>
      <c r="R299" s="194"/>
      <c r="S299" s="194"/>
      <c r="T299" s="194"/>
      <c r="U299" s="194"/>
      <c r="V299" s="194"/>
      <c r="W299" s="194"/>
    </row>
    <row r="300" ht="14.25" customHeight="1">
      <c r="A300" s="31"/>
      <c r="B300" s="268"/>
      <c r="C300" s="269"/>
      <c r="D300" s="270"/>
      <c r="E300" s="271"/>
      <c r="F300" s="272"/>
      <c r="G300" s="273"/>
      <c r="H300" s="204"/>
      <c r="I300" s="204"/>
      <c r="J300" s="196"/>
      <c r="K300" s="196"/>
      <c r="L300" s="192" t="str">
        <f>IFERROR(__xludf.DUMMYFUNCTION("IF(
  AND(D300=""Saída"", J300=""Sangria""),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197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94" t="str">
        <f>IFERROR(__xludf.DUMMYFUNCTION("ifna(VALUE(REGEXEXTRACT(E300,""[0-9.]+[,]+[0-9]+"")))"),"")</f>
        <v/>
      </c>
      <c r="O300" s="194"/>
      <c r="P300" s="194"/>
      <c r="Q300" s="194"/>
      <c r="R300" s="194"/>
      <c r="S300" s="194"/>
      <c r="T300" s="194"/>
      <c r="U300" s="194"/>
      <c r="V300" s="194"/>
      <c r="W300" s="194"/>
    </row>
    <row r="301" ht="14.25" customHeight="1">
      <c r="A301" s="31"/>
      <c r="B301" s="268"/>
      <c r="C301" s="269"/>
      <c r="D301" s="270"/>
      <c r="E301" s="271"/>
      <c r="F301" s="276"/>
      <c r="G301" s="273"/>
      <c r="H301" s="204"/>
      <c r="I301" s="204"/>
      <c r="J301" s="196"/>
      <c r="K301" s="196"/>
      <c r="L301" s="192" t="str">
        <f>IFERROR(__xludf.DUMMYFUNCTION("IF(
  AND(D301=""Saída"", J301=""Sangria""),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198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94" t="str">
        <f>IFERROR(__xludf.DUMMYFUNCTION("ifna(VALUE(REGEXEXTRACT(E301,""[0-9.]+[,]+[0-9]+"")))"),"")</f>
        <v/>
      </c>
      <c r="O301" s="194"/>
      <c r="P301" s="194"/>
      <c r="Q301" s="194"/>
      <c r="R301" s="194"/>
      <c r="S301" s="194"/>
      <c r="T301" s="194"/>
      <c r="U301" s="194"/>
      <c r="V301" s="194"/>
      <c r="W301" s="194"/>
    </row>
    <row r="302" ht="14.25" customHeight="1">
      <c r="A302" s="31"/>
      <c r="B302" s="268"/>
      <c r="C302" s="269"/>
      <c r="D302" s="270"/>
      <c r="E302" s="271"/>
      <c r="F302" s="272"/>
      <c r="G302" s="273"/>
      <c r="H302" s="204"/>
      <c r="I302" s="204"/>
      <c r="J302" s="196"/>
      <c r="K302" s="202"/>
      <c r="L302" s="192" t="str">
        <f>IFERROR(__xludf.DUMMYFUNCTION("IF(
  AND(D302=""Saída"", J302=""Sangria""),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197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94" t="str">
        <f>IFERROR(__xludf.DUMMYFUNCTION("ifna(VALUE(REGEXEXTRACT(E302,""[0-9.]+[,]+[0-9]+"")))"),"")</f>
        <v/>
      </c>
      <c r="O302" s="194"/>
      <c r="P302" s="194"/>
      <c r="Q302" s="194"/>
      <c r="R302" s="194"/>
      <c r="S302" s="194"/>
      <c r="T302" s="194"/>
      <c r="U302" s="194"/>
      <c r="V302" s="194"/>
      <c r="W302" s="194"/>
    </row>
    <row r="303" ht="14.25" customHeight="1">
      <c r="A303" s="31"/>
      <c r="B303" s="268"/>
      <c r="C303" s="269"/>
      <c r="D303" s="270"/>
      <c r="E303" s="271"/>
      <c r="F303" s="276"/>
      <c r="G303" s="273"/>
      <c r="H303" s="204"/>
      <c r="I303" s="204"/>
      <c r="J303" s="196"/>
      <c r="K303" s="196"/>
      <c r="L303" s="192" t="str">
        <f>IFERROR(__xludf.DUMMYFUNCTION("IF(
  AND(D303=""Saída"", J303=""Sangria""),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198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94" t="str">
        <f>IFERROR(__xludf.DUMMYFUNCTION("ifna(VALUE(REGEXEXTRACT(E303,""[0-9.]+[,]+[0-9]+"")))"),"")</f>
        <v/>
      </c>
      <c r="O303" s="194"/>
      <c r="P303" s="194"/>
      <c r="Q303" s="194"/>
      <c r="R303" s="194"/>
      <c r="S303" s="194"/>
      <c r="T303" s="194"/>
      <c r="U303" s="194"/>
      <c r="V303" s="194"/>
      <c r="W303" s="194"/>
    </row>
    <row r="304" ht="14.25" customHeight="1">
      <c r="A304" s="31"/>
      <c r="B304" s="268"/>
      <c r="C304" s="269"/>
      <c r="D304" s="270"/>
      <c r="E304" s="271"/>
      <c r="F304" s="272"/>
      <c r="G304" s="273"/>
      <c r="H304" s="204"/>
      <c r="I304" s="204"/>
      <c r="J304" s="212"/>
      <c r="K304" s="196"/>
      <c r="L304" s="192" t="str">
        <f>IFERROR(__xludf.DUMMYFUNCTION("IF(
  AND(D304=""Saída"", J304=""Sangria""),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197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94" t="str">
        <f>IFERROR(__xludf.DUMMYFUNCTION("ifna(VALUE(REGEXEXTRACT(E304,""[0-9.]+[,]+[0-9]+"")))"),"")</f>
        <v/>
      </c>
      <c r="O304" s="194"/>
      <c r="P304" s="194"/>
      <c r="Q304" s="194"/>
      <c r="R304" s="194"/>
      <c r="S304" s="194"/>
      <c r="T304" s="194"/>
      <c r="U304" s="194"/>
      <c r="V304" s="194"/>
      <c r="W304" s="194"/>
    </row>
    <row r="305" ht="14.25" customHeight="1">
      <c r="A305" s="31"/>
      <c r="B305" s="268"/>
      <c r="C305" s="269"/>
      <c r="D305" s="270"/>
      <c r="E305" s="271"/>
      <c r="F305" s="272"/>
      <c r="G305" s="273"/>
      <c r="H305" s="204"/>
      <c r="I305" s="204"/>
      <c r="J305" s="212"/>
      <c r="K305" s="196"/>
      <c r="L305" s="192" t="str">
        <f>IFERROR(__xludf.DUMMYFUNCTION("IF(
  AND(D305=""Saída"", J305=""Sangria""),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198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94" t="str">
        <f>IFERROR(__xludf.DUMMYFUNCTION("ifna(VALUE(REGEXEXTRACT(E305,""[0-9.]+[,]+[0-9]+"")))"),"")</f>
        <v/>
      </c>
      <c r="O305" s="194"/>
      <c r="P305" s="194"/>
      <c r="Q305" s="194"/>
      <c r="R305" s="194"/>
      <c r="S305" s="194"/>
      <c r="T305" s="194"/>
      <c r="U305" s="194"/>
      <c r="V305" s="194"/>
      <c r="W305" s="194"/>
    </row>
    <row r="306" ht="14.25" customHeight="1">
      <c r="A306" s="31"/>
      <c r="B306" s="268"/>
      <c r="C306" s="269"/>
      <c r="D306" s="270"/>
      <c r="E306" s="271"/>
      <c r="F306" s="272"/>
      <c r="G306" s="273"/>
      <c r="H306" s="204"/>
      <c r="I306" s="204"/>
      <c r="J306" s="196"/>
      <c r="K306" s="196"/>
      <c r="L306" s="192" t="str">
        <f>IFERROR(__xludf.DUMMYFUNCTION("IF(
  AND(D306=""Saída"", J306=""Sangria""),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197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94" t="str">
        <f>IFERROR(__xludf.DUMMYFUNCTION("ifna(VALUE(REGEXEXTRACT(E306,""[0-9.]+[,]+[0-9]+"")))"),"")</f>
        <v/>
      </c>
      <c r="O306" s="194"/>
      <c r="P306" s="194"/>
      <c r="Q306" s="194"/>
      <c r="R306" s="194"/>
      <c r="S306" s="194"/>
      <c r="T306" s="194"/>
      <c r="U306" s="194"/>
      <c r="V306" s="194"/>
      <c r="W306" s="194"/>
    </row>
    <row r="307" ht="14.25" customHeight="1">
      <c r="A307" s="31"/>
      <c r="B307" s="268"/>
      <c r="C307" s="269"/>
      <c r="D307" s="270"/>
      <c r="E307" s="271"/>
      <c r="F307" s="272"/>
      <c r="G307" s="273"/>
      <c r="H307" s="204"/>
      <c r="I307" s="204"/>
      <c r="J307" s="196"/>
      <c r="K307" s="202"/>
      <c r="L307" s="192" t="str">
        <f>IFERROR(__xludf.DUMMYFUNCTION("IF(
  AND(D307=""Saída"", J307=""Sangria""),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198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94" t="str">
        <f>IFERROR(__xludf.DUMMYFUNCTION("ifna(VALUE(REGEXEXTRACT(E307,""[0-9.]+[,]+[0-9]+"")))"),"")</f>
        <v/>
      </c>
      <c r="O307" s="194"/>
      <c r="P307" s="194"/>
      <c r="Q307" s="194"/>
      <c r="R307" s="194"/>
      <c r="S307" s="194"/>
      <c r="T307" s="194"/>
      <c r="U307" s="194"/>
      <c r="V307" s="194"/>
      <c r="W307" s="194"/>
    </row>
    <row r="308" ht="14.25" customHeight="1">
      <c r="A308" s="31"/>
      <c r="B308" s="268"/>
      <c r="C308" s="269"/>
      <c r="D308" s="270"/>
      <c r="E308" s="271"/>
      <c r="F308" s="276"/>
      <c r="G308" s="273"/>
      <c r="H308" s="204"/>
      <c r="I308" s="204"/>
      <c r="J308" s="196"/>
      <c r="K308" s="196"/>
      <c r="L308" s="192" t="str">
        <f>IFERROR(__xludf.DUMMYFUNCTION("IF(
  AND(D308=""Saída"", J308=""Sangria""),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197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94" t="str">
        <f>IFERROR(__xludf.DUMMYFUNCTION("ifna(VALUE(REGEXEXTRACT(E308,""[0-9.]+[,]+[0-9]+"")))"),"")</f>
        <v/>
      </c>
      <c r="O308" s="194"/>
      <c r="P308" s="194"/>
      <c r="Q308" s="194"/>
      <c r="R308" s="194"/>
      <c r="S308" s="194"/>
      <c r="T308" s="194"/>
      <c r="U308" s="194"/>
      <c r="V308" s="194"/>
      <c r="W308" s="194"/>
    </row>
    <row r="309" ht="14.25" customHeight="1">
      <c r="A309" s="31"/>
      <c r="B309" s="268"/>
      <c r="C309" s="269"/>
      <c r="D309" s="270"/>
      <c r="E309" s="271"/>
      <c r="F309" s="272"/>
      <c r="G309" s="273"/>
      <c r="H309" s="204"/>
      <c r="I309" s="204"/>
      <c r="J309" s="212"/>
      <c r="K309" s="196"/>
      <c r="L309" s="192" t="str">
        <f>IFERROR(__xludf.DUMMYFUNCTION("IF(
  AND(D309=""Saída"", J309=""Sangria""),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198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94" t="str">
        <f>IFERROR(__xludf.DUMMYFUNCTION("ifna(VALUE(REGEXEXTRACT(E309,""[0-9.]+[,]+[0-9]+"")))"),"")</f>
        <v/>
      </c>
      <c r="O309" s="194"/>
      <c r="P309" s="194"/>
      <c r="Q309" s="194"/>
      <c r="R309" s="194"/>
      <c r="S309" s="194"/>
      <c r="T309" s="194"/>
      <c r="U309" s="194"/>
      <c r="V309" s="194"/>
      <c r="W309" s="194"/>
    </row>
    <row r="310" ht="14.25" customHeight="1">
      <c r="A310" s="31"/>
      <c r="B310" s="268"/>
      <c r="C310" s="269"/>
      <c r="D310" s="270"/>
      <c r="E310" s="271"/>
      <c r="F310" s="272"/>
      <c r="G310" s="273"/>
      <c r="H310" s="204"/>
      <c r="I310" s="204"/>
      <c r="J310" s="196"/>
      <c r="K310" s="196"/>
      <c r="L310" s="192" t="str">
        <f>IFERROR(__xludf.DUMMYFUNCTION("IF(
  AND(D310=""Saída"", J310=""Sangria""),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197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94" t="str">
        <f>IFERROR(__xludf.DUMMYFUNCTION("ifna(VALUE(REGEXEXTRACT(E310,""[0-9.]+[,]+[0-9]+"")))"),"")</f>
        <v/>
      </c>
      <c r="O310" s="194"/>
      <c r="P310" s="194"/>
      <c r="Q310" s="194"/>
      <c r="R310" s="194"/>
      <c r="S310" s="194"/>
      <c r="T310" s="194"/>
      <c r="U310" s="194"/>
      <c r="V310" s="194"/>
      <c r="W310" s="194"/>
    </row>
    <row r="311" ht="14.25" customHeight="1">
      <c r="A311" s="31"/>
      <c r="B311" s="268"/>
      <c r="C311" s="269"/>
      <c r="D311" s="270"/>
      <c r="E311" s="271"/>
      <c r="F311" s="272"/>
      <c r="G311" s="273"/>
      <c r="H311" s="204"/>
      <c r="I311" s="204"/>
      <c r="J311" s="196"/>
      <c r="K311" s="196"/>
      <c r="L311" s="192" t="str">
        <f>IFERROR(__xludf.DUMMYFUNCTION("IF(
  AND(D311=""Saída"", J311=""Sangria""),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198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94" t="str">
        <f>IFERROR(__xludf.DUMMYFUNCTION("ifna(VALUE(REGEXEXTRACT(E311,""[0-9.]+[,]+[0-9]+"")))"),"")</f>
        <v/>
      </c>
      <c r="O311" s="194"/>
      <c r="P311" s="194"/>
      <c r="Q311" s="194"/>
      <c r="R311" s="194"/>
      <c r="S311" s="194"/>
      <c r="T311" s="194"/>
      <c r="U311" s="194"/>
      <c r="V311" s="194"/>
      <c r="W311" s="194"/>
    </row>
    <row r="312" ht="14.25" customHeight="1">
      <c r="A312" s="31"/>
      <c r="B312" s="268"/>
      <c r="C312" s="269"/>
      <c r="D312" s="270"/>
      <c r="E312" s="271"/>
      <c r="F312" s="272"/>
      <c r="G312" s="273"/>
      <c r="H312" s="204"/>
      <c r="I312" s="204"/>
      <c r="J312" s="196"/>
      <c r="K312" s="196"/>
      <c r="L312" s="192" t="str">
        <f>IFERROR(__xludf.DUMMYFUNCTION("IF(
  AND(D312=""Saída"", J312=""Sangria""),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197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94" t="str">
        <f>IFERROR(__xludf.DUMMYFUNCTION("ifna(VALUE(REGEXEXTRACT(E312,""[0-9.]+[,]+[0-9]+"")))"),"")</f>
        <v/>
      </c>
      <c r="O312" s="194"/>
      <c r="P312" s="194"/>
      <c r="Q312" s="194"/>
      <c r="R312" s="194"/>
      <c r="S312" s="194"/>
      <c r="T312" s="194"/>
      <c r="U312" s="194"/>
      <c r="V312" s="194"/>
      <c r="W312" s="194"/>
    </row>
    <row r="313" ht="14.25" customHeight="1">
      <c r="A313" s="31"/>
      <c r="B313" s="268"/>
      <c r="C313" s="269"/>
      <c r="D313" s="270"/>
      <c r="E313" s="271"/>
      <c r="F313" s="272"/>
      <c r="G313" s="273"/>
      <c r="H313" s="204"/>
      <c r="I313" s="204"/>
      <c r="J313" s="196"/>
      <c r="K313" s="196"/>
      <c r="L313" s="192" t="str">
        <f>IFERROR(__xludf.DUMMYFUNCTION("IF(
  AND(D313=""Saída"", J313=""Sangria""),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198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94" t="str">
        <f>IFERROR(__xludf.DUMMYFUNCTION("ifna(VALUE(REGEXEXTRACT(E313,""[0-9.]+[,]+[0-9]+"")))"),"")</f>
        <v/>
      </c>
      <c r="O313" s="194"/>
      <c r="P313" s="194"/>
      <c r="Q313" s="194"/>
      <c r="R313" s="194"/>
      <c r="S313" s="194"/>
      <c r="T313" s="194"/>
      <c r="U313" s="194"/>
      <c r="V313" s="194"/>
      <c r="W313" s="194"/>
    </row>
    <row r="314" ht="14.25" customHeight="1">
      <c r="A314" s="31"/>
      <c r="B314" s="268"/>
      <c r="C314" s="269"/>
      <c r="D314" s="270"/>
      <c r="E314" s="271"/>
      <c r="F314" s="276"/>
      <c r="G314" s="273"/>
      <c r="H314" s="204"/>
      <c r="I314" s="204"/>
      <c r="J314" s="196"/>
      <c r="K314" s="196"/>
      <c r="L314" s="192" t="str">
        <f>IFERROR(__xludf.DUMMYFUNCTION("IF(
  AND(D314=""Saída"", J314=""Sangria""),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197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94" t="str">
        <f>IFERROR(__xludf.DUMMYFUNCTION("ifna(VALUE(REGEXEXTRACT(E314,""[0-9.]+[,]+[0-9]+"")))"),"")</f>
        <v/>
      </c>
      <c r="O314" s="194"/>
      <c r="P314" s="194"/>
      <c r="Q314" s="194"/>
      <c r="R314" s="194"/>
      <c r="S314" s="194"/>
      <c r="T314" s="194"/>
      <c r="U314" s="194"/>
      <c r="V314" s="194"/>
      <c r="W314" s="194"/>
    </row>
    <row r="315" ht="14.25" customHeight="1">
      <c r="A315" s="31"/>
      <c r="B315" s="268"/>
      <c r="C315" s="269"/>
      <c r="D315" s="270"/>
      <c r="E315" s="271"/>
      <c r="F315" s="272"/>
      <c r="G315" s="273"/>
      <c r="H315" s="204"/>
      <c r="I315" s="204"/>
      <c r="J315" s="196"/>
      <c r="K315" s="196"/>
      <c r="L315" s="192" t="str">
        <f>IFERROR(__xludf.DUMMYFUNCTION("IF(
  AND(D315=""Saída"", J315=""Sangria""),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198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94" t="str">
        <f>IFERROR(__xludf.DUMMYFUNCTION("ifna(VALUE(REGEXEXTRACT(E315,""[0-9.]+[,]+[0-9]+"")))"),"")</f>
        <v/>
      </c>
      <c r="O315" s="194"/>
      <c r="P315" s="194"/>
      <c r="Q315" s="194"/>
      <c r="R315" s="194"/>
      <c r="S315" s="194"/>
      <c r="T315" s="194"/>
      <c r="U315" s="194"/>
      <c r="V315" s="194"/>
      <c r="W315" s="194"/>
    </row>
    <row r="316" ht="14.25" customHeight="1">
      <c r="A316" s="31"/>
      <c r="B316" s="268"/>
      <c r="C316" s="269"/>
      <c r="D316" s="270"/>
      <c r="E316" s="271"/>
      <c r="F316" s="276"/>
      <c r="G316" s="273"/>
      <c r="H316" s="204"/>
      <c r="I316" s="204"/>
      <c r="J316" s="196"/>
      <c r="K316" s="196"/>
      <c r="L316" s="192" t="str">
        <f>IFERROR(__xludf.DUMMYFUNCTION("IF(
  AND(D316=""Saída"", J316=""Sangria""),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197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94" t="str">
        <f>IFERROR(__xludf.DUMMYFUNCTION("ifna(VALUE(REGEXEXTRACT(E316,""[0-9.]+[,]+[0-9]+"")))"),"")</f>
        <v/>
      </c>
      <c r="O316" s="194"/>
      <c r="P316" s="194"/>
      <c r="Q316" s="194"/>
      <c r="R316" s="194"/>
      <c r="S316" s="194"/>
      <c r="T316" s="194"/>
      <c r="U316" s="194"/>
      <c r="V316" s="194"/>
      <c r="W316" s="194"/>
    </row>
    <row r="317" ht="14.25" customHeight="1">
      <c r="A317" s="31"/>
      <c r="B317" s="268"/>
      <c r="C317" s="269"/>
      <c r="D317" s="270"/>
      <c r="E317" s="271"/>
      <c r="F317" s="272"/>
      <c r="G317" s="273"/>
      <c r="H317" s="204"/>
      <c r="I317" s="204"/>
      <c r="J317" s="196"/>
      <c r="K317" s="196"/>
      <c r="L317" s="192" t="str">
        <f>IFERROR(__xludf.DUMMYFUNCTION("IF(
  AND(D317=""Saída"", J317=""Sangria""),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198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94" t="str">
        <f>IFERROR(__xludf.DUMMYFUNCTION("ifna(VALUE(REGEXEXTRACT(E317,""[0-9.]+[,]+[0-9]+"")))"),"")</f>
        <v/>
      </c>
      <c r="O317" s="194"/>
      <c r="P317" s="194"/>
      <c r="Q317" s="194"/>
      <c r="R317" s="194"/>
      <c r="S317" s="194"/>
      <c r="T317" s="194"/>
      <c r="U317" s="194"/>
      <c r="V317" s="194"/>
      <c r="W317" s="194"/>
    </row>
    <row r="318" ht="14.25" customHeight="1">
      <c r="A318" s="31"/>
      <c r="B318" s="268"/>
      <c r="C318" s="269"/>
      <c r="D318" s="270"/>
      <c r="E318" s="271"/>
      <c r="F318" s="272"/>
      <c r="G318" s="273"/>
      <c r="H318" s="204"/>
      <c r="I318" s="204"/>
      <c r="J318" s="196"/>
      <c r="K318" s="196"/>
      <c r="L318" s="192" t="str">
        <f>IFERROR(__xludf.DUMMYFUNCTION("IF(
  AND(D318=""Saída"", J318=""Sangria""),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197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94" t="str">
        <f>IFERROR(__xludf.DUMMYFUNCTION("ifna(VALUE(REGEXEXTRACT(E318,""[0-9.]+[,]+[0-9]+"")))"),"")</f>
        <v/>
      </c>
      <c r="O318" s="194"/>
      <c r="P318" s="194"/>
      <c r="Q318" s="194"/>
      <c r="R318" s="194"/>
      <c r="S318" s="194"/>
      <c r="T318" s="194"/>
      <c r="U318" s="194"/>
      <c r="V318" s="194"/>
      <c r="W318" s="194"/>
    </row>
    <row r="319" ht="14.25" customHeight="1">
      <c r="A319" s="31"/>
      <c r="B319" s="268"/>
      <c r="C319" s="269"/>
      <c r="D319" s="270"/>
      <c r="E319" s="271"/>
      <c r="F319" s="272"/>
      <c r="G319" s="273"/>
      <c r="H319" s="204"/>
      <c r="I319" s="204"/>
      <c r="J319" s="196"/>
      <c r="K319" s="196"/>
      <c r="L319" s="192" t="str">
        <f>IFERROR(__xludf.DUMMYFUNCTION("IF(
  AND(D319=""Saída"", J319=""Sangria""),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198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94" t="str">
        <f>IFERROR(__xludf.DUMMYFUNCTION("ifna(VALUE(REGEXEXTRACT(E319,""[0-9.]+[,]+[0-9]+"")))"),"")</f>
        <v/>
      </c>
      <c r="O319" s="194"/>
      <c r="P319" s="194"/>
      <c r="Q319" s="194"/>
      <c r="R319" s="194"/>
      <c r="S319" s="194"/>
      <c r="T319" s="194"/>
      <c r="U319" s="194"/>
      <c r="V319" s="194"/>
      <c r="W319" s="194"/>
    </row>
    <row r="320" ht="14.25" customHeight="1">
      <c r="A320" s="31"/>
      <c r="B320" s="268"/>
      <c r="C320" s="269"/>
      <c r="D320" s="270"/>
      <c r="E320" s="271"/>
      <c r="F320" s="272"/>
      <c r="G320" s="273"/>
      <c r="H320" s="204"/>
      <c r="I320" s="204"/>
      <c r="J320" s="196"/>
      <c r="K320" s="196"/>
      <c r="L320" s="192" t="str">
        <f>IFERROR(__xludf.DUMMYFUNCTION("IF(
  AND(D320=""Saída"", J320=""Sangria""),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197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94" t="str">
        <f>IFERROR(__xludf.DUMMYFUNCTION("ifna(VALUE(REGEXEXTRACT(E320,""[0-9.]+[,]+[0-9]+"")))"),"")</f>
        <v/>
      </c>
      <c r="O320" s="194"/>
      <c r="P320" s="194"/>
      <c r="Q320" s="194"/>
      <c r="R320" s="194"/>
      <c r="S320" s="194"/>
      <c r="T320" s="194"/>
      <c r="U320" s="194"/>
      <c r="V320" s="194"/>
      <c r="W320" s="194"/>
    </row>
    <row r="321" ht="14.25" customHeight="1">
      <c r="A321" s="31"/>
      <c r="B321" s="268"/>
      <c r="C321" s="269"/>
      <c r="D321" s="270"/>
      <c r="E321" s="271"/>
      <c r="F321" s="272"/>
      <c r="G321" s="273"/>
      <c r="H321" s="204"/>
      <c r="I321" s="204"/>
      <c r="J321" s="196"/>
      <c r="K321" s="196"/>
      <c r="L321" s="192" t="str">
        <f>IFERROR(__xludf.DUMMYFUNCTION("IF(
  AND(D321=""Saída"", J321=""Sangria""),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198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94" t="str">
        <f>IFERROR(__xludf.DUMMYFUNCTION("ifna(VALUE(REGEXEXTRACT(E321,""[0-9.]+[,]+[0-9]+"")))"),"")</f>
        <v/>
      </c>
      <c r="O321" s="194"/>
      <c r="P321" s="194"/>
      <c r="Q321" s="194"/>
      <c r="R321" s="194"/>
      <c r="S321" s="194"/>
      <c r="T321" s="194"/>
      <c r="U321" s="194"/>
      <c r="V321" s="194"/>
      <c r="W321" s="194"/>
    </row>
    <row r="322" ht="14.25" customHeight="1">
      <c r="A322" s="31"/>
      <c r="B322" s="268"/>
      <c r="C322" s="269"/>
      <c r="D322" s="270"/>
      <c r="E322" s="271"/>
      <c r="F322" s="272"/>
      <c r="G322" s="273"/>
      <c r="H322" s="204"/>
      <c r="I322" s="204"/>
      <c r="J322" s="196"/>
      <c r="K322" s="196"/>
      <c r="L322" s="192" t="str">
        <f>IFERROR(__xludf.DUMMYFUNCTION("IF(
  AND(D322=""Saída"", J322=""Sangria""),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197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94" t="str">
        <f>IFERROR(__xludf.DUMMYFUNCTION("ifna(VALUE(REGEXEXTRACT(E322,""[0-9.]+[,]+[0-9]+"")))"),"")</f>
        <v/>
      </c>
      <c r="O322" s="194"/>
      <c r="P322" s="194"/>
      <c r="Q322" s="194"/>
      <c r="R322" s="194"/>
      <c r="S322" s="194"/>
      <c r="T322" s="194"/>
      <c r="U322" s="194"/>
      <c r="V322" s="194"/>
      <c r="W322" s="194"/>
    </row>
    <row r="323" ht="14.25" customHeight="1">
      <c r="A323" s="31"/>
      <c r="B323" s="268"/>
      <c r="C323" s="269"/>
      <c r="D323" s="270"/>
      <c r="E323" s="271"/>
      <c r="F323" s="272"/>
      <c r="G323" s="273"/>
      <c r="H323" s="204"/>
      <c r="I323" s="204"/>
      <c r="J323" s="196"/>
      <c r="K323" s="196"/>
      <c r="L323" s="192" t="str">
        <f>IFERROR(__xludf.DUMMYFUNCTION("IF(
  AND(D323=""Saída"", J323=""Sangria""),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198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94" t="str">
        <f>IFERROR(__xludf.DUMMYFUNCTION("ifna(VALUE(REGEXEXTRACT(E323,""[0-9.]+[,]+[0-9]+"")))"),"")</f>
        <v/>
      </c>
      <c r="O323" s="194"/>
      <c r="P323" s="194"/>
      <c r="Q323" s="194"/>
      <c r="R323" s="194"/>
      <c r="S323" s="194"/>
      <c r="T323" s="194"/>
      <c r="U323" s="194"/>
      <c r="V323" s="194"/>
      <c r="W323" s="194"/>
    </row>
    <row r="324" ht="14.25" customHeight="1">
      <c r="A324" s="31"/>
      <c r="B324" s="268"/>
      <c r="C324" s="269"/>
      <c r="D324" s="270"/>
      <c r="E324" s="271"/>
      <c r="F324" s="272"/>
      <c r="G324" s="273"/>
      <c r="H324" s="204"/>
      <c r="I324" s="204"/>
      <c r="J324" s="196"/>
      <c r="K324" s="196"/>
      <c r="L324" s="192" t="str">
        <f>IFERROR(__xludf.DUMMYFUNCTION("IF(
  AND(D324=""Saída"", J324=""Sangria""),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197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94" t="str">
        <f>IFERROR(__xludf.DUMMYFUNCTION("ifna(VALUE(REGEXEXTRACT(E324,""[0-9.]+[,]+[0-9]+"")))"),"")</f>
        <v/>
      </c>
      <c r="O324" s="194"/>
      <c r="P324" s="194"/>
      <c r="Q324" s="194"/>
      <c r="R324" s="194"/>
      <c r="S324" s="194"/>
      <c r="T324" s="194"/>
      <c r="U324" s="194"/>
      <c r="V324" s="194"/>
      <c r="W324" s="194"/>
    </row>
    <row r="325" ht="14.25" customHeight="1">
      <c r="A325" s="31"/>
      <c r="B325" s="268"/>
      <c r="C325" s="269"/>
      <c r="D325" s="270"/>
      <c r="E325" s="271"/>
      <c r="F325" s="272"/>
      <c r="G325" s="273"/>
      <c r="H325" s="204"/>
      <c r="I325" s="204"/>
      <c r="J325" s="196"/>
      <c r="K325" s="196"/>
      <c r="L325" s="192" t="str">
        <f>IFERROR(__xludf.DUMMYFUNCTION("IF(
  AND(D325=""Saída"", J325=""Sangria""),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198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94" t="str">
        <f>IFERROR(__xludf.DUMMYFUNCTION("ifna(VALUE(REGEXEXTRACT(E325,""[0-9.]+[,]+[0-9]+"")))"),"")</f>
        <v/>
      </c>
      <c r="O325" s="194"/>
      <c r="P325" s="194"/>
      <c r="Q325" s="194"/>
      <c r="R325" s="194"/>
      <c r="S325" s="194"/>
      <c r="T325" s="194"/>
      <c r="U325" s="194"/>
      <c r="V325" s="194"/>
      <c r="W325" s="194"/>
    </row>
    <row r="326" ht="14.25" customHeight="1">
      <c r="A326" s="31"/>
      <c r="B326" s="268"/>
      <c r="C326" s="269"/>
      <c r="D326" s="270"/>
      <c r="E326" s="271"/>
      <c r="F326" s="276"/>
      <c r="G326" s="273"/>
      <c r="H326" s="204"/>
      <c r="I326" s="204"/>
      <c r="J326" s="196"/>
      <c r="K326" s="196"/>
      <c r="L326" s="192" t="str">
        <f>IFERROR(__xludf.DUMMYFUNCTION("IF(
  AND(D326=""Saída"", J326=""Sangria""),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197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94" t="str">
        <f>IFERROR(__xludf.DUMMYFUNCTION("ifna(VALUE(REGEXEXTRACT(E326,""[0-9.]+[,]+[0-9]+"")))"),"")</f>
        <v/>
      </c>
      <c r="O326" s="194"/>
      <c r="P326" s="194"/>
      <c r="Q326" s="194"/>
      <c r="R326" s="194"/>
      <c r="S326" s="194"/>
      <c r="T326" s="194"/>
      <c r="U326" s="194"/>
      <c r="V326" s="194"/>
      <c r="W326" s="194"/>
    </row>
    <row r="327" ht="14.25" customHeight="1">
      <c r="A327" s="31"/>
      <c r="B327" s="268"/>
      <c r="C327" s="269"/>
      <c r="D327" s="270"/>
      <c r="E327" s="271"/>
      <c r="F327" s="272"/>
      <c r="G327" s="273"/>
      <c r="H327" s="204"/>
      <c r="I327" s="204"/>
      <c r="J327" s="196"/>
      <c r="K327" s="196"/>
      <c r="L327" s="192" t="str">
        <f>IFERROR(__xludf.DUMMYFUNCTION("IF(
  AND(D327=""Saída"", J327=""Sangria""),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198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94" t="str">
        <f>IFERROR(__xludf.DUMMYFUNCTION("ifna(VALUE(REGEXEXTRACT(E327,""[0-9.]+[,]+[0-9]+"")))"),"")</f>
        <v/>
      </c>
      <c r="O327" s="194"/>
      <c r="P327" s="194"/>
      <c r="Q327" s="194"/>
      <c r="R327" s="194"/>
      <c r="S327" s="194"/>
      <c r="T327" s="194"/>
      <c r="U327" s="194"/>
      <c r="V327" s="194"/>
      <c r="W327" s="194"/>
    </row>
    <row r="328" ht="14.25" customHeight="1">
      <c r="A328" s="31"/>
      <c r="B328" s="268"/>
      <c r="C328" s="269"/>
      <c r="D328" s="270"/>
      <c r="E328" s="271"/>
      <c r="F328" s="272"/>
      <c r="G328" s="273"/>
      <c r="H328" s="204"/>
      <c r="I328" s="204"/>
      <c r="J328" s="196"/>
      <c r="K328" s="196"/>
      <c r="L328" s="192" t="str">
        <f>IFERROR(__xludf.DUMMYFUNCTION("IF(
  AND(D328=""Saída"", J328=""Sangria""),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197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94" t="str">
        <f>IFERROR(__xludf.DUMMYFUNCTION("ifna(VALUE(REGEXEXTRACT(E328,""[0-9.]+[,]+[0-9]+"")))"),"")</f>
        <v/>
      </c>
      <c r="O328" s="194"/>
      <c r="P328" s="194"/>
      <c r="Q328" s="194"/>
      <c r="R328" s="194"/>
      <c r="S328" s="194"/>
      <c r="T328" s="194"/>
      <c r="U328" s="194"/>
      <c r="V328" s="194"/>
      <c r="W328" s="194"/>
    </row>
    <row r="329" ht="14.25" customHeight="1">
      <c r="A329" s="31"/>
      <c r="B329" s="268"/>
      <c r="C329" s="269"/>
      <c r="D329" s="270"/>
      <c r="E329" s="271"/>
      <c r="F329" s="272"/>
      <c r="G329" s="273"/>
      <c r="H329" s="204"/>
      <c r="I329" s="204"/>
      <c r="J329" s="196"/>
      <c r="K329" s="196"/>
      <c r="L329" s="192" t="str">
        <f>IFERROR(__xludf.DUMMYFUNCTION("IF(
  AND(D329=""Saída"", J329=""Sangria""),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198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94" t="str">
        <f>IFERROR(__xludf.DUMMYFUNCTION("ifna(VALUE(REGEXEXTRACT(E329,""[0-9.]+[,]+[0-9]+"")))"),"")</f>
        <v/>
      </c>
      <c r="O329" s="194"/>
      <c r="P329" s="194"/>
      <c r="Q329" s="194"/>
      <c r="R329" s="194"/>
      <c r="S329" s="194"/>
      <c r="T329" s="194"/>
      <c r="U329" s="194"/>
      <c r="V329" s="194"/>
      <c r="W329" s="194"/>
    </row>
    <row r="330" ht="14.25" customHeight="1">
      <c r="A330" s="31"/>
      <c r="B330" s="268"/>
      <c r="C330" s="269"/>
      <c r="D330" s="270"/>
      <c r="E330" s="271"/>
      <c r="F330" s="272"/>
      <c r="G330" s="273"/>
      <c r="H330" s="204"/>
      <c r="I330" s="204"/>
      <c r="J330" s="196"/>
      <c r="K330" s="196"/>
      <c r="L330" s="192" t="str">
        <f>IFERROR(__xludf.DUMMYFUNCTION("IF(
  AND(D330=""Saída"", J330=""Sangria""),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197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94" t="str">
        <f>IFERROR(__xludf.DUMMYFUNCTION("ifna(VALUE(REGEXEXTRACT(E330,""[0-9.]+[,]+[0-9]+"")))"),"")</f>
        <v/>
      </c>
      <c r="O330" s="194"/>
      <c r="P330" s="194"/>
      <c r="Q330" s="194"/>
      <c r="R330" s="194"/>
      <c r="S330" s="194"/>
      <c r="T330" s="194"/>
      <c r="U330" s="194"/>
      <c r="V330" s="194"/>
      <c r="W330" s="194"/>
    </row>
    <row r="331" ht="14.25" customHeight="1">
      <c r="A331" s="31"/>
      <c r="B331" s="268"/>
      <c r="C331" s="269"/>
      <c r="D331" s="270"/>
      <c r="E331" s="271"/>
      <c r="F331" s="272"/>
      <c r="G331" s="273"/>
      <c r="H331" s="204"/>
      <c r="I331" s="204"/>
      <c r="J331" s="196"/>
      <c r="K331" s="196"/>
      <c r="L331" s="192" t="str">
        <f>IFERROR(__xludf.DUMMYFUNCTION("IF(
  AND(D331=""Saída"", J331=""Sangria""),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198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94" t="str">
        <f>IFERROR(__xludf.DUMMYFUNCTION("ifna(VALUE(REGEXEXTRACT(E331,""[0-9.]+[,]+[0-9]+"")))"),"")</f>
        <v/>
      </c>
      <c r="O331" s="194"/>
      <c r="P331" s="194"/>
      <c r="Q331" s="194"/>
      <c r="R331" s="194"/>
      <c r="S331" s="194"/>
      <c r="T331" s="194"/>
      <c r="U331" s="194"/>
      <c r="V331" s="194"/>
      <c r="W331" s="194"/>
    </row>
    <row r="332" ht="14.25" customHeight="1">
      <c r="A332" s="31"/>
      <c r="B332" s="268"/>
      <c r="C332" s="269"/>
      <c r="D332" s="270"/>
      <c r="E332" s="271"/>
      <c r="F332" s="272"/>
      <c r="G332" s="273"/>
      <c r="H332" s="204"/>
      <c r="I332" s="204"/>
      <c r="J332" s="196"/>
      <c r="K332" s="202"/>
      <c r="L332" s="192" t="str">
        <f>IFERROR(__xludf.DUMMYFUNCTION("IF(
  AND(D332=""Saída"", J332=""Sangria""),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197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94" t="str">
        <f>IFERROR(__xludf.DUMMYFUNCTION("ifna(VALUE(REGEXEXTRACT(E332,""[0-9.]+[,]+[0-9]+"")))"),"")</f>
        <v/>
      </c>
      <c r="O332" s="194"/>
      <c r="P332" s="194"/>
      <c r="Q332" s="194"/>
      <c r="R332" s="194"/>
      <c r="S332" s="194"/>
      <c r="T332" s="194"/>
      <c r="U332" s="194"/>
      <c r="V332" s="194"/>
      <c r="W332" s="194"/>
    </row>
    <row r="333" ht="14.25" customHeight="1">
      <c r="A333" s="31"/>
      <c r="B333" s="268"/>
      <c r="C333" s="269"/>
      <c r="D333" s="270"/>
      <c r="E333" s="271"/>
      <c r="F333" s="272"/>
      <c r="G333" s="273"/>
      <c r="H333" s="204"/>
      <c r="I333" s="204"/>
      <c r="J333" s="196"/>
      <c r="K333" s="196"/>
      <c r="L333" s="192" t="str">
        <f>IFERROR(__xludf.DUMMYFUNCTION("IF(
  AND(D333=""Saída"", J333=""Sangria""),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198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94" t="str">
        <f>IFERROR(__xludf.DUMMYFUNCTION("ifna(VALUE(REGEXEXTRACT(E333,""[0-9.]+[,]+[0-9]+"")))"),"")</f>
        <v/>
      </c>
      <c r="O333" s="194"/>
      <c r="P333" s="194"/>
      <c r="Q333" s="194"/>
      <c r="R333" s="194"/>
      <c r="S333" s="194"/>
      <c r="T333" s="194"/>
      <c r="U333" s="194"/>
      <c r="V333" s="194"/>
      <c r="W333" s="194"/>
    </row>
    <row r="334" ht="14.25" customHeight="1">
      <c r="A334" s="31"/>
      <c r="B334" s="268"/>
      <c r="C334" s="269"/>
      <c r="D334" s="270"/>
      <c r="E334" s="271"/>
      <c r="F334" s="272"/>
      <c r="G334" s="273"/>
      <c r="H334" s="204"/>
      <c r="I334" s="204"/>
      <c r="J334" s="196"/>
      <c r="K334" s="196"/>
      <c r="L334" s="192" t="str">
        <f>IFERROR(__xludf.DUMMYFUNCTION("IF(
  AND(D334=""Saída"", J334=""Sangria""),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197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94" t="str">
        <f>IFERROR(__xludf.DUMMYFUNCTION("ifna(VALUE(REGEXEXTRACT(E334,""[0-9.]+[,]+[0-9]+"")))"),"")</f>
        <v/>
      </c>
      <c r="O334" s="194"/>
      <c r="P334" s="194"/>
      <c r="Q334" s="194"/>
      <c r="R334" s="194"/>
      <c r="S334" s="194"/>
      <c r="T334" s="194"/>
      <c r="U334" s="194"/>
      <c r="V334" s="194"/>
      <c r="W334" s="194"/>
    </row>
    <row r="335" ht="14.25" customHeight="1">
      <c r="A335" s="31"/>
      <c r="B335" s="268"/>
      <c r="C335" s="269"/>
      <c r="D335" s="270"/>
      <c r="E335" s="271"/>
      <c r="F335" s="272"/>
      <c r="G335" s="273"/>
      <c r="H335" s="204"/>
      <c r="I335" s="204"/>
      <c r="J335" s="196"/>
      <c r="K335" s="196"/>
      <c r="L335" s="192" t="str">
        <f>IFERROR(__xludf.DUMMYFUNCTION("IF(
  AND(D335=""Saída"", J335=""Sangria""),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198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94" t="str">
        <f>IFERROR(__xludf.DUMMYFUNCTION("ifna(VALUE(REGEXEXTRACT(E335,""[0-9.]+[,]+[0-9]+"")))"),"")</f>
        <v/>
      </c>
      <c r="O335" s="194"/>
      <c r="P335" s="194"/>
      <c r="Q335" s="194"/>
      <c r="R335" s="194"/>
      <c r="S335" s="194"/>
      <c r="T335" s="194"/>
      <c r="U335" s="194"/>
      <c r="V335" s="194"/>
      <c r="W335" s="194"/>
    </row>
    <row r="336" ht="14.25" customHeight="1">
      <c r="A336" s="31"/>
      <c r="B336" s="268"/>
      <c r="C336" s="269"/>
      <c r="D336" s="270"/>
      <c r="E336" s="271"/>
      <c r="F336" s="276"/>
      <c r="G336" s="273"/>
      <c r="H336" s="204"/>
      <c r="I336" s="204"/>
      <c r="J336" s="196"/>
      <c r="K336" s="196"/>
      <c r="L336" s="192" t="str">
        <f>IFERROR(__xludf.DUMMYFUNCTION("IF(
  AND(D336=""Saída"", J336=""Sangria""),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197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94" t="str">
        <f>IFERROR(__xludf.DUMMYFUNCTION("ifna(VALUE(REGEXEXTRACT(E336,""[0-9.]+[,]+[0-9]+"")))"),"")</f>
        <v/>
      </c>
      <c r="O336" s="194"/>
      <c r="P336" s="194"/>
      <c r="Q336" s="194"/>
      <c r="R336" s="194"/>
      <c r="S336" s="194"/>
      <c r="T336" s="194"/>
      <c r="U336" s="194"/>
      <c r="V336" s="194"/>
      <c r="W336" s="194"/>
    </row>
    <row r="337" ht="14.25" customHeight="1">
      <c r="A337" s="31"/>
      <c r="B337" s="268"/>
      <c r="C337" s="269"/>
      <c r="D337" s="270"/>
      <c r="E337" s="275"/>
      <c r="F337" s="272"/>
      <c r="G337" s="273"/>
      <c r="H337" s="204"/>
      <c r="I337" s="204"/>
      <c r="J337" s="196"/>
      <c r="K337" s="196"/>
      <c r="L337" s="192" t="str">
        <f>IFERROR(__xludf.DUMMYFUNCTION("IF(
  AND(D337=""Saída"", J337=""Sangria""),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198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94" t="str">
        <f>IFERROR(__xludf.DUMMYFUNCTION("ifna(VALUE(REGEXEXTRACT(E337,""[0-9.]+[,]+[0-9]+"")))"),"")</f>
        <v/>
      </c>
      <c r="O337" s="194"/>
      <c r="P337" s="194"/>
      <c r="Q337" s="194"/>
      <c r="R337" s="194"/>
      <c r="S337" s="194"/>
      <c r="T337" s="194"/>
      <c r="U337" s="194"/>
      <c r="V337" s="194"/>
      <c r="W337" s="194"/>
    </row>
    <row r="338" ht="14.25" customHeight="1">
      <c r="A338" s="31"/>
      <c r="B338" s="268"/>
      <c r="C338" s="269"/>
      <c r="D338" s="270"/>
      <c r="E338" s="271"/>
      <c r="F338" s="272"/>
      <c r="G338" s="273"/>
      <c r="H338" s="204"/>
      <c r="I338" s="204"/>
      <c r="J338" s="196"/>
      <c r="K338" s="202"/>
      <c r="L338" s="192" t="str">
        <f>IFERROR(__xludf.DUMMYFUNCTION("IF(
  AND(D338=""Saída"", J338=""Sangria""),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197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94" t="str">
        <f>IFERROR(__xludf.DUMMYFUNCTION("ifna(VALUE(REGEXEXTRACT(E338,""[0-9.]+[,]+[0-9]+"")))"),"")</f>
        <v/>
      </c>
      <c r="O338" s="194"/>
      <c r="P338" s="194"/>
      <c r="Q338" s="194"/>
      <c r="R338" s="194"/>
      <c r="S338" s="194"/>
      <c r="T338" s="194"/>
      <c r="U338" s="194"/>
      <c r="V338" s="194"/>
      <c r="W338" s="194"/>
    </row>
    <row r="339" ht="14.25" customHeight="1">
      <c r="A339" s="31"/>
      <c r="B339" s="268"/>
      <c r="C339" s="269"/>
      <c r="D339" s="270"/>
      <c r="E339" s="271"/>
      <c r="F339" s="272"/>
      <c r="G339" s="273"/>
      <c r="H339" s="204"/>
      <c r="I339" s="204"/>
      <c r="J339" s="196"/>
      <c r="K339" s="196"/>
      <c r="L339" s="192" t="str">
        <f>IFERROR(__xludf.DUMMYFUNCTION("IF(
  AND(D339=""Saída"", J339=""Sangria""),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198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94" t="str">
        <f>IFERROR(__xludf.DUMMYFUNCTION("ifna(VALUE(REGEXEXTRACT(E339,""[0-9.]+[,]+[0-9]+"")))"),"")</f>
        <v/>
      </c>
      <c r="O339" s="194"/>
      <c r="P339" s="194"/>
      <c r="Q339" s="194"/>
      <c r="R339" s="194"/>
      <c r="S339" s="194"/>
      <c r="T339" s="194"/>
      <c r="U339" s="194"/>
      <c r="V339" s="194"/>
      <c r="W339" s="194"/>
    </row>
    <row r="340" ht="14.25" customHeight="1">
      <c r="A340" s="31"/>
      <c r="B340" s="268"/>
      <c r="C340" s="269"/>
      <c r="D340" s="270"/>
      <c r="E340" s="271"/>
      <c r="F340" s="272"/>
      <c r="G340" s="273"/>
      <c r="H340" s="204"/>
      <c r="I340" s="204"/>
      <c r="J340" s="196"/>
      <c r="K340" s="196"/>
      <c r="L340" s="192" t="str">
        <f>IFERROR(__xludf.DUMMYFUNCTION("IF(
  AND(D340=""Saída"", J340=""Sangria""),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197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94" t="str">
        <f>IFERROR(__xludf.DUMMYFUNCTION("ifna(VALUE(REGEXEXTRACT(E340,""[0-9.]+[,]+[0-9]+"")))"),"")</f>
        <v/>
      </c>
      <c r="O340" s="194"/>
      <c r="P340" s="194"/>
      <c r="Q340" s="194"/>
      <c r="R340" s="194"/>
      <c r="S340" s="194"/>
      <c r="T340" s="194"/>
      <c r="U340" s="194"/>
      <c r="V340" s="194"/>
      <c r="W340" s="194"/>
    </row>
    <row r="341" ht="14.25" customHeight="1">
      <c r="A341" s="31"/>
      <c r="B341" s="268"/>
      <c r="C341" s="269"/>
      <c r="D341" s="270"/>
      <c r="E341" s="271"/>
      <c r="F341" s="276"/>
      <c r="G341" s="273"/>
      <c r="H341" s="204"/>
      <c r="I341" s="204"/>
      <c r="J341" s="196"/>
      <c r="K341" s="196"/>
      <c r="L341" s="192" t="str">
        <f>IFERROR(__xludf.DUMMYFUNCTION("IF(
  AND(D341=""Saída"", J341=""Sangria""),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198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94" t="str">
        <f>IFERROR(__xludf.DUMMYFUNCTION("ifna(VALUE(REGEXEXTRACT(E341,""[0-9.]+[,]+[0-9]+"")))"),"")</f>
        <v/>
      </c>
      <c r="O341" s="194"/>
      <c r="P341" s="194"/>
      <c r="Q341" s="194"/>
      <c r="R341" s="194"/>
      <c r="S341" s="194"/>
      <c r="T341" s="194"/>
      <c r="U341" s="194"/>
      <c r="V341" s="194"/>
      <c r="W341" s="194"/>
    </row>
    <row r="342" ht="14.25" customHeight="1">
      <c r="A342" s="31"/>
      <c r="B342" s="268"/>
      <c r="C342" s="269"/>
      <c r="D342" s="270"/>
      <c r="E342" s="271"/>
      <c r="F342" s="272"/>
      <c r="G342" s="274"/>
      <c r="H342" s="204"/>
      <c r="I342" s="204"/>
      <c r="J342" s="196"/>
      <c r="K342" s="202"/>
      <c r="L342" s="192" t="str">
        <f>IFERROR(__xludf.DUMMYFUNCTION("IF(
  AND(D342=""Saída"", J342=""Sangria""),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197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94" t="str">
        <f>IFERROR(__xludf.DUMMYFUNCTION("ifna(VALUE(REGEXEXTRACT(E342,""[0-9.]+[,]+[0-9]+"")))"),"")</f>
        <v/>
      </c>
      <c r="O342" s="194"/>
      <c r="P342" s="194"/>
      <c r="Q342" s="194"/>
      <c r="R342" s="194"/>
      <c r="S342" s="194"/>
      <c r="T342" s="194"/>
      <c r="U342" s="194"/>
      <c r="V342" s="194"/>
      <c r="W342" s="194"/>
    </row>
    <row r="343" ht="14.25" customHeight="1">
      <c r="A343" s="31"/>
      <c r="B343" s="268"/>
      <c r="C343" s="269"/>
      <c r="D343" s="270"/>
      <c r="E343" s="271"/>
      <c r="F343" s="272"/>
      <c r="G343" s="273"/>
      <c r="H343" s="204"/>
      <c r="I343" s="204"/>
      <c r="J343" s="196"/>
      <c r="K343" s="196"/>
      <c r="L343" s="192" t="str">
        <f>IFERROR(__xludf.DUMMYFUNCTION("IF(
  AND(D343=""Saída"", J343=""Sangria""),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198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94" t="str">
        <f>IFERROR(__xludf.DUMMYFUNCTION("ifna(VALUE(REGEXEXTRACT(E343,""[0-9.]+[,]+[0-9]+"")))"),"")</f>
        <v/>
      </c>
      <c r="O343" s="194"/>
      <c r="P343" s="194"/>
      <c r="Q343" s="194"/>
      <c r="R343" s="194"/>
      <c r="S343" s="194"/>
      <c r="T343" s="194"/>
      <c r="U343" s="194"/>
      <c r="V343" s="194"/>
      <c r="W343" s="194"/>
    </row>
    <row r="344" ht="14.25" customHeight="1">
      <c r="A344" s="31"/>
      <c r="B344" s="268"/>
      <c r="C344" s="269"/>
      <c r="D344" s="270"/>
      <c r="E344" s="271"/>
      <c r="F344" s="272"/>
      <c r="G344" s="273"/>
      <c r="H344" s="204"/>
      <c r="I344" s="204"/>
      <c r="J344" s="196"/>
      <c r="K344" s="196"/>
      <c r="L344" s="192" t="str">
        <f>IFERROR(__xludf.DUMMYFUNCTION("IF(
  AND(D344=""Saída"", J344=""Sangria""),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197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94" t="str">
        <f>IFERROR(__xludf.DUMMYFUNCTION("ifna(VALUE(REGEXEXTRACT(E344,""[0-9.]+[,]+[0-9]+"")))"),"")</f>
        <v/>
      </c>
      <c r="O344" s="194"/>
      <c r="P344" s="194"/>
      <c r="Q344" s="194"/>
      <c r="R344" s="194"/>
      <c r="S344" s="194"/>
      <c r="T344" s="194"/>
      <c r="U344" s="194"/>
      <c r="V344" s="194"/>
      <c r="W344" s="194"/>
    </row>
    <row r="345" ht="14.25" customHeight="1">
      <c r="A345" s="31"/>
      <c r="B345" s="268"/>
      <c r="C345" s="269"/>
      <c r="D345" s="270"/>
      <c r="E345" s="271"/>
      <c r="F345" s="272"/>
      <c r="G345" s="273"/>
      <c r="H345" s="204"/>
      <c r="I345" s="204"/>
      <c r="J345" s="196"/>
      <c r="K345" s="196"/>
      <c r="L345" s="192" t="str">
        <f>IFERROR(__xludf.DUMMYFUNCTION("IF(
  AND(D345=""Saída"", J345=""Sangria""),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198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94" t="str">
        <f>IFERROR(__xludf.DUMMYFUNCTION("ifna(VALUE(REGEXEXTRACT(E345,""[0-9.]+[,]+[0-9]+"")))"),"")</f>
        <v/>
      </c>
      <c r="O345" s="194"/>
      <c r="P345" s="194"/>
      <c r="Q345" s="194"/>
      <c r="R345" s="194"/>
      <c r="S345" s="194"/>
      <c r="T345" s="194"/>
      <c r="U345" s="194"/>
      <c r="V345" s="194"/>
      <c r="W345" s="194"/>
    </row>
    <row r="346" ht="14.25" customHeight="1">
      <c r="A346" s="31"/>
      <c r="B346" s="268"/>
      <c r="C346" s="269"/>
      <c r="D346" s="270"/>
      <c r="E346" s="271"/>
      <c r="F346" s="272"/>
      <c r="G346" s="273"/>
      <c r="H346" s="204"/>
      <c r="I346" s="204"/>
      <c r="J346" s="196"/>
      <c r="K346" s="196"/>
      <c r="L346" s="192" t="str">
        <f>IFERROR(__xludf.DUMMYFUNCTION("IF(
  AND(D346=""Saída"", J346=""Sangria""),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197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94" t="str">
        <f>IFERROR(__xludf.DUMMYFUNCTION("ifna(VALUE(REGEXEXTRACT(E346,""[0-9.]+[,]+[0-9]+"")))"),"")</f>
        <v/>
      </c>
      <c r="O346" s="194"/>
      <c r="P346" s="194"/>
      <c r="Q346" s="194"/>
      <c r="R346" s="194"/>
      <c r="S346" s="194"/>
      <c r="T346" s="194"/>
      <c r="U346" s="194"/>
      <c r="V346" s="194"/>
      <c r="W346" s="194"/>
    </row>
    <row r="347" ht="14.25" customHeight="1">
      <c r="A347" s="31"/>
      <c r="B347" s="268"/>
      <c r="C347" s="269"/>
      <c r="D347" s="270"/>
      <c r="E347" s="271"/>
      <c r="F347" s="272"/>
      <c r="G347" s="273"/>
      <c r="H347" s="204"/>
      <c r="I347" s="204"/>
      <c r="J347" s="196"/>
      <c r="K347" s="202"/>
      <c r="L347" s="192" t="str">
        <f>IFERROR(__xludf.DUMMYFUNCTION("IF(
  AND(D347=""Saída"", J347=""Sangria""),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198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94" t="str">
        <f>IFERROR(__xludf.DUMMYFUNCTION("ifna(VALUE(REGEXEXTRACT(E347,""[0-9.]+[,]+[0-9]+"")))"),"")</f>
        <v/>
      </c>
      <c r="O347" s="194"/>
      <c r="P347" s="194"/>
      <c r="Q347" s="194"/>
      <c r="R347" s="194"/>
      <c r="S347" s="194"/>
      <c r="T347" s="194"/>
      <c r="U347" s="194"/>
      <c r="V347" s="194"/>
      <c r="W347" s="194"/>
    </row>
    <row r="348" ht="14.25" customHeight="1">
      <c r="A348" s="31"/>
      <c r="B348" s="268"/>
      <c r="C348" s="269"/>
      <c r="D348" s="270"/>
      <c r="E348" s="271"/>
      <c r="F348" s="272"/>
      <c r="G348" s="273"/>
      <c r="H348" s="204"/>
      <c r="I348" s="204"/>
      <c r="J348" s="196"/>
      <c r="K348" s="196"/>
      <c r="L348" s="192" t="str">
        <f>IFERROR(__xludf.DUMMYFUNCTION("IF(
  AND(D348=""Saída"", J348=""Sangria""),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197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94" t="str">
        <f>IFERROR(__xludf.DUMMYFUNCTION("ifna(VALUE(REGEXEXTRACT(E348,""[0-9.]+[,]+[0-9]+"")))"),"")</f>
        <v/>
      </c>
      <c r="O348" s="194"/>
      <c r="P348" s="194"/>
      <c r="Q348" s="194"/>
      <c r="R348" s="194"/>
      <c r="S348" s="194"/>
      <c r="T348" s="194"/>
      <c r="U348" s="194"/>
      <c r="V348" s="194"/>
      <c r="W348" s="194"/>
    </row>
    <row r="349" ht="14.25" customHeight="1">
      <c r="A349" s="31"/>
      <c r="B349" s="268"/>
      <c r="C349" s="269"/>
      <c r="D349" s="270"/>
      <c r="E349" s="275"/>
      <c r="F349" s="272"/>
      <c r="G349" s="273"/>
      <c r="H349" s="204"/>
      <c r="I349" s="204"/>
      <c r="J349" s="196"/>
      <c r="K349" s="196"/>
      <c r="L349" s="192" t="str">
        <f>IFERROR(__xludf.DUMMYFUNCTION("IF(
  AND(D349=""Saída"", J349=""Sangria""),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198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94" t="str">
        <f>IFERROR(__xludf.DUMMYFUNCTION("ifna(VALUE(REGEXEXTRACT(E349,""[0-9.]+[,]+[0-9]+"")))"),"")</f>
        <v/>
      </c>
      <c r="O349" s="194"/>
      <c r="P349" s="194"/>
      <c r="Q349" s="194"/>
      <c r="R349" s="194"/>
      <c r="S349" s="194"/>
      <c r="T349" s="194"/>
      <c r="U349" s="194"/>
      <c r="V349" s="194"/>
      <c r="W349" s="194"/>
    </row>
    <row r="350" ht="14.25" customHeight="1">
      <c r="A350" s="31"/>
      <c r="B350" s="268"/>
      <c r="C350" s="269"/>
      <c r="D350" s="270"/>
      <c r="E350" s="271"/>
      <c r="F350" s="272"/>
      <c r="G350" s="273"/>
      <c r="H350" s="204"/>
      <c r="I350" s="204"/>
      <c r="J350" s="196"/>
      <c r="K350" s="202"/>
      <c r="L350" s="192" t="str">
        <f>IFERROR(__xludf.DUMMYFUNCTION("IF(
  AND(D350=""Saída"", J350=""Sangria""),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197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94" t="str">
        <f>IFERROR(__xludf.DUMMYFUNCTION("ifna(VALUE(REGEXEXTRACT(E350,""[0-9.]+[,]+[0-9]+"")))"),"")</f>
        <v/>
      </c>
      <c r="O350" s="194"/>
      <c r="P350" s="194"/>
      <c r="Q350" s="194"/>
      <c r="R350" s="194"/>
      <c r="S350" s="194"/>
      <c r="T350" s="194"/>
      <c r="U350" s="194"/>
      <c r="V350" s="194"/>
      <c r="W350" s="194"/>
    </row>
    <row r="351" ht="14.25" customHeight="1">
      <c r="A351" s="31"/>
      <c r="B351" s="268"/>
      <c r="C351" s="269"/>
      <c r="D351" s="270"/>
      <c r="E351" s="271"/>
      <c r="F351" s="276"/>
      <c r="G351" s="273"/>
      <c r="H351" s="204"/>
      <c r="I351" s="204"/>
      <c r="J351" s="196"/>
      <c r="K351" s="202"/>
      <c r="L351" s="192" t="str">
        <f>IFERROR(__xludf.DUMMYFUNCTION("IF(
  AND(D351=""Saída"", J351=""Sangria""),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198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94" t="str">
        <f>IFERROR(__xludf.DUMMYFUNCTION("ifna(VALUE(REGEXEXTRACT(E351,""[0-9.]+[,]+[0-9]+"")))"),"")</f>
        <v/>
      </c>
      <c r="O351" s="194"/>
      <c r="P351" s="194"/>
      <c r="Q351" s="194"/>
      <c r="R351" s="194"/>
      <c r="S351" s="194"/>
      <c r="T351" s="194"/>
      <c r="U351" s="194"/>
      <c r="V351" s="194"/>
      <c r="W351" s="194"/>
    </row>
    <row r="352" ht="14.25" customHeight="1">
      <c r="A352" s="31"/>
      <c r="B352" s="268"/>
      <c r="C352" s="269"/>
      <c r="D352" s="270"/>
      <c r="E352" s="271"/>
      <c r="F352" s="272"/>
      <c r="G352" s="273"/>
      <c r="H352" s="204"/>
      <c r="I352" s="204"/>
      <c r="J352" s="196"/>
      <c r="K352" s="196"/>
      <c r="L352" s="192" t="str">
        <f>IFERROR(__xludf.DUMMYFUNCTION("IF(
  AND(D352=""Saída"", J352=""Sangria""),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197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94" t="str">
        <f>IFERROR(__xludf.DUMMYFUNCTION("ifna(VALUE(REGEXEXTRACT(E352,""[0-9.]+[,]+[0-9]+"")))"),"")</f>
        <v/>
      </c>
      <c r="O352" s="194"/>
      <c r="P352" s="194"/>
      <c r="Q352" s="194"/>
      <c r="R352" s="194"/>
      <c r="S352" s="194"/>
      <c r="T352" s="194"/>
      <c r="U352" s="194"/>
      <c r="V352" s="194"/>
      <c r="W352" s="194"/>
    </row>
    <row r="353" ht="14.25" customHeight="1">
      <c r="A353" s="31"/>
      <c r="B353" s="268"/>
      <c r="C353" s="269"/>
      <c r="D353" s="270"/>
      <c r="E353" s="271"/>
      <c r="F353" s="276"/>
      <c r="G353" s="273"/>
      <c r="H353" s="204"/>
      <c r="I353" s="204"/>
      <c r="J353" s="196"/>
      <c r="K353" s="196"/>
      <c r="L353" s="192" t="str">
        <f>IFERROR(__xludf.DUMMYFUNCTION("IF(
  AND(D353=""Saída"", J353=""Sangria""),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198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94" t="str">
        <f>IFERROR(__xludf.DUMMYFUNCTION("ifna(VALUE(REGEXEXTRACT(E353,""[0-9.]+[,]+[0-9]+"")))"),"")</f>
        <v/>
      </c>
      <c r="O353" s="194"/>
      <c r="P353" s="194"/>
      <c r="Q353" s="194"/>
      <c r="R353" s="194"/>
      <c r="S353" s="194"/>
      <c r="T353" s="194"/>
      <c r="U353" s="194"/>
      <c r="V353" s="194"/>
      <c r="W353" s="194"/>
    </row>
    <row r="354" ht="14.25" customHeight="1">
      <c r="A354" s="31"/>
      <c r="B354" s="268"/>
      <c r="C354" s="269"/>
      <c r="D354" s="270"/>
      <c r="E354" s="271"/>
      <c r="F354" s="272"/>
      <c r="G354" s="273"/>
      <c r="H354" s="204"/>
      <c r="I354" s="204"/>
      <c r="J354" s="196"/>
      <c r="K354" s="196"/>
      <c r="L354" s="192" t="str">
        <f>IFERROR(__xludf.DUMMYFUNCTION("IF(
  AND(D354=""Saída"", J354=""Sangria""),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197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94" t="str">
        <f>IFERROR(__xludf.DUMMYFUNCTION("ifna(VALUE(REGEXEXTRACT(E354,""[0-9.]+[,]+[0-9]+"")))"),"")</f>
        <v/>
      </c>
      <c r="O354" s="194"/>
      <c r="P354" s="194"/>
      <c r="Q354" s="194"/>
      <c r="R354" s="194"/>
      <c r="S354" s="194"/>
      <c r="T354" s="194"/>
      <c r="U354" s="194"/>
      <c r="V354" s="194"/>
      <c r="W354" s="194"/>
    </row>
    <row r="355" ht="14.25" customHeight="1">
      <c r="A355" s="31"/>
      <c r="B355" s="268"/>
      <c r="C355" s="269"/>
      <c r="D355" s="270"/>
      <c r="E355" s="271"/>
      <c r="F355" s="272"/>
      <c r="G355" s="273"/>
      <c r="H355" s="204"/>
      <c r="I355" s="204"/>
      <c r="J355" s="196"/>
      <c r="K355" s="196"/>
      <c r="L355" s="192" t="str">
        <f>IFERROR(__xludf.DUMMYFUNCTION("IF(
  AND(D355=""Saída"", J355=""Sangria""),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198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94" t="str">
        <f>IFERROR(__xludf.DUMMYFUNCTION("ifna(VALUE(REGEXEXTRACT(E355,""[0-9.]+[,]+[0-9]+"")))"),"")</f>
        <v/>
      </c>
      <c r="O355" s="194"/>
      <c r="P355" s="194"/>
      <c r="Q355" s="194"/>
      <c r="R355" s="194"/>
      <c r="S355" s="194"/>
      <c r="T355" s="194"/>
      <c r="U355" s="194"/>
      <c r="V355" s="194"/>
      <c r="W355" s="194"/>
    </row>
    <row r="356" ht="14.25" customHeight="1">
      <c r="A356" s="31"/>
      <c r="B356" s="268"/>
      <c r="C356" s="269"/>
      <c r="D356" s="270"/>
      <c r="E356" s="271"/>
      <c r="F356" s="272"/>
      <c r="G356" s="273"/>
      <c r="H356" s="204"/>
      <c r="I356" s="204"/>
      <c r="J356" s="196"/>
      <c r="K356" s="196"/>
      <c r="L356" s="192" t="str">
        <f>IFERROR(__xludf.DUMMYFUNCTION("IF(
  AND(D356=""Saída"", J356=""Sangria""),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197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94" t="str">
        <f>IFERROR(__xludf.DUMMYFUNCTION("ifna(VALUE(REGEXEXTRACT(E356,""[0-9.]+[,]+[0-9]+"")))"),"")</f>
        <v/>
      </c>
      <c r="O356" s="194"/>
      <c r="P356" s="194"/>
      <c r="Q356" s="194"/>
      <c r="R356" s="194"/>
      <c r="S356" s="194"/>
      <c r="T356" s="194"/>
      <c r="U356" s="194"/>
      <c r="V356" s="194"/>
      <c r="W356" s="194"/>
    </row>
    <row r="357" ht="14.25" customHeight="1">
      <c r="A357" s="31"/>
      <c r="B357" s="268"/>
      <c r="C357" s="269"/>
      <c r="D357" s="270"/>
      <c r="E357" s="275"/>
      <c r="F357" s="272"/>
      <c r="G357" s="273"/>
      <c r="H357" s="204"/>
      <c r="I357" s="204"/>
      <c r="J357" s="196"/>
      <c r="K357" s="196"/>
      <c r="L357" s="192" t="str">
        <f>IFERROR(__xludf.DUMMYFUNCTION("IF(
  AND(D357=""Saída"", J357=""Sangria""),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198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94" t="str">
        <f>IFERROR(__xludf.DUMMYFUNCTION("ifna(VALUE(REGEXEXTRACT(E357,""[0-9.]+[,]+[0-9]+"")))"),"")</f>
        <v/>
      </c>
      <c r="O357" s="194"/>
      <c r="P357" s="194"/>
      <c r="Q357" s="194"/>
      <c r="R357" s="194"/>
      <c r="S357" s="194"/>
      <c r="T357" s="194"/>
      <c r="U357" s="194"/>
      <c r="V357" s="194"/>
      <c r="W357" s="194"/>
    </row>
    <row r="358" ht="14.25" customHeight="1">
      <c r="A358" s="31"/>
      <c r="B358" s="268"/>
      <c r="C358" s="269"/>
      <c r="D358" s="270"/>
      <c r="E358" s="271"/>
      <c r="F358" s="272"/>
      <c r="G358" s="273"/>
      <c r="H358" s="204"/>
      <c r="I358" s="204"/>
      <c r="J358" s="196"/>
      <c r="K358" s="202"/>
      <c r="L358" s="192" t="str">
        <f>IFERROR(__xludf.DUMMYFUNCTION("IF(
  AND(D358=""Saída"", J358=""Sangria""),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197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94" t="str">
        <f>IFERROR(__xludf.DUMMYFUNCTION("ifna(VALUE(REGEXEXTRACT(E358,""[0-9.]+[,]+[0-9]+"")))"),"")</f>
        <v/>
      </c>
      <c r="O358" s="194"/>
      <c r="P358" s="194"/>
      <c r="Q358" s="194"/>
      <c r="R358" s="194"/>
      <c r="S358" s="194"/>
      <c r="T358" s="194"/>
      <c r="U358" s="194"/>
      <c r="V358" s="194"/>
      <c r="W358" s="194"/>
    </row>
    <row r="359" ht="14.25" customHeight="1">
      <c r="A359" s="31"/>
      <c r="B359" s="268"/>
      <c r="C359" s="269"/>
      <c r="D359" s="270"/>
      <c r="E359" s="271"/>
      <c r="F359" s="272"/>
      <c r="G359" s="273"/>
      <c r="H359" s="204"/>
      <c r="I359" s="204"/>
      <c r="J359" s="196"/>
      <c r="K359" s="202"/>
      <c r="L359" s="192" t="str">
        <f>IFERROR(__xludf.DUMMYFUNCTION("IF(
  AND(D359=""Saída"", J359=""Sangria""),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198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94" t="str">
        <f>IFERROR(__xludf.DUMMYFUNCTION("ifna(VALUE(REGEXEXTRACT(E359,""[0-9.]+[,]+[0-9]+"")))"),"")</f>
        <v/>
      </c>
      <c r="O359" s="194"/>
      <c r="P359" s="194"/>
      <c r="Q359" s="194"/>
      <c r="R359" s="194"/>
      <c r="S359" s="194"/>
      <c r="T359" s="194"/>
      <c r="U359" s="194"/>
      <c r="V359" s="194"/>
      <c r="W359" s="194"/>
    </row>
    <row r="360" ht="14.25" customHeight="1">
      <c r="A360" s="31"/>
      <c r="B360" s="268"/>
      <c r="C360" s="269"/>
      <c r="D360" s="270"/>
      <c r="E360" s="271"/>
      <c r="F360" s="272"/>
      <c r="G360" s="273"/>
      <c r="H360" s="204"/>
      <c r="I360" s="204"/>
      <c r="J360" s="196"/>
      <c r="K360" s="196"/>
      <c r="L360" s="192" t="str">
        <f>IFERROR(__xludf.DUMMYFUNCTION("IF(
  AND(D360=""Saída"", J360=""Sangria""),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197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94" t="str">
        <f>IFERROR(__xludf.DUMMYFUNCTION("ifna(VALUE(REGEXEXTRACT(E360,""[0-9.]+[,]+[0-9]+"")))"),"")</f>
        <v/>
      </c>
      <c r="O360" s="194"/>
      <c r="P360" s="194"/>
      <c r="Q360" s="194"/>
      <c r="R360" s="194"/>
      <c r="S360" s="194"/>
      <c r="T360" s="194"/>
      <c r="U360" s="194"/>
      <c r="V360" s="194"/>
      <c r="W360" s="194"/>
    </row>
    <row r="361" ht="14.25" customHeight="1">
      <c r="A361" s="31"/>
      <c r="B361" s="268"/>
      <c r="C361" s="269"/>
      <c r="D361" s="270"/>
      <c r="E361" s="271"/>
      <c r="F361" s="272"/>
      <c r="G361" s="273"/>
      <c r="H361" s="204"/>
      <c r="I361" s="204"/>
      <c r="J361" s="196"/>
      <c r="K361" s="196"/>
      <c r="L361" s="192" t="str">
        <f>IFERROR(__xludf.DUMMYFUNCTION("IF(
  AND(D361=""Saída"", J361=""Sangria""),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198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94" t="str">
        <f>IFERROR(__xludf.DUMMYFUNCTION("ifna(VALUE(REGEXEXTRACT(E361,""[0-9.]+[,]+[0-9]+"")))"),"")</f>
        <v/>
      </c>
      <c r="O361" s="194"/>
      <c r="P361" s="194"/>
      <c r="Q361" s="194"/>
      <c r="R361" s="194"/>
      <c r="S361" s="194"/>
      <c r="T361" s="194"/>
      <c r="U361" s="194"/>
      <c r="V361" s="194"/>
      <c r="W361" s="194"/>
    </row>
    <row r="362" ht="14.25" customHeight="1">
      <c r="A362" s="31"/>
      <c r="B362" s="268"/>
      <c r="C362" s="269"/>
      <c r="D362" s="270"/>
      <c r="E362" s="271"/>
      <c r="F362" s="272"/>
      <c r="G362" s="273"/>
      <c r="H362" s="204"/>
      <c r="I362" s="204"/>
      <c r="J362" s="196"/>
      <c r="K362" s="196"/>
      <c r="L362" s="192" t="str">
        <f>IFERROR(__xludf.DUMMYFUNCTION("IF(
  AND(D362=""Saída"", J362=""Sangria""),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197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94" t="str">
        <f>IFERROR(__xludf.DUMMYFUNCTION("ifna(VALUE(REGEXEXTRACT(E362,""[0-9.]+[,]+[0-9]+"")))"),"")</f>
        <v/>
      </c>
      <c r="O362" s="194"/>
      <c r="P362" s="194"/>
      <c r="Q362" s="194"/>
      <c r="R362" s="194"/>
      <c r="S362" s="194"/>
      <c r="T362" s="194"/>
      <c r="U362" s="194"/>
      <c r="V362" s="194"/>
      <c r="W362" s="194"/>
    </row>
    <row r="363" ht="14.25" customHeight="1">
      <c r="A363" s="31"/>
      <c r="B363" s="268"/>
      <c r="C363" s="269"/>
      <c r="D363" s="270"/>
      <c r="E363" s="271"/>
      <c r="F363" s="276"/>
      <c r="G363" s="273"/>
      <c r="H363" s="204"/>
      <c r="I363" s="204"/>
      <c r="J363" s="196"/>
      <c r="K363" s="196"/>
      <c r="L363" s="192" t="str">
        <f>IFERROR(__xludf.DUMMYFUNCTION("IF(
  AND(D363=""Saída"", J363=""Sangria""),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198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94" t="str">
        <f>IFERROR(__xludf.DUMMYFUNCTION("ifna(VALUE(REGEXEXTRACT(E363,""[0-9.]+[,]+[0-9]+"")))"),"")</f>
        <v/>
      </c>
      <c r="O363" s="194"/>
      <c r="P363" s="194"/>
      <c r="Q363" s="194"/>
      <c r="R363" s="194"/>
      <c r="S363" s="194"/>
      <c r="T363" s="194"/>
      <c r="U363" s="194"/>
      <c r="V363" s="194"/>
      <c r="W363" s="194"/>
    </row>
    <row r="364" ht="14.25" customHeight="1">
      <c r="A364" s="31"/>
      <c r="B364" s="268"/>
      <c r="C364" s="269"/>
      <c r="D364" s="270"/>
      <c r="E364" s="271"/>
      <c r="F364" s="272"/>
      <c r="G364" s="273"/>
      <c r="H364" s="204"/>
      <c r="I364" s="204"/>
      <c r="J364" s="196"/>
      <c r="K364" s="196"/>
      <c r="L364" s="192" t="str">
        <f>IFERROR(__xludf.DUMMYFUNCTION("IF(
  AND(D364=""Saída"", J364=""Sangria""),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197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94" t="str">
        <f>IFERROR(__xludf.DUMMYFUNCTION("ifna(VALUE(REGEXEXTRACT(E364,""[0-9.]+[,]+[0-9]+"")))"),"")</f>
        <v/>
      </c>
      <c r="O364" s="194"/>
      <c r="P364" s="194"/>
      <c r="Q364" s="194"/>
      <c r="R364" s="194"/>
      <c r="S364" s="194"/>
      <c r="T364" s="194"/>
      <c r="U364" s="194"/>
      <c r="V364" s="194"/>
      <c r="W364" s="194"/>
    </row>
    <row r="365" ht="14.25" customHeight="1">
      <c r="A365" s="31"/>
      <c r="B365" s="268"/>
      <c r="C365" s="269"/>
      <c r="D365" s="270"/>
      <c r="E365" s="271"/>
      <c r="F365" s="272"/>
      <c r="G365" s="273"/>
      <c r="H365" s="204"/>
      <c r="I365" s="204"/>
      <c r="J365" s="196"/>
      <c r="K365" s="196"/>
      <c r="L365" s="192" t="str">
        <f>IFERROR(__xludf.DUMMYFUNCTION("IF(
  AND(D365=""Saída"", J365=""Sangria""),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198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94" t="str">
        <f>IFERROR(__xludf.DUMMYFUNCTION("ifna(VALUE(REGEXEXTRACT(E365,""[0-9.]+[,]+[0-9]+"")))"),"")</f>
        <v/>
      </c>
      <c r="O365" s="194"/>
      <c r="P365" s="194"/>
      <c r="Q365" s="194"/>
      <c r="R365" s="194"/>
      <c r="S365" s="194"/>
      <c r="T365" s="194"/>
      <c r="U365" s="194"/>
      <c r="V365" s="194"/>
      <c r="W365" s="194"/>
    </row>
    <row r="366" ht="14.25" customHeight="1">
      <c r="A366" s="31"/>
      <c r="B366" s="268"/>
      <c r="C366" s="269"/>
      <c r="D366" s="270"/>
      <c r="E366" s="271"/>
      <c r="F366" s="272"/>
      <c r="G366" s="273"/>
      <c r="H366" s="204"/>
      <c r="I366" s="204"/>
      <c r="J366" s="196"/>
      <c r="K366" s="196"/>
      <c r="L366" s="192" t="str">
        <f>IFERROR(__xludf.DUMMYFUNCTION("IF(
  AND(D366=""Saída"", J366=""Sangria""),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197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94" t="str">
        <f>IFERROR(__xludf.DUMMYFUNCTION("ifna(VALUE(REGEXEXTRACT(E366,""[0-9.]+[,]+[0-9]+"")))"),"")</f>
        <v/>
      </c>
      <c r="O366" s="194"/>
      <c r="P366" s="194"/>
      <c r="Q366" s="194"/>
      <c r="R366" s="194"/>
      <c r="S366" s="194"/>
      <c r="T366" s="194"/>
      <c r="U366" s="194"/>
      <c r="V366" s="194"/>
      <c r="W366" s="194"/>
    </row>
    <row r="367" ht="14.25" customHeight="1">
      <c r="A367" s="31"/>
      <c r="B367" s="268"/>
      <c r="C367" s="269"/>
      <c r="D367" s="270"/>
      <c r="E367" s="271"/>
      <c r="F367" s="272"/>
      <c r="G367" s="273"/>
      <c r="H367" s="204"/>
      <c r="I367" s="204"/>
      <c r="J367" s="196"/>
      <c r="K367" s="202"/>
      <c r="L367" s="192" t="str">
        <f>IFERROR(__xludf.DUMMYFUNCTION("IF(
  AND(D367=""Saída"", J367=""Sangria""),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198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94" t="str">
        <f>IFERROR(__xludf.DUMMYFUNCTION("ifna(VALUE(REGEXEXTRACT(E367,""[0-9.]+[,]+[0-9]+"")))"),"")</f>
        <v/>
      </c>
      <c r="O367" s="194"/>
      <c r="P367" s="194"/>
      <c r="Q367" s="194"/>
      <c r="R367" s="194"/>
      <c r="S367" s="194"/>
      <c r="T367" s="194"/>
      <c r="U367" s="194"/>
      <c r="V367" s="194"/>
      <c r="W367" s="194"/>
    </row>
    <row r="368" ht="14.25" customHeight="1">
      <c r="A368" s="31"/>
      <c r="B368" s="268"/>
      <c r="C368" s="269"/>
      <c r="D368" s="270"/>
      <c r="E368" s="271"/>
      <c r="F368" s="272"/>
      <c r="G368" s="273"/>
      <c r="H368" s="204"/>
      <c r="I368" s="204"/>
      <c r="J368" s="196"/>
      <c r="K368" s="202"/>
      <c r="L368" s="192" t="str">
        <f>IFERROR(__xludf.DUMMYFUNCTION("IF(
  AND(D368=""Saída"", J368=""Sangria""),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197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94" t="str">
        <f>IFERROR(__xludf.DUMMYFUNCTION("ifna(VALUE(REGEXEXTRACT(E368,""[0-9.]+[,]+[0-9]+"")))"),"")</f>
        <v/>
      </c>
      <c r="O368" s="194"/>
      <c r="P368" s="194"/>
      <c r="Q368" s="194"/>
      <c r="R368" s="194"/>
      <c r="S368" s="194"/>
      <c r="T368" s="194"/>
      <c r="U368" s="194"/>
      <c r="V368" s="194"/>
      <c r="W368" s="194"/>
    </row>
    <row r="369" ht="14.25" customHeight="1">
      <c r="A369" s="31"/>
      <c r="B369" s="268"/>
      <c r="C369" s="269"/>
      <c r="D369" s="270"/>
      <c r="E369" s="271"/>
      <c r="F369" s="276"/>
      <c r="G369" s="273"/>
      <c r="H369" s="204"/>
      <c r="I369" s="204"/>
      <c r="J369" s="196"/>
      <c r="K369" s="196"/>
      <c r="L369" s="192" t="str">
        <f>IFERROR(__xludf.DUMMYFUNCTION("IF(
  AND(D369=""Saída"", J369=""Sangria""),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198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94" t="str">
        <f>IFERROR(__xludf.DUMMYFUNCTION("ifna(VALUE(REGEXEXTRACT(E369,""[0-9.]+[,]+[0-9]+"")))"),"")</f>
        <v/>
      </c>
      <c r="O369" s="194"/>
      <c r="P369" s="194"/>
      <c r="Q369" s="194"/>
      <c r="R369" s="194"/>
      <c r="S369" s="194"/>
      <c r="T369" s="194"/>
      <c r="U369" s="194"/>
      <c r="V369" s="194"/>
      <c r="W369" s="194"/>
    </row>
    <row r="370" ht="14.25" customHeight="1">
      <c r="A370" s="31"/>
      <c r="B370" s="268"/>
      <c r="C370" s="269"/>
      <c r="D370" s="270"/>
      <c r="E370" s="271"/>
      <c r="F370" s="272"/>
      <c r="G370" s="273"/>
      <c r="H370" s="204"/>
      <c r="I370" s="204"/>
      <c r="J370" s="196"/>
      <c r="K370" s="196"/>
      <c r="L370" s="192" t="str">
        <f>IFERROR(__xludf.DUMMYFUNCTION("IF(
  AND(D370=""Saída"", J370=""Sangria""),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197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94" t="str">
        <f>IFERROR(__xludf.DUMMYFUNCTION("ifna(VALUE(REGEXEXTRACT(E370,""[0-9.]+[,]+[0-9]+"")))"),"")</f>
        <v/>
      </c>
      <c r="O370" s="194"/>
      <c r="P370" s="194"/>
      <c r="Q370" s="194"/>
      <c r="R370" s="194"/>
      <c r="S370" s="194"/>
      <c r="T370" s="194"/>
      <c r="U370" s="194"/>
      <c r="V370" s="194"/>
      <c r="W370" s="194"/>
    </row>
    <row r="371" ht="14.25" customHeight="1">
      <c r="A371" s="31"/>
      <c r="B371" s="268"/>
      <c r="C371" s="269"/>
      <c r="D371" s="270"/>
      <c r="E371" s="271"/>
      <c r="F371" s="272"/>
      <c r="G371" s="273"/>
      <c r="H371" s="204"/>
      <c r="I371" s="204"/>
      <c r="J371" s="196"/>
      <c r="K371" s="196"/>
      <c r="L371" s="192" t="str">
        <f>IFERROR(__xludf.DUMMYFUNCTION("IF(
  AND(D371=""Saída"", J371=""Sangria""),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198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94" t="str">
        <f>IFERROR(__xludf.DUMMYFUNCTION("ifna(VALUE(REGEXEXTRACT(E371,""[0-9.]+[,]+[0-9]+"")))"),"")</f>
        <v/>
      </c>
      <c r="O371" s="194"/>
      <c r="P371" s="194"/>
      <c r="Q371" s="194"/>
      <c r="R371" s="194"/>
      <c r="S371" s="194"/>
      <c r="T371" s="194"/>
      <c r="U371" s="194"/>
      <c r="V371" s="194"/>
      <c r="W371" s="194"/>
    </row>
    <row r="372" ht="14.25" customHeight="1">
      <c r="A372" s="31"/>
      <c r="B372" s="268"/>
      <c r="C372" s="269"/>
      <c r="D372" s="270"/>
      <c r="E372" s="271"/>
      <c r="F372" s="276"/>
      <c r="G372" s="273"/>
      <c r="H372" s="204"/>
      <c r="I372" s="204"/>
      <c r="J372" s="196"/>
      <c r="K372" s="196"/>
      <c r="L372" s="192" t="str">
        <f>IFERROR(__xludf.DUMMYFUNCTION("IF(
  AND(D372=""Saída"", J372=""Sangria""),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197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94" t="str">
        <f>IFERROR(__xludf.DUMMYFUNCTION("ifna(VALUE(REGEXEXTRACT(E372,""[0-9.]+[,]+[0-9]+"")))"),"")</f>
        <v/>
      </c>
      <c r="O372" s="194"/>
      <c r="P372" s="194"/>
      <c r="Q372" s="194"/>
      <c r="R372" s="194"/>
      <c r="S372" s="194"/>
      <c r="T372" s="194"/>
      <c r="U372" s="194"/>
      <c r="V372" s="194"/>
      <c r="W372" s="194"/>
    </row>
    <row r="373" ht="14.25" customHeight="1">
      <c r="A373" s="31"/>
      <c r="B373" s="268"/>
      <c r="C373" s="269"/>
      <c r="D373" s="270"/>
      <c r="E373" s="271"/>
      <c r="F373" s="272"/>
      <c r="G373" s="273"/>
      <c r="H373" s="204"/>
      <c r="I373" s="204"/>
      <c r="J373" s="196"/>
      <c r="K373" s="196"/>
      <c r="L373" s="192" t="str">
        <f>IFERROR(__xludf.DUMMYFUNCTION("IF(
  AND(D373=""Saída"", J373=""Sangria""),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198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94" t="str">
        <f>IFERROR(__xludf.DUMMYFUNCTION("ifna(VALUE(REGEXEXTRACT(E373,""[0-9.]+[,]+[0-9]+"")))"),"")</f>
        <v/>
      </c>
      <c r="O373" s="194"/>
      <c r="P373" s="194"/>
      <c r="Q373" s="194"/>
      <c r="R373" s="194"/>
      <c r="S373" s="194"/>
      <c r="T373" s="194"/>
      <c r="U373" s="194"/>
      <c r="V373" s="194"/>
      <c r="W373" s="194"/>
    </row>
    <row r="374" ht="14.25" customHeight="1">
      <c r="A374" s="31"/>
      <c r="B374" s="268"/>
      <c r="C374" s="212"/>
      <c r="D374" s="270"/>
      <c r="E374" s="271"/>
      <c r="F374" s="272"/>
      <c r="G374" s="273"/>
      <c r="H374" s="204"/>
      <c r="I374" s="204"/>
      <c r="J374" s="196"/>
      <c r="K374" s="202"/>
      <c r="L374" s="192" t="str">
        <f>IFERROR(__xludf.DUMMYFUNCTION("IF(
  AND(D374=""Saída"", J374=""Sangria""),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197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94" t="str">
        <f>IFERROR(__xludf.DUMMYFUNCTION("ifna(VALUE(REGEXEXTRACT(E374,""[0-9.]+[,]+[0-9]+"")))"),"")</f>
        <v/>
      </c>
      <c r="O374" s="194"/>
      <c r="P374" s="194"/>
      <c r="Q374" s="194"/>
      <c r="R374" s="194"/>
      <c r="S374" s="194"/>
      <c r="T374" s="194"/>
      <c r="U374" s="194"/>
      <c r="V374" s="194"/>
      <c r="W374" s="194"/>
    </row>
    <row r="375" ht="14.25" customHeight="1">
      <c r="A375" s="31"/>
      <c r="B375" s="268"/>
      <c r="C375" s="212"/>
      <c r="D375" s="270"/>
      <c r="E375" s="271"/>
      <c r="F375" s="272"/>
      <c r="G375" s="284"/>
      <c r="H375" s="204"/>
      <c r="I375" s="204"/>
      <c r="J375" s="196"/>
      <c r="K375" s="196"/>
      <c r="L375" s="192" t="str">
        <f>IFERROR(__xludf.DUMMYFUNCTION("IF(
  AND(D375=""Saída"", J375=""Sangria""),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198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94" t="str">
        <f>IFERROR(__xludf.DUMMYFUNCTION("ifna(VALUE(REGEXEXTRACT(E375,""[0-9.]+[,]+[0-9]+"")))"),"")</f>
        <v/>
      </c>
      <c r="O375" s="194"/>
      <c r="P375" s="194"/>
      <c r="Q375" s="194"/>
      <c r="R375" s="194"/>
      <c r="S375" s="194"/>
      <c r="T375" s="194"/>
      <c r="U375" s="194"/>
      <c r="V375" s="194"/>
      <c r="W375" s="194"/>
    </row>
    <row r="376" ht="14.25" customHeight="1">
      <c r="A376" s="31"/>
      <c r="B376" s="268"/>
      <c r="C376" s="269"/>
      <c r="D376" s="270"/>
      <c r="E376" s="271"/>
      <c r="F376" s="272"/>
      <c r="G376" s="273"/>
      <c r="H376" s="204"/>
      <c r="I376" s="204"/>
      <c r="J376" s="196"/>
      <c r="K376" s="196"/>
      <c r="L376" s="192" t="str">
        <f>IFERROR(__xludf.DUMMYFUNCTION("IF(
  AND(D376=""Saída"", J376=""Sangria""),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197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94" t="str">
        <f>IFERROR(__xludf.DUMMYFUNCTION("ifna(VALUE(REGEXEXTRACT(E376,""[0-9.]+[,]+[0-9]+"")))"),"")</f>
        <v/>
      </c>
      <c r="O376" s="194"/>
      <c r="P376" s="194"/>
      <c r="Q376" s="194"/>
      <c r="R376" s="194"/>
      <c r="S376" s="194"/>
      <c r="T376" s="194"/>
      <c r="U376" s="194"/>
      <c r="V376" s="194"/>
      <c r="W376" s="194"/>
    </row>
    <row r="377" ht="14.25" customHeight="1">
      <c r="A377" s="31"/>
      <c r="B377" s="268"/>
      <c r="C377" s="269"/>
      <c r="D377" s="270"/>
      <c r="E377" s="271"/>
      <c r="F377" s="272"/>
      <c r="G377" s="273"/>
      <c r="H377" s="204"/>
      <c r="I377" s="204"/>
      <c r="J377" s="212"/>
      <c r="K377" s="196"/>
      <c r="L377" s="192" t="str">
        <f>IFERROR(__xludf.DUMMYFUNCTION("IF(
  AND(D377=""Saída"", J377=""Sangria""),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198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94" t="str">
        <f>IFERROR(__xludf.DUMMYFUNCTION("ifna(VALUE(REGEXEXTRACT(E377,""[0-9.]+[,]+[0-9]+"")))"),"")</f>
        <v/>
      </c>
      <c r="O377" s="194"/>
      <c r="P377" s="194"/>
      <c r="Q377" s="194"/>
      <c r="R377" s="194"/>
      <c r="S377" s="194"/>
      <c r="T377" s="194"/>
      <c r="U377" s="194"/>
      <c r="V377" s="194"/>
      <c r="W377" s="194"/>
    </row>
    <row r="378" ht="14.25" customHeight="1">
      <c r="A378" s="31"/>
      <c r="B378" s="268"/>
      <c r="C378" s="269"/>
      <c r="D378" s="270"/>
      <c r="E378" s="271"/>
      <c r="F378" s="272"/>
      <c r="G378" s="273"/>
      <c r="H378" s="204"/>
      <c r="I378" s="204"/>
      <c r="J378" s="196"/>
      <c r="K378" s="202"/>
      <c r="L378" s="192" t="str">
        <f>IFERROR(__xludf.DUMMYFUNCTION("IF(
  AND(D378=""Saída"", J378=""Sangria""),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197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94" t="str">
        <f>IFERROR(__xludf.DUMMYFUNCTION("ifna(VALUE(REGEXEXTRACT(E378,""[0-9.]+[,]+[0-9]+"")))"),"")</f>
        <v/>
      </c>
      <c r="O378" s="194"/>
      <c r="P378" s="194"/>
      <c r="Q378" s="194"/>
      <c r="R378" s="194"/>
      <c r="S378" s="194"/>
      <c r="T378" s="194"/>
      <c r="U378" s="194"/>
      <c r="V378" s="194"/>
      <c r="W378" s="194"/>
    </row>
    <row r="379" ht="14.25" customHeight="1">
      <c r="A379" s="31"/>
      <c r="B379" s="268"/>
      <c r="C379" s="269"/>
      <c r="D379" s="270"/>
      <c r="E379" s="271"/>
      <c r="F379" s="272"/>
      <c r="G379" s="273"/>
      <c r="H379" s="204"/>
      <c r="I379" s="204"/>
      <c r="J379" s="196"/>
      <c r="K379" s="202"/>
      <c r="L379" s="192" t="str">
        <f>IFERROR(__xludf.DUMMYFUNCTION("IF(
  AND(D379=""Saída"", J379=""Sangria""),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198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94" t="str">
        <f>IFERROR(__xludf.DUMMYFUNCTION("ifna(VALUE(REGEXEXTRACT(E379,""[0-9.]+[,]+[0-9]+"")))"),"")</f>
        <v/>
      </c>
      <c r="O379" s="194"/>
      <c r="P379" s="194"/>
      <c r="Q379" s="194"/>
      <c r="R379" s="194"/>
      <c r="S379" s="194"/>
      <c r="T379" s="194"/>
      <c r="U379" s="194"/>
      <c r="V379" s="194"/>
      <c r="W379" s="194"/>
    </row>
    <row r="380" ht="14.25" customHeight="1">
      <c r="A380" s="31"/>
      <c r="B380" s="285"/>
      <c r="C380" s="212"/>
      <c r="D380" s="270"/>
      <c r="E380" s="271"/>
      <c r="F380" s="272"/>
      <c r="G380" s="273"/>
      <c r="H380" s="204"/>
      <c r="I380" s="204"/>
      <c r="J380" s="196"/>
      <c r="K380" s="196"/>
      <c r="L380" s="192" t="str">
        <f>IFERROR(__xludf.DUMMYFUNCTION("IF(
  AND(D380=""Saída"", J380=""Sangria""),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197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94" t="str">
        <f>IFERROR(__xludf.DUMMYFUNCTION("ifna(VALUE(REGEXEXTRACT(E380,""[0-9.]+[,]+[0-9]+"")))"),"")</f>
        <v/>
      </c>
      <c r="O380" s="194"/>
      <c r="P380" s="194"/>
      <c r="Q380" s="194"/>
      <c r="R380" s="194"/>
      <c r="S380" s="194"/>
      <c r="T380" s="194"/>
      <c r="U380" s="194"/>
      <c r="V380" s="194"/>
      <c r="W380" s="194"/>
    </row>
    <row r="381" ht="14.25" customHeight="1">
      <c r="A381" s="31"/>
      <c r="B381" s="268"/>
      <c r="C381" s="212"/>
      <c r="D381" s="270"/>
      <c r="E381" s="271"/>
      <c r="F381" s="272"/>
      <c r="G381" s="273"/>
      <c r="H381" s="204"/>
      <c r="I381" s="204"/>
      <c r="J381" s="196"/>
      <c r="K381" s="202"/>
      <c r="L381" s="192" t="str">
        <f>IFERROR(__xludf.DUMMYFUNCTION("IF(
  AND(D381=""Saída"", J381=""Sangria""),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198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94" t="str">
        <f>IFERROR(__xludf.DUMMYFUNCTION("ifna(VALUE(REGEXEXTRACT(E381,""[0-9.]+[,]+[0-9]+"")))"),"")</f>
        <v/>
      </c>
      <c r="O381" s="194"/>
      <c r="P381" s="194"/>
      <c r="Q381" s="194"/>
      <c r="R381" s="194"/>
      <c r="S381" s="194"/>
      <c r="T381" s="194"/>
      <c r="U381" s="194"/>
      <c r="V381" s="194"/>
      <c r="W381" s="194"/>
    </row>
    <row r="382" ht="14.25" customHeight="1">
      <c r="A382" s="31"/>
      <c r="B382" s="268"/>
      <c r="C382" s="269"/>
      <c r="D382" s="270"/>
      <c r="E382" s="271"/>
      <c r="F382" s="276"/>
      <c r="G382" s="273"/>
      <c r="H382" s="204"/>
      <c r="I382" s="204"/>
      <c r="J382" s="196"/>
      <c r="K382" s="202"/>
      <c r="L382" s="192" t="str">
        <f>IFERROR(__xludf.DUMMYFUNCTION("IF(
  AND(D382=""Saída"", J382=""Sangria""),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197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94" t="str">
        <f>IFERROR(__xludf.DUMMYFUNCTION("ifna(VALUE(REGEXEXTRACT(E382,""[0-9.]+[,]+[0-9]+"")))"),"")</f>
        <v/>
      </c>
      <c r="O382" s="194"/>
      <c r="P382" s="194"/>
      <c r="Q382" s="194"/>
      <c r="R382" s="194"/>
      <c r="S382" s="194"/>
      <c r="T382" s="194"/>
      <c r="U382" s="194"/>
      <c r="V382" s="194"/>
      <c r="W382" s="194"/>
    </row>
    <row r="383" ht="14.25" customHeight="1">
      <c r="A383" s="31"/>
      <c r="B383" s="268"/>
      <c r="C383" s="212"/>
      <c r="D383" s="270"/>
      <c r="E383" s="271"/>
      <c r="F383" s="272"/>
      <c r="G383" s="273"/>
      <c r="H383" s="204"/>
      <c r="I383" s="204"/>
      <c r="J383" s="196"/>
      <c r="K383" s="196"/>
      <c r="L383" s="192" t="str">
        <f>IFERROR(__xludf.DUMMYFUNCTION("IF(
  AND(D383=""Saída"", J383=""Sangria""),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198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94" t="str">
        <f>IFERROR(__xludf.DUMMYFUNCTION("ifna(VALUE(REGEXEXTRACT(E383,""[0-9.]+[,]+[0-9]+"")))"),"")</f>
        <v/>
      </c>
      <c r="O383" s="194"/>
      <c r="P383" s="194"/>
      <c r="Q383" s="194"/>
      <c r="R383" s="194"/>
      <c r="S383" s="194"/>
      <c r="T383" s="194"/>
      <c r="U383" s="194"/>
      <c r="V383" s="194"/>
      <c r="W383" s="194"/>
    </row>
    <row r="384" ht="14.25" customHeight="1">
      <c r="A384" s="31"/>
      <c r="B384" s="268"/>
      <c r="C384" s="269"/>
      <c r="D384" s="270"/>
      <c r="E384" s="271"/>
      <c r="F384" s="276"/>
      <c r="G384" s="273"/>
      <c r="H384" s="204"/>
      <c r="I384" s="204"/>
      <c r="J384" s="196"/>
      <c r="K384" s="196"/>
      <c r="L384" s="192" t="str">
        <f>IFERROR(__xludf.DUMMYFUNCTION("IF(
  AND(D384=""Saída"", J384=""Sangria""),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197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94" t="str">
        <f>IFERROR(__xludf.DUMMYFUNCTION("ifna(VALUE(REGEXEXTRACT(E384,""[0-9.]+[,]+[0-9]+"")))"),"")</f>
        <v/>
      </c>
      <c r="O384" s="194"/>
      <c r="P384" s="194"/>
      <c r="Q384" s="194"/>
      <c r="R384" s="194"/>
      <c r="S384" s="194"/>
      <c r="T384" s="194"/>
      <c r="U384" s="194"/>
      <c r="V384" s="194"/>
      <c r="W384" s="194"/>
    </row>
    <row r="385" ht="14.25" customHeight="1">
      <c r="A385" s="31"/>
      <c r="B385" s="268"/>
      <c r="C385" s="269"/>
      <c r="D385" s="270"/>
      <c r="E385" s="271"/>
      <c r="F385" s="276"/>
      <c r="G385" s="273"/>
      <c r="H385" s="204"/>
      <c r="I385" s="204"/>
      <c r="J385" s="196"/>
      <c r="K385" s="202"/>
      <c r="L385" s="192" t="str">
        <f>IFERROR(__xludf.DUMMYFUNCTION("IF(
  AND(D385=""Saída"", J385=""Sangria""),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198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94" t="str">
        <f>IFERROR(__xludf.DUMMYFUNCTION("ifna(VALUE(REGEXEXTRACT(E385,""[0-9.]+[,]+[0-9]+"")))"),"")</f>
        <v/>
      </c>
      <c r="O385" s="194"/>
      <c r="P385" s="194"/>
      <c r="Q385" s="194"/>
      <c r="R385" s="194"/>
      <c r="S385" s="194"/>
      <c r="T385" s="194"/>
      <c r="U385" s="194"/>
      <c r="V385" s="194"/>
      <c r="W385" s="194"/>
    </row>
    <row r="386" ht="14.25" customHeight="1">
      <c r="A386" s="31"/>
      <c r="B386" s="268"/>
      <c r="C386" s="269"/>
      <c r="D386" s="270"/>
      <c r="E386" s="271"/>
      <c r="F386" s="276"/>
      <c r="G386" s="273"/>
      <c r="H386" s="204"/>
      <c r="I386" s="204"/>
      <c r="J386" s="196"/>
      <c r="K386" s="202"/>
      <c r="L386" s="192" t="str">
        <f>IFERROR(__xludf.DUMMYFUNCTION("IF(
  AND(D386=""Saída"", J386=""Sangria""),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197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94" t="str">
        <f>IFERROR(__xludf.DUMMYFUNCTION("ifna(VALUE(REGEXEXTRACT(E386,""[0-9.]+[,]+[0-9]+"")))"),"")</f>
        <v/>
      </c>
      <c r="O386" s="194"/>
      <c r="P386" s="194"/>
      <c r="Q386" s="194"/>
      <c r="R386" s="194"/>
      <c r="S386" s="194"/>
      <c r="T386" s="194"/>
      <c r="U386" s="194"/>
      <c r="V386" s="194"/>
      <c r="W386" s="194"/>
    </row>
    <row r="387" ht="14.25" customHeight="1">
      <c r="A387" s="31"/>
      <c r="B387" s="268"/>
      <c r="C387" s="269"/>
      <c r="D387" s="270"/>
      <c r="E387" s="271"/>
      <c r="F387" s="276"/>
      <c r="G387" s="273"/>
      <c r="H387" s="204"/>
      <c r="I387" s="204"/>
      <c r="J387" s="196"/>
      <c r="K387" s="202"/>
      <c r="L387" s="192" t="str">
        <f>IFERROR(__xludf.DUMMYFUNCTION("IF(
  AND(D387=""Saída"", J387=""Sangria""),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198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94" t="str">
        <f>IFERROR(__xludf.DUMMYFUNCTION("ifna(VALUE(REGEXEXTRACT(E387,""[0-9.]+[,]+[0-9]+"")))"),"")</f>
        <v/>
      </c>
      <c r="O387" s="194"/>
      <c r="P387" s="194"/>
      <c r="Q387" s="194"/>
      <c r="R387" s="194"/>
      <c r="S387" s="194"/>
      <c r="T387" s="194"/>
      <c r="U387" s="194"/>
      <c r="V387" s="194"/>
      <c r="W387" s="194"/>
    </row>
    <row r="388" ht="14.25" customHeight="1">
      <c r="A388" s="31"/>
      <c r="B388" s="268"/>
      <c r="C388" s="269"/>
      <c r="D388" s="270"/>
      <c r="E388" s="271"/>
      <c r="F388" s="276"/>
      <c r="G388" s="273"/>
      <c r="H388" s="204"/>
      <c r="I388" s="204"/>
      <c r="J388" s="196"/>
      <c r="K388" s="202"/>
      <c r="L388" s="192" t="str">
        <f>IFERROR(__xludf.DUMMYFUNCTION("IF(
  AND(D388=""Saída"", J388=""Sangria""),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197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94" t="str">
        <f>IFERROR(__xludf.DUMMYFUNCTION("ifna(VALUE(REGEXEXTRACT(E388,""[0-9.]+[,]+[0-9]+"")))"),"")</f>
        <v/>
      </c>
      <c r="O388" s="194"/>
      <c r="P388" s="194"/>
      <c r="Q388" s="194"/>
      <c r="R388" s="194"/>
      <c r="S388" s="194"/>
      <c r="T388" s="194"/>
      <c r="U388" s="194"/>
      <c r="V388" s="194"/>
      <c r="W388" s="194"/>
    </row>
    <row r="389" ht="14.25" customHeight="1">
      <c r="A389" s="31"/>
      <c r="B389" s="268"/>
      <c r="C389" s="269"/>
      <c r="D389" s="270"/>
      <c r="E389" s="271"/>
      <c r="F389" s="276"/>
      <c r="G389" s="273"/>
      <c r="H389" s="204"/>
      <c r="I389" s="204"/>
      <c r="J389" s="212"/>
      <c r="K389" s="202"/>
      <c r="L389" s="192" t="str">
        <f>IFERROR(__xludf.DUMMYFUNCTION("IF(
  AND(D389=""Saída"", J389=""Sangria""),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198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94" t="str">
        <f>IFERROR(__xludf.DUMMYFUNCTION("ifna(VALUE(REGEXEXTRACT(E389,""[0-9.]+[,]+[0-9]+"")))"),"")</f>
        <v/>
      </c>
      <c r="O389" s="194"/>
      <c r="P389" s="194"/>
      <c r="Q389" s="194"/>
      <c r="R389" s="194"/>
      <c r="S389" s="194"/>
      <c r="T389" s="194"/>
      <c r="U389" s="194"/>
      <c r="V389" s="194"/>
      <c r="W389" s="194"/>
    </row>
    <row r="390" ht="14.25" customHeight="1">
      <c r="A390" s="31"/>
      <c r="B390" s="268"/>
      <c r="C390" s="269"/>
      <c r="D390" s="270"/>
      <c r="E390" s="271"/>
      <c r="F390" s="276"/>
      <c r="G390" s="273"/>
      <c r="H390" s="204"/>
      <c r="I390" s="204"/>
      <c r="J390" s="196"/>
      <c r="K390" s="196"/>
      <c r="L390" s="192" t="str">
        <f>IFERROR(__xludf.DUMMYFUNCTION("IF(
  AND(D390=""Saída"", J390=""Sangria""),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197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94" t="str">
        <f>IFERROR(__xludf.DUMMYFUNCTION("ifna(VALUE(REGEXEXTRACT(E390,""[0-9.]+[,]+[0-9]+"")))"),"")</f>
        <v/>
      </c>
      <c r="O390" s="194"/>
      <c r="P390" s="194"/>
      <c r="Q390" s="194"/>
      <c r="R390" s="194"/>
      <c r="S390" s="194"/>
      <c r="T390" s="194"/>
      <c r="U390" s="194"/>
      <c r="V390" s="194"/>
      <c r="W390" s="194"/>
    </row>
    <row r="391" ht="14.25" customHeight="1">
      <c r="A391" s="31"/>
      <c r="B391" s="268"/>
      <c r="C391" s="269"/>
      <c r="D391" s="270"/>
      <c r="E391" s="271"/>
      <c r="F391" s="276"/>
      <c r="G391" s="273"/>
      <c r="H391" s="204"/>
      <c r="I391" s="204"/>
      <c r="J391" s="196"/>
      <c r="K391" s="202"/>
      <c r="L391" s="192" t="str">
        <f>IFERROR(__xludf.DUMMYFUNCTION("IF(
  AND(D391=""Saída"", J391=""Sangria""),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198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94" t="str">
        <f>IFERROR(__xludf.DUMMYFUNCTION("ifna(VALUE(REGEXEXTRACT(E391,""[0-9.]+[,]+[0-9]+"")))"),"")</f>
        <v/>
      </c>
      <c r="O391" s="194"/>
      <c r="P391" s="194"/>
      <c r="Q391" s="194"/>
      <c r="R391" s="194"/>
      <c r="S391" s="194"/>
      <c r="T391" s="194"/>
      <c r="U391" s="194"/>
      <c r="V391" s="194"/>
      <c r="W391" s="194"/>
    </row>
    <row r="392" ht="14.25" customHeight="1">
      <c r="A392" s="31"/>
      <c r="B392" s="268"/>
      <c r="C392" s="269"/>
      <c r="D392" s="270"/>
      <c r="E392" s="271"/>
      <c r="F392" s="276"/>
      <c r="G392" s="273"/>
      <c r="H392" s="204"/>
      <c r="I392" s="204"/>
      <c r="J392" s="196"/>
      <c r="K392" s="196"/>
      <c r="L392" s="192" t="str">
        <f>IFERROR(__xludf.DUMMYFUNCTION("IF(
  AND(D392=""Saída"", J392=""Sangria""),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197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94" t="str">
        <f>IFERROR(__xludf.DUMMYFUNCTION("ifna(VALUE(REGEXEXTRACT(E392,""[0-9.]+[,]+[0-9]+"")))"),"")</f>
        <v/>
      </c>
      <c r="O392" s="194"/>
      <c r="P392" s="194"/>
      <c r="Q392" s="194"/>
      <c r="R392" s="194"/>
      <c r="S392" s="194"/>
      <c r="T392" s="194"/>
      <c r="U392" s="194"/>
      <c r="V392" s="194"/>
      <c r="W392" s="194"/>
    </row>
    <row r="393" ht="14.25" customHeight="1">
      <c r="A393" s="31"/>
      <c r="B393" s="268"/>
      <c r="C393" s="269"/>
      <c r="D393" s="270"/>
      <c r="E393" s="271"/>
      <c r="F393" s="276"/>
      <c r="G393" s="273"/>
      <c r="H393" s="204"/>
      <c r="I393" s="204"/>
      <c r="J393" s="196"/>
      <c r="K393" s="196"/>
      <c r="L393" s="192" t="str">
        <f>IFERROR(__xludf.DUMMYFUNCTION("IF(
  AND(D393=""Saída"", J393=""Sangria""),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198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94" t="str">
        <f>IFERROR(__xludf.DUMMYFUNCTION("ifna(VALUE(REGEXEXTRACT(E393,""[0-9.]+[,]+[0-9]+"")))"),"")</f>
        <v/>
      </c>
      <c r="O393" s="194"/>
      <c r="P393" s="194"/>
      <c r="Q393" s="194"/>
      <c r="R393" s="194"/>
      <c r="S393" s="194"/>
      <c r="T393" s="194"/>
      <c r="U393" s="194"/>
      <c r="V393" s="194"/>
      <c r="W393" s="194"/>
    </row>
    <row r="394" ht="14.25" customHeight="1">
      <c r="A394" s="31"/>
      <c r="B394" s="268"/>
      <c r="C394" s="286"/>
      <c r="D394" s="270"/>
      <c r="E394" s="271"/>
      <c r="F394" s="204"/>
      <c r="G394" s="273"/>
      <c r="H394" s="204"/>
      <c r="I394" s="204"/>
      <c r="J394" s="202"/>
      <c r="K394" s="202"/>
      <c r="L394" s="192" t="str">
        <f>IFERROR(__xludf.DUMMYFUNCTION("IF(
  AND(D394=""Saída"", J394=""Sangria""),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197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94" t="str">
        <f>IFERROR(__xludf.DUMMYFUNCTION("ifna(VALUE(REGEXEXTRACT(E394,""[0-9.]+[,]+[0-9]+"")))"),"")</f>
        <v/>
      </c>
      <c r="O394" s="194"/>
      <c r="P394" s="194"/>
      <c r="Q394" s="194"/>
      <c r="R394" s="194"/>
      <c r="S394" s="194"/>
      <c r="T394" s="194"/>
      <c r="U394" s="194"/>
      <c r="V394" s="194"/>
      <c r="W394" s="194"/>
    </row>
    <row r="395" ht="14.25" customHeight="1">
      <c r="A395" s="31"/>
      <c r="B395" s="287"/>
      <c r="C395" s="286"/>
      <c r="D395" s="270"/>
      <c r="E395" s="271"/>
      <c r="F395" s="204"/>
      <c r="G395" s="273"/>
      <c r="H395" s="204"/>
      <c r="I395" s="204"/>
      <c r="J395" s="202"/>
      <c r="K395" s="202"/>
      <c r="L395" s="192" t="str">
        <f>IFERROR(__xludf.DUMMYFUNCTION("IF(
  AND(D395=""Saída"", J395=""Sangria""),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198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94" t="str">
        <f>IFERROR(__xludf.DUMMYFUNCTION("ifna(VALUE(REGEXEXTRACT(E395,""[0-9.]+[,]+[0-9]+"")))"),"")</f>
        <v/>
      </c>
      <c r="O395" s="194"/>
      <c r="P395" s="194"/>
      <c r="Q395" s="194"/>
      <c r="R395" s="194"/>
      <c r="S395" s="194"/>
      <c r="T395" s="194"/>
      <c r="U395" s="194"/>
      <c r="V395" s="194"/>
      <c r="W395" s="194"/>
    </row>
    <row r="396" ht="14.25" customHeight="1">
      <c r="A396" s="31"/>
      <c r="B396" s="287"/>
      <c r="C396" s="286"/>
      <c r="D396" s="270"/>
      <c r="E396" s="271"/>
      <c r="F396" s="204"/>
      <c r="G396" s="273"/>
      <c r="H396" s="204"/>
      <c r="I396" s="204"/>
      <c r="J396" s="202"/>
      <c r="K396" s="202"/>
      <c r="L396" s="192" t="str">
        <f>IFERROR(__xludf.DUMMYFUNCTION("IF(
  AND(D396=""Saída"", J396=""Sangria""),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197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94" t="str">
        <f>IFERROR(__xludf.DUMMYFUNCTION("ifna(VALUE(REGEXEXTRACT(E396,""[0-9.]+[,]+[0-9]+"")))"),"")</f>
        <v/>
      </c>
      <c r="O396" s="194"/>
      <c r="P396" s="194"/>
      <c r="Q396" s="194"/>
      <c r="R396" s="194"/>
      <c r="S396" s="194"/>
      <c r="T396" s="194"/>
      <c r="U396" s="194"/>
      <c r="V396" s="194"/>
      <c r="W396" s="194"/>
    </row>
    <row r="397" ht="14.25" customHeight="1">
      <c r="A397" s="31"/>
      <c r="B397" s="287"/>
      <c r="C397" s="286"/>
      <c r="D397" s="270"/>
      <c r="E397" s="271"/>
      <c r="F397" s="204"/>
      <c r="G397" s="273"/>
      <c r="H397" s="204"/>
      <c r="I397" s="204"/>
      <c r="J397" s="202"/>
      <c r="K397" s="202"/>
      <c r="L397" s="192" t="str">
        <f>IFERROR(__xludf.DUMMYFUNCTION("IF(
  AND(D397=""Saída"", J397=""Sangria""),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198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94" t="str">
        <f>IFERROR(__xludf.DUMMYFUNCTION("ifna(VALUE(REGEXEXTRACT(E397,""[0-9.]+[,]+[0-9]+"")))"),"")</f>
        <v/>
      </c>
      <c r="O397" s="194"/>
      <c r="P397" s="194"/>
      <c r="Q397" s="194"/>
      <c r="R397" s="194"/>
      <c r="S397" s="194"/>
      <c r="T397" s="194"/>
      <c r="U397" s="194"/>
      <c r="V397" s="194"/>
      <c r="W397" s="194"/>
    </row>
    <row r="398" ht="14.25" customHeight="1">
      <c r="A398" s="31"/>
      <c r="B398" s="287"/>
      <c r="C398" s="286"/>
      <c r="D398" s="270"/>
      <c r="E398" s="271"/>
      <c r="F398" s="204"/>
      <c r="G398" s="273"/>
      <c r="H398" s="204"/>
      <c r="I398" s="204"/>
      <c r="J398" s="202"/>
      <c r="K398" s="202"/>
      <c r="L398" s="192" t="str">
        <f>IFERROR(__xludf.DUMMYFUNCTION("IF(
  AND(D398=""Saída"", J398=""Sangria""),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197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94" t="str">
        <f>IFERROR(__xludf.DUMMYFUNCTION("ifna(VALUE(REGEXEXTRACT(E398,""[0-9.]+[,]+[0-9]+"")))"),"")</f>
        <v/>
      </c>
      <c r="O398" s="194"/>
      <c r="P398" s="194"/>
      <c r="Q398" s="194"/>
      <c r="R398" s="194"/>
      <c r="S398" s="194"/>
      <c r="T398" s="194"/>
      <c r="U398" s="194"/>
      <c r="V398" s="194"/>
      <c r="W398" s="194"/>
    </row>
    <row r="399" ht="14.25" customHeight="1">
      <c r="A399" s="31"/>
      <c r="B399" s="287"/>
      <c r="C399" s="286"/>
      <c r="D399" s="270"/>
      <c r="E399" s="271"/>
      <c r="F399" s="204"/>
      <c r="G399" s="273"/>
      <c r="H399" s="204"/>
      <c r="I399" s="204"/>
      <c r="J399" s="202"/>
      <c r="K399" s="202"/>
      <c r="L399" s="192" t="str">
        <f>IFERROR(__xludf.DUMMYFUNCTION("IF(
  AND(D399=""Saída"", J399=""Sangria""),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198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94" t="str">
        <f>IFERROR(__xludf.DUMMYFUNCTION("ifna(VALUE(REGEXEXTRACT(E399,""[0-9.]+[,]+[0-9]+"")))"),"")</f>
        <v/>
      </c>
      <c r="O399" s="194"/>
      <c r="P399" s="194"/>
      <c r="Q399" s="194"/>
      <c r="R399" s="194"/>
      <c r="S399" s="194"/>
      <c r="T399" s="194"/>
      <c r="U399" s="194"/>
      <c r="V399" s="194"/>
      <c r="W399" s="194"/>
    </row>
    <row r="400" ht="14.25" customHeight="1">
      <c r="A400" s="31"/>
      <c r="B400" s="287"/>
      <c r="C400" s="286"/>
      <c r="D400" s="270"/>
      <c r="E400" s="271"/>
      <c r="F400" s="204"/>
      <c r="G400" s="273"/>
      <c r="H400" s="204"/>
      <c r="I400" s="204"/>
      <c r="J400" s="202"/>
      <c r="K400" s="202"/>
      <c r="L400" s="192" t="str">
        <f>IFERROR(__xludf.DUMMYFUNCTION("IF(
  AND(D400=""Saída"", J400=""Sangria""),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197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94" t="str">
        <f>IFERROR(__xludf.DUMMYFUNCTION("ifna(VALUE(REGEXEXTRACT(E400,""[0-9.]+[,]+[0-9]+"")))"),"")</f>
        <v/>
      </c>
      <c r="O400" s="194"/>
      <c r="P400" s="194"/>
      <c r="Q400" s="194"/>
      <c r="R400" s="194"/>
      <c r="S400" s="194"/>
      <c r="T400" s="194"/>
      <c r="U400" s="194"/>
      <c r="V400" s="194"/>
      <c r="W400" s="194"/>
    </row>
    <row r="401" ht="14.25" customHeight="1">
      <c r="A401" s="31"/>
      <c r="B401" s="287"/>
      <c r="C401" s="286"/>
      <c r="D401" s="270"/>
      <c r="E401" s="271"/>
      <c r="F401" s="204"/>
      <c r="G401" s="273"/>
      <c r="H401" s="204"/>
      <c r="I401" s="204"/>
      <c r="J401" s="202"/>
      <c r="K401" s="202"/>
      <c r="L401" s="192" t="str">
        <f>IFERROR(__xludf.DUMMYFUNCTION("IF(
  AND(D401=""Saída"", J401=""Sangria""),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198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94" t="str">
        <f>IFERROR(__xludf.DUMMYFUNCTION("ifna(VALUE(REGEXEXTRACT(E401,""[0-9.]+[,]+[0-9]+"")))"),"")</f>
        <v/>
      </c>
      <c r="O401" s="194"/>
      <c r="P401" s="194"/>
      <c r="Q401" s="194"/>
      <c r="R401" s="194"/>
      <c r="S401" s="194"/>
      <c r="T401" s="194"/>
      <c r="U401" s="194"/>
      <c r="V401" s="194"/>
      <c r="W401" s="194"/>
    </row>
    <row r="402" ht="14.25" customHeight="1">
      <c r="A402" s="31"/>
      <c r="B402" s="287"/>
      <c r="C402" s="286"/>
      <c r="D402" s="270"/>
      <c r="E402" s="271"/>
      <c r="F402" s="204"/>
      <c r="G402" s="273"/>
      <c r="H402" s="204"/>
      <c r="I402" s="204"/>
      <c r="J402" s="202"/>
      <c r="K402" s="202"/>
      <c r="L402" s="192" t="str">
        <f>IFERROR(__xludf.DUMMYFUNCTION("IF(
  AND(D402=""Saída"", J402=""Sangria""),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197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94" t="str">
        <f>IFERROR(__xludf.DUMMYFUNCTION("ifna(VALUE(REGEXEXTRACT(E402,""[0-9.]+[,]+[0-9]+"")))"),"")</f>
        <v/>
      </c>
      <c r="O402" s="194"/>
      <c r="P402" s="194"/>
      <c r="Q402" s="194"/>
      <c r="R402" s="194"/>
      <c r="S402" s="194"/>
      <c r="T402" s="194"/>
      <c r="U402" s="194"/>
      <c r="V402" s="194"/>
      <c r="W402" s="194"/>
    </row>
    <row r="403" ht="14.25" customHeight="1">
      <c r="A403" s="31"/>
      <c r="B403" s="287"/>
      <c r="C403" s="286"/>
      <c r="D403" s="270"/>
      <c r="E403" s="271"/>
      <c r="F403" s="204"/>
      <c r="G403" s="273"/>
      <c r="H403" s="204"/>
      <c r="I403" s="204"/>
      <c r="J403" s="202"/>
      <c r="K403" s="202"/>
      <c r="L403" s="192" t="str">
        <f>IFERROR(__xludf.DUMMYFUNCTION("IF(
  AND(D403=""Saída"", J403=""Sangria""),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198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94" t="str">
        <f>IFERROR(__xludf.DUMMYFUNCTION("ifna(VALUE(REGEXEXTRACT(E403,""[0-9.]+[,]+[0-9]+"")))"),"")</f>
        <v/>
      </c>
      <c r="O403" s="194"/>
      <c r="P403" s="194"/>
      <c r="Q403" s="194"/>
      <c r="R403" s="194"/>
      <c r="S403" s="194"/>
      <c r="T403" s="194"/>
      <c r="U403" s="194"/>
      <c r="V403" s="194"/>
      <c r="W403" s="194"/>
    </row>
    <row r="404" ht="14.25" customHeight="1">
      <c r="A404" s="31"/>
      <c r="B404" s="287"/>
      <c r="C404" s="286"/>
      <c r="D404" s="270"/>
      <c r="E404" s="271"/>
      <c r="F404" s="204"/>
      <c r="G404" s="273"/>
      <c r="H404" s="204"/>
      <c r="I404" s="204"/>
      <c r="J404" s="202"/>
      <c r="K404" s="202"/>
      <c r="L404" s="192" t="str">
        <f>IFERROR(__xludf.DUMMYFUNCTION("IF(
  AND(D404=""Saída"", J404=""Sangria""),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197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94" t="str">
        <f>IFERROR(__xludf.DUMMYFUNCTION("ifna(VALUE(REGEXEXTRACT(E404,""[0-9.]+[,]+[0-9]+"")))"),"")</f>
        <v/>
      </c>
      <c r="O404" s="194"/>
      <c r="P404" s="194"/>
      <c r="Q404" s="194"/>
      <c r="R404" s="194"/>
      <c r="S404" s="194"/>
      <c r="T404" s="194"/>
      <c r="U404" s="194"/>
      <c r="V404" s="194"/>
      <c r="W404" s="194"/>
    </row>
    <row r="405" ht="14.25" customHeight="1">
      <c r="A405" s="31"/>
      <c r="B405" s="287"/>
      <c r="C405" s="286"/>
      <c r="D405" s="270"/>
      <c r="E405" s="271"/>
      <c r="F405" s="204"/>
      <c r="G405" s="273"/>
      <c r="H405" s="204"/>
      <c r="I405" s="204"/>
      <c r="J405" s="202"/>
      <c r="K405" s="202"/>
      <c r="L405" s="192" t="str">
        <f>IFERROR(__xludf.DUMMYFUNCTION("IF(
  AND(D405=""Saída"", J405=""Sangria""),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198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94" t="str">
        <f>IFERROR(__xludf.DUMMYFUNCTION("ifna(VALUE(REGEXEXTRACT(E405,""[0-9.]+[,]+[0-9]+"")))"),"")</f>
        <v/>
      </c>
      <c r="O405" s="194"/>
      <c r="P405" s="194"/>
      <c r="Q405" s="194"/>
      <c r="R405" s="194"/>
      <c r="S405" s="194"/>
      <c r="T405" s="194"/>
      <c r="U405" s="194"/>
      <c r="V405" s="194"/>
      <c r="W405" s="194"/>
    </row>
    <row r="406" ht="14.25" customHeight="1">
      <c r="A406" s="31"/>
      <c r="B406" s="287"/>
      <c r="C406" s="286"/>
      <c r="D406" s="270"/>
      <c r="E406" s="288"/>
      <c r="F406" s="204"/>
      <c r="G406" s="273"/>
      <c r="H406" s="204"/>
      <c r="I406" s="204"/>
      <c r="J406" s="202"/>
      <c r="K406" s="202"/>
      <c r="L406" s="192" t="str">
        <f>IFERROR(__xludf.DUMMYFUNCTION("IF(
  AND(D406=""Saída"", J406=""Sangria""),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197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94" t="str">
        <f>IFERROR(__xludf.DUMMYFUNCTION("ifna(VALUE(REGEXEXTRACT(E406,""[0-9.]+[,]+[0-9]+"")))"),"")</f>
        <v/>
      </c>
      <c r="O406" s="194"/>
      <c r="P406" s="194"/>
      <c r="Q406" s="194"/>
      <c r="R406" s="194"/>
      <c r="S406" s="194"/>
      <c r="T406" s="194"/>
      <c r="U406" s="194"/>
      <c r="V406" s="194"/>
      <c r="W406" s="194"/>
    </row>
    <row r="407" ht="14.25" customHeight="1">
      <c r="A407" s="31"/>
      <c r="B407" s="287"/>
      <c r="C407" s="286"/>
      <c r="D407" s="270"/>
      <c r="E407" s="288"/>
      <c r="F407" s="204"/>
      <c r="G407" s="289"/>
      <c r="H407" s="204"/>
      <c r="I407" s="204"/>
      <c r="J407" s="202"/>
      <c r="K407" s="202"/>
      <c r="L407" s="192" t="str">
        <f>IFERROR(__xludf.DUMMYFUNCTION("IF(
  AND(D407=""Saída"", J407=""Sangria""),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198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94" t="str">
        <f>IFERROR(__xludf.DUMMYFUNCTION("ifna(VALUE(REGEXEXTRACT(E407,""[0-9.]+[,]+[0-9]+"")))"),"")</f>
        <v/>
      </c>
      <c r="O407" s="194"/>
      <c r="P407" s="194"/>
      <c r="Q407" s="194"/>
      <c r="R407" s="194"/>
      <c r="S407" s="194"/>
      <c r="T407" s="194"/>
      <c r="U407" s="194"/>
      <c r="V407" s="194"/>
      <c r="W407" s="194"/>
    </row>
    <row r="408" ht="14.25" customHeight="1">
      <c r="A408" s="31"/>
      <c r="B408" s="287"/>
      <c r="C408" s="286"/>
      <c r="D408" s="270"/>
      <c r="E408" s="288"/>
      <c r="F408" s="204"/>
      <c r="G408" s="289"/>
      <c r="H408" s="204"/>
      <c r="I408" s="204"/>
      <c r="J408" s="202"/>
      <c r="K408" s="202"/>
      <c r="L408" s="192" t="str">
        <f>IFERROR(__xludf.DUMMYFUNCTION("IF(
  AND(D408=""Saída"", J408=""Sangria""),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197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94" t="str">
        <f>IFERROR(__xludf.DUMMYFUNCTION("ifna(VALUE(REGEXEXTRACT(E408,""[0-9.]+[,]+[0-9]+"")))"),"")</f>
        <v/>
      </c>
      <c r="O408" s="194"/>
      <c r="P408" s="194"/>
      <c r="Q408" s="194"/>
      <c r="R408" s="194"/>
      <c r="S408" s="194"/>
      <c r="T408" s="194"/>
      <c r="U408" s="194"/>
      <c r="V408" s="194"/>
      <c r="W408" s="194"/>
    </row>
    <row r="409" ht="14.25" customHeight="1">
      <c r="A409" s="31"/>
      <c r="B409" s="287"/>
      <c r="C409" s="286"/>
      <c r="D409" s="270"/>
      <c r="E409" s="288"/>
      <c r="F409" s="204"/>
      <c r="G409" s="289"/>
      <c r="H409" s="204"/>
      <c r="I409" s="204"/>
      <c r="J409" s="202"/>
      <c r="K409" s="202"/>
      <c r="L409" s="192" t="str">
        <f>IFERROR(__xludf.DUMMYFUNCTION("IF(
  AND(D409=""Saída"", J409=""Sangria""),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198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94" t="str">
        <f>IFERROR(__xludf.DUMMYFUNCTION("ifna(VALUE(REGEXEXTRACT(E409,""[0-9.]+[,]+[0-9]+"")))"),"")</f>
        <v/>
      </c>
      <c r="O409" s="194"/>
      <c r="P409" s="194"/>
      <c r="Q409" s="194"/>
      <c r="R409" s="194"/>
      <c r="S409" s="194"/>
      <c r="T409" s="194"/>
      <c r="U409" s="194"/>
      <c r="V409" s="194"/>
      <c r="W409" s="194"/>
    </row>
    <row r="410" ht="14.25" customHeight="1">
      <c r="A410" s="31"/>
      <c r="B410" s="287"/>
      <c r="C410" s="286"/>
      <c r="D410" s="270"/>
      <c r="E410" s="288"/>
      <c r="F410" s="204"/>
      <c r="G410" s="289"/>
      <c r="H410" s="204"/>
      <c r="I410" s="204"/>
      <c r="J410" s="202"/>
      <c r="K410" s="202"/>
      <c r="L410" s="192" t="str">
        <f>IFERROR(__xludf.DUMMYFUNCTION("IF(
  AND(D410=""Saída"", J410=""Sangria""),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197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94" t="str">
        <f>IFERROR(__xludf.DUMMYFUNCTION("ifna(VALUE(REGEXEXTRACT(E410,""[0-9.]+[,]+[0-9]+"")))"),"")</f>
        <v/>
      </c>
      <c r="O410" s="194"/>
      <c r="P410" s="194"/>
      <c r="Q410" s="194"/>
      <c r="R410" s="194"/>
      <c r="S410" s="194"/>
      <c r="T410" s="194"/>
      <c r="U410" s="194"/>
      <c r="V410" s="194"/>
      <c r="W410" s="194"/>
    </row>
    <row r="411" ht="14.25" customHeight="1">
      <c r="A411" s="31"/>
      <c r="B411" s="287"/>
      <c r="C411" s="286"/>
      <c r="D411" s="204"/>
      <c r="E411" s="288"/>
      <c r="F411" s="204"/>
      <c r="G411" s="289"/>
      <c r="H411" s="204"/>
      <c r="I411" s="204"/>
      <c r="J411" s="202"/>
      <c r="K411" s="202"/>
      <c r="L411" s="192" t="str">
        <f>IFERROR(__xludf.DUMMYFUNCTION("IF(
  AND(D411=""Saída"", J411=""Sangria""),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198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94" t="str">
        <f>IFERROR(__xludf.DUMMYFUNCTION("ifna(VALUE(REGEXEXTRACT(E411,""[0-9.]+[,]+[0-9]+"")))"),"")</f>
        <v/>
      </c>
      <c r="O411" s="194"/>
      <c r="P411" s="194"/>
      <c r="Q411" s="194"/>
      <c r="R411" s="194"/>
      <c r="S411" s="194"/>
      <c r="T411" s="194"/>
      <c r="U411" s="194"/>
      <c r="V411" s="194"/>
      <c r="W411" s="194"/>
    </row>
    <row r="412" ht="14.25" customHeight="1">
      <c r="A412" s="31"/>
      <c r="B412" s="287"/>
      <c r="C412" s="286"/>
      <c r="D412" s="204"/>
      <c r="E412" s="288"/>
      <c r="F412" s="204"/>
      <c r="G412" s="289"/>
      <c r="H412" s="204"/>
      <c r="I412" s="204"/>
      <c r="J412" s="202"/>
      <c r="K412" s="202"/>
      <c r="L412" s="192" t="str">
        <f>IFERROR(__xludf.DUMMYFUNCTION("IF(
  AND(D412=""Saída"", J412=""Sangria""),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197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94" t="str">
        <f>IFERROR(__xludf.DUMMYFUNCTION("ifna(VALUE(REGEXEXTRACT(E412,""[0-9.]+[,]+[0-9]+"")))"),"")</f>
        <v/>
      </c>
      <c r="O412" s="194"/>
      <c r="P412" s="194"/>
      <c r="Q412" s="194"/>
      <c r="R412" s="194"/>
      <c r="S412" s="194"/>
      <c r="T412" s="194"/>
      <c r="U412" s="194"/>
      <c r="V412" s="194"/>
      <c r="W412" s="194"/>
    </row>
    <row r="413" ht="14.25" customHeight="1">
      <c r="A413" s="31"/>
      <c r="B413" s="287"/>
      <c r="C413" s="286"/>
      <c r="D413" s="204"/>
      <c r="E413" s="288"/>
      <c r="F413" s="204"/>
      <c r="G413" s="289"/>
      <c r="H413" s="204"/>
      <c r="I413" s="204"/>
      <c r="J413" s="202"/>
      <c r="K413" s="202"/>
      <c r="L413" s="192" t="str">
        <f>IFERROR(__xludf.DUMMYFUNCTION("IF(
  AND(D413=""Saída"", J413=""Sangria""),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198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94" t="str">
        <f>IFERROR(__xludf.DUMMYFUNCTION("ifna(VALUE(REGEXEXTRACT(E413,""[0-9.]+[,]+[0-9]+"")))"),"")</f>
        <v/>
      </c>
      <c r="O413" s="194"/>
      <c r="P413" s="194"/>
      <c r="Q413" s="194"/>
      <c r="R413" s="194"/>
      <c r="S413" s="194"/>
      <c r="T413" s="194"/>
      <c r="U413" s="194"/>
      <c r="V413" s="194"/>
      <c r="W413" s="194"/>
    </row>
    <row r="414" ht="14.25" customHeight="1">
      <c r="A414" s="31"/>
      <c r="B414" s="287"/>
      <c r="C414" s="286"/>
      <c r="D414" s="204"/>
      <c r="E414" s="288"/>
      <c r="F414" s="204"/>
      <c r="G414" s="289"/>
      <c r="H414" s="204"/>
      <c r="I414" s="204"/>
      <c r="J414" s="202"/>
      <c r="K414" s="202"/>
      <c r="L414" s="192" t="str">
        <f>IFERROR(__xludf.DUMMYFUNCTION("IF(
  AND(D414=""Saída"", J414=""Sangria""),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197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94" t="str">
        <f>IFERROR(__xludf.DUMMYFUNCTION("ifna(VALUE(REGEXEXTRACT(E414,""[0-9.]+[,]+[0-9]+"")))"),"")</f>
        <v/>
      </c>
      <c r="O414" s="194"/>
      <c r="P414" s="194"/>
      <c r="Q414" s="194"/>
      <c r="R414" s="194"/>
      <c r="S414" s="194"/>
      <c r="T414" s="194"/>
      <c r="U414" s="194"/>
      <c r="V414" s="194"/>
      <c r="W414" s="194"/>
    </row>
    <row r="415" ht="14.25" customHeight="1">
      <c r="A415" s="31"/>
      <c r="B415" s="287"/>
      <c r="C415" s="286"/>
      <c r="D415" s="204"/>
      <c r="E415" s="288"/>
      <c r="F415" s="204"/>
      <c r="G415" s="289"/>
      <c r="H415" s="204"/>
      <c r="I415" s="204"/>
      <c r="J415" s="202"/>
      <c r="K415" s="202"/>
      <c r="L415" s="192" t="str">
        <f>IFERROR(__xludf.DUMMYFUNCTION("IF(
  AND(D415=""Saída"", J415=""Sangria""),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198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94" t="str">
        <f>IFERROR(__xludf.DUMMYFUNCTION("ifna(VALUE(REGEXEXTRACT(E415,""[0-9.]+[,]+[0-9]+"")))"),"")</f>
        <v/>
      </c>
      <c r="O415" s="194"/>
      <c r="P415" s="194"/>
      <c r="Q415" s="194"/>
      <c r="R415" s="194"/>
      <c r="S415" s="194"/>
      <c r="T415" s="194"/>
      <c r="U415" s="194"/>
      <c r="V415" s="194"/>
      <c r="W415" s="194"/>
    </row>
    <row r="416" ht="14.25" customHeight="1">
      <c r="A416" s="31"/>
      <c r="B416" s="287"/>
      <c r="C416" s="286"/>
      <c r="D416" s="204"/>
      <c r="E416" s="288"/>
      <c r="F416" s="204"/>
      <c r="G416" s="289"/>
      <c r="H416" s="204"/>
      <c r="I416" s="204"/>
      <c r="J416" s="202"/>
      <c r="K416" s="202"/>
      <c r="L416" s="192" t="str">
        <f>IFERROR(__xludf.DUMMYFUNCTION("IF(
  AND(D416=""Saída"", J416=""Sangria""),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197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94" t="str">
        <f>IFERROR(__xludf.DUMMYFUNCTION("ifna(VALUE(REGEXEXTRACT(E416,""[0-9.]+[,]+[0-9]+"")))"),"")</f>
        <v/>
      </c>
      <c r="O416" s="194"/>
      <c r="P416" s="194"/>
      <c r="Q416" s="194"/>
      <c r="R416" s="194"/>
      <c r="S416" s="194"/>
      <c r="T416" s="194"/>
      <c r="U416" s="194"/>
      <c r="V416" s="194"/>
      <c r="W416" s="194"/>
    </row>
    <row r="417" ht="14.25" customHeight="1">
      <c r="A417" s="31"/>
      <c r="B417" s="287"/>
      <c r="C417" s="286"/>
      <c r="D417" s="204"/>
      <c r="E417" s="288"/>
      <c r="F417" s="204"/>
      <c r="G417" s="289"/>
      <c r="H417" s="204"/>
      <c r="I417" s="204"/>
      <c r="J417" s="202"/>
      <c r="K417" s="202"/>
      <c r="L417" s="192" t="str">
        <f>IFERROR(__xludf.DUMMYFUNCTION("IF(
  AND(D417=""Saída"", J417=""Sangria""),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198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94" t="str">
        <f>IFERROR(__xludf.DUMMYFUNCTION("ifna(VALUE(REGEXEXTRACT(E417,""[0-9.]+[,]+[0-9]+"")))"),"")</f>
        <v/>
      </c>
      <c r="O417" s="194"/>
      <c r="P417" s="194"/>
      <c r="Q417" s="194"/>
      <c r="R417" s="194"/>
      <c r="S417" s="194"/>
      <c r="T417" s="194"/>
      <c r="U417" s="194"/>
      <c r="V417" s="194"/>
      <c r="W417" s="194"/>
    </row>
    <row r="418" ht="14.25" customHeight="1">
      <c r="A418" s="31"/>
      <c r="B418" s="287"/>
      <c r="C418" s="286"/>
      <c r="D418" s="204"/>
      <c r="E418" s="288"/>
      <c r="F418" s="204"/>
      <c r="G418" s="289"/>
      <c r="H418" s="204"/>
      <c r="I418" s="204"/>
      <c r="J418" s="202"/>
      <c r="K418" s="202"/>
      <c r="L418" s="192" t="str">
        <f>IFERROR(__xludf.DUMMYFUNCTION("IF(
  AND(D418=""Saída"", J418=""Sangria""),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197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94" t="str">
        <f>IFERROR(__xludf.DUMMYFUNCTION("ifna(VALUE(REGEXEXTRACT(E418,""[0-9.]+[,]+[0-9]+"")))"),"")</f>
        <v/>
      </c>
      <c r="O418" s="194"/>
      <c r="P418" s="194"/>
      <c r="Q418" s="194"/>
      <c r="R418" s="194"/>
      <c r="S418" s="194"/>
      <c r="T418" s="194"/>
      <c r="U418" s="194"/>
      <c r="V418" s="194"/>
      <c r="W418" s="194"/>
    </row>
    <row r="419" ht="14.25" customHeight="1">
      <c r="A419" s="31"/>
      <c r="B419" s="287"/>
      <c r="C419" s="286"/>
      <c r="D419" s="204"/>
      <c r="E419" s="288"/>
      <c r="F419" s="204"/>
      <c r="G419" s="289"/>
      <c r="H419" s="204"/>
      <c r="I419" s="204"/>
      <c r="J419" s="202"/>
      <c r="K419" s="202"/>
      <c r="L419" s="192" t="str">
        <f>IFERROR(__xludf.DUMMYFUNCTION("IF(
  AND(D419=""Saída"", J419=""Sangria""),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198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94" t="str">
        <f>IFERROR(__xludf.DUMMYFUNCTION("ifna(VALUE(REGEXEXTRACT(E419,""[0-9.]+[,]+[0-9]+"")))"),"")</f>
        <v/>
      </c>
      <c r="O419" s="194"/>
      <c r="P419" s="194"/>
      <c r="Q419" s="194"/>
      <c r="R419" s="194"/>
      <c r="S419" s="194"/>
      <c r="T419" s="194"/>
      <c r="U419" s="194"/>
      <c r="V419" s="194"/>
      <c r="W419" s="194"/>
    </row>
    <row r="420" ht="14.25" customHeight="1">
      <c r="A420" s="31"/>
      <c r="B420" s="287"/>
      <c r="C420" s="286"/>
      <c r="D420" s="204"/>
      <c r="E420" s="288"/>
      <c r="F420" s="204"/>
      <c r="G420" s="289"/>
      <c r="H420" s="204"/>
      <c r="I420" s="204"/>
      <c r="J420" s="202"/>
      <c r="K420" s="202"/>
      <c r="L420" s="192" t="str">
        <f>IFERROR(__xludf.DUMMYFUNCTION("IF(
  AND(D420=""Saída"", J420=""Sangria""),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197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94" t="str">
        <f>IFERROR(__xludf.DUMMYFUNCTION("ifna(VALUE(REGEXEXTRACT(E420,""[0-9.]+[,]+[0-9]+"")))"),"")</f>
        <v/>
      </c>
      <c r="O420" s="194"/>
      <c r="P420" s="194"/>
      <c r="Q420" s="194"/>
      <c r="R420" s="194"/>
      <c r="S420" s="194"/>
      <c r="T420" s="194"/>
      <c r="U420" s="194"/>
      <c r="V420" s="194"/>
      <c r="W420" s="194"/>
    </row>
    <row r="421" ht="14.25" customHeight="1">
      <c r="A421" s="31"/>
      <c r="B421" s="287"/>
      <c r="C421" s="286"/>
      <c r="D421" s="204"/>
      <c r="E421" s="288"/>
      <c r="F421" s="204"/>
      <c r="G421" s="289"/>
      <c r="H421" s="204"/>
      <c r="I421" s="204"/>
      <c r="J421" s="202"/>
      <c r="K421" s="202"/>
      <c r="L421" s="192" t="str">
        <f>IFERROR(__xludf.DUMMYFUNCTION("IF(
  AND(D421=""Saída"", J421=""Sangria""),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198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94" t="str">
        <f>IFERROR(__xludf.DUMMYFUNCTION("ifna(VALUE(REGEXEXTRACT(E421,""[0-9.]+[,]+[0-9]+"")))"),"")</f>
        <v/>
      </c>
      <c r="O421" s="194"/>
      <c r="P421" s="194"/>
      <c r="Q421" s="194"/>
      <c r="R421" s="194"/>
      <c r="S421" s="194"/>
      <c r="T421" s="194"/>
      <c r="U421" s="194"/>
      <c r="V421" s="194"/>
      <c r="W421" s="194"/>
    </row>
    <row r="422" ht="14.25" customHeight="1">
      <c r="A422" s="31"/>
      <c r="B422" s="287"/>
      <c r="C422" s="286"/>
      <c r="D422" s="204"/>
      <c r="E422" s="288"/>
      <c r="F422" s="204"/>
      <c r="G422" s="289"/>
      <c r="H422" s="204"/>
      <c r="I422" s="204"/>
      <c r="J422" s="202"/>
      <c r="K422" s="202"/>
      <c r="L422" s="192" t="str">
        <f>IFERROR(__xludf.DUMMYFUNCTION("IF(
  AND(D422=""Saída"", J422=""Sangria""),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197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94" t="str">
        <f>IFERROR(__xludf.DUMMYFUNCTION("ifna(VALUE(REGEXEXTRACT(E422,""[0-9.]+[,]+[0-9]+"")))"),"")</f>
        <v/>
      </c>
      <c r="O422" s="194"/>
      <c r="P422" s="194"/>
      <c r="Q422" s="194"/>
      <c r="R422" s="194"/>
      <c r="S422" s="194"/>
      <c r="T422" s="194"/>
      <c r="U422" s="194"/>
      <c r="V422" s="194"/>
      <c r="W422" s="194"/>
    </row>
    <row r="423" ht="14.25" customHeight="1">
      <c r="A423" s="31"/>
      <c r="B423" s="287"/>
      <c r="C423" s="286"/>
      <c r="D423" s="204"/>
      <c r="E423" s="288"/>
      <c r="F423" s="204"/>
      <c r="G423" s="289"/>
      <c r="H423" s="204"/>
      <c r="I423" s="204"/>
      <c r="J423" s="202"/>
      <c r="K423" s="202"/>
      <c r="L423" s="192" t="str">
        <f>IFERROR(__xludf.DUMMYFUNCTION("IF(
  AND(D423=""Saída"", J423=""Sangria""),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198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94" t="str">
        <f>IFERROR(__xludf.DUMMYFUNCTION("ifna(VALUE(REGEXEXTRACT(E423,""[0-9.]+[,]+[0-9]+"")))"),"")</f>
        <v/>
      </c>
      <c r="O423" s="194"/>
      <c r="P423" s="194"/>
      <c r="Q423" s="194"/>
      <c r="R423" s="194"/>
      <c r="S423" s="194"/>
      <c r="T423" s="194"/>
      <c r="U423" s="194"/>
      <c r="V423" s="194"/>
      <c r="W423" s="194"/>
    </row>
    <row r="424" ht="14.25" customHeight="1">
      <c r="A424" s="31"/>
      <c r="B424" s="287"/>
      <c r="C424" s="286"/>
      <c r="D424" s="204"/>
      <c r="E424" s="288"/>
      <c r="F424" s="204"/>
      <c r="G424" s="289"/>
      <c r="H424" s="204"/>
      <c r="I424" s="204"/>
      <c r="J424" s="202"/>
      <c r="K424" s="202"/>
      <c r="L424" s="192" t="str">
        <f>IFERROR(__xludf.DUMMYFUNCTION("IF(
  AND(D424=""Saída"", J424=""Sangria""),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197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94" t="str">
        <f>IFERROR(__xludf.DUMMYFUNCTION("ifna(VALUE(REGEXEXTRACT(E424,""[0-9.]+[,]+[0-9]+"")))"),"")</f>
        <v/>
      </c>
      <c r="O424" s="194"/>
      <c r="P424" s="194"/>
      <c r="Q424" s="194"/>
      <c r="R424" s="194"/>
      <c r="S424" s="194"/>
      <c r="T424" s="194"/>
      <c r="U424" s="194"/>
      <c r="V424" s="194"/>
      <c r="W424" s="194"/>
    </row>
    <row r="425" ht="14.25" customHeight="1">
      <c r="A425" s="31"/>
      <c r="B425" s="287"/>
      <c r="C425" s="286"/>
      <c r="D425" s="204"/>
      <c r="E425" s="288"/>
      <c r="F425" s="204"/>
      <c r="G425" s="289"/>
      <c r="H425" s="204"/>
      <c r="I425" s="204"/>
      <c r="J425" s="202"/>
      <c r="K425" s="202"/>
      <c r="L425" s="192" t="str">
        <f>IFERROR(__xludf.DUMMYFUNCTION("IF(
  AND(D425=""Saída"", J425=""Sangria""),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198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94" t="str">
        <f>IFERROR(__xludf.DUMMYFUNCTION("ifna(VALUE(REGEXEXTRACT(E425,""[0-9.]+[,]+[0-9]+"")))"),"")</f>
        <v/>
      </c>
      <c r="O425" s="194"/>
      <c r="P425" s="194"/>
      <c r="Q425" s="194"/>
      <c r="R425" s="194"/>
      <c r="S425" s="194"/>
      <c r="T425" s="194"/>
      <c r="U425" s="194"/>
      <c r="V425" s="194"/>
      <c r="W425" s="194"/>
    </row>
    <row r="426" ht="14.25" customHeight="1">
      <c r="A426" s="31"/>
      <c r="B426" s="287"/>
      <c r="C426" s="286"/>
      <c r="D426" s="204"/>
      <c r="E426" s="288"/>
      <c r="F426" s="204"/>
      <c r="G426" s="289"/>
      <c r="H426" s="204"/>
      <c r="I426" s="204"/>
      <c r="J426" s="202"/>
      <c r="K426" s="202"/>
      <c r="L426" s="192" t="str">
        <f>IFERROR(__xludf.DUMMYFUNCTION("IF(
  AND(D426=""Saída"", J426=""Sangria""),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197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94" t="str">
        <f>IFERROR(__xludf.DUMMYFUNCTION("ifna(VALUE(REGEXEXTRACT(E426,""[0-9.]+[,]+[0-9]+"")))"),"")</f>
        <v/>
      </c>
      <c r="O426" s="194"/>
      <c r="P426" s="194"/>
      <c r="Q426" s="194"/>
      <c r="R426" s="194"/>
      <c r="S426" s="194"/>
      <c r="T426" s="194"/>
      <c r="U426" s="194"/>
      <c r="V426" s="194"/>
      <c r="W426" s="194"/>
    </row>
    <row r="427" ht="14.25" customHeight="1">
      <c r="A427" s="31"/>
      <c r="B427" s="287"/>
      <c r="C427" s="286"/>
      <c r="D427" s="204"/>
      <c r="E427" s="288"/>
      <c r="F427" s="204"/>
      <c r="G427" s="289"/>
      <c r="H427" s="204"/>
      <c r="I427" s="204"/>
      <c r="J427" s="202"/>
      <c r="K427" s="202"/>
      <c r="L427" s="192" t="str">
        <f>IFERROR(__xludf.DUMMYFUNCTION("IF(
  AND(D427=""Saída"", J427=""Sangria""),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198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94" t="str">
        <f>IFERROR(__xludf.DUMMYFUNCTION("ifna(VALUE(REGEXEXTRACT(E427,""[0-9.]+[,]+[0-9]+"")))"),"")</f>
        <v/>
      </c>
      <c r="O427" s="194"/>
      <c r="P427" s="194"/>
      <c r="Q427" s="194"/>
      <c r="R427" s="194"/>
      <c r="S427" s="194"/>
      <c r="T427" s="194"/>
      <c r="U427" s="194"/>
      <c r="V427" s="194"/>
      <c r="W427" s="194"/>
    </row>
    <row r="428" ht="14.25" customHeight="1">
      <c r="A428" s="31"/>
      <c r="B428" s="287"/>
      <c r="C428" s="286"/>
      <c r="D428" s="204"/>
      <c r="E428" s="288"/>
      <c r="F428" s="204"/>
      <c r="G428" s="289"/>
      <c r="H428" s="204"/>
      <c r="I428" s="204"/>
      <c r="J428" s="202"/>
      <c r="K428" s="202"/>
      <c r="L428" s="192" t="str">
        <f>IFERROR(__xludf.DUMMYFUNCTION("IF(
  AND(D428=""Saída"", J428=""Sangria""),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197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94" t="str">
        <f>IFERROR(__xludf.DUMMYFUNCTION("ifna(VALUE(REGEXEXTRACT(E428,""[0-9.]+[,]+[0-9]+"")))"),"")</f>
        <v/>
      </c>
      <c r="O428" s="194"/>
      <c r="P428" s="194"/>
      <c r="Q428" s="194"/>
      <c r="R428" s="194"/>
      <c r="S428" s="194"/>
      <c r="T428" s="194"/>
      <c r="U428" s="194"/>
      <c r="V428" s="194"/>
      <c r="W428" s="194"/>
    </row>
    <row r="429" ht="14.25" customHeight="1">
      <c r="A429" s="31"/>
      <c r="B429" s="287"/>
      <c r="C429" s="286"/>
      <c r="D429" s="204"/>
      <c r="E429" s="288"/>
      <c r="F429" s="204"/>
      <c r="G429" s="289"/>
      <c r="H429" s="204"/>
      <c r="I429" s="204"/>
      <c r="J429" s="202"/>
      <c r="K429" s="202"/>
      <c r="L429" s="192" t="str">
        <f>IFERROR(__xludf.DUMMYFUNCTION("IF(
  AND(D429=""Saída"", J429=""Sangria""),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198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94" t="str">
        <f>IFERROR(__xludf.DUMMYFUNCTION("ifna(VALUE(REGEXEXTRACT(E429,""[0-9.]+[,]+[0-9]+"")))"),"")</f>
        <v/>
      </c>
      <c r="O429" s="194"/>
      <c r="P429" s="194"/>
      <c r="Q429" s="194"/>
      <c r="R429" s="194"/>
      <c r="S429" s="194"/>
      <c r="T429" s="194"/>
      <c r="U429" s="194"/>
      <c r="V429" s="194"/>
      <c r="W429" s="194"/>
    </row>
    <row r="430" ht="14.25" customHeight="1">
      <c r="A430" s="31"/>
      <c r="B430" s="287"/>
      <c r="C430" s="286"/>
      <c r="D430" s="204"/>
      <c r="E430" s="288"/>
      <c r="F430" s="204"/>
      <c r="G430" s="289"/>
      <c r="H430" s="204"/>
      <c r="I430" s="204"/>
      <c r="J430" s="202"/>
      <c r="K430" s="202"/>
      <c r="L430" s="192" t="str">
        <f>IFERROR(__xludf.DUMMYFUNCTION("IF(
  AND(D430=""Saída"", J430=""Sangria""),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197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94" t="str">
        <f>IFERROR(__xludf.DUMMYFUNCTION("ifna(VALUE(REGEXEXTRACT(E430,""[0-9.]+[,]+[0-9]+"")))"),"")</f>
        <v/>
      </c>
      <c r="O430" s="194"/>
      <c r="P430" s="194"/>
      <c r="Q430" s="194"/>
      <c r="R430" s="194"/>
      <c r="S430" s="194"/>
      <c r="T430" s="194"/>
      <c r="U430" s="194"/>
      <c r="V430" s="194"/>
      <c r="W430" s="194"/>
    </row>
    <row r="431" ht="14.25" customHeight="1">
      <c r="A431" s="31"/>
      <c r="B431" s="287"/>
      <c r="C431" s="286"/>
      <c r="D431" s="204"/>
      <c r="E431" s="288"/>
      <c r="F431" s="204"/>
      <c r="G431" s="289"/>
      <c r="H431" s="204"/>
      <c r="I431" s="204"/>
      <c r="J431" s="202"/>
      <c r="K431" s="202"/>
      <c r="L431" s="192" t="str">
        <f>IFERROR(__xludf.DUMMYFUNCTION("IF(
  AND(D431=""Saída"", J431=""Sangria""),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198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94" t="str">
        <f>IFERROR(__xludf.DUMMYFUNCTION("ifna(VALUE(REGEXEXTRACT(E431,""[0-9.]+[,]+[0-9]+"")))"),"")</f>
        <v/>
      </c>
      <c r="O431" s="194"/>
      <c r="P431" s="194"/>
      <c r="Q431" s="194"/>
      <c r="R431" s="194"/>
      <c r="S431" s="194"/>
      <c r="T431" s="194"/>
      <c r="U431" s="194"/>
      <c r="V431" s="194"/>
      <c r="W431" s="194"/>
    </row>
    <row r="432" ht="14.25" customHeight="1">
      <c r="A432" s="31"/>
      <c r="B432" s="287"/>
      <c r="C432" s="286"/>
      <c r="D432" s="204"/>
      <c r="E432" s="288"/>
      <c r="F432" s="204"/>
      <c r="G432" s="289"/>
      <c r="H432" s="204"/>
      <c r="I432" s="204"/>
      <c r="J432" s="202"/>
      <c r="K432" s="202"/>
      <c r="L432" s="192" t="str">
        <f>IFERROR(__xludf.DUMMYFUNCTION("IF(
  AND(D432=""Saída"", J432=""Sangria""),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197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94" t="str">
        <f>IFERROR(__xludf.DUMMYFUNCTION("ifna(VALUE(REGEXEXTRACT(E432,""[0-9.]+[,]+[0-9]+"")))"),"")</f>
        <v/>
      </c>
      <c r="O432" s="194"/>
      <c r="P432" s="194"/>
      <c r="Q432" s="194"/>
      <c r="R432" s="194"/>
      <c r="S432" s="194"/>
      <c r="T432" s="194"/>
      <c r="U432" s="194"/>
      <c r="V432" s="194"/>
      <c r="W432" s="194"/>
    </row>
    <row r="433" ht="14.25" customHeight="1">
      <c r="A433" s="31"/>
      <c r="B433" s="287"/>
      <c r="C433" s="286"/>
      <c r="D433" s="204"/>
      <c r="E433" s="288"/>
      <c r="F433" s="204"/>
      <c r="G433" s="289"/>
      <c r="H433" s="204"/>
      <c r="I433" s="204"/>
      <c r="J433" s="202"/>
      <c r="K433" s="202"/>
      <c r="L433" s="192" t="str">
        <f>IFERROR(__xludf.DUMMYFUNCTION("IF(
  AND(D433=""Saída"", J433=""Sangria""),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198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94" t="str">
        <f>IFERROR(__xludf.DUMMYFUNCTION("ifna(VALUE(REGEXEXTRACT(E433,""[0-9.]+[,]+[0-9]+"")))"),"")</f>
        <v/>
      </c>
      <c r="O433" s="194"/>
      <c r="P433" s="194"/>
      <c r="Q433" s="194"/>
      <c r="R433" s="194"/>
      <c r="S433" s="194"/>
      <c r="T433" s="194"/>
      <c r="U433" s="194"/>
      <c r="V433" s="194"/>
      <c r="W433" s="194"/>
    </row>
    <row r="434" ht="14.25" customHeight="1">
      <c r="A434" s="31"/>
      <c r="B434" s="287"/>
      <c r="C434" s="286"/>
      <c r="D434" s="204"/>
      <c r="E434" s="288"/>
      <c r="F434" s="204"/>
      <c r="G434" s="289"/>
      <c r="H434" s="204"/>
      <c r="I434" s="204"/>
      <c r="J434" s="202"/>
      <c r="K434" s="202"/>
      <c r="L434" s="192" t="str">
        <f>IFERROR(__xludf.DUMMYFUNCTION("IF(
  AND(D434=""Saída"", J434=""Sangria""),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197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94" t="str">
        <f>IFERROR(__xludf.DUMMYFUNCTION("ifna(VALUE(REGEXEXTRACT(E434,""[0-9.]+[,]+[0-9]+"")))"),"")</f>
        <v/>
      </c>
      <c r="O434" s="194"/>
      <c r="P434" s="194"/>
      <c r="Q434" s="194"/>
      <c r="R434" s="194"/>
      <c r="S434" s="194"/>
      <c r="T434" s="194"/>
      <c r="U434" s="194"/>
      <c r="V434" s="194"/>
      <c r="W434" s="194"/>
    </row>
    <row r="435" ht="14.25" customHeight="1">
      <c r="A435" s="31"/>
      <c r="B435" s="287"/>
      <c r="C435" s="286"/>
      <c r="D435" s="204"/>
      <c r="E435" s="288"/>
      <c r="F435" s="204"/>
      <c r="G435" s="289"/>
      <c r="H435" s="204"/>
      <c r="I435" s="204"/>
      <c r="J435" s="202"/>
      <c r="K435" s="202"/>
      <c r="L435" s="192" t="str">
        <f>IFERROR(__xludf.DUMMYFUNCTION("IF(
  AND(D435=""Saída"", J435=""Sangria""),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198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94" t="str">
        <f>IFERROR(__xludf.DUMMYFUNCTION("ifna(VALUE(REGEXEXTRACT(E435,""[0-9.]+[,]+[0-9]+"")))"),"")</f>
        <v/>
      </c>
      <c r="O435" s="194"/>
      <c r="P435" s="194"/>
      <c r="Q435" s="194"/>
      <c r="R435" s="194"/>
      <c r="S435" s="194"/>
      <c r="T435" s="194"/>
      <c r="U435" s="194"/>
      <c r="V435" s="194"/>
      <c r="W435" s="194"/>
    </row>
    <row r="436" ht="14.25" customHeight="1">
      <c r="A436" s="31"/>
      <c r="B436" s="287"/>
      <c r="C436" s="286"/>
      <c r="D436" s="204"/>
      <c r="E436" s="288"/>
      <c r="F436" s="204"/>
      <c r="G436" s="289"/>
      <c r="H436" s="204"/>
      <c r="I436" s="204"/>
      <c r="J436" s="202"/>
      <c r="K436" s="202"/>
      <c r="L436" s="192" t="str">
        <f>IFERROR(__xludf.DUMMYFUNCTION("IF(
  AND(D436=""Saída"", J436=""Sangria""),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197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94" t="str">
        <f>IFERROR(__xludf.DUMMYFUNCTION("ifna(VALUE(REGEXEXTRACT(E436,""[0-9.]+[,]+[0-9]+"")))"),"")</f>
        <v/>
      </c>
      <c r="O436" s="194"/>
      <c r="P436" s="194"/>
      <c r="Q436" s="194"/>
      <c r="R436" s="194"/>
      <c r="S436" s="194"/>
      <c r="T436" s="194"/>
      <c r="U436" s="194"/>
      <c r="V436" s="194"/>
      <c r="W436" s="194"/>
    </row>
    <row r="437" ht="14.25" customHeight="1">
      <c r="A437" s="31"/>
      <c r="B437" s="287"/>
      <c r="C437" s="286"/>
      <c r="D437" s="204"/>
      <c r="E437" s="288"/>
      <c r="F437" s="204"/>
      <c r="G437" s="289"/>
      <c r="H437" s="204"/>
      <c r="I437" s="204"/>
      <c r="J437" s="202"/>
      <c r="K437" s="202"/>
      <c r="L437" s="192" t="str">
        <f>IFERROR(__xludf.DUMMYFUNCTION("IF(
  AND(D437=""Saída"", J437=""Sangria""),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198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94" t="str">
        <f>IFERROR(__xludf.DUMMYFUNCTION("ifna(VALUE(REGEXEXTRACT(E437,""[0-9.]+[,]+[0-9]+"")))"),"")</f>
        <v/>
      </c>
      <c r="O437" s="194"/>
      <c r="P437" s="194"/>
      <c r="Q437" s="194"/>
      <c r="R437" s="194"/>
      <c r="S437" s="194"/>
      <c r="T437" s="194"/>
      <c r="U437" s="194"/>
      <c r="V437" s="194"/>
      <c r="W437" s="194"/>
    </row>
    <row r="438" ht="14.25" customHeight="1">
      <c r="A438" s="31"/>
      <c r="B438" s="287"/>
      <c r="C438" s="286"/>
      <c r="D438" s="204"/>
      <c r="E438" s="288"/>
      <c r="F438" s="204"/>
      <c r="G438" s="289"/>
      <c r="H438" s="204"/>
      <c r="I438" s="204"/>
      <c r="J438" s="202"/>
      <c r="K438" s="202"/>
      <c r="L438" s="192" t="str">
        <f>IFERROR(__xludf.DUMMYFUNCTION("IF(
  AND(D438=""Saída"", J438=""Sangria""),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197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94" t="str">
        <f>IFERROR(__xludf.DUMMYFUNCTION("ifna(VALUE(REGEXEXTRACT(E438,""[0-9.]+[,]+[0-9]+"")))"),"")</f>
        <v/>
      </c>
      <c r="O438" s="194"/>
      <c r="P438" s="194"/>
      <c r="Q438" s="194"/>
      <c r="R438" s="194"/>
      <c r="S438" s="194"/>
      <c r="T438" s="194"/>
      <c r="U438" s="194"/>
      <c r="V438" s="194"/>
      <c r="W438" s="194"/>
    </row>
    <row r="439" ht="14.25" customHeight="1">
      <c r="A439" s="31"/>
      <c r="B439" s="287"/>
      <c r="C439" s="286"/>
      <c r="D439" s="204"/>
      <c r="E439" s="288"/>
      <c r="F439" s="204"/>
      <c r="G439" s="289"/>
      <c r="H439" s="204"/>
      <c r="I439" s="204"/>
      <c r="J439" s="202"/>
      <c r="K439" s="202"/>
      <c r="L439" s="192" t="str">
        <f>IFERROR(__xludf.DUMMYFUNCTION("IF(
  AND(D439=""Saída"", J439=""Sangria""),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198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94" t="str">
        <f>IFERROR(__xludf.DUMMYFUNCTION("ifna(VALUE(REGEXEXTRACT(E439,""[0-9.]+[,]+[0-9]+"")))"),"")</f>
        <v/>
      </c>
      <c r="O439" s="194"/>
      <c r="P439" s="194"/>
      <c r="Q439" s="194"/>
      <c r="R439" s="194"/>
      <c r="S439" s="194"/>
      <c r="T439" s="194"/>
      <c r="U439" s="194"/>
      <c r="V439" s="194"/>
      <c r="W439" s="194"/>
    </row>
    <row r="440" ht="14.25" customHeight="1">
      <c r="A440" s="31"/>
      <c r="B440" s="287"/>
      <c r="C440" s="286"/>
      <c r="D440" s="204"/>
      <c r="E440" s="288"/>
      <c r="F440" s="204"/>
      <c r="G440" s="289"/>
      <c r="H440" s="204"/>
      <c r="I440" s="204"/>
      <c r="J440" s="202"/>
      <c r="K440" s="202"/>
      <c r="L440" s="192" t="str">
        <f>IFERROR(__xludf.DUMMYFUNCTION("IF(
  AND(D440=""Saída"", J440=""Sangria""),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197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94" t="str">
        <f>IFERROR(__xludf.DUMMYFUNCTION("ifna(VALUE(REGEXEXTRACT(E440,""[0-9.]+[,]+[0-9]+"")))"),"")</f>
        <v/>
      </c>
      <c r="O440" s="194"/>
      <c r="P440" s="194"/>
      <c r="Q440" s="194"/>
      <c r="R440" s="194"/>
      <c r="S440" s="194"/>
      <c r="T440" s="194"/>
      <c r="U440" s="194"/>
      <c r="V440" s="194"/>
      <c r="W440" s="194"/>
    </row>
    <row r="441" ht="14.25" customHeight="1">
      <c r="A441" s="31"/>
      <c r="B441" s="287"/>
      <c r="C441" s="286"/>
      <c r="D441" s="204"/>
      <c r="E441" s="288"/>
      <c r="F441" s="204"/>
      <c r="G441" s="289"/>
      <c r="H441" s="204"/>
      <c r="I441" s="204"/>
      <c r="J441" s="202"/>
      <c r="K441" s="202"/>
      <c r="L441" s="192" t="str">
        <f>IFERROR(__xludf.DUMMYFUNCTION("IF(
  AND(D441=""Saída"", J441=""Sangria""),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198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94" t="str">
        <f>IFERROR(__xludf.DUMMYFUNCTION("ifna(VALUE(REGEXEXTRACT(E441,""[0-9.]+[,]+[0-9]+"")))"),"")</f>
        <v/>
      </c>
      <c r="O441" s="194"/>
      <c r="P441" s="194"/>
      <c r="Q441" s="194"/>
      <c r="R441" s="194"/>
      <c r="S441" s="194"/>
      <c r="T441" s="194"/>
      <c r="U441" s="194"/>
      <c r="V441" s="194"/>
      <c r="W441" s="194"/>
    </row>
    <row r="442" ht="14.25" customHeight="1">
      <c r="A442" s="31"/>
      <c r="B442" s="287"/>
      <c r="C442" s="286"/>
      <c r="D442" s="204"/>
      <c r="E442" s="288"/>
      <c r="F442" s="204"/>
      <c r="G442" s="289"/>
      <c r="H442" s="204"/>
      <c r="I442" s="204"/>
      <c r="J442" s="202"/>
      <c r="K442" s="202"/>
      <c r="L442" s="192" t="str">
        <f>IFERROR(__xludf.DUMMYFUNCTION("IF(
  AND(D442=""Saída"", J442=""Sangria""),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197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94" t="str">
        <f>IFERROR(__xludf.DUMMYFUNCTION("ifna(VALUE(REGEXEXTRACT(E442,""[0-9.]+[,]+[0-9]+"")))"),"")</f>
        <v/>
      </c>
      <c r="O442" s="194"/>
      <c r="P442" s="194"/>
      <c r="Q442" s="194"/>
      <c r="R442" s="194"/>
      <c r="S442" s="194"/>
      <c r="T442" s="194"/>
      <c r="U442" s="194"/>
      <c r="V442" s="194"/>
      <c r="W442" s="194"/>
    </row>
    <row r="443" ht="14.25" customHeight="1">
      <c r="A443" s="31"/>
      <c r="B443" s="287"/>
      <c r="C443" s="286"/>
      <c r="D443" s="204"/>
      <c r="E443" s="288"/>
      <c r="F443" s="204"/>
      <c r="G443" s="289"/>
      <c r="H443" s="204"/>
      <c r="I443" s="204"/>
      <c r="J443" s="202"/>
      <c r="K443" s="202"/>
      <c r="L443" s="192" t="str">
        <f>IFERROR(__xludf.DUMMYFUNCTION("IF(
  AND(D443=""Saída"", J443=""Sangria""),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198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94" t="str">
        <f>IFERROR(__xludf.DUMMYFUNCTION("ifna(VALUE(REGEXEXTRACT(E443,""[0-9.]+[,]+[0-9]+"")))"),"")</f>
        <v/>
      </c>
      <c r="O443" s="194"/>
      <c r="P443" s="194"/>
      <c r="Q443" s="194"/>
      <c r="R443" s="194"/>
      <c r="S443" s="194"/>
      <c r="T443" s="194"/>
      <c r="U443" s="194"/>
      <c r="V443" s="194"/>
      <c r="W443" s="194"/>
    </row>
    <row r="444" ht="14.25" customHeight="1">
      <c r="A444" s="31"/>
      <c r="B444" s="287"/>
      <c r="C444" s="286"/>
      <c r="D444" s="204"/>
      <c r="E444" s="288"/>
      <c r="F444" s="204"/>
      <c r="G444" s="289"/>
      <c r="H444" s="204"/>
      <c r="I444" s="204"/>
      <c r="J444" s="202"/>
      <c r="K444" s="202"/>
      <c r="L444" s="192" t="str">
        <f>IFERROR(__xludf.DUMMYFUNCTION("IF(
  AND(D444=""Saída"", J444=""Sangria""),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197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94" t="str">
        <f>IFERROR(__xludf.DUMMYFUNCTION("ifna(VALUE(REGEXEXTRACT(E444,""[0-9.]+[,]+[0-9]+"")))"),"")</f>
        <v/>
      </c>
      <c r="O444" s="194"/>
      <c r="P444" s="194"/>
      <c r="Q444" s="194"/>
      <c r="R444" s="194"/>
      <c r="S444" s="194"/>
      <c r="T444" s="194"/>
      <c r="U444" s="194"/>
      <c r="V444" s="194"/>
      <c r="W444" s="194"/>
    </row>
    <row r="445" ht="14.25" customHeight="1">
      <c r="A445" s="31"/>
      <c r="B445" s="287"/>
      <c r="C445" s="286"/>
      <c r="D445" s="204"/>
      <c r="E445" s="288"/>
      <c r="F445" s="204"/>
      <c r="G445" s="289"/>
      <c r="H445" s="204"/>
      <c r="I445" s="204"/>
      <c r="J445" s="202"/>
      <c r="K445" s="202"/>
      <c r="L445" s="192" t="str">
        <f>IFERROR(__xludf.DUMMYFUNCTION("IF(
  AND(D445=""Saída"", J445=""Sangria""),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198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94" t="str">
        <f>IFERROR(__xludf.DUMMYFUNCTION("ifna(VALUE(REGEXEXTRACT(E445,""[0-9.]+[,]+[0-9]+"")))"),"")</f>
        <v/>
      </c>
      <c r="O445" s="194"/>
      <c r="P445" s="194"/>
      <c r="Q445" s="194"/>
      <c r="R445" s="194"/>
      <c r="S445" s="194"/>
      <c r="T445" s="194"/>
      <c r="U445" s="194"/>
      <c r="V445" s="194"/>
      <c r="W445" s="194"/>
    </row>
    <row r="446" ht="14.25" customHeight="1">
      <c r="A446" s="31"/>
      <c r="B446" s="287"/>
      <c r="C446" s="286"/>
      <c r="D446" s="204"/>
      <c r="E446" s="288"/>
      <c r="F446" s="204"/>
      <c r="G446" s="289"/>
      <c r="H446" s="204"/>
      <c r="I446" s="204"/>
      <c r="J446" s="202"/>
      <c r="K446" s="202"/>
      <c r="L446" s="192" t="str">
        <f>IFERROR(__xludf.DUMMYFUNCTION("IF(
  AND(D446=""Saída"", J446=""Sangria""),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197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94" t="str">
        <f>IFERROR(__xludf.DUMMYFUNCTION("ifna(VALUE(REGEXEXTRACT(E446,""[0-9.]+[,]+[0-9]+"")))"),"")</f>
        <v/>
      </c>
      <c r="O446" s="194"/>
      <c r="P446" s="194"/>
      <c r="Q446" s="194"/>
      <c r="R446" s="194"/>
      <c r="S446" s="194"/>
      <c r="T446" s="194"/>
      <c r="U446" s="194"/>
      <c r="V446" s="194"/>
      <c r="W446" s="194"/>
    </row>
    <row r="447" ht="14.25" customHeight="1">
      <c r="A447" s="31"/>
      <c r="B447" s="287"/>
      <c r="C447" s="286"/>
      <c r="D447" s="204"/>
      <c r="E447" s="288"/>
      <c r="F447" s="204"/>
      <c r="G447" s="289"/>
      <c r="H447" s="204"/>
      <c r="I447" s="204"/>
      <c r="J447" s="202"/>
      <c r="K447" s="202"/>
      <c r="L447" s="192" t="str">
        <f>IFERROR(__xludf.DUMMYFUNCTION("IF(
  AND(D447=""Saída"", J447=""Sangria""),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198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94" t="str">
        <f>IFERROR(__xludf.DUMMYFUNCTION("ifna(VALUE(REGEXEXTRACT(E447,""[0-9.]+[,]+[0-9]+"")))"),"")</f>
        <v/>
      </c>
      <c r="O447" s="194"/>
      <c r="P447" s="194"/>
      <c r="Q447" s="194"/>
      <c r="R447" s="194"/>
      <c r="S447" s="194"/>
      <c r="T447" s="194"/>
      <c r="U447" s="194"/>
      <c r="V447" s="194"/>
      <c r="W447" s="194"/>
    </row>
    <row r="448" ht="14.25" customHeight="1">
      <c r="A448" s="31"/>
      <c r="B448" s="287"/>
      <c r="C448" s="286"/>
      <c r="D448" s="204"/>
      <c r="E448" s="288"/>
      <c r="F448" s="204"/>
      <c r="G448" s="289"/>
      <c r="H448" s="204"/>
      <c r="I448" s="204"/>
      <c r="J448" s="202"/>
      <c r="K448" s="202"/>
      <c r="L448" s="192" t="str">
        <f>IFERROR(__xludf.DUMMYFUNCTION("IF(
  AND(D448=""Saída"", J448=""Sangria""),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197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94" t="str">
        <f>IFERROR(__xludf.DUMMYFUNCTION("ifna(VALUE(REGEXEXTRACT(E448,""[0-9.]+[,]+[0-9]+"")))"),"")</f>
        <v/>
      </c>
      <c r="O448" s="194"/>
      <c r="P448" s="194"/>
      <c r="Q448" s="194"/>
      <c r="R448" s="194"/>
      <c r="S448" s="194"/>
      <c r="T448" s="194"/>
      <c r="U448" s="194"/>
      <c r="V448" s="194"/>
      <c r="W448" s="194"/>
    </row>
    <row r="449" ht="14.25" customHeight="1">
      <c r="A449" s="31"/>
      <c r="B449" s="287"/>
      <c r="C449" s="286"/>
      <c r="D449" s="204"/>
      <c r="E449" s="288"/>
      <c r="F449" s="204"/>
      <c r="G449" s="289"/>
      <c r="H449" s="204"/>
      <c r="I449" s="204"/>
      <c r="J449" s="202"/>
      <c r="K449" s="202"/>
      <c r="L449" s="192" t="str">
        <f>IFERROR(__xludf.DUMMYFUNCTION("IF(
  AND(D449=""Saída"", J449=""Sangria""),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198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94" t="str">
        <f>IFERROR(__xludf.DUMMYFUNCTION("ifna(VALUE(REGEXEXTRACT(E449,""[0-9.]+[,]+[0-9]+"")))"),"")</f>
        <v/>
      </c>
      <c r="O449" s="194"/>
      <c r="P449" s="194"/>
      <c r="Q449" s="194"/>
      <c r="R449" s="194"/>
      <c r="S449" s="194"/>
      <c r="T449" s="194"/>
      <c r="U449" s="194"/>
      <c r="V449" s="194"/>
      <c r="W449" s="194"/>
    </row>
    <row r="450" ht="14.25" customHeight="1">
      <c r="A450" s="31"/>
      <c r="B450" s="287"/>
      <c r="C450" s="286"/>
      <c r="D450" s="204"/>
      <c r="E450" s="288"/>
      <c r="F450" s="204"/>
      <c r="G450" s="289"/>
      <c r="H450" s="204"/>
      <c r="I450" s="204"/>
      <c r="J450" s="202"/>
      <c r="K450" s="202"/>
      <c r="L450" s="192" t="str">
        <f>IFERROR(__xludf.DUMMYFUNCTION("IF(
  AND(D450=""Saída"", J450=""Sangria""),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197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94" t="str">
        <f>IFERROR(__xludf.DUMMYFUNCTION("ifna(VALUE(REGEXEXTRACT(E450,""[0-9.]+[,]+[0-9]+"")))"),"")</f>
        <v/>
      </c>
      <c r="O450" s="194"/>
      <c r="P450" s="194"/>
      <c r="Q450" s="194"/>
      <c r="R450" s="194"/>
      <c r="S450" s="194"/>
      <c r="T450" s="194"/>
      <c r="U450" s="194"/>
      <c r="V450" s="194"/>
      <c r="W450" s="194"/>
    </row>
    <row r="451" ht="14.25" customHeight="1">
      <c r="A451" s="31"/>
      <c r="B451" s="287"/>
      <c r="C451" s="286"/>
      <c r="D451" s="204"/>
      <c r="E451" s="288"/>
      <c r="F451" s="204"/>
      <c r="G451" s="289"/>
      <c r="H451" s="204"/>
      <c r="I451" s="204"/>
      <c r="J451" s="202"/>
      <c r="K451" s="202"/>
      <c r="L451" s="192" t="str">
        <f>IFERROR(__xludf.DUMMYFUNCTION("IF(
  AND(D451=""Saída"", J451=""Sangria""),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198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94" t="str">
        <f>IFERROR(__xludf.DUMMYFUNCTION("ifna(VALUE(REGEXEXTRACT(E451,""[0-9.]+[,]+[0-9]+"")))"),"")</f>
        <v/>
      </c>
      <c r="O451" s="194"/>
      <c r="P451" s="194"/>
      <c r="Q451" s="194"/>
      <c r="R451" s="194"/>
      <c r="S451" s="194"/>
      <c r="T451" s="194"/>
      <c r="U451" s="194"/>
      <c r="V451" s="194"/>
      <c r="W451" s="194"/>
    </row>
    <row r="452" ht="14.25" customHeight="1">
      <c r="A452" s="31"/>
      <c r="B452" s="287"/>
      <c r="C452" s="286"/>
      <c r="D452" s="204"/>
      <c r="E452" s="288"/>
      <c r="F452" s="204"/>
      <c r="G452" s="289"/>
      <c r="H452" s="204"/>
      <c r="I452" s="204"/>
      <c r="J452" s="202"/>
      <c r="K452" s="202"/>
      <c r="L452" s="192" t="str">
        <f>IFERROR(__xludf.DUMMYFUNCTION("IF(
  AND(D452=""Saída"", J452=""Sangria""),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197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94" t="str">
        <f>IFERROR(__xludf.DUMMYFUNCTION("ifna(VALUE(REGEXEXTRACT(E452,""[0-9.]+[,]+[0-9]+"")))"),"")</f>
        <v/>
      </c>
      <c r="O452" s="194"/>
      <c r="P452" s="194"/>
      <c r="Q452" s="194"/>
      <c r="R452" s="194"/>
      <c r="S452" s="194"/>
      <c r="T452" s="194"/>
      <c r="U452" s="194"/>
      <c r="V452" s="194"/>
      <c r="W452" s="194"/>
    </row>
    <row r="453" ht="14.25" customHeight="1">
      <c r="A453" s="31"/>
      <c r="B453" s="287"/>
      <c r="C453" s="286"/>
      <c r="D453" s="204"/>
      <c r="E453" s="288"/>
      <c r="F453" s="204"/>
      <c r="G453" s="289"/>
      <c r="H453" s="204"/>
      <c r="I453" s="204"/>
      <c r="J453" s="202"/>
      <c r="K453" s="202"/>
      <c r="L453" s="192" t="str">
        <f>IFERROR(__xludf.DUMMYFUNCTION("IF(
  AND(D453=""Saída"", J453=""Sangria""),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198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94" t="str">
        <f>IFERROR(__xludf.DUMMYFUNCTION("ifna(VALUE(REGEXEXTRACT(E453,""[0-9.]+[,]+[0-9]+"")))"),"")</f>
        <v/>
      </c>
      <c r="O453" s="194"/>
      <c r="P453" s="194"/>
      <c r="Q453" s="194"/>
      <c r="R453" s="194"/>
      <c r="S453" s="194"/>
      <c r="T453" s="194"/>
      <c r="U453" s="194"/>
      <c r="V453" s="194"/>
      <c r="W453" s="194"/>
    </row>
    <row r="454" ht="14.25" customHeight="1">
      <c r="A454" s="31"/>
      <c r="B454" s="287"/>
      <c r="C454" s="286"/>
      <c r="D454" s="204"/>
      <c r="E454" s="288"/>
      <c r="F454" s="204"/>
      <c r="G454" s="289"/>
      <c r="H454" s="204"/>
      <c r="I454" s="204"/>
      <c r="J454" s="202"/>
      <c r="K454" s="202"/>
      <c r="L454" s="192" t="str">
        <f>IFERROR(__xludf.DUMMYFUNCTION("IF(
  AND(D454=""Saída"", J454=""Sangria""),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197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94" t="str">
        <f>IFERROR(__xludf.DUMMYFUNCTION("ifna(VALUE(REGEXEXTRACT(E454,""[0-9.]+[,]+[0-9]+"")))"),"")</f>
        <v/>
      </c>
      <c r="O454" s="194"/>
      <c r="P454" s="194"/>
      <c r="Q454" s="194"/>
      <c r="R454" s="194"/>
      <c r="S454" s="194"/>
      <c r="T454" s="194"/>
      <c r="U454" s="194"/>
      <c r="V454" s="194"/>
      <c r="W454" s="194"/>
    </row>
    <row r="455" ht="14.25" customHeight="1">
      <c r="A455" s="31"/>
      <c r="B455" s="287"/>
      <c r="C455" s="286"/>
      <c r="D455" s="204"/>
      <c r="E455" s="288"/>
      <c r="F455" s="204"/>
      <c r="G455" s="289"/>
      <c r="H455" s="204"/>
      <c r="I455" s="204"/>
      <c r="J455" s="202"/>
      <c r="K455" s="202"/>
      <c r="L455" s="192" t="str">
        <f>IFERROR(__xludf.DUMMYFUNCTION("IF(
  AND(D455=""Saída"", J455=""Sangria""),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198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94" t="str">
        <f>IFERROR(__xludf.DUMMYFUNCTION("ifna(VALUE(REGEXEXTRACT(E455,""[0-9.]+[,]+[0-9]+"")))"),"")</f>
        <v/>
      </c>
      <c r="O455" s="194"/>
      <c r="P455" s="194"/>
      <c r="Q455" s="194"/>
      <c r="R455" s="194"/>
      <c r="S455" s="194"/>
      <c r="T455" s="194"/>
      <c r="U455" s="194"/>
      <c r="V455" s="194"/>
      <c r="W455" s="194"/>
    </row>
    <row r="456" ht="14.25" customHeight="1">
      <c r="A456" s="31"/>
      <c r="B456" s="287"/>
      <c r="C456" s="286"/>
      <c r="D456" s="204"/>
      <c r="E456" s="288"/>
      <c r="F456" s="204"/>
      <c r="G456" s="289"/>
      <c r="H456" s="204"/>
      <c r="I456" s="204"/>
      <c r="J456" s="202"/>
      <c r="K456" s="202"/>
      <c r="L456" s="192" t="str">
        <f>IFERROR(__xludf.DUMMYFUNCTION("IF(
  AND(D456=""Saída"", J456=""Sangria""),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197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94" t="str">
        <f>IFERROR(__xludf.DUMMYFUNCTION("ifna(VALUE(REGEXEXTRACT(E456,""[0-9.]+[,]+[0-9]+"")))"),"")</f>
        <v/>
      </c>
      <c r="O456" s="194"/>
      <c r="P456" s="194"/>
      <c r="Q456" s="194"/>
      <c r="R456" s="194"/>
      <c r="S456" s="194"/>
      <c r="T456" s="194"/>
      <c r="U456" s="194"/>
      <c r="V456" s="194"/>
      <c r="W456" s="194"/>
    </row>
    <row r="457" ht="14.25" customHeight="1">
      <c r="A457" s="31"/>
      <c r="B457" s="287"/>
      <c r="C457" s="286"/>
      <c r="D457" s="204"/>
      <c r="E457" s="288"/>
      <c r="F457" s="204"/>
      <c r="G457" s="289"/>
      <c r="H457" s="204"/>
      <c r="I457" s="204"/>
      <c r="J457" s="202"/>
      <c r="K457" s="202"/>
      <c r="L457" s="192" t="str">
        <f>IFERROR(__xludf.DUMMYFUNCTION("IF(
  AND(D457=""Saída"", J457=""Sangria""),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198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94" t="str">
        <f>IFERROR(__xludf.DUMMYFUNCTION("ifna(VALUE(REGEXEXTRACT(E457,""[0-9.]+[,]+[0-9]+"")))"),"")</f>
        <v/>
      </c>
      <c r="O457" s="194"/>
      <c r="P457" s="194"/>
      <c r="Q457" s="194"/>
      <c r="R457" s="194"/>
      <c r="S457" s="194"/>
      <c r="T457" s="194"/>
      <c r="U457" s="194"/>
      <c r="V457" s="194"/>
      <c r="W457" s="194"/>
    </row>
    <row r="458" ht="14.25" customHeight="1">
      <c r="A458" s="31"/>
      <c r="B458" s="287"/>
      <c r="C458" s="286"/>
      <c r="D458" s="204"/>
      <c r="E458" s="288"/>
      <c r="F458" s="204"/>
      <c r="G458" s="289"/>
      <c r="H458" s="204"/>
      <c r="I458" s="204"/>
      <c r="J458" s="202"/>
      <c r="K458" s="202"/>
      <c r="L458" s="192" t="str">
        <f>IFERROR(__xludf.DUMMYFUNCTION("IF(
  AND(D458=""Saída"", J458=""Sangria""),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197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94" t="str">
        <f>IFERROR(__xludf.DUMMYFUNCTION("ifna(VALUE(REGEXEXTRACT(E458,""[0-9.]+[,]+[0-9]+"")))"),"")</f>
        <v/>
      </c>
      <c r="O458" s="194"/>
      <c r="P458" s="194"/>
      <c r="Q458" s="194"/>
      <c r="R458" s="194"/>
      <c r="S458" s="194"/>
      <c r="T458" s="194"/>
      <c r="U458" s="194"/>
      <c r="V458" s="194"/>
      <c r="W458" s="194"/>
    </row>
    <row r="459" ht="14.25" customHeight="1">
      <c r="A459" s="31"/>
      <c r="B459" s="287"/>
      <c r="C459" s="286"/>
      <c r="D459" s="204"/>
      <c r="E459" s="288"/>
      <c r="F459" s="204"/>
      <c r="G459" s="289"/>
      <c r="H459" s="204"/>
      <c r="I459" s="204"/>
      <c r="J459" s="202"/>
      <c r="K459" s="202"/>
      <c r="L459" s="192" t="str">
        <f>IFERROR(__xludf.DUMMYFUNCTION("IF(
  AND(D459=""Saída"", J459=""Sangria""),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198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94" t="str">
        <f>IFERROR(__xludf.DUMMYFUNCTION("ifna(VALUE(REGEXEXTRACT(E459,""[0-9.]+[,]+[0-9]+"")))"),"")</f>
        <v/>
      </c>
      <c r="O459" s="194"/>
      <c r="P459" s="194"/>
      <c r="Q459" s="194"/>
      <c r="R459" s="194"/>
      <c r="S459" s="194"/>
      <c r="T459" s="194"/>
      <c r="U459" s="194"/>
      <c r="V459" s="194"/>
      <c r="W459" s="194"/>
    </row>
    <row r="460" ht="14.25" customHeight="1">
      <c r="A460" s="31"/>
      <c r="B460" s="287"/>
      <c r="C460" s="286"/>
      <c r="D460" s="204"/>
      <c r="E460" s="288"/>
      <c r="F460" s="204"/>
      <c r="G460" s="289"/>
      <c r="H460" s="204"/>
      <c r="I460" s="204"/>
      <c r="J460" s="202"/>
      <c r="K460" s="202"/>
      <c r="L460" s="192" t="str">
        <f>IFERROR(__xludf.DUMMYFUNCTION("IF(
  AND(D460=""Saída"", J460=""Sangria""),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197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94" t="str">
        <f>IFERROR(__xludf.DUMMYFUNCTION("ifna(VALUE(REGEXEXTRACT(E460,""[0-9.]+[,]+[0-9]+"")))"),"")</f>
        <v/>
      </c>
      <c r="O460" s="194"/>
      <c r="P460" s="194"/>
      <c r="Q460" s="194"/>
      <c r="R460" s="194"/>
      <c r="S460" s="194"/>
      <c r="T460" s="194"/>
      <c r="U460" s="194"/>
      <c r="V460" s="194"/>
      <c r="W460" s="194"/>
    </row>
    <row r="461" ht="14.25" customHeight="1">
      <c r="A461" s="31"/>
      <c r="B461" s="287"/>
      <c r="C461" s="286"/>
      <c r="D461" s="204"/>
      <c r="E461" s="288"/>
      <c r="F461" s="204"/>
      <c r="G461" s="289"/>
      <c r="H461" s="204"/>
      <c r="I461" s="204"/>
      <c r="J461" s="202"/>
      <c r="K461" s="202"/>
      <c r="L461" s="192" t="str">
        <f>IFERROR(__xludf.DUMMYFUNCTION("IF(
  AND(D461=""Saída"", J461=""Sangria""),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198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94" t="str">
        <f>IFERROR(__xludf.DUMMYFUNCTION("ifna(VALUE(REGEXEXTRACT(E461,""[0-9.]+[,]+[0-9]+"")))"),"")</f>
        <v/>
      </c>
      <c r="O461" s="194"/>
      <c r="P461" s="194"/>
      <c r="Q461" s="194"/>
      <c r="R461" s="194"/>
      <c r="S461" s="194"/>
      <c r="T461" s="194"/>
      <c r="U461" s="194"/>
      <c r="V461" s="194"/>
      <c r="W461" s="194"/>
    </row>
    <row r="462" ht="14.25" customHeight="1">
      <c r="A462" s="31"/>
      <c r="B462" s="287"/>
      <c r="C462" s="286"/>
      <c r="D462" s="204"/>
      <c r="E462" s="288"/>
      <c r="F462" s="204"/>
      <c r="G462" s="289"/>
      <c r="H462" s="204"/>
      <c r="I462" s="204"/>
      <c r="J462" s="202"/>
      <c r="K462" s="202"/>
      <c r="L462" s="192" t="str">
        <f>IFERROR(__xludf.DUMMYFUNCTION("IF(
  AND(D462=""Saída"", J462=""Sangria""),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197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94" t="str">
        <f>IFERROR(__xludf.DUMMYFUNCTION("ifna(VALUE(REGEXEXTRACT(E462,""[0-9.]+[,]+[0-9]+"")))"),"")</f>
        <v/>
      </c>
      <c r="O462" s="194"/>
      <c r="P462" s="194"/>
      <c r="Q462" s="194"/>
      <c r="R462" s="194"/>
      <c r="S462" s="194"/>
      <c r="T462" s="194"/>
      <c r="U462" s="194"/>
      <c r="V462" s="194"/>
      <c r="W462" s="194"/>
    </row>
    <row r="463" ht="14.25" customHeight="1">
      <c r="A463" s="31"/>
      <c r="B463" s="287"/>
      <c r="C463" s="286"/>
      <c r="D463" s="204"/>
      <c r="E463" s="288"/>
      <c r="F463" s="204"/>
      <c r="G463" s="289"/>
      <c r="H463" s="204"/>
      <c r="I463" s="204"/>
      <c r="J463" s="202"/>
      <c r="K463" s="202"/>
      <c r="L463" s="192" t="str">
        <f>IFERROR(__xludf.DUMMYFUNCTION("IF(
  AND(D463=""Saída"", J463=""Sangria""),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198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94" t="str">
        <f>IFERROR(__xludf.DUMMYFUNCTION("ifna(VALUE(REGEXEXTRACT(E463,""[0-9.]+[,]+[0-9]+"")))"),"")</f>
        <v/>
      </c>
      <c r="O463" s="194"/>
      <c r="P463" s="194"/>
      <c r="Q463" s="194"/>
      <c r="R463" s="194"/>
      <c r="S463" s="194"/>
      <c r="T463" s="194"/>
      <c r="U463" s="194"/>
      <c r="V463" s="194"/>
      <c r="W463" s="194"/>
    </row>
    <row r="464" ht="14.25" customHeight="1">
      <c r="A464" s="31"/>
      <c r="B464" s="287"/>
      <c r="C464" s="286"/>
      <c r="D464" s="204"/>
      <c r="E464" s="288"/>
      <c r="F464" s="204"/>
      <c r="G464" s="289"/>
      <c r="H464" s="204"/>
      <c r="I464" s="204"/>
      <c r="J464" s="202"/>
      <c r="K464" s="202"/>
      <c r="L464" s="192" t="str">
        <f>IFERROR(__xludf.DUMMYFUNCTION("IF(
  AND(D464=""Saída"", J464=""Sangria""),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197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94" t="str">
        <f>IFERROR(__xludf.DUMMYFUNCTION("ifna(VALUE(REGEXEXTRACT(E464,""[0-9.]+[,]+[0-9]+"")))"),"")</f>
        <v/>
      </c>
      <c r="O464" s="194"/>
      <c r="P464" s="194"/>
      <c r="Q464" s="194"/>
      <c r="R464" s="194"/>
      <c r="S464" s="194"/>
      <c r="T464" s="194"/>
      <c r="U464" s="194"/>
      <c r="V464" s="194"/>
      <c r="W464" s="194"/>
    </row>
    <row r="465" ht="14.25" customHeight="1">
      <c r="A465" s="31"/>
      <c r="B465" s="287"/>
      <c r="C465" s="286"/>
      <c r="D465" s="204"/>
      <c r="E465" s="288"/>
      <c r="F465" s="204"/>
      <c r="G465" s="289"/>
      <c r="H465" s="204"/>
      <c r="I465" s="204"/>
      <c r="J465" s="202"/>
      <c r="K465" s="202"/>
      <c r="L465" s="192" t="str">
        <f>IFERROR(__xludf.DUMMYFUNCTION("IF(
  AND(D465=""Saída"", J465=""Sangria""),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198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94" t="str">
        <f>IFERROR(__xludf.DUMMYFUNCTION("ifna(VALUE(REGEXEXTRACT(E465,""[0-9.]+[,]+[0-9]+"")))"),"")</f>
        <v/>
      </c>
      <c r="O465" s="194"/>
      <c r="P465" s="194"/>
      <c r="Q465" s="194"/>
      <c r="R465" s="194"/>
      <c r="S465" s="194"/>
      <c r="T465" s="194"/>
      <c r="U465" s="194"/>
      <c r="V465" s="194"/>
      <c r="W465" s="194"/>
    </row>
    <row r="466" ht="14.25" customHeight="1">
      <c r="A466" s="31"/>
      <c r="B466" s="287"/>
      <c r="C466" s="286"/>
      <c r="D466" s="204"/>
      <c r="E466" s="288"/>
      <c r="F466" s="204"/>
      <c r="G466" s="289"/>
      <c r="H466" s="204"/>
      <c r="I466" s="204"/>
      <c r="J466" s="202"/>
      <c r="K466" s="202"/>
      <c r="L466" s="192" t="str">
        <f>IFERROR(__xludf.DUMMYFUNCTION("IF(
  AND(D466=""Saída"", J466=""Sangria""),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197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94" t="str">
        <f>IFERROR(__xludf.DUMMYFUNCTION("ifna(VALUE(REGEXEXTRACT(E466,""[0-9.]+[,]+[0-9]+"")))"),"")</f>
        <v/>
      </c>
      <c r="O466" s="194"/>
      <c r="P466" s="194"/>
      <c r="Q466" s="194"/>
      <c r="R466" s="194"/>
      <c r="S466" s="194"/>
      <c r="T466" s="194"/>
      <c r="U466" s="194"/>
      <c r="V466" s="194"/>
      <c r="W466" s="194"/>
    </row>
    <row r="467" ht="14.25" customHeight="1">
      <c r="A467" s="31"/>
      <c r="B467" s="287"/>
      <c r="C467" s="286"/>
      <c r="D467" s="204"/>
      <c r="E467" s="288"/>
      <c r="F467" s="204"/>
      <c r="G467" s="289"/>
      <c r="H467" s="204"/>
      <c r="I467" s="204"/>
      <c r="J467" s="202"/>
      <c r="K467" s="202"/>
      <c r="L467" s="192" t="str">
        <f>IFERROR(__xludf.DUMMYFUNCTION("IF(
  AND(D467=""Saída"", J467=""Sangria""),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198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94" t="str">
        <f>IFERROR(__xludf.DUMMYFUNCTION("ifna(VALUE(REGEXEXTRACT(E467,""[0-9.]+[,]+[0-9]+"")))"),"")</f>
        <v/>
      </c>
      <c r="O467" s="194"/>
      <c r="P467" s="194"/>
      <c r="Q467" s="194"/>
      <c r="R467" s="194"/>
      <c r="S467" s="194"/>
      <c r="T467" s="194"/>
      <c r="U467" s="194"/>
      <c r="V467" s="194"/>
      <c r="W467" s="194"/>
    </row>
    <row r="468" ht="14.25" customHeight="1">
      <c r="A468" s="31"/>
      <c r="B468" s="287"/>
      <c r="C468" s="286"/>
      <c r="D468" s="204"/>
      <c r="E468" s="288"/>
      <c r="F468" s="204"/>
      <c r="G468" s="289"/>
      <c r="H468" s="204"/>
      <c r="I468" s="204"/>
      <c r="J468" s="202"/>
      <c r="K468" s="202"/>
      <c r="L468" s="192" t="str">
        <f>IFERROR(__xludf.DUMMYFUNCTION("IF(
  AND(D468=""Saída"", J468=""Sangria""),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197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94" t="str">
        <f>IFERROR(__xludf.DUMMYFUNCTION("ifna(VALUE(REGEXEXTRACT(E468,""[0-9.]+[,]+[0-9]+"")))"),"")</f>
        <v/>
      </c>
      <c r="O468" s="194"/>
      <c r="P468" s="194"/>
      <c r="Q468" s="194"/>
      <c r="R468" s="194"/>
      <c r="S468" s="194"/>
      <c r="T468" s="194"/>
      <c r="U468" s="194"/>
      <c r="V468" s="194"/>
      <c r="W468" s="194"/>
    </row>
    <row r="469" ht="14.25" customHeight="1">
      <c r="A469" s="31"/>
      <c r="B469" s="287"/>
      <c r="C469" s="286"/>
      <c r="D469" s="204"/>
      <c r="E469" s="288"/>
      <c r="F469" s="204"/>
      <c r="G469" s="289"/>
      <c r="H469" s="204"/>
      <c r="I469" s="204"/>
      <c r="J469" s="202"/>
      <c r="K469" s="202"/>
      <c r="L469" s="192" t="str">
        <f>IFERROR(__xludf.DUMMYFUNCTION("IF(
  AND(D469=""Saída"", J469=""Sangria""),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198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94" t="str">
        <f>IFERROR(__xludf.DUMMYFUNCTION("ifna(VALUE(REGEXEXTRACT(E469,""[0-9.]+[,]+[0-9]+"")))"),"")</f>
        <v/>
      </c>
      <c r="O469" s="194"/>
      <c r="P469" s="194"/>
      <c r="Q469" s="194"/>
      <c r="R469" s="194"/>
      <c r="S469" s="194"/>
      <c r="T469" s="194"/>
      <c r="U469" s="194"/>
      <c r="V469" s="194"/>
      <c r="W469" s="194"/>
    </row>
    <row r="470" ht="14.25" customHeight="1">
      <c r="A470" s="31"/>
      <c r="B470" s="287"/>
      <c r="C470" s="286"/>
      <c r="D470" s="204"/>
      <c r="E470" s="288"/>
      <c r="F470" s="204"/>
      <c r="G470" s="289"/>
      <c r="H470" s="204"/>
      <c r="I470" s="204"/>
      <c r="J470" s="202"/>
      <c r="K470" s="202"/>
      <c r="L470" s="192" t="str">
        <f>IFERROR(__xludf.DUMMYFUNCTION("IF(
  AND(D470=""Saída"", J470=""Sangria""),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197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94" t="str">
        <f>IFERROR(__xludf.DUMMYFUNCTION("ifna(VALUE(REGEXEXTRACT(E470,""[0-9.]+[,]+[0-9]+"")))"),"")</f>
        <v/>
      </c>
      <c r="O470" s="194"/>
      <c r="P470" s="194"/>
      <c r="Q470" s="194"/>
      <c r="R470" s="194"/>
      <c r="S470" s="194"/>
      <c r="T470" s="194"/>
      <c r="U470" s="194"/>
      <c r="V470" s="194"/>
      <c r="W470" s="194"/>
    </row>
    <row r="471" ht="14.25" customHeight="1">
      <c r="A471" s="31"/>
      <c r="B471" s="287"/>
      <c r="C471" s="286"/>
      <c r="D471" s="204"/>
      <c r="E471" s="288"/>
      <c r="F471" s="204"/>
      <c r="G471" s="289"/>
      <c r="H471" s="204"/>
      <c r="I471" s="204"/>
      <c r="J471" s="202"/>
      <c r="K471" s="202"/>
      <c r="L471" s="192" t="str">
        <f>IFERROR(__xludf.DUMMYFUNCTION("IF(
  AND(D471=""Saída"", J471=""Sangria""),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198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94" t="str">
        <f>IFERROR(__xludf.DUMMYFUNCTION("ifna(VALUE(REGEXEXTRACT(E471,""[0-9.]+[,]+[0-9]+"")))"),"")</f>
        <v/>
      </c>
      <c r="O471" s="194"/>
      <c r="P471" s="194"/>
      <c r="Q471" s="194"/>
      <c r="R471" s="194"/>
      <c r="S471" s="194"/>
      <c r="T471" s="194"/>
      <c r="U471" s="194"/>
      <c r="V471" s="194"/>
      <c r="W471" s="194"/>
    </row>
    <row r="472" ht="14.25" customHeight="1">
      <c r="A472" s="31"/>
      <c r="B472" s="287"/>
      <c r="C472" s="286"/>
      <c r="D472" s="204"/>
      <c r="E472" s="288"/>
      <c r="F472" s="204"/>
      <c r="G472" s="289"/>
      <c r="H472" s="204"/>
      <c r="I472" s="204"/>
      <c r="J472" s="202"/>
      <c r="K472" s="202"/>
      <c r="L472" s="192" t="str">
        <f>IFERROR(__xludf.DUMMYFUNCTION("IF(
  AND(D472=""Saída"", J472=""Sangria""),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197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94" t="str">
        <f>IFERROR(__xludf.DUMMYFUNCTION("ifna(VALUE(REGEXEXTRACT(E472,""[0-9.]+[,]+[0-9]+"")))"),"")</f>
        <v/>
      </c>
      <c r="O472" s="194"/>
      <c r="P472" s="194"/>
      <c r="Q472" s="194"/>
      <c r="R472" s="194"/>
      <c r="S472" s="194"/>
      <c r="T472" s="194"/>
      <c r="U472" s="194"/>
      <c r="V472" s="194"/>
      <c r="W472" s="194"/>
    </row>
    <row r="473" ht="14.25" customHeight="1">
      <c r="A473" s="31"/>
      <c r="B473" s="287"/>
      <c r="C473" s="286"/>
      <c r="D473" s="204"/>
      <c r="E473" s="288"/>
      <c r="F473" s="204"/>
      <c r="G473" s="289"/>
      <c r="H473" s="204"/>
      <c r="I473" s="204"/>
      <c r="J473" s="202"/>
      <c r="K473" s="202"/>
      <c r="L473" s="192" t="str">
        <f>IFERROR(__xludf.DUMMYFUNCTION("IF(
  AND(D473=""Saída"", J473=""Sangria""),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198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94" t="str">
        <f>IFERROR(__xludf.DUMMYFUNCTION("ifna(VALUE(REGEXEXTRACT(E473,""[0-9.]+[,]+[0-9]+"")))"),"")</f>
        <v/>
      </c>
      <c r="O473" s="194"/>
      <c r="P473" s="194"/>
      <c r="Q473" s="194"/>
      <c r="R473" s="194"/>
      <c r="S473" s="194"/>
      <c r="T473" s="194"/>
      <c r="U473" s="194"/>
      <c r="V473" s="194"/>
      <c r="W473" s="194"/>
    </row>
    <row r="474" ht="14.25" customHeight="1">
      <c r="A474" s="31"/>
      <c r="B474" s="287"/>
      <c r="C474" s="286"/>
      <c r="D474" s="204"/>
      <c r="E474" s="288"/>
      <c r="F474" s="204"/>
      <c r="G474" s="289"/>
      <c r="H474" s="204"/>
      <c r="I474" s="204"/>
      <c r="J474" s="202"/>
      <c r="K474" s="202"/>
      <c r="L474" s="192" t="str">
        <f>IFERROR(__xludf.DUMMYFUNCTION("IF(
  AND(D474=""Saída"", J474=""Sangria""),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197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94" t="str">
        <f>IFERROR(__xludf.DUMMYFUNCTION("ifna(VALUE(REGEXEXTRACT(E474,""[0-9.]+[,]+[0-9]+"")))"),"")</f>
        <v/>
      </c>
      <c r="O474" s="194"/>
      <c r="P474" s="194"/>
      <c r="Q474" s="194"/>
      <c r="R474" s="194"/>
      <c r="S474" s="194"/>
      <c r="T474" s="194"/>
      <c r="U474" s="194"/>
      <c r="V474" s="194"/>
      <c r="W474" s="194"/>
    </row>
    <row r="475" ht="14.25" customHeight="1">
      <c r="A475" s="31"/>
      <c r="B475" s="287"/>
      <c r="C475" s="286"/>
      <c r="D475" s="204"/>
      <c r="E475" s="288"/>
      <c r="F475" s="204"/>
      <c r="G475" s="289"/>
      <c r="H475" s="204"/>
      <c r="I475" s="204"/>
      <c r="J475" s="202"/>
      <c r="K475" s="202"/>
      <c r="L475" s="192" t="str">
        <f>IFERROR(__xludf.DUMMYFUNCTION("IF(
  AND(D475=""Saída"", J475=""Sangria""),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198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94" t="str">
        <f>IFERROR(__xludf.DUMMYFUNCTION("ifna(VALUE(REGEXEXTRACT(E475,""[0-9.]+[,]+[0-9]+"")))"),"")</f>
        <v/>
      </c>
      <c r="O475" s="194"/>
      <c r="P475" s="194"/>
      <c r="Q475" s="194"/>
      <c r="R475" s="194"/>
      <c r="S475" s="194"/>
      <c r="T475" s="194"/>
      <c r="U475" s="194"/>
      <c r="V475" s="194"/>
      <c r="W475" s="194"/>
    </row>
    <row r="476" ht="14.25" customHeight="1">
      <c r="A476" s="31"/>
      <c r="B476" s="287"/>
      <c r="C476" s="286"/>
      <c r="D476" s="204"/>
      <c r="E476" s="288"/>
      <c r="F476" s="204"/>
      <c r="G476" s="289"/>
      <c r="H476" s="204"/>
      <c r="I476" s="204"/>
      <c r="J476" s="202"/>
      <c r="K476" s="202"/>
      <c r="L476" s="192" t="str">
        <f>IFERROR(__xludf.DUMMYFUNCTION("IF(
  AND(D476=""Saída"", J476=""Sangria""),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197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94" t="str">
        <f>IFERROR(__xludf.DUMMYFUNCTION("ifna(VALUE(REGEXEXTRACT(E476,""[0-9.]+[,]+[0-9]+"")))"),"")</f>
        <v/>
      </c>
      <c r="O476" s="194"/>
      <c r="P476" s="194"/>
      <c r="Q476" s="194"/>
      <c r="R476" s="194"/>
      <c r="S476" s="194"/>
      <c r="T476" s="194"/>
      <c r="U476" s="194"/>
      <c r="V476" s="194"/>
      <c r="W476" s="194"/>
    </row>
    <row r="477" ht="14.25" customHeight="1">
      <c r="A477" s="31"/>
      <c r="B477" s="287"/>
      <c r="C477" s="286"/>
      <c r="D477" s="204"/>
      <c r="E477" s="288"/>
      <c r="F477" s="204"/>
      <c r="G477" s="289"/>
      <c r="H477" s="204"/>
      <c r="I477" s="204"/>
      <c r="J477" s="202"/>
      <c r="K477" s="202"/>
      <c r="L477" s="192" t="str">
        <f>IFERROR(__xludf.DUMMYFUNCTION("IF(
  AND(D477=""Saída"", J477=""Sangria""),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198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94" t="str">
        <f>IFERROR(__xludf.DUMMYFUNCTION("ifna(VALUE(REGEXEXTRACT(E477,""[0-9.]+[,]+[0-9]+"")))"),"")</f>
        <v/>
      </c>
      <c r="O477" s="194"/>
      <c r="P477" s="194"/>
      <c r="Q477" s="194"/>
      <c r="R477" s="194"/>
      <c r="S477" s="194"/>
      <c r="T477" s="194"/>
      <c r="U477" s="194"/>
      <c r="V477" s="194"/>
      <c r="W477" s="194"/>
    </row>
    <row r="478" ht="14.25" customHeight="1">
      <c r="A478" s="31"/>
      <c r="B478" s="287"/>
      <c r="C478" s="286"/>
      <c r="D478" s="204"/>
      <c r="E478" s="288"/>
      <c r="F478" s="204"/>
      <c r="G478" s="289"/>
      <c r="H478" s="204"/>
      <c r="I478" s="204"/>
      <c r="J478" s="202"/>
      <c r="K478" s="202"/>
      <c r="L478" s="192" t="str">
        <f>IFERROR(__xludf.DUMMYFUNCTION("IF(
  AND(D478=""Saída"", J478=""Sangria""),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197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94" t="str">
        <f>IFERROR(__xludf.DUMMYFUNCTION("ifna(VALUE(REGEXEXTRACT(E478,""[0-9.]+[,]+[0-9]+"")))"),"")</f>
        <v/>
      </c>
      <c r="O478" s="194"/>
      <c r="P478" s="194"/>
      <c r="Q478" s="194"/>
      <c r="R478" s="194"/>
      <c r="S478" s="194"/>
      <c r="T478" s="194"/>
      <c r="U478" s="194"/>
      <c r="V478" s="194"/>
      <c r="W478" s="194"/>
    </row>
    <row r="479" ht="14.25" customHeight="1">
      <c r="A479" s="31"/>
      <c r="B479" s="287"/>
      <c r="C479" s="286"/>
      <c r="D479" s="204"/>
      <c r="E479" s="288"/>
      <c r="F479" s="204"/>
      <c r="G479" s="289"/>
      <c r="H479" s="204"/>
      <c r="I479" s="204"/>
      <c r="J479" s="202"/>
      <c r="K479" s="202"/>
      <c r="L479" s="192" t="str">
        <f>IFERROR(__xludf.DUMMYFUNCTION("IF(
  AND(D479=""Saída"", J479=""Sangria""),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198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94" t="str">
        <f>IFERROR(__xludf.DUMMYFUNCTION("ifna(VALUE(REGEXEXTRACT(E479,""[0-9.]+[,]+[0-9]+"")))"),"")</f>
        <v/>
      </c>
      <c r="O479" s="194"/>
      <c r="P479" s="194"/>
      <c r="Q479" s="194"/>
      <c r="R479" s="194"/>
      <c r="S479" s="194"/>
      <c r="T479" s="194"/>
      <c r="U479" s="194"/>
      <c r="V479" s="194"/>
      <c r="W479" s="194"/>
    </row>
    <row r="480" ht="14.25" customHeight="1">
      <c r="A480" s="31"/>
      <c r="B480" s="287"/>
      <c r="C480" s="286"/>
      <c r="D480" s="204"/>
      <c r="E480" s="288"/>
      <c r="F480" s="204"/>
      <c r="G480" s="289"/>
      <c r="H480" s="204"/>
      <c r="I480" s="204"/>
      <c r="J480" s="202"/>
      <c r="K480" s="202"/>
      <c r="L480" s="192" t="str">
        <f>IFERROR(__xludf.DUMMYFUNCTION("IF(
  AND(D480=""Saída"", J480=""Sangria""),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197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94" t="str">
        <f>IFERROR(__xludf.DUMMYFUNCTION("ifna(VALUE(REGEXEXTRACT(E480,""[0-9.]+[,]+[0-9]+"")))"),"")</f>
        <v/>
      </c>
      <c r="O480" s="194"/>
      <c r="P480" s="194"/>
      <c r="Q480" s="194"/>
      <c r="R480" s="194"/>
      <c r="S480" s="194"/>
      <c r="T480" s="194"/>
      <c r="U480" s="194"/>
      <c r="V480" s="194"/>
      <c r="W480" s="194"/>
    </row>
    <row r="481" ht="14.25" customHeight="1">
      <c r="A481" s="31"/>
      <c r="B481" s="287"/>
      <c r="C481" s="286"/>
      <c r="D481" s="204"/>
      <c r="E481" s="288"/>
      <c r="F481" s="204"/>
      <c r="G481" s="289"/>
      <c r="H481" s="204"/>
      <c r="I481" s="204"/>
      <c r="J481" s="202"/>
      <c r="K481" s="202"/>
      <c r="L481" s="192" t="str">
        <f>IFERROR(__xludf.DUMMYFUNCTION("IF(
  AND(D481=""Saída"", J481=""Sangria""),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198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94" t="str">
        <f>IFERROR(__xludf.DUMMYFUNCTION("ifna(VALUE(REGEXEXTRACT(E481,""[0-9.]+[,]+[0-9]+"")))"),"")</f>
        <v/>
      </c>
      <c r="O481" s="194"/>
      <c r="P481" s="194"/>
      <c r="Q481" s="194"/>
      <c r="R481" s="194"/>
      <c r="S481" s="194"/>
      <c r="T481" s="194"/>
      <c r="U481" s="194"/>
      <c r="V481" s="194"/>
      <c r="W481" s="194"/>
    </row>
    <row r="482" ht="14.25" customHeight="1">
      <c r="A482" s="31"/>
      <c r="B482" s="287"/>
      <c r="C482" s="286"/>
      <c r="D482" s="204"/>
      <c r="E482" s="288"/>
      <c r="F482" s="204"/>
      <c r="G482" s="289"/>
      <c r="H482" s="204"/>
      <c r="I482" s="204"/>
      <c r="J482" s="202"/>
      <c r="K482" s="202"/>
      <c r="L482" s="192" t="str">
        <f>IFERROR(__xludf.DUMMYFUNCTION("IF(
  AND(D482=""Saída"", J482=""Sangria""),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197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94" t="str">
        <f>IFERROR(__xludf.DUMMYFUNCTION("ifna(VALUE(REGEXEXTRACT(E482,""[0-9.]+[,]+[0-9]+"")))"),"")</f>
        <v/>
      </c>
      <c r="O482" s="194"/>
      <c r="P482" s="194"/>
      <c r="Q482" s="194"/>
      <c r="R482" s="194"/>
      <c r="S482" s="194"/>
      <c r="T482" s="194"/>
      <c r="U482" s="194"/>
      <c r="V482" s="194"/>
      <c r="W482" s="194"/>
    </row>
    <row r="483" ht="14.25" customHeight="1">
      <c r="A483" s="31"/>
      <c r="B483" s="287"/>
      <c r="C483" s="286"/>
      <c r="D483" s="204"/>
      <c r="E483" s="288"/>
      <c r="F483" s="204"/>
      <c r="G483" s="289"/>
      <c r="H483" s="204"/>
      <c r="I483" s="204"/>
      <c r="J483" s="202"/>
      <c r="K483" s="202"/>
      <c r="L483" s="192" t="str">
        <f>IFERROR(__xludf.DUMMYFUNCTION("IF(
  AND(D483=""Saída"", J483=""Sangria""),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198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94" t="str">
        <f>IFERROR(__xludf.DUMMYFUNCTION("ifna(VALUE(REGEXEXTRACT(E483,""[0-9.]+[,]+[0-9]+"")))"),"")</f>
        <v/>
      </c>
      <c r="O483" s="194"/>
      <c r="P483" s="194"/>
      <c r="Q483" s="194"/>
      <c r="R483" s="194"/>
      <c r="S483" s="194"/>
      <c r="T483" s="194"/>
      <c r="U483" s="194"/>
      <c r="V483" s="194"/>
      <c r="W483" s="194"/>
    </row>
    <row r="484" ht="14.25" customHeight="1">
      <c r="A484" s="31"/>
      <c r="B484" s="287"/>
      <c r="C484" s="286"/>
      <c r="D484" s="204"/>
      <c r="E484" s="288"/>
      <c r="F484" s="204"/>
      <c r="G484" s="289"/>
      <c r="H484" s="204"/>
      <c r="I484" s="204"/>
      <c r="J484" s="202"/>
      <c r="K484" s="202"/>
      <c r="L484" s="192" t="str">
        <f>IFERROR(__xludf.DUMMYFUNCTION("IF(
  AND(D484=""Saída"", J484=""Sangria""),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197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94" t="str">
        <f>IFERROR(__xludf.DUMMYFUNCTION("ifna(VALUE(REGEXEXTRACT(E484,""[0-9.]+[,]+[0-9]+"")))"),"")</f>
        <v/>
      </c>
      <c r="O484" s="194"/>
      <c r="P484" s="194"/>
      <c r="Q484" s="194"/>
      <c r="R484" s="194"/>
      <c r="S484" s="194"/>
      <c r="T484" s="194"/>
      <c r="U484" s="194"/>
      <c r="V484" s="194"/>
      <c r="W484" s="194"/>
    </row>
    <row r="485" ht="14.25" customHeight="1">
      <c r="A485" s="31"/>
      <c r="B485" s="287"/>
      <c r="C485" s="286"/>
      <c r="D485" s="204"/>
      <c r="E485" s="288"/>
      <c r="F485" s="204"/>
      <c r="G485" s="289"/>
      <c r="H485" s="204"/>
      <c r="I485" s="204"/>
      <c r="J485" s="202"/>
      <c r="K485" s="202"/>
      <c r="L485" s="192" t="str">
        <f>IFERROR(__xludf.DUMMYFUNCTION("IF(
  AND(D485=""Saída"", J485=""Sangria""),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198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94" t="str">
        <f>IFERROR(__xludf.DUMMYFUNCTION("ifna(VALUE(REGEXEXTRACT(E485,""[0-9.]+[,]+[0-9]+"")))"),"")</f>
        <v/>
      </c>
      <c r="O485" s="194"/>
      <c r="P485" s="194"/>
      <c r="Q485" s="194"/>
      <c r="R485" s="194"/>
      <c r="S485" s="194"/>
      <c r="T485" s="194"/>
      <c r="U485" s="194"/>
      <c r="V485" s="194"/>
      <c r="W485" s="194"/>
    </row>
    <row r="486" ht="14.25" customHeight="1">
      <c r="A486" s="31"/>
      <c r="B486" s="287"/>
      <c r="C486" s="286"/>
      <c r="D486" s="204"/>
      <c r="E486" s="288"/>
      <c r="F486" s="204"/>
      <c r="G486" s="289"/>
      <c r="H486" s="204"/>
      <c r="I486" s="204"/>
      <c r="J486" s="202"/>
      <c r="K486" s="202"/>
      <c r="L486" s="192" t="str">
        <f>IFERROR(__xludf.DUMMYFUNCTION("IF(
  AND(D486=""Saída"", J486=""Sangria""),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197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94" t="str">
        <f>IFERROR(__xludf.DUMMYFUNCTION("ifna(VALUE(REGEXEXTRACT(E486,""[0-9.]+[,]+[0-9]+"")))"),"")</f>
        <v/>
      </c>
      <c r="O486" s="194"/>
      <c r="P486" s="194"/>
      <c r="Q486" s="194"/>
      <c r="R486" s="194"/>
      <c r="S486" s="194"/>
      <c r="T486" s="194"/>
      <c r="U486" s="194"/>
      <c r="V486" s="194"/>
      <c r="W486" s="194"/>
    </row>
    <row r="487" ht="14.25" customHeight="1">
      <c r="A487" s="31"/>
      <c r="B487" s="287"/>
      <c r="C487" s="286"/>
      <c r="D487" s="204"/>
      <c r="E487" s="288"/>
      <c r="F487" s="204"/>
      <c r="G487" s="289"/>
      <c r="H487" s="204"/>
      <c r="I487" s="204"/>
      <c r="J487" s="202"/>
      <c r="K487" s="202"/>
      <c r="L487" s="192" t="str">
        <f>IFERROR(__xludf.DUMMYFUNCTION("IF(
  AND(D487=""Saída"", J487=""Sangria""),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198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94" t="str">
        <f>IFERROR(__xludf.DUMMYFUNCTION("ifna(VALUE(REGEXEXTRACT(E487,""[0-9.]+[,]+[0-9]+"")))"),"")</f>
        <v/>
      </c>
      <c r="O487" s="194"/>
      <c r="P487" s="194"/>
      <c r="Q487" s="194"/>
      <c r="R487" s="194"/>
      <c r="S487" s="194"/>
      <c r="T487" s="194"/>
      <c r="U487" s="194"/>
      <c r="V487" s="194"/>
      <c r="W487" s="194"/>
    </row>
    <row r="488" ht="14.25" customHeight="1">
      <c r="A488" s="31"/>
      <c r="B488" s="287"/>
      <c r="C488" s="286"/>
      <c r="D488" s="204"/>
      <c r="E488" s="288"/>
      <c r="F488" s="204"/>
      <c r="G488" s="289"/>
      <c r="H488" s="204"/>
      <c r="I488" s="204"/>
      <c r="J488" s="202"/>
      <c r="K488" s="202"/>
      <c r="L488" s="192" t="str">
        <f>IFERROR(__xludf.DUMMYFUNCTION("IF(
  AND(D488=""Saída"", J488=""Sangria""),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197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94" t="str">
        <f>IFERROR(__xludf.DUMMYFUNCTION("ifna(VALUE(REGEXEXTRACT(E488,""[0-9.]+[,]+[0-9]+"")))"),"")</f>
        <v/>
      </c>
      <c r="O488" s="194"/>
      <c r="P488" s="194"/>
      <c r="Q488" s="194"/>
      <c r="R488" s="194"/>
      <c r="S488" s="194"/>
      <c r="T488" s="194"/>
      <c r="U488" s="194"/>
      <c r="V488" s="194"/>
      <c r="W488" s="194"/>
    </row>
    <row r="489" ht="14.25" customHeight="1">
      <c r="A489" s="31"/>
      <c r="B489" s="287"/>
      <c r="C489" s="286"/>
      <c r="D489" s="204"/>
      <c r="E489" s="288"/>
      <c r="F489" s="204"/>
      <c r="G489" s="289"/>
      <c r="H489" s="204"/>
      <c r="I489" s="204"/>
      <c r="J489" s="202"/>
      <c r="K489" s="202"/>
      <c r="L489" s="192" t="str">
        <f>IFERROR(__xludf.DUMMYFUNCTION("IF(
  AND(D489=""Saída"", J489=""Sangria""),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198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94" t="str">
        <f>IFERROR(__xludf.DUMMYFUNCTION("ifna(VALUE(REGEXEXTRACT(E489,""[0-9.]+[,]+[0-9]+"")))"),"")</f>
        <v/>
      </c>
      <c r="O489" s="194"/>
      <c r="P489" s="194"/>
      <c r="Q489" s="194"/>
      <c r="R489" s="194"/>
      <c r="S489" s="194"/>
      <c r="T489" s="194"/>
      <c r="U489" s="194"/>
      <c r="V489" s="194"/>
      <c r="W489" s="194"/>
    </row>
    <row r="490" ht="14.25" customHeight="1">
      <c r="A490" s="31"/>
      <c r="B490" s="287"/>
      <c r="C490" s="286"/>
      <c r="D490" s="204"/>
      <c r="E490" s="288"/>
      <c r="F490" s="204"/>
      <c r="G490" s="289"/>
      <c r="H490" s="204"/>
      <c r="I490" s="204"/>
      <c r="J490" s="202"/>
      <c r="K490" s="202"/>
      <c r="L490" s="192" t="str">
        <f>IFERROR(__xludf.DUMMYFUNCTION("IF(
  AND(D490=""Saída"", J490=""Sangria""),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197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94" t="str">
        <f>IFERROR(__xludf.DUMMYFUNCTION("ifna(VALUE(REGEXEXTRACT(E490,""[0-9.]+[,]+[0-9]+"")))"),"")</f>
        <v/>
      </c>
      <c r="O490" s="194"/>
      <c r="P490" s="194"/>
      <c r="Q490" s="194"/>
      <c r="R490" s="194"/>
      <c r="S490" s="194"/>
      <c r="T490" s="194"/>
      <c r="U490" s="194"/>
      <c r="V490" s="194"/>
      <c r="W490" s="194"/>
    </row>
    <row r="491" ht="14.25" customHeight="1">
      <c r="A491" s="31"/>
      <c r="B491" s="287"/>
      <c r="C491" s="286"/>
      <c r="D491" s="204"/>
      <c r="E491" s="288"/>
      <c r="F491" s="204"/>
      <c r="G491" s="289"/>
      <c r="H491" s="204"/>
      <c r="I491" s="204"/>
      <c r="J491" s="202"/>
      <c r="K491" s="202"/>
      <c r="L491" s="192" t="str">
        <f>IFERROR(__xludf.DUMMYFUNCTION("IF(
  AND(D491=""Saída"", J491=""Sangria""),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198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94" t="str">
        <f>IFERROR(__xludf.DUMMYFUNCTION("ifna(VALUE(REGEXEXTRACT(E491,""[0-9.]+[,]+[0-9]+"")))"),"")</f>
        <v/>
      </c>
      <c r="O491" s="194"/>
      <c r="P491" s="194"/>
      <c r="Q491" s="194"/>
      <c r="R491" s="194"/>
      <c r="S491" s="194"/>
      <c r="T491" s="194"/>
      <c r="U491" s="194"/>
      <c r="V491" s="194"/>
      <c r="W491" s="194"/>
    </row>
    <row r="492" ht="14.25" customHeight="1">
      <c r="A492" s="31"/>
      <c r="B492" s="287"/>
      <c r="C492" s="286"/>
      <c r="D492" s="204"/>
      <c r="E492" s="288"/>
      <c r="F492" s="204"/>
      <c r="G492" s="289"/>
      <c r="H492" s="204"/>
      <c r="I492" s="204"/>
      <c r="J492" s="202"/>
      <c r="K492" s="202"/>
      <c r="L492" s="192" t="str">
        <f>IFERROR(__xludf.DUMMYFUNCTION("IF(
  AND(D492=""Saída"", J492=""Sangria""),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197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94" t="str">
        <f>IFERROR(__xludf.DUMMYFUNCTION("ifna(VALUE(REGEXEXTRACT(E492,""[0-9.]+[,]+[0-9]+"")))"),"")</f>
        <v/>
      </c>
      <c r="O492" s="194"/>
      <c r="P492" s="194"/>
      <c r="Q492" s="194"/>
      <c r="R492" s="194"/>
      <c r="S492" s="194"/>
      <c r="T492" s="194"/>
      <c r="U492" s="194"/>
      <c r="V492" s="194"/>
      <c r="W492" s="194"/>
    </row>
    <row r="493" ht="14.25" customHeight="1">
      <c r="A493" s="31"/>
      <c r="B493" s="287"/>
      <c r="C493" s="286"/>
      <c r="D493" s="204"/>
      <c r="E493" s="288"/>
      <c r="F493" s="204"/>
      <c r="G493" s="289"/>
      <c r="H493" s="204"/>
      <c r="I493" s="204"/>
      <c r="J493" s="202"/>
      <c r="K493" s="202"/>
      <c r="L493" s="192" t="str">
        <f>IFERROR(__xludf.DUMMYFUNCTION("IF(
  AND(D493=""Saída"", J493=""Sangria""),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198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94" t="str">
        <f>IFERROR(__xludf.DUMMYFUNCTION("ifna(VALUE(REGEXEXTRACT(E493,""[0-9.]+[,]+[0-9]+"")))"),"")</f>
        <v/>
      </c>
      <c r="O493" s="194"/>
      <c r="P493" s="194"/>
      <c r="Q493" s="194"/>
      <c r="R493" s="194"/>
      <c r="S493" s="194"/>
      <c r="T493" s="194"/>
      <c r="U493" s="194"/>
      <c r="V493" s="194"/>
      <c r="W493" s="194"/>
    </row>
    <row r="494" ht="14.25" customHeight="1">
      <c r="A494" s="31"/>
      <c r="B494" s="287"/>
      <c r="C494" s="286"/>
      <c r="D494" s="204"/>
      <c r="E494" s="288"/>
      <c r="F494" s="204"/>
      <c r="G494" s="289"/>
      <c r="H494" s="204"/>
      <c r="I494" s="204"/>
      <c r="J494" s="202"/>
      <c r="K494" s="202"/>
      <c r="L494" s="192" t="str">
        <f>IFERROR(__xludf.DUMMYFUNCTION("IF(
  AND(D494=""Saída"", J494=""Sangria""),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197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94" t="str">
        <f>IFERROR(__xludf.DUMMYFUNCTION("ifna(VALUE(REGEXEXTRACT(E494,""[0-9.]+[,]+[0-9]+"")))"),"")</f>
        <v/>
      </c>
      <c r="O494" s="194"/>
      <c r="P494" s="194"/>
      <c r="Q494" s="194"/>
      <c r="R494" s="194"/>
      <c r="S494" s="194"/>
      <c r="T494" s="194"/>
      <c r="U494" s="194"/>
      <c r="V494" s="194"/>
      <c r="W494" s="194"/>
    </row>
    <row r="495" ht="14.25" customHeight="1">
      <c r="A495" s="31"/>
      <c r="B495" s="287"/>
      <c r="C495" s="286"/>
      <c r="D495" s="204"/>
      <c r="E495" s="288"/>
      <c r="F495" s="204"/>
      <c r="G495" s="289"/>
      <c r="H495" s="204"/>
      <c r="I495" s="204"/>
      <c r="J495" s="202"/>
      <c r="K495" s="202"/>
      <c r="L495" s="192" t="str">
        <f>IFERROR(__xludf.DUMMYFUNCTION("IF(
  AND(D495=""Saída"", J495=""Sangria""),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198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94" t="str">
        <f>IFERROR(__xludf.DUMMYFUNCTION("ifna(VALUE(REGEXEXTRACT(E495,""[0-9.]+[,]+[0-9]+"")))"),"")</f>
        <v/>
      </c>
      <c r="O495" s="194"/>
      <c r="P495" s="194"/>
      <c r="Q495" s="194"/>
      <c r="R495" s="194"/>
      <c r="S495" s="194"/>
      <c r="T495" s="194"/>
      <c r="U495" s="194"/>
      <c r="V495" s="194"/>
      <c r="W495" s="194"/>
    </row>
    <row r="496" ht="14.25" customHeight="1">
      <c r="A496" s="31"/>
      <c r="B496" s="287"/>
      <c r="C496" s="286"/>
      <c r="D496" s="204"/>
      <c r="E496" s="288"/>
      <c r="F496" s="204"/>
      <c r="G496" s="289"/>
      <c r="H496" s="204"/>
      <c r="I496" s="204"/>
      <c r="J496" s="202"/>
      <c r="K496" s="202"/>
      <c r="L496" s="192" t="str">
        <f>IFERROR(__xludf.DUMMYFUNCTION("IF(
  AND(D496=""Saída"", J496=""Sangria""),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197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94" t="str">
        <f>IFERROR(__xludf.DUMMYFUNCTION("ifna(VALUE(REGEXEXTRACT(E496,""[0-9.]+[,]+[0-9]+"")))"),"")</f>
        <v/>
      </c>
      <c r="O496" s="194"/>
      <c r="P496" s="194"/>
      <c r="Q496" s="194"/>
      <c r="R496" s="194"/>
      <c r="S496" s="194"/>
      <c r="T496" s="194"/>
      <c r="U496" s="194"/>
      <c r="V496" s="194"/>
      <c r="W496" s="194"/>
    </row>
    <row r="497" ht="14.25" customHeight="1">
      <c r="A497" s="31"/>
      <c r="B497" s="287"/>
      <c r="C497" s="286"/>
      <c r="D497" s="204"/>
      <c r="E497" s="288"/>
      <c r="F497" s="204"/>
      <c r="G497" s="289"/>
      <c r="H497" s="204"/>
      <c r="I497" s="204"/>
      <c r="J497" s="202"/>
      <c r="K497" s="202"/>
      <c r="L497" s="192" t="str">
        <f>IFERROR(__xludf.DUMMYFUNCTION("IF(
  AND(D497=""Saída"", J497=""Sangria""),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198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94" t="str">
        <f>IFERROR(__xludf.DUMMYFUNCTION("ifna(VALUE(REGEXEXTRACT(E497,""[0-9.]+[,]+[0-9]+"")))"),"")</f>
        <v/>
      </c>
      <c r="O497" s="194"/>
      <c r="P497" s="194"/>
      <c r="Q497" s="194"/>
      <c r="R497" s="194"/>
      <c r="S497" s="194"/>
      <c r="T497" s="194"/>
      <c r="U497" s="194"/>
      <c r="V497" s="194"/>
      <c r="W497" s="194"/>
    </row>
    <row r="498" ht="14.25" customHeight="1">
      <c r="A498" s="31"/>
      <c r="B498" s="287"/>
      <c r="C498" s="286"/>
      <c r="D498" s="204"/>
      <c r="E498" s="288"/>
      <c r="F498" s="204"/>
      <c r="G498" s="289"/>
      <c r="H498" s="204"/>
      <c r="I498" s="204"/>
      <c r="J498" s="202"/>
      <c r="K498" s="202"/>
      <c r="L498" s="192" t="str">
        <f>IFERROR(__xludf.DUMMYFUNCTION("IF(
  AND(D498=""Saída"", J498=""Sangria""),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197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94" t="str">
        <f>IFERROR(__xludf.DUMMYFUNCTION("ifna(VALUE(REGEXEXTRACT(E498,""[0-9.]+[,]+[0-9]+"")))"),"")</f>
        <v/>
      </c>
      <c r="O498" s="194"/>
      <c r="P498" s="194"/>
      <c r="Q498" s="194"/>
      <c r="R498" s="194"/>
      <c r="S498" s="194"/>
      <c r="T498" s="194"/>
      <c r="U498" s="194"/>
      <c r="V498" s="194"/>
      <c r="W498" s="194"/>
    </row>
    <row r="499" ht="14.25" customHeight="1">
      <c r="A499" s="31"/>
      <c r="B499" s="287"/>
      <c r="C499" s="286"/>
      <c r="D499" s="204"/>
      <c r="E499" s="288"/>
      <c r="F499" s="204"/>
      <c r="G499" s="289"/>
      <c r="H499" s="204"/>
      <c r="I499" s="204"/>
      <c r="J499" s="202"/>
      <c r="K499" s="202"/>
      <c r="L499" s="192" t="str">
        <f>IFERROR(__xludf.DUMMYFUNCTION("IF(
  AND(D499=""Saída"", J499=""Sangria""),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198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94" t="str">
        <f>IFERROR(__xludf.DUMMYFUNCTION("ifna(VALUE(REGEXEXTRACT(E499,""[0-9.]+[,]+[0-9]+"")))"),"")</f>
        <v/>
      </c>
      <c r="O499" s="194"/>
      <c r="P499" s="194"/>
      <c r="Q499" s="194"/>
      <c r="R499" s="194"/>
      <c r="S499" s="194"/>
      <c r="T499" s="194"/>
      <c r="U499" s="194"/>
      <c r="V499" s="194"/>
      <c r="W499" s="194"/>
    </row>
    <row r="500" ht="14.25" customHeight="1">
      <c r="A500" s="31"/>
      <c r="B500" s="287"/>
      <c r="C500" s="286"/>
      <c r="D500" s="204"/>
      <c r="E500" s="288"/>
      <c r="F500" s="204"/>
      <c r="G500" s="289"/>
      <c r="H500" s="204"/>
      <c r="I500" s="204"/>
      <c r="J500" s="202"/>
      <c r="K500" s="202"/>
      <c r="L500" s="192" t="str">
        <f>IFERROR(__xludf.DUMMYFUNCTION("IF(
  AND(D500=""Saída"", J500=""Sangria""),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197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94" t="str">
        <f>IFERROR(__xludf.DUMMYFUNCTION("ifna(VALUE(REGEXEXTRACT(E500,""[0-9.]+[,]+[0-9]+"")))"),"")</f>
        <v/>
      </c>
      <c r="O500" s="194"/>
      <c r="P500" s="194"/>
      <c r="Q500" s="194"/>
      <c r="R500" s="194"/>
      <c r="S500" s="194"/>
      <c r="T500" s="194"/>
      <c r="U500" s="194"/>
      <c r="V500" s="194"/>
      <c r="W500" s="194"/>
    </row>
    <row r="501" ht="14.25" customHeight="1">
      <c r="A501" s="31"/>
      <c r="B501" s="287"/>
      <c r="C501" s="286"/>
      <c r="D501" s="204"/>
      <c r="E501" s="288"/>
      <c r="F501" s="204"/>
      <c r="G501" s="289"/>
      <c r="H501" s="204"/>
      <c r="I501" s="204"/>
      <c r="J501" s="202"/>
      <c r="K501" s="202"/>
      <c r="L501" s="192" t="str">
        <f>IFERROR(__xludf.DUMMYFUNCTION("IF(
  AND(D501=""Saída"", J501=""Sangria""),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198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94" t="str">
        <f>IFERROR(__xludf.DUMMYFUNCTION("ifna(VALUE(REGEXEXTRACT(E501,""[0-9.]+[,]+[0-9]+"")))"),"")</f>
        <v/>
      </c>
      <c r="O501" s="194"/>
      <c r="P501" s="194"/>
      <c r="Q501" s="194"/>
      <c r="R501" s="194"/>
      <c r="S501" s="194"/>
      <c r="T501" s="194"/>
      <c r="U501" s="194"/>
      <c r="V501" s="194"/>
      <c r="W501" s="194"/>
    </row>
    <row r="502" ht="14.25" customHeight="1">
      <c r="A502" s="31"/>
      <c r="B502" s="287"/>
      <c r="C502" s="286"/>
      <c r="D502" s="204"/>
      <c r="E502" s="288"/>
      <c r="F502" s="204"/>
      <c r="G502" s="289"/>
      <c r="H502" s="204"/>
      <c r="I502" s="204"/>
      <c r="J502" s="202"/>
      <c r="K502" s="202"/>
      <c r="L502" s="192" t="str">
        <f>IFERROR(__xludf.DUMMYFUNCTION("IF(
  AND(D502=""Saída"", J502=""Sangria""),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197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94" t="str">
        <f>IFERROR(__xludf.DUMMYFUNCTION("ifna(VALUE(REGEXEXTRACT(E502,""[0-9.]+[,]+[0-9]+"")))"),"")</f>
        <v/>
      </c>
      <c r="O502" s="194"/>
      <c r="P502" s="194"/>
      <c r="Q502" s="194"/>
      <c r="R502" s="194"/>
      <c r="S502" s="194"/>
      <c r="T502" s="194"/>
      <c r="U502" s="194"/>
      <c r="V502" s="194"/>
      <c r="W502" s="194"/>
    </row>
    <row r="503" ht="14.25" customHeight="1">
      <c r="A503" s="31"/>
      <c r="B503" s="287"/>
      <c r="C503" s="286"/>
      <c r="D503" s="204"/>
      <c r="E503" s="288"/>
      <c r="F503" s="204"/>
      <c r="G503" s="289"/>
      <c r="H503" s="204"/>
      <c r="I503" s="204"/>
      <c r="J503" s="202"/>
      <c r="K503" s="202"/>
      <c r="L503" s="192" t="str">
        <f>IFERROR(__xludf.DUMMYFUNCTION("IF(
  AND(D503=""Saída"", J503=""Sangria""),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198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94" t="str">
        <f>IFERROR(__xludf.DUMMYFUNCTION("ifna(VALUE(REGEXEXTRACT(E503,""[0-9.]+[,]+[0-9]+"")))"),"")</f>
        <v/>
      </c>
      <c r="O503" s="194"/>
      <c r="P503" s="194"/>
      <c r="Q503" s="194"/>
      <c r="R503" s="194"/>
      <c r="S503" s="194"/>
      <c r="T503" s="194"/>
      <c r="U503" s="194"/>
      <c r="V503" s="194"/>
      <c r="W503" s="194"/>
    </row>
    <row r="504" ht="14.25" customHeight="1">
      <c r="A504" s="31"/>
      <c r="B504" s="293"/>
      <c r="C504" s="294"/>
      <c r="D504" s="295"/>
      <c r="E504" s="296"/>
      <c r="F504" s="295"/>
      <c r="G504" s="297"/>
      <c r="H504" s="295"/>
      <c r="I504" s="295"/>
      <c r="J504" s="298"/>
      <c r="K504" s="298"/>
      <c r="L504" s="192" t="str">
        <f>IFERROR(__xludf.DUMMYFUNCTION("IF(
  AND(D504=""Saída"", J504=""Sangria""),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197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94" t="str">
        <f>IFERROR(__xludf.DUMMYFUNCTION("ifna(VALUE(REGEXEXTRACT(E504,""[0-9.]+[,]+[0-9]+"")))"),"")</f>
        <v/>
      </c>
      <c r="O504" s="194"/>
      <c r="P504" s="194"/>
      <c r="Q504" s="194"/>
      <c r="R504" s="194"/>
      <c r="S504" s="194"/>
      <c r="T504" s="194"/>
      <c r="U504" s="194"/>
      <c r="V504" s="194"/>
      <c r="W504" s="194"/>
    </row>
    <row r="505" ht="14.25" customHeight="1">
      <c r="A505" s="31"/>
      <c r="B505" s="299"/>
      <c r="C505" s="286"/>
      <c r="D505" s="204"/>
      <c r="E505" s="288"/>
      <c r="F505" s="204"/>
      <c r="G505" s="289"/>
      <c r="H505" s="204"/>
      <c r="I505" s="204"/>
      <c r="J505" s="202"/>
      <c r="K505" s="202"/>
      <c r="L505" s="192" t="str">
        <f>IFERROR(__xludf.DUMMYFUNCTION("IF(
  AND(D505=""Saída"", J505=""Sangria""),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198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</row>
    <row r="506" ht="14.25" customHeight="1">
      <c r="A506" s="31"/>
      <c r="B506" s="299"/>
      <c r="C506" s="286"/>
      <c r="D506" s="204"/>
      <c r="E506" s="288"/>
      <c r="F506" s="204"/>
      <c r="G506" s="289"/>
      <c r="H506" s="204"/>
      <c r="I506" s="204"/>
      <c r="J506" s="202"/>
      <c r="K506" s="202"/>
      <c r="L506" s="192" t="str">
        <f>IFERROR(__xludf.DUMMYFUNCTION("IF(
  AND(D506=""Saída"", J506=""Sangria""),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197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</row>
    <row r="507" ht="14.25" customHeight="1">
      <c r="A507" s="31"/>
      <c r="B507" s="299"/>
      <c r="C507" s="286"/>
      <c r="D507" s="204"/>
      <c r="E507" s="288"/>
      <c r="F507" s="204"/>
      <c r="G507" s="289"/>
      <c r="H507" s="204"/>
      <c r="I507" s="204"/>
      <c r="J507" s="202"/>
      <c r="K507" s="202"/>
      <c r="L507" s="192" t="str">
        <f>IFERROR(__xludf.DUMMYFUNCTION("IF(
  AND(D507=""Saída"", J507=""Sangria""),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198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</row>
  </sheetData>
  <mergeCells count="100">
    <mergeCell ref="O93:T94"/>
    <mergeCell ref="S95:T95"/>
    <mergeCell ref="O140:V140"/>
    <mergeCell ref="S141:U141"/>
    <mergeCell ref="S142:U142"/>
    <mergeCell ref="S143:U143"/>
    <mergeCell ref="S144:U144"/>
    <mergeCell ref="S145:U145"/>
    <mergeCell ref="S146:U146"/>
    <mergeCell ref="S147:U147"/>
    <mergeCell ref="S148:U148"/>
    <mergeCell ref="S149:U149"/>
    <mergeCell ref="S150:U150"/>
    <mergeCell ref="S151:U151"/>
    <mergeCell ref="S152:U152"/>
    <mergeCell ref="S153:U153"/>
    <mergeCell ref="S154:U154"/>
    <mergeCell ref="S155:U155"/>
    <mergeCell ref="S156:U156"/>
    <mergeCell ref="S157:U157"/>
    <mergeCell ref="S158:U158"/>
    <mergeCell ref="S159:U159"/>
    <mergeCell ref="S160:U160"/>
    <mergeCell ref="S161:U161"/>
    <mergeCell ref="S162:U162"/>
    <mergeCell ref="S163:U163"/>
    <mergeCell ref="S164:U164"/>
    <mergeCell ref="S165:U165"/>
    <mergeCell ref="S166:U166"/>
    <mergeCell ref="S167:U167"/>
    <mergeCell ref="S168:U168"/>
    <mergeCell ref="S169:U169"/>
    <mergeCell ref="S170:U170"/>
    <mergeCell ref="S171:U171"/>
    <mergeCell ref="S172:U172"/>
    <mergeCell ref="S173:U173"/>
    <mergeCell ref="S174:U174"/>
    <mergeCell ref="S175:U175"/>
    <mergeCell ref="S176:U176"/>
    <mergeCell ref="S177:U177"/>
    <mergeCell ref="S178:U178"/>
    <mergeCell ref="S179:U179"/>
    <mergeCell ref="S187:U187"/>
    <mergeCell ref="S188:U188"/>
    <mergeCell ref="S189:U189"/>
    <mergeCell ref="S190:U190"/>
    <mergeCell ref="S191:U191"/>
    <mergeCell ref="S192:U192"/>
    <mergeCell ref="S180:U180"/>
    <mergeCell ref="S181:U181"/>
    <mergeCell ref="S182:U182"/>
    <mergeCell ref="S183:U183"/>
    <mergeCell ref="S184:U184"/>
    <mergeCell ref="S185:U185"/>
    <mergeCell ref="S186:U186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C19:D19"/>
    <mergeCell ref="C23:D23"/>
    <mergeCell ref="E23:F23"/>
    <mergeCell ref="G23:H23"/>
    <mergeCell ref="I23:J23"/>
    <mergeCell ref="I24:J24"/>
    <mergeCell ref="I25:J25"/>
    <mergeCell ref="B27:M27"/>
    <mergeCell ref="G14:H14"/>
    <mergeCell ref="I14:J14"/>
    <mergeCell ref="C18:D18"/>
    <mergeCell ref="E18:H18"/>
    <mergeCell ref="I18:J18"/>
    <mergeCell ref="E19:F19"/>
    <mergeCell ref="I22:J22"/>
    <mergeCell ref="K18:L18"/>
    <mergeCell ref="K19:L19"/>
    <mergeCell ref="T19:W19"/>
    <mergeCell ref="O48:R48"/>
    <mergeCell ref="T48:W48"/>
    <mergeCell ref="O68:R68"/>
    <mergeCell ref="T68:W68"/>
  </mergeCells>
  <conditionalFormatting sqref="M29:M507">
    <cfRule type="cellIs" dxfId="5" priority="1" operator="equal">
      <formula>"Não Encontrada"</formula>
    </cfRule>
  </conditionalFormatting>
  <conditionalFormatting sqref="E29:E198">
    <cfRule type="expression" dxfId="6" priority="2">
      <formula>and($J$22:$J$497="Sangria",$D$22:$D$497="Saída")</formula>
    </cfRule>
  </conditionalFormatting>
  <conditionalFormatting sqref="D4 D11">
    <cfRule type="cellIs" dxfId="7" priority="3" operator="greaterThanOrEqual">
      <formula>500</formula>
    </cfRule>
  </conditionalFormatting>
  <conditionalFormatting sqref="D4 D11">
    <cfRule type="cellIs" dxfId="8" priority="4" operator="between">
      <formula>400</formula>
      <formula>500</formula>
    </cfRule>
  </conditionalFormatting>
  <conditionalFormatting sqref="F4 F11">
    <cfRule type="cellIs" dxfId="7" priority="5" operator="greaterThanOrEqual">
      <formula>500</formula>
    </cfRule>
  </conditionalFormatting>
  <conditionalFormatting sqref="F4 F11">
    <cfRule type="cellIs" dxfId="5" priority="6" operator="between">
      <formula>400</formula>
      <formula>500</formula>
    </cfRule>
  </conditionalFormatting>
  <conditionalFormatting sqref="H4 H11">
    <cfRule type="cellIs" dxfId="7" priority="7" operator="greaterThanOrEqual">
      <formula>500</formula>
    </cfRule>
  </conditionalFormatting>
  <conditionalFormatting sqref="H4 H11">
    <cfRule type="cellIs" dxfId="5" priority="8" operator="between">
      <formula>400</formula>
      <formula>500</formula>
    </cfRule>
  </conditionalFormatting>
  <conditionalFormatting sqref="J4 J11">
    <cfRule type="cellIs" dxfId="7" priority="9" operator="greaterThanOrEqual">
      <formula>500</formula>
    </cfRule>
  </conditionalFormatting>
  <conditionalFormatting sqref="J4 J11">
    <cfRule type="cellIs" dxfId="8" priority="10" operator="between">
      <formula>400</formula>
      <formula>500</formula>
    </cfRule>
  </conditionalFormatting>
  <conditionalFormatting sqref="L4:W4 L11 D20 S20:W20 O49:W49 O69:W69">
    <cfRule type="cellIs" dxfId="7" priority="11" operator="greaterThanOrEqual">
      <formula>500</formula>
    </cfRule>
  </conditionalFormatting>
  <conditionalFormatting sqref="L4:W4 L11 D20 S20:W20 O49:W49 O69:W69">
    <cfRule type="cellIs" dxfId="8" priority="12" operator="between">
      <formula>400</formula>
      <formula>500</formula>
    </cfRule>
  </conditionalFormatting>
  <conditionalFormatting sqref="E29:E507">
    <cfRule type="containsText" dxfId="9" priority="13" operator="containsText" text="R$">
      <formula>NOT(ISERROR(SEARCH(("R$"),(E29))))</formula>
    </cfRule>
  </conditionalFormatting>
  <conditionalFormatting sqref="B29:K507">
    <cfRule type="expression" dxfId="6" priority="14">
      <formula>and($J$29:$J$504="Sangria",$D$29:$D$504="Saída")</formula>
    </cfRule>
  </conditionalFormatting>
  <conditionalFormatting sqref="K29:K507">
    <cfRule type="expression" dxfId="10" priority="15">
      <formula>or($J$29:$J$218="Compra Moedas",$J$29:$J$218="Cortesias",$J$29:$J$218="Troco")</formula>
    </cfRule>
  </conditionalFormatting>
  <conditionalFormatting sqref="K29:K507">
    <cfRule type="expression" dxfId="11" priority="16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7">
    <cfRule type="expression" dxfId="5" priority="17">
      <formula>and(SEARCH("Vale",G29),or(J29="Consumo",J29="Sangria",J29="Compra Moedas",J29="Cortesia",J29="Troco",J29="Estorno Cliente",J29="Outros Pagamentos",J29="Inadimplência"))</formula>
    </cfRule>
  </conditionalFormatting>
  <conditionalFormatting sqref="I29:I507">
    <cfRule type="expression" dxfId="5" priority="18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9">
      <formula>LEN(TRIM(I43))&gt;0</formula>
    </cfRule>
  </conditionalFormatting>
  <conditionalFormatting sqref="I29:I507">
    <cfRule type="expression" dxfId="5" priority="20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7">
    <cfRule type="expression" dxfId="5" priority="21">
      <formula>and(SEARCH("Cortesia",G29),or(J29="Consumo",J29="Sangria",J29="Adiantamento",J29="Troco",J29="Estorno Cliente",J29="Outros Pagamentos",J29="Inadimplência"))</formula>
    </cfRule>
  </conditionalFormatting>
  <conditionalFormatting sqref="C29:C507">
    <cfRule type="expression" dxfId="11" priority="22">
      <formula>and($C$29:$C$218="",or($D$29:$D$218="Entrada",$D$29:$D$218="Saída"))</formula>
    </cfRule>
  </conditionalFormatting>
  <conditionalFormatting sqref="I29:I507">
    <cfRule type="expression" dxfId="5" priority="23">
      <formula>and(K29 = "",or(J29="Consumo",J29="Adiantamento"))</formula>
    </cfRule>
  </conditionalFormatting>
  <conditionalFormatting sqref="L29:L507">
    <cfRule type="cellIs" dxfId="5" priority="24" operator="equal">
      <formula>"Caixa Sangria"</formula>
    </cfRule>
  </conditionalFormatting>
  <dataValidations>
    <dataValidation type="list" allowBlank="1" showErrorMessage="1" sqref="K29:K507">
      <formula1>'DEZEMBRO 2025'!$B$4:$B$16</formula1>
    </dataValidation>
    <dataValidation type="list" allowBlank="1" showErrorMessage="1" sqref="J29:J176 J178:J179 J181:J190 J192:J195 J197:J208 J210:J267 J269:J286 J288:J303 J306:J308 J310:J376 J378:J388 J390:J507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4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5.75"/>
    <col customWidth="1" min="14" max="14" width="3.88"/>
    <col customWidth="1" min="15" max="15" width="10.13"/>
    <col customWidth="1" min="16" max="16" width="12.0"/>
    <col customWidth="1" min="17" max="17" width="12.75"/>
    <col customWidth="1" min="18" max="18" width="12.38"/>
    <col customWidth="1" min="19" max="19" width="0.63"/>
    <col customWidth="1" min="20" max="20" width="10.13"/>
    <col customWidth="1" min="21" max="21" width="9.88"/>
    <col customWidth="1" min="22" max="22" width="12.5"/>
    <col customWidth="1" min="23" max="23" width="13.63"/>
  </cols>
  <sheetData>
    <row r="1" ht="8.25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1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>
      <c r="A2" s="33" t="s">
        <v>5940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5"/>
      <c r="M2" s="32"/>
      <c r="N2" s="32"/>
      <c r="O2" s="36" t="s">
        <v>5945</v>
      </c>
      <c r="P2" s="34"/>
      <c r="Q2" s="34"/>
      <c r="R2" s="34"/>
      <c r="S2" s="34"/>
      <c r="T2" s="34"/>
      <c r="U2" s="34"/>
      <c r="V2" s="34"/>
      <c r="W2" s="35"/>
    </row>
    <row r="3">
      <c r="A3" s="37" t="s">
        <v>5950</v>
      </c>
      <c r="B3" s="38"/>
      <c r="C3" s="39" t="str">
        <f>B4</f>
        <v>Mariselma</v>
      </c>
      <c r="D3" s="38"/>
      <c r="E3" s="40" t="str">
        <f>B5</f>
        <v>Jeniffer</v>
      </c>
      <c r="F3" s="38"/>
      <c r="G3" s="40" t="str">
        <f>B6</f>
        <v>Sabrina</v>
      </c>
      <c r="H3" s="38"/>
      <c r="I3" s="40" t="str">
        <f>B7</f>
        <v>Renata</v>
      </c>
      <c r="J3" s="38"/>
      <c r="K3" s="40" t="str">
        <f>B8</f>
        <v>Joice</v>
      </c>
      <c r="L3" s="41"/>
      <c r="M3" s="42"/>
      <c r="N3" s="42"/>
      <c r="O3" s="43" t="str">
        <f>B4</f>
        <v>Mariselma</v>
      </c>
      <c r="P3" s="34"/>
      <c r="Q3" s="34"/>
      <c r="R3" s="35"/>
      <c r="S3" s="44"/>
      <c r="T3" s="45" t="str">
        <f>B5</f>
        <v>Jeniffer</v>
      </c>
      <c r="U3" s="34"/>
      <c r="V3" s="34"/>
      <c r="W3" s="35"/>
    </row>
    <row r="4" ht="15.75" customHeight="1">
      <c r="A4" s="46" t="s">
        <v>225</v>
      </c>
      <c r="B4" s="47" t="s">
        <v>5991</v>
      </c>
      <c r="C4" s="48" t="s">
        <v>783</v>
      </c>
      <c r="D4" s="49">
        <f>SUMIFS(N29:N504,J29:J504,C4,K29:K504,C3)+SUMIF(Q96:Q138,A4,R96:R138)+D9</f>
        <v>275</v>
      </c>
      <c r="E4" s="50" t="s">
        <v>783</v>
      </c>
      <c r="F4" s="49">
        <f>SUMIFS(N29:N504,J29:J504,E4,K29:K504,E3)+SUMIF(Q96:Q138,A5,R96:R138)+F9</f>
        <v>0</v>
      </c>
      <c r="G4" s="50" t="s">
        <v>783</v>
      </c>
      <c r="H4" s="49">
        <f>SUMIFS(N29:N504,J29:J504,C4,K29:K504,G3)+SUMIF(Q96:Q138,A6,R96:R138)+H9</f>
        <v>500</v>
      </c>
      <c r="I4" s="50" t="s">
        <v>783</v>
      </c>
      <c r="J4" s="49">
        <f>SUMIFS(N29:N504,J29:J504,C4,K29:K504,I3)+SUMIF(Q96:Q138,A7,R96:R138)+J9</f>
        <v>0</v>
      </c>
      <c r="K4" s="50" t="s">
        <v>783</v>
      </c>
      <c r="L4" s="51">
        <f>SUMIFS(N29:N504,J29:J504,C4,K29:K504,K3)+SUMIF(Q96:Q138,A8,R96:R138)+L9</f>
        <v>0</v>
      </c>
      <c r="M4" s="32"/>
      <c r="N4" s="32"/>
      <c r="O4" s="52" t="str">
        <f>IFERROR(__xludf.DUMMYFUNCTION("query(C28:L507,""select Col1,Col3,Col8,Col9 where (Col8 = 'Adiantamento' or Col8 = 'Consumo') and Col9 = '""&amp;B4&amp;""'"",1)"),"Data")</f>
        <v>Data</v>
      </c>
      <c r="P4" s="53" t="str">
        <f>IFERROR(__xludf.DUMMYFUNCTION("""COMPUTED_VALUE"""),"Valor ")</f>
        <v>Valor </v>
      </c>
      <c r="Q4" s="53" t="str">
        <f>IFERROR(__xludf.DUMMYFUNCTION("""COMPUTED_VALUE"""),"Tipo")</f>
        <v>Tipo</v>
      </c>
      <c r="R4" s="54" t="str">
        <f>IFERROR(__xludf.DUMMYFUNCTION("""COMPUTED_VALUE"""),"Funcionário")</f>
        <v>Funcionário</v>
      </c>
      <c r="S4" s="55"/>
      <c r="T4" s="56" t="str">
        <f>IFERROR(__xludf.DUMMYFUNCTION("query(C28:L507,""select Col1,Col3,Col8,Col9 where (Col8 = 'Adiantamento' or Col8 = 'Consumo') and Col9 = '""&amp;B5&amp;""'"",1)"),"Data")</f>
        <v>Data</v>
      </c>
      <c r="U4" s="56" t="str">
        <f>IFERROR(__xludf.DUMMYFUNCTION("""COMPUTED_VALUE"""),"Valor ")</f>
        <v>Valor </v>
      </c>
      <c r="V4" s="56" t="str">
        <f>IFERROR(__xludf.DUMMYFUNCTION("""COMPUTED_VALUE"""),"Tipo")</f>
        <v>Tipo</v>
      </c>
      <c r="W4" s="57" t="str">
        <f>IFERROR(__xludf.DUMMYFUNCTION("""COMPUTED_VALUE"""),"Funcionário")</f>
        <v>Funcionário</v>
      </c>
    </row>
    <row r="5" ht="15.0" customHeight="1">
      <c r="A5" s="46" t="s">
        <v>145</v>
      </c>
      <c r="B5" s="47" t="s">
        <v>6198</v>
      </c>
      <c r="C5" s="48" t="s">
        <v>6080</v>
      </c>
      <c r="D5" s="49">
        <f>SUMIFS(N29:N504,J29:J504,C5,K29:K504,C3)</f>
        <v>0</v>
      </c>
      <c r="E5" s="50" t="s">
        <v>6080</v>
      </c>
      <c r="F5" s="49">
        <f>SUMIFS(N29:N504,J29:J504,C5,K29:K504,E3)</f>
        <v>0</v>
      </c>
      <c r="G5" s="50" t="s">
        <v>6080</v>
      </c>
      <c r="H5" s="49">
        <f>SUMIFS(N29:N504,J29:J504,C5,K29:K504,G3)</f>
        <v>268.62</v>
      </c>
      <c r="I5" s="50" t="s">
        <v>6080</v>
      </c>
      <c r="J5" s="49">
        <f>SUMIFS(N29:N504,J29:J504,C5,K29:K504,I3)</f>
        <v>0</v>
      </c>
      <c r="K5" s="50" t="s">
        <v>6080</v>
      </c>
      <c r="L5" s="51">
        <f>SUMIFS(N29:N504,J29:J504,C5,K29:K504,K3)</f>
        <v>0</v>
      </c>
      <c r="M5" s="32"/>
      <c r="N5" s="32"/>
      <c r="O5" s="58"/>
      <c r="P5" s="59"/>
      <c r="Q5" s="59"/>
      <c r="R5" s="60"/>
      <c r="S5" s="61"/>
      <c r="T5" s="59"/>
      <c r="U5" s="59"/>
      <c r="V5" s="59"/>
      <c r="W5" s="60"/>
    </row>
    <row r="6" ht="16.5" customHeight="1">
      <c r="A6" s="46" t="s">
        <v>126</v>
      </c>
      <c r="B6" s="47" t="s">
        <v>6111</v>
      </c>
      <c r="C6" s="48" t="s">
        <v>6112</v>
      </c>
      <c r="D6" s="49">
        <f>D5*0.8</f>
        <v>0</v>
      </c>
      <c r="E6" s="50" t="s">
        <v>6112</v>
      </c>
      <c r="F6" s="49">
        <f>F5*0.8</f>
        <v>0</v>
      </c>
      <c r="G6" s="50" t="s">
        <v>6112</v>
      </c>
      <c r="H6" s="49">
        <f>H5*0.8</f>
        <v>214.896</v>
      </c>
      <c r="I6" s="50" t="s">
        <v>6112</v>
      </c>
      <c r="J6" s="49">
        <f>J5*0.8</f>
        <v>0</v>
      </c>
      <c r="K6" s="62" t="s">
        <v>6112</v>
      </c>
      <c r="L6" s="51">
        <f>L5*0.8</f>
        <v>0</v>
      </c>
      <c r="M6" s="32"/>
      <c r="N6" s="32"/>
      <c r="O6" s="58"/>
      <c r="P6" s="59"/>
      <c r="Q6" s="59"/>
      <c r="R6" s="60"/>
      <c r="S6" s="61"/>
      <c r="T6" s="59"/>
      <c r="U6" s="59"/>
      <c r="V6" s="59"/>
      <c r="W6" s="60"/>
    </row>
    <row r="7" ht="14.25" customHeight="1">
      <c r="A7" s="46" t="s">
        <v>113</v>
      </c>
      <c r="B7" s="47" t="s">
        <v>6159</v>
      </c>
      <c r="C7" s="63" t="s">
        <v>6160</v>
      </c>
      <c r="D7" s="64"/>
      <c r="E7" s="65" t="s">
        <v>6160</v>
      </c>
      <c r="F7" s="64"/>
      <c r="G7" s="65" t="s">
        <v>6160</v>
      </c>
      <c r="H7" s="64"/>
      <c r="I7" s="65" t="s">
        <v>6160</v>
      </c>
      <c r="J7" s="64"/>
      <c r="K7" s="65" t="s">
        <v>6160</v>
      </c>
      <c r="L7" s="67"/>
      <c r="M7" s="68"/>
      <c r="N7" s="68"/>
      <c r="O7" s="58"/>
      <c r="P7" s="59"/>
      <c r="Q7" s="59"/>
      <c r="R7" s="60"/>
      <c r="S7" s="61"/>
      <c r="T7" s="59"/>
      <c r="U7" s="59"/>
      <c r="V7" s="59"/>
      <c r="W7" s="60"/>
    </row>
    <row r="8" ht="14.25" customHeight="1">
      <c r="A8" s="11" t="s">
        <v>877</v>
      </c>
      <c r="B8" s="47" t="s">
        <v>6180</v>
      </c>
      <c r="C8" s="69" t="s">
        <v>6182</v>
      </c>
      <c r="D8" s="73">
        <v>46113.0</v>
      </c>
      <c r="E8" s="71" t="s">
        <v>6182</v>
      </c>
      <c r="F8" s="72"/>
      <c r="G8" s="71" t="s">
        <v>6182</v>
      </c>
      <c r="H8" s="70"/>
      <c r="I8" s="71" t="s">
        <v>6182</v>
      </c>
      <c r="J8" s="73"/>
      <c r="K8" s="71" t="s">
        <v>6182</v>
      </c>
      <c r="L8" s="74"/>
      <c r="M8" s="75"/>
      <c r="N8" s="75"/>
      <c r="O8" s="58"/>
      <c r="P8" s="59"/>
      <c r="Q8" s="59"/>
      <c r="R8" s="60"/>
      <c r="S8" s="61"/>
      <c r="T8" s="59"/>
      <c r="U8" s="59"/>
      <c r="V8" s="59"/>
      <c r="W8" s="60"/>
    </row>
    <row r="9">
      <c r="A9" s="46" t="s">
        <v>3739</v>
      </c>
      <c r="B9" s="47" t="s">
        <v>6197</v>
      </c>
      <c r="C9" s="76" t="s">
        <v>51</v>
      </c>
      <c r="D9" s="77">
        <v>275.0</v>
      </c>
      <c r="E9" s="78" t="s">
        <v>51</v>
      </c>
      <c r="F9" s="79"/>
      <c r="G9" s="78" t="s">
        <v>51</v>
      </c>
      <c r="H9" s="77"/>
      <c r="I9" s="78" t="s">
        <v>51</v>
      </c>
      <c r="J9" s="77"/>
      <c r="K9" s="78" t="s">
        <v>51</v>
      </c>
      <c r="L9" s="80"/>
      <c r="M9" s="75"/>
      <c r="N9" s="75"/>
      <c r="O9" s="58"/>
      <c r="P9" s="59"/>
      <c r="Q9" s="59"/>
      <c r="R9" s="60"/>
      <c r="S9" s="61"/>
      <c r="T9" s="59"/>
      <c r="U9" s="59"/>
      <c r="V9" s="59"/>
      <c r="W9" s="60"/>
    </row>
    <row r="10" ht="21.75" customHeight="1">
      <c r="A10" s="46"/>
      <c r="B10" s="47"/>
      <c r="C10" s="81" t="str">
        <f>B9</f>
        <v>Fernando</v>
      </c>
      <c r="D10" s="82"/>
      <c r="E10" s="83" t="str">
        <f>B10</f>
        <v/>
      </c>
      <c r="F10" s="82"/>
      <c r="G10" s="83" t="str">
        <f>B11</f>
        <v/>
      </c>
      <c r="H10" s="82"/>
      <c r="I10" s="83" t="str">
        <f>B12</f>
        <v/>
      </c>
      <c r="J10" s="82"/>
      <c r="K10" s="83" t="str">
        <f>B13</f>
        <v/>
      </c>
      <c r="L10" s="84"/>
      <c r="M10" s="31"/>
      <c r="N10" s="31"/>
      <c r="O10" s="58"/>
      <c r="P10" s="85"/>
      <c r="Q10" s="85"/>
      <c r="R10" s="86"/>
      <c r="S10" s="87"/>
      <c r="T10" s="85"/>
      <c r="U10" s="85"/>
      <c r="V10" s="85"/>
      <c r="W10" s="86"/>
    </row>
    <row r="11">
      <c r="A11" s="88"/>
      <c r="B11" s="89"/>
      <c r="C11" s="90" t="s">
        <v>783</v>
      </c>
      <c r="D11" s="91">
        <f>SUMIFS(N29:N514,J29:J514,C11,K29:K514,C10)+SUMIF(Q96:Q138,A9,R96:R138)+D16</f>
        <v>0</v>
      </c>
      <c r="E11" s="92" t="s">
        <v>783</v>
      </c>
      <c r="F11" s="91">
        <f>SUMIFS(N29:N514,J29:J514,E11,K29:K514,E10)+SUMIF(Q96:Q138,A10,R96:R138)+F16</f>
        <v>0</v>
      </c>
      <c r="G11" s="92" t="s">
        <v>783</v>
      </c>
      <c r="H11" s="91">
        <f>SUMIFS(N29:N514,J29:J514,C11,K29:K514,G10)+SUMIF(Q96:Q138,A11,R96:R138)+H16</f>
        <v>0</v>
      </c>
      <c r="I11" s="92" t="s">
        <v>783</v>
      </c>
      <c r="J11" s="91">
        <f>SUMIFS(N29:N514,J29:J514,C11,K29:K514,I10)+SUMIF(Q96:Q138,A11,R96:R138)+J16</f>
        <v>0</v>
      </c>
      <c r="K11" s="92" t="s">
        <v>783</v>
      </c>
      <c r="L11" s="93">
        <f>SUMIFS(N29:N514,J29:J514,C11,K29:K514,K10)+SUMIF(Q96:Q138,A13,R96:R138)+L16</f>
        <v>0</v>
      </c>
      <c r="M11" s="31"/>
      <c r="N11" s="31"/>
      <c r="O11" s="94"/>
      <c r="P11" s="95"/>
      <c r="Q11" s="95"/>
      <c r="R11" s="96"/>
      <c r="S11" s="97"/>
      <c r="T11" s="95"/>
      <c r="U11" s="95"/>
      <c r="V11" s="95"/>
      <c r="W11" s="96"/>
    </row>
    <row r="12">
      <c r="A12" s="88"/>
      <c r="B12" s="89"/>
      <c r="C12" s="90" t="s">
        <v>6080</v>
      </c>
      <c r="D12" s="91">
        <f>SUMIFS(N36:N514,J36:J514,C12,K36:K514,C10)</f>
        <v>250.39</v>
      </c>
      <c r="E12" s="92" t="s">
        <v>6080</v>
      </c>
      <c r="F12" s="91">
        <f>SUMIFS(N29:N514,J29:J514,C12,K29:K514,E10)</f>
        <v>0</v>
      </c>
      <c r="G12" s="92" t="s">
        <v>6080</v>
      </c>
      <c r="H12" s="91">
        <f>SUMIFS(N36:N514,J36:J514,C12,K36:K514,G10)</f>
        <v>0</v>
      </c>
      <c r="I12" s="92" t="s">
        <v>6080</v>
      </c>
      <c r="J12" s="91">
        <f>SUMIFS(N29:N514,J29:J514,C12,K29:K514,I10)</f>
        <v>0</v>
      </c>
      <c r="K12" s="92" t="s">
        <v>6080</v>
      </c>
      <c r="L12" s="93">
        <f>SUMIFS(N29:N514,J29:J514,C12,K29:K514,K10)</f>
        <v>0</v>
      </c>
      <c r="M12" s="31"/>
      <c r="N12" s="31"/>
      <c r="O12" s="94"/>
      <c r="P12" s="95"/>
      <c r="Q12" s="95"/>
      <c r="R12" s="96"/>
      <c r="S12" s="97"/>
      <c r="T12" s="95"/>
      <c r="U12" s="95"/>
      <c r="V12" s="95"/>
      <c r="W12" s="96"/>
    </row>
    <row r="13">
      <c r="A13" s="98"/>
      <c r="B13" s="99"/>
      <c r="C13" s="90" t="s">
        <v>6112</v>
      </c>
      <c r="D13" s="91">
        <f>D12*0.8</f>
        <v>200.312</v>
      </c>
      <c r="E13" s="92" t="s">
        <v>6112</v>
      </c>
      <c r="F13" s="91">
        <f>F12*0.8</f>
        <v>0</v>
      </c>
      <c r="G13" s="92" t="s">
        <v>6112</v>
      </c>
      <c r="H13" s="91">
        <f>H12*0.8</f>
        <v>0</v>
      </c>
      <c r="I13" s="92" t="s">
        <v>6112</v>
      </c>
      <c r="J13" s="91">
        <f>J12*0.8</f>
        <v>0</v>
      </c>
      <c r="K13" s="100" t="s">
        <v>6112</v>
      </c>
      <c r="L13" s="93">
        <f>L12*0.8</f>
        <v>0</v>
      </c>
      <c r="M13" s="31"/>
      <c r="N13" s="31"/>
      <c r="O13" s="94"/>
      <c r="P13" s="95"/>
      <c r="Q13" s="95"/>
      <c r="R13" s="96"/>
      <c r="S13" s="97"/>
      <c r="T13" s="95"/>
      <c r="U13" s="95"/>
      <c r="V13" s="95"/>
      <c r="W13" s="96"/>
    </row>
    <row r="14">
      <c r="A14" s="98"/>
      <c r="B14" s="99"/>
      <c r="C14" s="63" t="s">
        <v>6160</v>
      </c>
      <c r="D14" s="64"/>
      <c r="E14" s="65" t="s">
        <v>6160</v>
      </c>
      <c r="F14" s="64"/>
      <c r="G14" s="65" t="s">
        <v>6160</v>
      </c>
      <c r="H14" s="64"/>
      <c r="I14" s="65" t="s">
        <v>6160</v>
      </c>
      <c r="J14" s="64"/>
      <c r="K14" s="65" t="s">
        <v>6160</v>
      </c>
      <c r="L14" s="67"/>
      <c r="M14" s="31"/>
      <c r="N14" s="31"/>
      <c r="O14" s="94"/>
      <c r="P14" s="95"/>
      <c r="Q14" s="95"/>
      <c r="R14" s="96"/>
      <c r="S14" s="97"/>
      <c r="T14" s="95"/>
      <c r="U14" s="95"/>
      <c r="V14" s="95"/>
      <c r="W14" s="96"/>
    </row>
    <row r="15">
      <c r="A15" s="98"/>
      <c r="B15" s="99"/>
      <c r="C15" s="69" t="s">
        <v>6182</v>
      </c>
      <c r="D15" s="70"/>
      <c r="E15" s="71" t="s">
        <v>6182</v>
      </c>
      <c r="F15" s="72"/>
      <c r="G15" s="71" t="s">
        <v>6182</v>
      </c>
      <c r="H15" s="73"/>
      <c r="I15" s="71" t="s">
        <v>6182</v>
      </c>
      <c r="J15" s="73"/>
      <c r="K15" s="71" t="s">
        <v>6182</v>
      </c>
      <c r="L15" s="74"/>
      <c r="M15" s="31"/>
      <c r="N15" s="31"/>
      <c r="O15" s="94"/>
      <c r="P15" s="95"/>
      <c r="Q15" s="95"/>
      <c r="R15" s="96"/>
      <c r="S15" s="97"/>
      <c r="T15" s="95"/>
      <c r="U15" s="95"/>
      <c r="V15" s="95"/>
      <c r="W15" s="96"/>
    </row>
    <row r="16">
      <c r="A16" s="101"/>
      <c r="B16" s="102"/>
      <c r="C16" s="103" t="s">
        <v>51</v>
      </c>
      <c r="D16" s="104"/>
      <c r="E16" s="105" t="s">
        <v>51</v>
      </c>
      <c r="F16" s="106"/>
      <c r="G16" s="105" t="s">
        <v>51</v>
      </c>
      <c r="H16" s="104"/>
      <c r="I16" s="105" t="s">
        <v>51</v>
      </c>
      <c r="J16" s="104"/>
      <c r="K16" s="105" t="s">
        <v>51</v>
      </c>
      <c r="L16" s="107"/>
      <c r="M16" s="31"/>
      <c r="N16" s="31"/>
      <c r="O16" s="94"/>
      <c r="P16" s="95"/>
      <c r="Q16" s="95"/>
      <c r="R16" s="96"/>
      <c r="S16" s="97"/>
      <c r="T16" s="95"/>
      <c r="U16" s="95"/>
      <c r="V16" s="95"/>
      <c r="W16" s="96"/>
    </row>
    <row r="17">
      <c r="A17" s="87"/>
      <c r="B17" s="87"/>
      <c r="C17" s="31"/>
      <c r="D17" s="31"/>
      <c r="E17" s="108"/>
      <c r="F17" s="108"/>
      <c r="G17" s="108"/>
      <c r="H17" s="108"/>
      <c r="I17" s="108"/>
      <c r="J17" s="108"/>
      <c r="K17" s="108"/>
      <c r="L17" s="108"/>
      <c r="M17" s="31"/>
      <c r="N17" s="31"/>
      <c r="O17" s="94"/>
      <c r="P17" s="95"/>
      <c r="Q17" s="95"/>
      <c r="R17" s="96"/>
      <c r="S17" s="97"/>
      <c r="T17" s="95"/>
      <c r="U17" s="95"/>
      <c r="V17" s="95"/>
      <c r="W17" s="96"/>
    </row>
    <row r="18">
      <c r="A18" s="87"/>
      <c r="B18" s="87"/>
      <c r="C18" s="109"/>
      <c r="D18" s="110"/>
      <c r="E18" s="111" t="s">
        <v>6285</v>
      </c>
      <c r="F18" s="112"/>
      <c r="G18" s="112"/>
      <c r="H18" s="113"/>
      <c r="I18" s="111" t="s">
        <v>6287</v>
      </c>
      <c r="J18" s="113"/>
      <c r="K18" s="111" t="s">
        <v>6290</v>
      </c>
      <c r="L18" s="113"/>
      <c r="M18" s="31"/>
      <c r="N18" s="31"/>
      <c r="O18" s="114"/>
      <c r="P18" s="115"/>
      <c r="Q18" s="115"/>
      <c r="R18" s="115"/>
      <c r="S18" s="116"/>
      <c r="T18" s="115"/>
      <c r="U18" s="115"/>
      <c r="V18" s="115"/>
      <c r="W18" s="117"/>
    </row>
    <row r="19">
      <c r="A19" s="30"/>
      <c r="B19" s="30"/>
      <c r="C19" s="118"/>
      <c r="D19" s="119"/>
      <c r="E19" s="118"/>
      <c r="F19" s="120"/>
      <c r="G19" s="121" t="s">
        <v>6299</v>
      </c>
      <c r="H19" s="122">
        <f>SUMIF(L29:L499,G19,N29:N499)</f>
        <v>1400</v>
      </c>
      <c r="I19" s="123" t="s">
        <v>6300</v>
      </c>
      <c r="J19" s="124" t="s">
        <v>6302</v>
      </c>
      <c r="K19" s="125" t="s">
        <v>6304</v>
      </c>
      <c r="L19" s="119"/>
      <c r="M19" s="31"/>
      <c r="N19" s="31"/>
      <c r="O19" s="126"/>
      <c r="P19" s="127"/>
      <c r="Q19" s="127"/>
      <c r="R19" s="127"/>
      <c r="S19" s="128"/>
      <c r="T19" s="129" t="str">
        <f>B7</f>
        <v>Renata</v>
      </c>
      <c r="U19" s="112"/>
      <c r="V19" s="112"/>
      <c r="W19" s="130"/>
    </row>
    <row r="20">
      <c r="A20" s="131"/>
      <c r="B20" s="131"/>
      <c r="C20" s="132" t="s">
        <v>783</v>
      </c>
      <c r="D20" s="133">
        <f>SUMIFS(N29:N504,J29:J504,C20,K29:K504,C19)+SUMIF(Q102:Q138,A9,R102:R138)+D25</f>
        <v>0</v>
      </c>
      <c r="E20" s="132" t="s">
        <v>783</v>
      </c>
      <c r="F20" s="134">
        <f>SUMIFS(N29:N504,J29:J504,C20,K29:K504,E19)+SUMIF(Q102:Q138,A10,R102:R138)+F25</f>
        <v>0</v>
      </c>
      <c r="G20" s="135" t="s">
        <v>6328</v>
      </c>
      <c r="H20" s="136">
        <v>0.0</v>
      </c>
      <c r="I20" s="137">
        <f>SUMIF(J29:J504,I19,N29:N504)</f>
        <v>57.74</v>
      </c>
      <c r="J20" s="138">
        <f>SUMIF(J29:J504,J19,N29:N504)</f>
        <v>123</v>
      </c>
      <c r="K20" s="139" t="s">
        <v>6335</v>
      </c>
      <c r="L20" s="140"/>
      <c r="M20" s="31"/>
      <c r="N20" s="31"/>
      <c r="O20" s="141"/>
      <c r="P20" s="142"/>
      <c r="Q20" s="142"/>
      <c r="R20" s="142"/>
      <c r="S20" s="55"/>
      <c r="T20" s="56" t="str">
        <f>IFERROR(__xludf.DUMMYFUNCTION("query(C28:L507,""select Col1,Col3,Col8,Col9 where (Col8 = 'Adiantamento' or Col8 = 'Consumo') and Col9 = '""&amp;B7&amp;""'"",1)"),"Data")</f>
        <v>Data</v>
      </c>
      <c r="U20" s="56" t="str">
        <f>IFERROR(__xludf.DUMMYFUNCTION("""COMPUTED_VALUE"""),"Valor ")</f>
        <v>Valor </v>
      </c>
      <c r="V20" s="56" t="str">
        <f>IFERROR(__xludf.DUMMYFUNCTION("""COMPUTED_VALUE"""),"Tipo")</f>
        <v>Tipo</v>
      </c>
      <c r="W20" s="57" t="str">
        <f>IFERROR(__xludf.DUMMYFUNCTION("""COMPUTED_VALUE"""),"Funcionário")</f>
        <v>Funcionário</v>
      </c>
    </row>
    <row r="21" ht="19.5" customHeight="1">
      <c r="A21" s="143"/>
      <c r="B21" s="143"/>
      <c r="C21" s="132" t="s">
        <v>6080</v>
      </c>
      <c r="D21" s="133">
        <f>SUMIFS(N29:N504,J29:J504,C21,K29:K504,C19)</f>
        <v>0</v>
      </c>
      <c r="E21" s="132" t="s">
        <v>6080</v>
      </c>
      <c r="F21" s="134">
        <f>SUMIFS(N29:N504,J29:J504,E21,K29:K504,E19)</f>
        <v>0</v>
      </c>
      <c r="G21" s="92" t="s">
        <v>6354</v>
      </c>
      <c r="H21" s="133">
        <f>SUMIFS(N29:N504,D29:D504,"Saída",J29:J504,"Sangria")</f>
        <v>14700</v>
      </c>
      <c r="I21" s="144"/>
      <c r="J21" s="145"/>
      <c r="K21" s="139" t="s">
        <v>6364</v>
      </c>
      <c r="L21" s="140"/>
      <c r="M21" s="31"/>
      <c r="N21" s="31"/>
      <c r="O21" s="114"/>
      <c r="P21" s="59"/>
      <c r="Q21" s="59"/>
      <c r="R21" s="60"/>
      <c r="S21" s="61"/>
      <c r="T21" s="59"/>
      <c r="U21" s="59"/>
      <c r="V21" s="59"/>
      <c r="W21" s="60"/>
    </row>
    <row r="22">
      <c r="A22" s="143"/>
      <c r="B22" s="143"/>
      <c r="C22" s="146" t="s">
        <v>6112</v>
      </c>
      <c r="D22" s="133">
        <f>D21*0.8</f>
        <v>0</v>
      </c>
      <c r="E22" s="146" t="s">
        <v>6112</v>
      </c>
      <c r="F22" s="147">
        <f>F21*0.8</f>
        <v>0</v>
      </c>
      <c r="G22" s="148" t="s">
        <v>6369</v>
      </c>
      <c r="H22" s="149">
        <f>SUMIFS(N29:N504,D29:D504,"Entrada",J29:J504,"Sangria")</f>
        <v>0</v>
      </c>
      <c r="I22" s="150" t="s">
        <v>6370</v>
      </c>
      <c r="J22" s="151"/>
      <c r="K22" s="139" t="s">
        <v>6372</v>
      </c>
      <c r="L22" s="140"/>
      <c r="M22" s="31"/>
      <c r="N22" s="31"/>
      <c r="O22" s="58"/>
      <c r="P22" s="59"/>
      <c r="Q22" s="59"/>
      <c r="R22" s="60"/>
      <c r="S22" s="61"/>
      <c r="T22" s="59"/>
      <c r="U22" s="59"/>
      <c r="V22" s="59"/>
      <c r="W22" s="60"/>
    </row>
    <row r="23">
      <c r="A23" s="152"/>
      <c r="B23" s="152"/>
      <c r="C23" s="153" t="s">
        <v>6160</v>
      </c>
      <c r="D23" s="154"/>
      <c r="E23" s="153" t="s">
        <v>6160</v>
      </c>
      <c r="F23" s="154"/>
      <c r="G23" s="155" t="s">
        <v>6380</v>
      </c>
      <c r="H23" s="156"/>
      <c r="I23" s="157">
        <f>SUMIF(J29:J504,I22,N29:N504)</f>
        <v>0</v>
      </c>
      <c r="J23" s="158"/>
      <c r="K23" s="139" t="s">
        <v>6389</v>
      </c>
      <c r="L23" s="140"/>
      <c r="M23" s="31"/>
      <c r="N23" s="31"/>
      <c r="O23" s="58"/>
      <c r="P23" s="59"/>
      <c r="Q23" s="59"/>
      <c r="R23" s="60"/>
      <c r="S23" s="61"/>
      <c r="T23" s="59"/>
      <c r="U23" s="59"/>
      <c r="V23" s="59"/>
      <c r="W23" s="60"/>
    </row>
    <row r="24">
      <c r="A24" s="159"/>
      <c r="B24" s="159"/>
      <c r="C24" s="160" t="s">
        <v>6182</v>
      </c>
      <c r="D24" s="161"/>
      <c r="E24" s="160" t="s">
        <v>6182</v>
      </c>
      <c r="F24" s="161"/>
      <c r="G24" s="92" t="s">
        <v>6398</v>
      </c>
      <c r="H24" s="163">
        <f>SUMIF(L29:L504,G24,N29:N504)</f>
        <v>0</v>
      </c>
      <c r="I24" s="164" t="s">
        <v>6404</v>
      </c>
      <c r="J24" s="156"/>
      <c r="K24" s="139" t="s">
        <v>6407</v>
      </c>
      <c r="L24" s="140"/>
      <c r="M24" s="31"/>
      <c r="N24" s="31"/>
      <c r="O24" s="58"/>
      <c r="P24" s="59"/>
      <c r="Q24" s="59"/>
      <c r="R24" s="60"/>
      <c r="S24" s="61"/>
      <c r="T24" s="59"/>
      <c r="U24" s="59"/>
      <c r="V24" s="59"/>
      <c r="W24" s="60"/>
    </row>
    <row r="25" ht="14.25" customHeight="1">
      <c r="A25" s="159"/>
      <c r="B25" s="159"/>
      <c r="C25" s="165" t="s">
        <v>51</v>
      </c>
      <c r="D25" s="166"/>
      <c r="E25" s="165" t="s">
        <v>51</v>
      </c>
      <c r="F25" s="166"/>
      <c r="G25" s="167" t="s">
        <v>6416</v>
      </c>
      <c r="H25" s="168">
        <f>SUMIF(L29:L504,G25,N29:N504)</f>
        <v>0</v>
      </c>
      <c r="I25" s="157">
        <f>SUMIF(J29:J504,I24,N29:N504)</f>
        <v>0</v>
      </c>
      <c r="J25" s="158"/>
      <c r="K25" s="169"/>
      <c r="L25" s="170"/>
      <c r="M25" s="32"/>
      <c r="N25" s="32"/>
      <c r="O25" s="58"/>
      <c r="P25" s="59"/>
      <c r="Q25" s="59"/>
      <c r="R25" s="60"/>
      <c r="S25" s="61"/>
      <c r="T25" s="59"/>
      <c r="U25" s="59"/>
      <c r="V25" s="59"/>
      <c r="W25" s="60"/>
    </row>
    <row r="26" ht="14.25" customHeight="1">
      <c r="A26" s="171"/>
      <c r="B26" s="171"/>
      <c r="C26" s="171"/>
      <c r="D26" s="171"/>
      <c r="E26" s="171"/>
      <c r="F26" s="171"/>
      <c r="G26" s="172"/>
      <c r="H26" s="171"/>
      <c r="I26" s="171"/>
      <c r="J26" s="173"/>
      <c r="K26" s="173"/>
      <c r="L26" s="173"/>
      <c r="M26" s="174"/>
      <c r="N26" s="174"/>
      <c r="O26" s="58"/>
      <c r="P26" s="85"/>
      <c r="Q26" s="85"/>
      <c r="R26" s="86"/>
      <c r="S26" s="87"/>
      <c r="T26" s="85"/>
      <c r="U26" s="85"/>
      <c r="V26" s="85"/>
      <c r="W26" s="86"/>
    </row>
    <row r="27">
      <c r="A27" s="175"/>
      <c r="B27" s="176" t="s">
        <v>6426</v>
      </c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10"/>
      <c r="N27" s="174"/>
      <c r="O27" s="94"/>
      <c r="P27" s="95"/>
      <c r="Q27" s="95"/>
      <c r="R27" s="96"/>
      <c r="S27" s="97"/>
      <c r="T27" s="95"/>
      <c r="U27" s="95"/>
      <c r="V27" s="95"/>
      <c r="W27" s="96"/>
    </row>
    <row r="28">
      <c r="A28" s="178"/>
      <c r="B28" s="179" t="s">
        <v>0</v>
      </c>
      <c r="C28" s="180" t="s">
        <v>10</v>
      </c>
      <c r="D28" s="181" t="s">
        <v>18</v>
      </c>
      <c r="E28" s="180" t="s">
        <v>21</v>
      </c>
      <c r="F28" s="181"/>
      <c r="G28" s="181" t="s">
        <v>6</v>
      </c>
      <c r="H28" s="182"/>
      <c r="I28" s="183" t="s">
        <v>47</v>
      </c>
      <c r="J28" s="181" t="s">
        <v>52</v>
      </c>
      <c r="K28" s="180" t="s">
        <v>38</v>
      </c>
      <c r="L28" s="184" t="s">
        <v>6443</v>
      </c>
      <c r="M28" s="185" t="s">
        <v>5</v>
      </c>
      <c r="N28" s="174"/>
      <c r="O28" s="94"/>
      <c r="P28" s="95"/>
      <c r="Q28" s="95"/>
      <c r="R28" s="96"/>
      <c r="S28" s="97"/>
      <c r="T28" s="95"/>
      <c r="U28" s="95"/>
      <c r="V28" s="95"/>
      <c r="W28" s="96"/>
    </row>
    <row r="29">
      <c r="A29" s="186"/>
      <c r="B29" s="13">
        <v>1882331.0</v>
      </c>
      <c r="C29" s="14">
        <v>46014.743252314816</v>
      </c>
      <c r="D29" s="187" t="s">
        <v>97</v>
      </c>
      <c r="E29" s="188" t="s">
        <v>6444</v>
      </c>
      <c r="F29" s="189"/>
      <c r="G29" s="187" t="s">
        <v>6445</v>
      </c>
      <c r="H29" s="190"/>
      <c r="I29" s="190"/>
      <c r="J29" s="191" t="s">
        <v>6446</v>
      </c>
      <c r="K29" s="191"/>
      <c r="L29" s="192" t="str">
        <f>IFERROR(__xludf.DUMMYFUNCTION("IF(
  AND(D29=""Saída"", J29=""Sangria""),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193" t="str">
        <f>IFERROR(__xludf.DUMMYFUNCTION("IF(J29=""Compra de Mercadorias"",
   IF(
      COUNTIF(ARRAYFORMULA(TRIM(CLEAN(TO_TEXT(Notas!BS:BS)))), TRIM(CLEAN(TO_TEXT(B29)))) &gt; 0,
      ""Encontrada"",
      ""Não Encontrada""
   ),
"""")"),"Encontrada")</f>
        <v>Encontrada</v>
      </c>
      <c r="N29" s="194">
        <f>IFERROR(__xludf.DUMMYFUNCTION("ifna(VALUE(REGEXEXTRACT(E29,""[0-9.]+[,]+[0-9]+"")))"),685.0)</f>
        <v>685</v>
      </c>
      <c r="O29" s="94"/>
      <c r="P29" s="95"/>
      <c r="Q29" s="95"/>
      <c r="R29" s="96"/>
      <c r="S29" s="97"/>
      <c r="T29" s="95"/>
      <c r="U29" s="95"/>
      <c r="V29" s="95"/>
      <c r="W29" s="96"/>
    </row>
    <row r="30" ht="14.25" customHeight="1">
      <c r="A30" s="186"/>
      <c r="B30" s="13">
        <v>1882340.0</v>
      </c>
      <c r="C30" s="14">
        <v>46014.74385416666</v>
      </c>
      <c r="D30" s="187" t="s">
        <v>97</v>
      </c>
      <c r="E30" s="188" t="s">
        <v>6453</v>
      </c>
      <c r="F30" s="189"/>
      <c r="G30" s="187" t="s">
        <v>6455</v>
      </c>
      <c r="H30" s="195"/>
      <c r="I30" s="195"/>
      <c r="J30" s="196" t="s">
        <v>6446</v>
      </c>
      <c r="K30" s="196"/>
      <c r="L30" s="192" t="str">
        <f>IFERROR(__xludf.DUMMYFUNCTION("IF(
  AND(D30=""Saída"", J30=""Sangria""),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197" t="str">
        <f>IFERROR(__xludf.DUMMYFUNCTION("IF(J30=""Compra de Mercadorias"",
   IF(
      COUNTIF(ARRAYFORMULA(TRIM(CLEAN(TO_TEXT(Notas!BS:BS)))), TRIM(CLEAN(TO_TEXT(B30)))) &gt; 0,
      ""Encontrada"",
      ""Não Encontrada""
   ),
"""")"),"Encontrada")</f>
        <v>Encontrada</v>
      </c>
      <c r="N30" s="194">
        <f>IFERROR(__xludf.DUMMYFUNCTION("ifna(VALUE(REGEXEXTRACT(E30,""[0-9.]+[,]+[0-9]+"")))"),739.05)</f>
        <v>739.05</v>
      </c>
      <c r="O30" s="94"/>
      <c r="P30" s="95"/>
      <c r="Q30" s="95"/>
      <c r="R30" s="96"/>
      <c r="S30" s="97"/>
      <c r="T30" s="95"/>
      <c r="U30" s="95"/>
      <c r="V30" s="95"/>
      <c r="W30" s="96"/>
    </row>
    <row r="31" ht="14.25" customHeight="1">
      <c r="A31" s="186"/>
      <c r="B31" s="13">
        <v>1882596.0</v>
      </c>
      <c r="C31" s="14">
        <v>46014.802615740744</v>
      </c>
      <c r="D31" s="187" t="s">
        <v>97</v>
      </c>
      <c r="E31" s="188" t="s">
        <v>6466</v>
      </c>
      <c r="F31" s="189"/>
      <c r="G31" s="187" t="s">
        <v>6468</v>
      </c>
      <c r="H31" s="195"/>
      <c r="I31" s="195"/>
      <c r="J31" s="196" t="s">
        <v>6469</v>
      </c>
      <c r="K31" s="196"/>
      <c r="L31" s="192" t="str">
        <f>IFERROR(__xludf.DUMMYFUNCTION("IF(
  AND(D31=""Saída"", J31=""Sangria""),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198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94">
        <f>IFERROR(__xludf.DUMMYFUNCTION("ifna(VALUE(REGEXEXTRACT(E31,""[0-9.]+[,]+[0-9]+"")))"),91.0)</f>
        <v>91</v>
      </c>
      <c r="O31" s="94"/>
      <c r="P31" s="95"/>
      <c r="Q31" s="95"/>
      <c r="R31" s="96"/>
      <c r="S31" s="97"/>
      <c r="T31" s="95"/>
      <c r="U31" s="95"/>
      <c r="V31" s="95"/>
      <c r="W31" s="96"/>
    </row>
    <row r="32" ht="14.25" customHeight="1">
      <c r="A32" s="186"/>
      <c r="B32" s="13">
        <v>1882598.0</v>
      </c>
      <c r="C32" s="14">
        <v>46014.803032407406</v>
      </c>
      <c r="D32" s="187" t="s">
        <v>97</v>
      </c>
      <c r="E32" s="188" t="s">
        <v>6466</v>
      </c>
      <c r="F32" s="189"/>
      <c r="G32" s="187" t="s">
        <v>6471</v>
      </c>
      <c r="H32" s="195"/>
      <c r="I32" s="195"/>
      <c r="J32" s="196" t="s">
        <v>6469</v>
      </c>
      <c r="K32" s="196"/>
      <c r="L32" s="192" t="str">
        <f>IFERROR(__xludf.DUMMYFUNCTION("IF(
  AND(D32=""Saída"", J32=""Sangria""),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199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94">
        <f>IFERROR(__xludf.DUMMYFUNCTION("ifna(VALUE(REGEXEXTRACT(E32,""[0-9.]+[,]+[0-9]+"")))"),91.0)</f>
        <v>91</v>
      </c>
      <c r="O32" s="94"/>
      <c r="P32" s="95"/>
      <c r="Q32" s="95"/>
      <c r="R32" s="96"/>
      <c r="S32" s="97"/>
      <c r="T32" s="95"/>
      <c r="U32" s="95"/>
      <c r="V32" s="95"/>
      <c r="W32" s="96"/>
    </row>
    <row r="33" ht="14.25" customHeight="1">
      <c r="A33" s="186"/>
      <c r="B33" s="13">
        <v>1883074.0</v>
      </c>
      <c r="C33" s="14">
        <v>46014.91339120371</v>
      </c>
      <c r="D33" s="187" t="s">
        <v>97</v>
      </c>
      <c r="E33" s="188" t="s">
        <v>6473</v>
      </c>
      <c r="F33" s="189"/>
      <c r="G33" s="187" t="s">
        <v>6474</v>
      </c>
      <c r="H33" s="195"/>
      <c r="I33" s="195"/>
      <c r="J33" s="196" t="s">
        <v>6080</v>
      </c>
      <c r="K33" s="196" t="s">
        <v>6111</v>
      </c>
      <c r="L33" s="192" t="str">
        <f>IFERROR(__xludf.DUMMYFUNCTION("IF(
  AND(D33=""Saída"", J33=""Sangria""),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198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94">
        <f>IFERROR(__xludf.DUMMYFUNCTION("ifna(VALUE(REGEXEXTRACT(E33,""[0-9.]+[,]+[0-9]+"")))"),19.75)</f>
        <v>19.75</v>
      </c>
      <c r="O33" s="94"/>
      <c r="P33" s="95"/>
      <c r="Q33" s="95"/>
      <c r="R33" s="96"/>
      <c r="S33" s="97"/>
      <c r="T33" s="95"/>
      <c r="U33" s="95"/>
      <c r="V33" s="95"/>
      <c r="W33" s="96"/>
    </row>
    <row r="34" ht="14.25" customHeight="1">
      <c r="A34" s="186"/>
      <c r="B34" s="13">
        <v>1883116.0</v>
      </c>
      <c r="C34" s="14">
        <v>46014.91700231482</v>
      </c>
      <c r="D34" s="187" t="s">
        <v>97</v>
      </c>
      <c r="E34" s="188" t="s">
        <v>163</v>
      </c>
      <c r="F34" s="200"/>
      <c r="G34" s="187" t="s">
        <v>6477</v>
      </c>
      <c r="H34" s="195"/>
      <c r="I34" s="195"/>
      <c r="J34" s="196"/>
      <c r="K34" s="196"/>
      <c r="L34" s="192" t="str">
        <f>IFERROR(__xludf.DUMMYFUNCTION("IF(
  AND(D34=""Saída"", J34=""Sangria""),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197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94">
        <f>IFERROR(__xludf.DUMMYFUNCTION("ifna(VALUE(REGEXEXTRACT(E34,""[0-9.]+[,]+[0-9]+"")))"),0.01)</f>
        <v>0.01</v>
      </c>
      <c r="O34" s="114"/>
      <c r="P34" s="115"/>
      <c r="Q34" s="115"/>
      <c r="R34" s="115"/>
      <c r="S34" s="116"/>
      <c r="T34" s="115"/>
      <c r="U34" s="115"/>
      <c r="V34" s="115"/>
      <c r="W34" s="117"/>
    </row>
    <row r="35" ht="18.75" customHeight="1">
      <c r="A35" s="186"/>
      <c r="B35" s="13">
        <v>1886417.0</v>
      </c>
      <c r="C35" s="14">
        <v>46017.693460648145</v>
      </c>
      <c r="D35" s="187" t="s">
        <v>97</v>
      </c>
      <c r="E35" s="188" t="s">
        <v>6480</v>
      </c>
      <c r="F35" s="189"/>
      <c r="G35" s="187" t="s">
        <v>6481</v>
      </c>
      <c r="H35" s="195"/>
      <c r="I35" s="195"/>
      <c r="J35" s="196" t="s">
        <v>6446</v>
      </c>
      <c r="K35" s="196"/>
      <c r="L35" s="192" t="str">
        <f>IFERROR(__xludf.DUMMYFUNCTION("IF(
  AND(D35=""Saída"", J35=""Sangria""),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198" t="str">
        <f>IFERROR(__xludf.DUMMYFUNCTION("IF(J35=""Compra de Mercadorias"",
   IF(
      COUNTIF(ARRAYFORMULA(TRIM(CLEAN(TO_TEXT(Notas!BS:BS)))), TRIM(CLEAN(TO_TEXT(B35)))) &gt; 0,
      ""Encontrada"",
      ""Não Encontrada""
   ),
"""")"),"Encontrada")</f>
        <v>Encontrada</v>
      </c>
      <c r="N35" s="194">
        <f>IFERROR(__xludf.DUMMYFUNCTION("ifna(VALUE(REGEXEXTRACT(E35,""[0-9.]+[,]+[0-9]+"")))"),57.8)</f>
        <v>57.8</v>
      </c>
      <c r="O35" s="31"/>
      <c r="P35" s="31"/>
      <c r="Q35" s="31"/>
      <c r="R35" s="31"/>
      <c r="S35" s="31"/>
      <c r="T35" s="31"/>
      <c r="U35" s="31"/>
      <c r="V35" s="31"/>
      <c r="W35" s="31"/>
    </row>
    <row r="36" ht="14.25" customHeight="1">
      <c r="A36" s="186"/>
      <c r="B36" s="13">
        <v>1886418.0</v>
      </c>
      <c r="C36" s="14">
        <v>46017.69358796296</v>
      </c>
      <c r="D36" s="187" t="s">
        <v>97</v>
      </c>
      <c r="E36" s="188" t="s">
        <v>6490</v>
      </c>
      <c r="F36" s="189"/>
      <c r="G36" s="187" t="s">
        <v>6493</v>
      </c>
      <c r="H36" s="195"/>
      <c r="I36" s="195"/>
      <c r="J36" s="196" t="s">
        <v>6446</v>
      </c>
      <c r="K36" s="196"/>
      <c r="L36" s="192" t="str">
        <f>IFERROR(__xludf.DUMMYFUNCTION("IF(
  AND(D36=""Saída"", J36=""Sangria""),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197" t="str">
        <f>IFERROR(__xludf.DUMMYFUNCTION("IF(J36=""Compra de Mercadorias"",
   IF(
      COUNTIF(ARRAYFORMULA(TRIM(CLEAN(TO_TEXT(Notas!BS:BS)))), TRIM(CLEAN(TO_TEXT(B36)))) &gt; 0,
      ""Encontrada"",
      ""Não Encontrada""
   ),
"""")"),"Encontrada")</f>
        <v>Encontrada</v>
      </c>
      <c r="N36" s="194">
        <f>IFERROR(__xludf.DUMMYFUNCTION("ifna(VALUE(REGEXEXTRACT(E36,""[0-9.]+[,]+[0-9]+"")))"),500.0)</f>
        <v>500</v>
      </c>
      <c r="O36" s="31"/>
      <c r="P36" s="31"/>
      <c r="Q36" s="31"/>
      <c r="R36" s="31"/>
      <c r="S36" s="31"/>
      <c r="T36" s="31"/>
      <c r="U36" s="31"/>
      <c r="V36" s="31"/>
      <c r="W36" s="31"/>
    </row>
    <row r="37" ht="14.25" customHeight="1">
      <c r="A37" s="186"/>
      <c r="B37" s="13">
        <v>1886426.0</v>
      </c>
      <c r="C37" s="14">
        <v>46017.69552083333</v>
      </c>
      <c r="D37" s="187" t="s">
        <v>97</v>
      </c>
      <c r="E37" s="188" t="s">
        <v>163</v>
      </c>
      <c r="F37" s="189"/>
      <c r="G37" s="187" t="s">
        <v>6506</v>
      </c>
      <c r="H37" s="195"/>
      <c r="I37" s="195"/>
      <c r="J37" s="196"/>
      <c r="K37" s="196"/>
      <c r="L37" s="192" t="str">
        <f>IFERROR(__xludf.DUMMYFUNCTION("IF(
  AND(D37=""Saída"", J37=""Sangria""),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01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94">
        <f>IFERROR(__xludf.DUMMYFUNCTION("ifna(VALUE(REGEXEXTRACT(E37,""[0-9.]+[,]+[0-9]+"")))"),0.01)</f>
        <v>0.01</v>
      </c>
      <c r="O37" s="31"/>
      <c r="P37" s="31"/>
      <c r="Q37" s="31"/>
      <c r="R37" s="31"/>
      <c r="S37" s="31"/>
      <c r="T37" s="31"/>
      <c r="U37" s="31"/>
      <c r="V37" s="31"/>
      <c r="W37" s="31"/>
    </row>
    <row r="38" ht="14.25" customHeight="1">
      <c r="A38" s="186"/>
      <c r="B38" s="13">
        <v>1886658.0</v>
      </c>
      <c r="C38" s="14">
        <v>46017.731990740744</v>
      </c>
      <c r="D38" s="187" t="s">
        <v>97</v>
      </c>
      <c r="E38" s="188" t="s">
        <v>281</v>
      </c>
      <c r="F38" s="189"/>
      <c r="G38" s="187" t="s">
        <v>6501</v>
      </c>
      <c r="H38" s="195"/>
      <c r="I38" s="195"/>
      <c r="J38" s="196" t="s">
        <v>6080</v>
      </c>
      <c r="K38" s="196" t="s">
        <v>6197</v>
      </c>
      <c r="L38" s="192" t="str">
        <f>IFERROR(__xludf.DUMMYFUNCTION("IF(
  AND(D38=""Saída"", J38=""Sangria""),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197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94">
        <f>IFERROR(__xludf.DUMMYFUNCTION("ifna(VALUE(REGEXEXTRACT(E38,""[0-9.]+[,]+[0-9]+"")))"),19.9)</f>
        <v>19.9</v>
      </c>
      <c r="O38" s="31"/>
      <c r="P38" s="31"/>
      <c r="Q38" s="31"/>
      <c r="R38" s="31"/>
      <c r="S38" s="31"/>
      <c r="T38" s="31"/>
      <c r="U38" s="31"/>
      <c r="V38" s="31"/>
      <c r="W38" s="31"/>
    </row>
    <row r="39" ht="21.75" customHeight="1">
      <c r="A39" s="186"/>
      <c r="B39" s="13">
        <v>1887085.0</v>
      </c>
      <c r="C39" s="14">
        <v>46017.80533564815</v>
      </c>
      <c r="D39" s="187" t="s">
        <v>97</v>
      </c>
      <c r="E39" s="188" t="s">
        <v>1245</v>
      </c>
      <c r="F39" s="189"/>
      <c r="G39" s="187" t="s">
        <v>282</v>
      </c>
      <c r="H39" s="195"/>
      <c r="I39" s="195"/>
      <c r="J39" s="196" t="s">
        <v>6080</v>
      </c>
      <c r="K39" s="196" t="s">
        <v>6111</v>
      </c>
      <c r="L39" s="192" t="str">
        <f>IFERROR(__xludf.DUMMYFUNCTION("IF(
  AND(D39=""Saída"", J39=""Sangria""),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198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94">
        <f>IFERROR(__xludf.DUMMYFUNCTION("ifna(VALUE(REGEXEXTRACT(E39,""[0-9.]+[,]+[0-9]+"")))"),21.89)</f>
        <v>21.89</v>
      </c>
      <c r="O39" s="31"/>
      <c r="P39" s="31"/>
      <c r="Q39" s="31"/>
      <c r="R39" s="31"/>
      <c r="S39" s="31"/>
      <c r="T39" s="31"/>
      <c r="U39" s="31"/>
      <c r="V39" s="31"/>
      <c r="W39" s="31"/>
    </row>
    <row r="40" ht="14.25" customHeight="1">
      <c r="A40" s="186"/>
      <c r="B40" s="13">
        <v>1887169.0</v>
      </c>
      <c r="C40" s="14">
        <v>46017.82331018519</v>
      </c>
      <c r="D40" s="187" t="s">
        <v>97</v>
      </c>
      <c r="E40" s="188" t="s">
        <v>6545</v>
      </c>
      <c r="F40" s="189"/>
      <c r="G40" s="187" t="s">
        <v>858</v>
      </c>
      <c r="H40" s="195"/>
      <c r="I40" s="195"/>
      <c r="J40" s="196" t="s">
        <v>6544</v>
      </c>
      <c r="K40" s="196" t="s">
        <v>5991</v>
      </c>
      <c r="L40" s="192" t="str">
        <f>IFERROR(__xludf.DUMMYFUNCTION("IF(
  AND(D40=""Saída"", J40=""Sangria""),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"),"Confirmada")</f>
        <v>Confirmada</v>
      </c>
      <c r="M40" s="197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94">
        <f>IFERROR(__xludf.DUMMYFUNCTION("ifna(VALUE(REGEXEXTRACT(E40,""[0-9.]+[,]+[0-9]+"")))"),1500.0)</f>
        <v>1500</v>
      </c>
      <c r="O40" s="31"/>
      <c r="P40" s="31"/>
      <c r="Q40" s="31"/>
      <c r="R40" s="31"/>
      <c r="S40" s="31"/>
      <c r="T40" s="31"/>
      <c r="U40" s="31"/>
      <c r="V40" s="31"/>
      <c r="W40" s="31"/>
    </row>
    <row r="41" ht="14.25" customHeight="1">
      <c r="A41" s="186"/>
      <c r="B41" s="13">
        <v>1887516.0</v>
      </c>
      <c r="C41" s="14">
        <v>46017.899976851855</v>
      </c>
      <c r="D41" s="187" t="s">
        <v>97</v>
      </c>
      <c r="E41" s="188" t="s">
        <v>6547</v>
      </c>
      <c r="F41" s="189"/>
      <c r="G41" s="187" t="s">
        <v>6548</v>
      </c>
      <c r="H41" s="195"/>
      <c r="I41" s="195"/>
      <c r="J41" s="196" t="s">
        <v>6469</v>
      </c>
      <c r="K41" s="196"/>
      <c r="L41" s="192" t="str">
        <f>IFERROR(__xludf.DUMMYFUNCTION("IF(
  AND(D41=""Saída"", J41=""Sangria""),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201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94">
        <f>IFERROR(__xludf.DUMMYFUNCTION("ifna(VALUE(REGEXEXTRACT(E41,""[0-9.]+[,]+[0-9]+"")))"),117.0)</f>
        <v>117</v>
      </c>
      <c r="O41" s="31"/>
      <c r="P41" s="31"/>
      <c r="Q41" s="31"/>
      <c r="R41" s="31"/>
      <c r="S41" s="31"/>
      <c r="T41" s="31"/>
      <c r="U41" s="31"/>
      <c r="V41" s="31"/>
      <c r="W41" s="31"/>
    </row>
    <row r="42" ht="14.25" customHeight="1">
      <c r="A42" s="186"/>
      <c r="B42" s="13">
        <v>1887520.0</v>
      </c>
      <c r="C42" s="14">
        <v>46017.90045138889</v>
      </c>
      <c r="D42" s="187" t="s">
        <v>97</v>
      </c>
      <c r="E42" s="188" t="s">
        <v>6549</v>
      </c>
      <c r="F42" s="189"/>
      <c r="G42" s="187" t="s">
        <v>6550</v>
      </c>
      <c r="H42" s="195"/>
      <c r="I42" s="195"/>
      <c r="J42" s="196" t="s">
        <v>6551</v>
      </c>
      <c r="K42" s="196"/>
      <c r="L42" s="192" t="str">
        <f>IFERROR(__xludf.DUMMYFUNCTION("IF(
  AND(D42=""Saída"", J42=""Sangria""),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197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94">
        <f>IFERROR(__xludf.DUMMYFUNCTION("ifna(VALUE(REGEXEXTRACT(E42,""[0-9.]+[,]+[0-9]+"")))"),12.0)</f>
        <v>12</v>
      </c>
      <c r="O42" s="31"/>
      <c r="P42" s="31"/>
      <c r="Q42" s="31"/>
      <c r="R42" s="31"/>
      <c r="S42" s="31"/>
      <c r="T42" s="31"/>
      <c r="U42" s="31"/>
      <c r="V42" s="31"/>
      <c r="W42" s="31"/>
    </row>
    <row r="43" ht="14.25" customHeight="1">
      <c r="A43" s="186"/>
      <c r="B43" s="13">
        <v>1887619.0</v>
      </c>
      <c r="C43" s="14">
        <v>46017.912407407406</v>
      </c>
      <c r="D43" s="187" t="s">
        <v>97</v>
      </c>
      <c r="E43" s="188" t="s">
        <v>6555</v>
      </c>
      <c r="F43" s="189"/>
      <c r="G43" s="187" t="s">
        <v>151</v>
      </c>
      <c r="H43" s="202"/>
      <c r="I43" s="202"/>
      <c r="J43" s="196" t="s">
        <v>6080</v>
      </c>
      <c r="K43" s="196" t="s">
        <v>6111</v>
      </c>
      <c r="L43" s="192" t="str">
        <f>IFERROR(__xludf.DUMMYFUNCTION("IF(
  AND(D43=""Saída"", J43=""Sangria""),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03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94">
        <f>IFERROR(__xludf.DUMMYFUNCTION("ifna(VALUE(REGEXEXTRACT(E43,""[0-9.]+[,]+[0-9]+"")))"),63.75)</f>
        <v>63.75</v>
      </c>
      <c r="O43" s="31"/>
      <c r="P43" s="31"/>
      <c r="Q43" s="31"/>
      <c r="R43" s="31"/>
      <c r="S43" s="31"/>
      <c r="T43" s="31"/>
      <c r="U43" s="31"/>
      <c r="V43" s="31"/>
      <c r="W43" s="31"/>
    </row>
    <row r="44" ht="14.25" customHeight="1">
      <c r="A44" s="186"/>
      <c r="B44" s="13">
        <v>1889467.0</v>
      </c>
      <c r="C44" s="14">
        <v>46018.76231481481</v>
      </c>
      <c r="D44" s="187" t="s">
        <v>97</v>
      </c>
      <c r="E44" s="188" t="s">
        <v>6561</v>
      </c>
      <c r="F44" s="200"/>
      <c r="G44" s="187" t="s">
        <v>6563</v>
      </c>
      <c r="H44" s="202"/>
      <c r="I44" s="202"/>
      <c r="J44" s="196" t="s">
        <v>6469</v>
      </c>
      <c r="K44" s="196"/>
      <c r="L44" s="192" t="str">
        <f>IFERROR(__xludf.DUMMYFUNCTION("IF(
  AND(D44=""Saída"", J44=""Sangria""),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197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94">
        <f>IFERROR(__xludf.DUMMYFUNCTION("ifna(VALUE(REGEXEXTRACT(E44,""[0-9.]+[,]+[0-9]+"")))"),123.0)</f>
        <v>123</v>
      </c>
      <c r="O44" s="31"/>
      <c r="P44" s="31"/>
      <c r="Q44" s="31"/>
      <c r="R44" s="31"/>
      <c r="S44" s="31"/>
      <c r="T44" s="31"/>
      <c r="U44" s="31"/>
      <c r="V44" s="31"/>
      <c r="W44" s="31"/>
    </row>
    <row r="45" ht="14.25" customHeight="1">
      <c r="A45" s="186"/>
      <c r="B45" s="13">
        <v>1889479.0</v>
      </c>
      <c r="C45" s="14">
        <v>46018.76349537037</v>
      </c>
      <c r="D45" s="187" t="s">
        <v>97</v>
      </c>
      <c r="E45" s="188" t="s">
        <v>6561</v>
      </c>
      <c r="F45" s="189"/>
      <c r="G45" s="187" t="s">
        <v>6575</v>
      </c>
      <c r="H45" s="204"/>
      <c r="I45" s="204"/>
      <c r="J45" s="196" t="s">
        <v>6469</v>
      </c>
      <c r="K45" s="196"/>
      <c r="L45" s="192" t="str">
        <f>IFERROR(__xludf.DUMMYFUNCTION("IF(
  AND(D45=""Saída"", J45=""Sangria""),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198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94">
        <f>IFERROR(__xludf.DUMMYFUNCTION("ifna(VALUE(REGEXEXTRACT(E45,""[0-9.]+[,]+[0-9]+"")))"),123.0)</f>
        <v>123</v>
      </c>
      <c r="O45" s="31"/>
      <c r="P45" s="31"/>
      <c r="Q45" s="31"/>
      <c r="R45" s="31"/>
      <c r="S45" s="31"/>
      <c r="T45" s="31"/>
      <c r="U45" s="31"/>
      <c r="V45" s="31"/>
      <c r="W45" s="31"/>
    </row>
    <row r="46" ht="18.75" customHeight="1">
      <c r="A46" s="186"/>
      <c r="B46" s="13">
        <v>1889579.0</v>
      </c>
      <c r="C46" s="14">
        <v>46018.78295138889</v>
      </c>
      <c r="D46" s="187" t="s">
        <v>97</v>
      </c>
      <c r="E46" s="188" t="s">
        <v>6587</v>
      </c>
      <c r="F46" s="189"/>
      <c r="G46" s="187" t="s">
        <v>6588</v>
      </c>
      <c r="H46" s="204"/>
      <c r="I46" s="204"/>
      <c r="J46" s="196" t="s">
        <v>6446</v>
      </c>
      <c r="K46" s="196"/>
      <c r="L46" s="192" t="str">
        <f>IFERROR(__xludf.DUMMYFUNCTION("IF(
  AND(D46=""Saída"", J46=""Sangria""),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197" t="str">
        <f>IFERROR(__xludf.DUMMYFUNCTION("IF(J46=""Compra de Mercadorias"",
   IF(
      COUNTIF(ARRAYFORMULA(TRIM(CLEAN(TO_TEXT(Notas!BS:BS)))), TRIM(CLEAN(TO_TEXT(B46)))) &gt; 0,
      ""Encontrada"",
      ""Não Encontrada""
   ),
"""")"),"Encontrada")</f>
        <v>Encontrada</v>
      </c>
      <c r="N46" s="194">
        <f>IFERROR(__xludf.DUMMYFUNCTION("ifna(VALUE(REGEXEXTRACT(E46,""[0-9.]+[,]+[0-9]+"")))"),311.5)</f>
        <v>311.5</v>
      </c>
      <c r="O46" s="31"/>
      <c r="P46" s="31"/>
      <c r="Q46" s="31"/>
      <c r="R46" s="31"/>
      <c r="S46" s="31"/>
      <c r="T46" s="31"/>
      <c r="U46" s="31"/>
      <c r="V46" s="31"/>
      <c r="W46" s="31"/>
    </row>
    <row r="47" ht="14.25" customHeight="1">
      <c r="A47" s="186"/>
      <c r="B47" s="13">
        <v>1889583.0</v>
      </c>
      <c r="C47" s="14">
        <v>46018.78407407407</v>
      </c>
      <c r="D47" s="187" t="s">
        <v>97</v>
      </c>
      <c r="E47" s="188" t="s">
        <v>6597</v>
      </c>
      <c r="F47" s="189"/>
      <c r="G47" s="187" t="s">
        <v>6598</v>
      </c>
      <c r="H47" s="204"/>
      <c r="I47" s="204"/>
      <c r="J47" s="196" t="s">
        <v>6446</v>
      </c>
      <c r="K47" s="196"/>
      <c r="L47" s="192" t="str">
        <f>IFERROR(__xludf.DUMMYFUNCTION("IF(
  AND(D47=""Saída"", J47=""Sangria""),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198" t="str">
        <f>IFERROR(__xludf.DUMMYFUNCTION("IF(J47=""Compra de Mercadorias"",
   IF(
      COUNTIF(ARRAYFORMULA(TRIM(CLEAN(TO_TEXT(Notas!BS:BS)))), TRIM(CLEAN(TO_TEXT(B47)))) &gt; 0,
      ""Encontrada"",
      ""Não Encontrada""
   ),
"""")"),"Encontrada")</f>
        <v>Encontrada</v>
      </c>
      <c r="N47" s="194">
        <f>IFERROR(__xludf.DUMMYFUNCTION("ifna(VALUE(REGEXEXTRACT(E47,""[0-9.]+[,]+[0-9]+"")))"),170.96)</f>
        <v>170.96</v>
      </c>
      <c r="O47" s="31"/>
      <c r="P47" s="31"/>
      <c r="Q47" s="31"/>
      <c r="R47" s="31"/>
      <c r="S47" s="31"/>
      <c r="T47" s="31"/>
      <c r="U47" s="31"/>
      <c r="V47" s="31"/>
      <c r="W47" s="31"/>
    </row>
    <row r="48">
      <c r="A48" s="186"/>
      <c r="B48" s="13">
        <v>1889739.0</v>
      </c>
      <c r="C48" s="14">
        <v>46018.81396990741</v>
      </c>
      <c r="D48" s="187" t="s">
        <v>97</v>
      </c>
      <c r="E48" s="188" t="s">
        <v>650</v>
      </c>
      <c r="F48" s="189"/>
      <c r="G48" s="187" t="s">
        <v>6612</v>
      </c>
      <c r="H48" s="204"/>
      <c r="I48" s="204"/>
      <c r="J48" s="196" t="s">
        <v>6469</v>
      </c>
      <c r="K48" s="196"/>
      <c r="L48" s="192" t="str">
        <f>IFERROR(__xludf.DUMMYFUNCTION("IF(
  AND(D48=""Saída"", J48=""Sangria""),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197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94">
        <f>IFERROR(__xludf.DUMMYFUNCTION("ifna(VALUE(REGEXEXTRACT(E48,""[0-9.]+[,]+[0-9]+"")))"),78.0)</f>
        <v>78</v>
      </c>
      <c r="O48" s="205" t="str">
        <f>B8</f>
        <v>Joice</v>
      </c>
      <c r="P48" s="112"/>
      <c r="Q48" s="112"/>
      <c r="R48" s="112"/>
      <c r="S48" s="128"/>
      <c r="T48" s="129" t="str">
        <f>B9</f>
        <v>Fernando</v>
      </c>
      <c r="U48" s="112"/>
      <c r="V48" s="112"/>
      <c r="W48" s="130"/>
    </row>
    <row r="49" ht="14.25" customHeight="1">
      <c r="A49" s="186"/>
      <c r="B49" s="13">
        <v>1889859.0</v>
      </c>
      <c r="C49" s="14">
        <v>46018.83210648148</v>
      </c>
      <c r="D49" s="187" t="s">
        <v>97</v>
      </c>
      <c r="E49" s="188" t="s">
        <v>6561</v>
      </c>
      <c r="F49" s="189"/>
      <c r="G49" s="187" t="s">
        <v>6625</v>
      </c>
      <c r="H49" s="204"/>
      <c r="I49" s="204"/>
      <c r="J49" s="196" t="s">
        <v>6302</v>
      </c>
      <c r="K49" s="196"/>
      <c r="L49" s="192" t="str">
        <f>IFERROR(__xludf.DUMMYFUNCTION("IF(
  AND(D49=""Saída"", J49=""Sangria""),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198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94">
        <f>IFERROR(__xludf.DUMMYFUNCTION("ifna(VALUE(REGEXEXTRACT(E49,""[0-9.]+[,]+[0-9]+"")))"),123.0)</f>
        <v>123</v>
      </c>
      <c r="O49" s="52" t="str">
        <f>IFERROR(__xludf.DUMMYFUNCTION("query(C28:L507,""select Col1,Col3,Col8,Col9 where (Col8 = 'Adiantamento' or Col8 = 'Consumo') and Col9 = '""&amp;B8&amp;""'"",1)"),"Data")</f>
        <v>Data</v>
      </c>
      <c r="P49" s="53" t="str">
        <f>IFERROR(__xludf.DUMMYFUNCTION("""COMPUTED_VALUE"""),"Valor ")</f>
        <v>Valor </v>
      </c>
      <c r="Q49" s="53" t="str">
        <f>IFERROR(__xludf.DUMMYFUNCTION("""COMPUTED_VALUE"""),"Tipo")</f>
        <v>Tipo</v>
      </c>
      <c r="R49" s="53" t="str">
        <f>IFERROR(__xludf.DUMMYFUNCTION("""COMPUTED_VALUE"""),"Funcionário")</f>
        <v>Funcionário</v>
      </c>
      <c r="S49" s="55"/>
      <c r="T49" s="56" t="str">
        <f>IFERROR(__xludf.DUMMYFUNCTION("query(C28:L507,""select Col1,Col3,Col8,Col9 where (Col8 = 'Adiantamento' or Col8 = 'Consumo') and Col9 = '""&amp;B9&amp;""'"",1)"),"Data")</f>
        <v>Data</v>
      </c>
      <c r="U49" s="56" t="str">
        <f>IFERROR(__xludf.DUMMYFUNCTION("""COMPUTED_VALUE"""),"Valor ")</f>
        <v>Valor </v>
      </c>
      <c r="V49" s="56" t="str">
        <f>IFERROR(__xludf.DUMMYFUNCTION("""COMPUTED_VALUE"""),"Tipo")</f>
        <v>Tipo</v>
      </c>
      <c r="W49" s="57" t="str">
        <f>IFERROR(__xludf.DUMMYFUNCTION("""COMPUTED_VALUE"""),"Funcionário")</f>
        <v>Funcionário</v>
      </c>
    </row>
    <row r="50" ht="14.25" customHeight="1">
      <c r="A50" s="186"/>
      <c r="B50" s="13">
        <v>1893266.0</v>
      </c>
      <c r="C50" s="14">
        <v>46019.893912037034</v>
      </c>
      <c r="D50" s="187" t="s">
        <v>97</v>
      </c>
      <c r="E50" s="188" t="s">
        <v>6561</v>
      </c>
      <c r="F50" s="189"/>
      <c r="G50" s="187" t="s">
        <v>6640</v>
      </c>
      <c r="H50" s="204"/>
      <c r="I50" s="204"/>
      <c r="J50" s="196" t="s">
        <v>6469</v>
      </c>
      <c r="K50" s="196"/>
      <c r="L50" s="192" t="str">
        <f>IFERROR(__xludf.DUMMYFUNCTION("IF(
  AND(D50=""Saída"", J50=""Sangria""),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01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94">
        <f>IFERROR(__xludf.DUMMYFUNCTION("ifna(VALUE(REGEXEXTRACT(E50,""[0-9.]+[,]+[0-9]+"")))"),123.0)</f>
        <v>123</v>
      </c>
      <c r="O50" s="58"/>
      <c r="P50" s="59"/>
      <c r="Q50" s="59"/>
      <c r="R50" s="59"/>
      <c r="S50" s="61"/>
      <c r="T50" s="162">
        <f>IFERROR(__xludf.DUMMYFUNCTION("""COMPUTED_VALUE"""),46017.73199074074)</f>
        <v>46017.73199</v>
      </c>
      <c r="U50" s="59" t="str">
        <f>IFERROR(__xludf.DUMMYFUNCTION("""COMPUTED_VALUE"""),"R$ 19,90")</f>
        <v>R$ 19,90</v>
      </c>
      <c r="V50" s="59" t="str">
        <f>IFERROR(__xludf.DUMMYFUNCTION("""COMPUTED_VALUE"""),"Consumo")</f>
        <v>Consumo</v>
      </c>
      <c r="W50" s="60" t="str">
        <f>IFERROR(__xludf.DUMMYFUNCTION("""COMPUTED_VALUE"""),"Fernando")</f>
        <v>Fernando</v>
      </c>
    </row>
    <row r="51" ht="19.5" customHeight="1">
      <c r="A51" s="186"/>
      <c r="B51" s="13">
        <v>1893282.0</v>
      </c>
      <c r="C51" s="14">
        <v>46019.895636574074</v>
      </c>
      <c r="D51" s="187" t="s">
        <v>97</v>
      </c>
      <c r="E51" s="188" t="s">
        <v>6547</v>
      </c>
      <c r="F51" s="189"/>
      <c r="G51" s="187" t="s">
        <v>6651</v>
      </c>
      <c r="H51" s="204"/>
      <c r="I51" s="204"/>
      <c r="J51" s="196" t="s">
        <v>6469</v>
      </c>
      <c r="K51" s="196"/>
      <c r="L51" s="192" t="str">
        <f>IFERROR(__xludf.DUMMYFUNCTION("IF(
  AND(D51=""Saída"", J51=""Sangria""),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198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94">
        <f>IFERROR(__xludf.DUMMYFUNCTION("ifna(VALUE(REGEXEXTRACT(E51,""[0-9.]+[,]+[0-9]+"")))"),117.0)</f>
        <v>117</v>
      </c>
      <c r="O51" s="58"/>
      <c r="P51" s="59"/>
      <c r="Q51" s="59"/>
      <c r="R51" s="59"/>
      <c r="S51" s="61"/>
      <c r="T51" s="162">
        <f>IFERROR(__xludf.DUMMYFUNCTION("""COMPUTED_VALUE"""),46020.830937499995)</f>
        <v>46020.83094</v>
      </c>
      <c r="U51" s="59" t="str">
        <f>IFERROR(__xludf.DUMMYFUNCTION("""COMPUTED_VALUE"""),"R$ 19,90")</f>
        <v>R$ 19,90</v>
      </c>
      <c r="V51" s="59" t="str">
        <f>IFERROR(__xludf.DUMMYFUNCTION("""COMPUTED_VALUE"""),"Consumo")</f>
        <v>Consumo</v>
      </c>
      <c r="W51" s="60" t="str">
        <f>IFERROR(__xludf.DUMMYFUNCTION("""COMPUTED_VALUE"""),"Fernando")</f>
        <v>Fernando</v>
      </c>
    </row>
    <row r="52" ht="14.25" customHeight="1">
      <c r="A52" s="186"/>
      <c r="B52" s="13">
        <v>1893323.0</v>
      </c>
      <c r="C52" s="14">
        <v>46019.89946759259</v>
      </c>
      <c r="D52" s="187" t="s">
        <v>97</v>
      </c>
      <c r="E52" s="188" t="s">
        <v>6660</v>
      </c>
      <c r="F52" s="189"/>
      <c r="G52" s="187" t="s">
        <v>6661</v>
      </c>
      <c r="H52" s="204"/>
      <c r="I52" s="204"/>
      <c r="J52" s="196" t="s">
        <v>6551</v>
      </c>
      <c r="K52" s="196"/>
      <c r="L52" s="192" t="str">
        <f>IFERROR(__xludf.DUMMYFUNCTION("IF(
  AND(D52=""Saída"", J52=""Sangria""),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197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94">
        <f>IFERROR(__xludf.DUMMYFUNCTION("ifna(VALUE(REGEXEXTRACT(E52,""[0-9.]+[,]+[0-9]+"")))"),1140.0)</f>
        <v>1140</v>
      </c>
      <c r="O52" s="58"/>
      <c r="P52" s="59"/>
      <c r="Q52" s="59"/>
      <c r="R52" s="59"/>
      <c r="S52" s="61"/>
      <c r="T52" s="162">
        <f>IFERROR(__xludf.DUMMYFUNCTION("""COMPUTED_VALUE"""),46021.710752314815)</f>
        <v>46021.71075</v>
      </c>
      <c r="U52" s="59" t="str">
        <f>IFERROR(__xludf.DUMMYFUNCTION("""COMPUTED_VALUE"""),"R$ 38,03")</f>
        <v>R$ 38,03</v>
      </c>
      <c r="V52" s="59" t="str">
        <f>IFERROR(__xludf.DUMMYFUNCTION("""COMPUTED_VALUE"""),"Consumo")</f>
        <v>Consumo</v>
      </c>
      <c r="W52" s="60" t="str">
        <f>IFERROR(__xludf.DUMMYFUNCTION("""COMPUTED_VALUE"""),"Fernando")</f>
        <v>Fernando</v>
      </c>
    </row>
    <row r="53" ht="14.25" customHeight="1">
      <c r="A53" s="186"/>
      <c r="B53" s="13">
        <v>1893381.0</v>
      </c>
      <c r="C53" s="14">
        <v>46019.90611111111</v>
      </c>
      <c r="D53" s="187" t="s">
        <v>97</v>
      </c>
      <c r="E53" s="188" t="s">
        <v>6663</v>
      </c>
      <c r="F53" s="189"/>
      <c r="G53" s="187" t="s">
        <v>6664</v>
      </c>
      <c r="H53" s="204"/>
      <c r="I53" s="204"/>
      <c r="J53" s="196" t="s">
        <v>6469</v>
      </c>
      <c r="K53" s="196"/>
      <c r="L53" s="192" t="str">
        <f>IFERROR(__xludf.DUMMYFUNCTION("IF(
  AND(D53=""Saída"", J53=""Sangria""),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198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94">
        <f>IFERROR(__xludf.DUMMYFUNCTION("ifna(VALUE(REGEXEXTRACT(E53,""[0-9.]+[,]+[0-9]+"")))"),532.0)</f>
        <v>532</v>
      </c>
      <c r="O53" s="58"/>
      <c r="P53" s="59"/>
      <c r="Q53" s="59"/>
      <c r="R53" s="59"/>
      <c r="S53" s="61"/>
      <c r="T53" s="162">
        <f>IFERROR(__xludf.DUMMYFUNCTION("""COMPUTED_VALUE"""),46022.73149305556)</f>
        <v>46022.73149</v>
      </c>
      <c r="U53" s="59" t="str">
        <f>IFERROR(__xludf.DUMMYFUNCTION("""COMPUTED_VALUE"""),"R$ 9,00")</f>
        <v>R$ 9,00</v>
      </c>
      <c r="V53" s="59" t="str">
        <f>IFERROR(__xludf.DUMMYFUNCTION("""COMPUTED_VALUE"""),"Consumo")</f>
        <v>Consumo</v>
      </c>
      <c r="W53" s="60" t="str">
        <f>IFERROR(__xludf.DUMMYFUNCTION("""COMPUTED_VALUE"""),"Fernando")</f>
        <v>Fernando</v>
      </c>
    </row>
    <row r="54" ht="14.25" customHeight="1">
      <c r="A54" s="186"/>
      <c r="B54" s="13">
        <v>1893613.0</v>
      </c>
      <c r="C54" s="14">
        <v>46019.92193287037</v>
      </c>
      <c r="D54" s="187" t="s">
        <v>97</v>
      </c>
      <c r="E54" s="188" t="s">
        <v>1322</v>
      </c>
      <c r="F54" s="200"/>
      <c r="G54" s="187" t="s">
        <v>858</v>
      </c>
      <c r="H54" s="204"/>
      <c r="I54" s="204"/>
      <c r="J54" s="196" t="s">
        <v>6544</v>
      </c>
      <c r="K54" s="196" t="s">
        <v>5991</v>
      </c>
      <c r="L54" s="192" t="str">
        <f>IFERROR(__xludf.DUMMYFUNCTION("IF(
  AND(D54=""Saída"", J54=""Sangria""),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"),"Confirmada")</f>
        <v>Confirmada</v>
      </c>
      <c r="M54" s="197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94">
        <f>IFERROR(__xludf.DUMMYFUNCTION("ifna(VALUE(REGEXEXTRACT(E54,""[0-9.]+[,]+[0-9]+"")))"),1400.0)</f>
        <v>1400</v>
      </c>
      <c r="O54" s="58"/>
      <c r="P54" s="59"/>
      <c r="Q54" s="59"/>
      <c r="R54" s="59"/>
      <c r="S54" s="61"/>
      <c r="T54" s="162">
        <f>IFERROR(__xludf.DUMMYFUNCTION("""COMPUTED_VALUE"""),46024.70569444445)</f>
        <v>46024.70569</v>
      </c>
      <c r="U54" s="59" t="str">
        <f>IFERROR(__xludf.DUMMYFUNCTION("""COMPUTED_VALUE"""),"R$ 32,71")</f>
        <v>R$ 32,71</v>
      </c>
      <c r="V54" s="59" t="str">
        <f>IFERROR(__xludf.DUMMYFUNCTION("""COMPUTED_VALUE"""),"Consumo")</f>
        <v>Consumo</v>
      </c>
      <c r="W54" s="60" t="str">
        <f>IFERROR(__xludf.DUMMYFUNCTION("""COMPUTED_VALUE"""),"Fernando")</f>
        <v>Fernando</v>
      </c>
    </row>
    <row r="55" ht="14.25" customHeight="1">
      <c r="A55" s="186"/>
      <c r="B55" s="13">
        <v>1895445.0</v>
      </c>
      <c r="C55" s="14">
        <v>46020.72766203704</v>
      </c>
      <c r="D55" s="187" t="s">
        <v>97</v>
      </c>
      <c r="E55" s="188" t="s">
        <v>6475</v>
      </c>
      <c r="F55" s="189"/>
      <c r="G55" s="187" t="s">
        <v>6683</v>
      </c>
      <c r="H55" s="204"/>
      <c r="I55" s="204"/>
      <c r="J55" s="196" t="s">
        <v>6446</v>
      </c>
      <c r="K55" s="196"/>
      <c r="L55" s="192" t="str">
        <f>IFERROR(__xludf.DUMMYFUNCTION("IF(
  AND(D55=""Saída"", J55=""Sangria""),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01" t="str">
        <f>IFERROR(__xludf.DUMMYFUNCTION("IF(J55=""Compra de Mercadorias"",
   IF(
      COUNTIF(ARRAYFORMULA(TRIM(CLEAN(TO_TEXT(Notas!BS:BS)))), TRIM(CLEAN(TO_TEXT(B55)))) &gt; 0,
      ""Encontrada"",
      ""Não Encontrada""
   ),
"""")"),"Encontrada")</f>
        <v>Encontrada</v>
      </c>
      <c r="N55" s="194">
        <f>IFERROR(__xludf.DUMMYFUNCTION("ifna(VALUE(REGEXEXTRACT(E55,""[0-9.]+[,]+[0-9]+"")))"),250.0)</f>
        <v>250</v>
      </c>
      <c r="O55" s="58"/>
      <c r="P55" s="85"/>
      <c r="Q55" s="85"/>
      <c r="R55" s="85"/>
      <c r="S55" s="87"/>
      <c r="T55" s="162">
        <f>IFERROR(__xludf.DUMMYFUNCTION("""COMPUTED_VALUE"""),46027.74644675926)</f>
        <v>46027.74645</v>
      </c>
      <c r="U55" s="85" t="str">
        <f>IFERROR(__xludf.DUMMYFUNCTION("""COMPUTED_VALUE"""),"R$ 10,00")</f>
        <v>R$ 10,00</v>
      </c>
      <c r="V55" s="85" t="str">
        <f>IFERROR(__xludf.DUMMYFUNCTION("""COMPUTED_VALUE"""),"Consumo")</f>
        <v>Consumo</v>
      </c>
      <c r="W55" s="86" t="str">
        <f>IFERROR(__xludf.DUMMYFUNCTION("""COMPUTED_VALUE"""),"Fernando")</f>
        <v>Fernando</v>
      </c>
    </row>
    <row r="56" ht="14.25" customHeight="1">
      <c r="A56" s="186"/>
      <c r="B56" s="13">
        <v>1895802.0</v>
      </c>
      <c r="C56" s="14">
        <v>46020.808020833334</v>
      </c>
      <c r="D56" s="187" t="s">
        <v>97</v>
      </c>
      <c r="E56" s="188" t="s">
        <v>1095</v>
      </c>
      <c r="F56" s="189"/>
      <c r="G56" s="187" t="s">
        <v>151</v>
      </c>
      <c r="H56" s="204"/>
      <c r="I56" s="204"/>
      <c r="J56" s="196" t="s">
        <v>6080</v>
      </c>
      <c r="K56" s="196" t="s">
        <v>6111</v>
      </c>
      <c r="L56" s="192" t="str">
        <f>IFERROR(__xludf.DUMMYFUNCTION("IF(
  AND(D56=""Saída"", J56=""Sangria""),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197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94">
        <f>IFERROR(__xludf.DUMMYFUNCTION("ifna(VALUE(REGEXEXTRACT(E56,""[0-9.]+[,]+[0-9]+"")))"),20.51)</f>
        <v>20.51</v>
      </c>
      <c r="O56" s="94"/>
      <c r="P56" s="95"/>
      <c r="Q56" s="95"/>
      <c r="R56" s="95"/>
      <c r="S56" s="97"/>
      <c r="T56" s="206">
        <f>IFERROR(__xludf.DUMMYFUNCTION("""COMPUTED_VALUE"""),46028.72578703704)</f>
        <v>46028.72579</v>
      </c>
      <c r="U56" s="95" t="str">
        <f>IFERROR(__xludf.DUMMYFUNCTION("""COMPUTED_VALUE"""),"R$ 37,24")</f>
        <v>R$ 37,24</v>
      </c>
      <c r="V56" s="95" t="str">
        <f>IFERROR(__xludf.DUMMYFUNCTION("""COMPUTED_VALUE"""),"Consumo")</f>
        <v>Consumo</v>
      </c>
      <c r="W56" s="96" t="str">
        <f>IFERROR(__xludf.DUMMYFUNCTION("""COMPUTED_VALUE"""),"Fernando")</f>
        <v>Fernando</v>
      </c>
    </row>
    <row r="57" ht="17.25" customHeight="1">
      <c r="A57" s="186"/>
      <c r="B57" s="13">
        <v>1895895.0</v>
      </c>
      <c r="C57" s="14">
        <v>46020.8309375</v>
      </c>
      <c r="D57" s="187" t="s">
        <v>97</v>
      </c>
      <c r="E57" s="188" t="s">
        <v>281</v>
      </c>
      <c r="F57" s="189"/>
      <c r="G57" s="187" t="s">
        <v>6584</v>
      </c>
      <c r="H57" s="204"/>
      <c r="I57" s="204"/>
      <c r="J57" s="196" t="s">
        <v>6080</v>
      </c>
      <c r="K57" s="196" t="s">
        <v>6197</v>
      </c>
      <c r="L57" s="192" t="str">
        <f>IFERROR(__xludf.DUMMYFUNCTION("IF(
  AND(D57=""Saída"", J57=""Sangria""),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198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94">
        <f>IFERROR(__xludf.DUMMYFUNCTION("ifna(VALUE(REGEXEXTRACT(E57,""[0-9.]+[,]+[0-9]+"")))"),19.9)</f>
        <v>19.9</v>
      </c>
      <c r="O57" s="94"/>
      <c r="P57" s="95"/>
      <c r="Q57" s="95"/>
      <c r="R57" s="95"/>
      <c r="S57" s="97"/>
      <c r="T57" s="206">
        <f>IFERROR(__xludf.DUMMYFUNCTION("""COMPUTED_VALUE"""),46030.74810185185)</f>
        <v>46030.7481</v>
      </c>
      <c r="U57" s="95" t="str">
        <f>IFERROR(__xludf.DUMMYFUNCTION("""COMPUTED_VALUE"""),"R$ 41,39")</f>
        <v>R$ 41,39</v>
      </c>
      <c r="V57" s="95" t="str">
        <f>IFERROR(__xludf.DUMMYFUNCTION("""COMPUTED_VALUE"""),"Consumo")</f>
        <v>Consumo</v>
      </c>
      <c r="W57" s="96" t="str">
        <f>IFERROR(__xludf.DUMMYFUNCTION("""COMPUTED_VALUE"""),"Fernando")</f>
        <v>Fernando</v>
      </c>
    </row>
    <row r="58" ht="14.25" customHeight="1">
      <c r="A58" s="186"/>
      <c r="B58" s="13">
        <v>1896054.0</v>
      </c>
      <c r="C58" s="14">
        <v>46020.87383101852</v>
      </c>
      <c r="D58" s="187" t="s">
        <v>97</v>
      </c>
      <c r="E58" s="188" t="s">
        <v>650</v>
      </c>
      <c r="F58" s="200"/>
      <c r="G58" s="187" t="s">
        <v>6724</v>
      </c>
      <c r="H58" s="204"/>
      <c r="I58" s="204"/>
      <c r="J58" s="196" t="s">
        <v>6469</v>
      </c>
      <c r="K58" s="196"/>
      <c r="L58" s="192" t="str">
        <f>IFERROR(__xludf.DUMMYFUNCTION("IF(
  AND(D58=""Saída"", J58=""Sangria""),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197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94">
        <f>IFERROR(__xludf.DUMMYFUNCTION("ifna(VALUE(REGEXEXTRACT(E58,""[0-9.]+[,]+[0-9]+"")))"),78.0)</f>
        <v>78</v>
      </c>
      <c r="O58" s="94"/>
      <c r="P58" s="95"/>
      <c r="Q58" s="95"/>
      <c r="R58" s="95"/>
      <c r="S58" s="97"/>
      <c r="T58" s="206">
        <f>IFERROR(__xludf.DUMMYFUNCTION("""COMPUTED_VALUE"""),46031.736655092594)</f>
        <v>46031.73666</v>
      </c>
      <c r="U58" s="95" t="str">
        <f>IFERROR(__xludf.DUMMYFUNCTION("""COMPUTED_VALUE"""),"R$ 19,90")</f>
        <v>R$ 19,90</v>
      </c>
      <c r="V58" s="95" t="str">
        <f>IFERROR(__xludf.DUMMYFUNCTION("""COMPUTED_VALUE"""),"Consumo")</f>
        <v>Consumo</v>
      </c>
      <c r="W58" s="96" t="str">
        <f>IFERROR(__xludf.DUMMYFUNCTION("""COMPUTED_VALUE"""),"Fernando")</f>
        <v>Fernando</v>
      </c>
    </row>
    <row r="59" ht="14.25" customHeight="1">
      <c r="A59" s="186"/>
      <c r="B59" s="13">
        <v>1896936.0</v>
      </c>
      <c r="C59" s="14">
        <v>46021.46136574074</v>
      </c>
      <c r="D59" s="187" t="s">
        <v>97</v>
      </c>
      <c r="E59" s="188" t="s">
        <v>6729</v>
      </c>
      <c r="F59" s="189"/>
      <c r="G59" s="187" t="s">
        <v>124</v>
      </c>
      <c r="H59" s="204"/>
      <c r="I59" s="204"/>
      <c r="J59" s="196" t="s">
        <v>6080</v>
      </c>
      <c r="K59" s="196" t="s">
        <v>6111</v>
      </c>
      <c r="L59" s="192" t="str">
        <f>IFERROR(__xludf.DUMMYFUNCTION("IF(
  AND(D59=""Saída"", J59=""Sangria""),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198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94">
        <f>IFERROR(__xludf.DUMMYFUNCTION("ifna(VALUE(REGEXEXTRACT(E59,""[0-9.]+[,]+[0-9]+"")))"),21.0)</f>
        <v>21</v>
      </c>
      <c r="O59" s="94"/>
      <c r="P59" s="95"/>
      <c r="Q59" s="95"/>
      <c r="R59" s="95"/>
      <c r="S59" s="97"/>
      <c r="T59" s="206">
        <f>IFERROR(__xludf.DUMMYFUNCTION("""COMPUTED_VALUE"""),46032.587118055555)</f>
        <v>46032.58712</v>
      </c>
      <c r="U59" s="95" t="str">
        <f>IFERROR(__xludf.DUMMYFUNCTION("""COMPUTED_VALUE"""),"R$ 22,32")</f>
        <v>R$ 22,32</v>
      </c>
      <c r="V59" s="95" t="str">
        <f>IFERROR(__xludf.DUMMYFUNCTION("""COMPUTED_VALUE"""),"Consumo")</f>
        <v>Consumo</v>
      </c>
      <c r="W59" s="96" t="str">
        <f>IFERROR(__xludf.DUMMYFUNCTION("""COMPUTED_VALUE"""),"Fernando")</f>
        <v>Fernando</v>
      </c>
    </row>
    <row r="60" ht="14.25" customHeight="1">
      <c r="A60" s="186"/>
      <c r="B60" s="13">
        <v>1897132.0</v>
      </c>
      <c r="C60" s="14">
        <v>46021.561527777776</v>
      </c>
      <c r="D60" s="187" t="s">
        <v>97</v>
      </c>
      <c r="E60" s="188" t="s">
        <v>6739</v>
      </c>
      <c r="F60" s="189"/>
      <c r="G60" s="187" t="s">
        <v>6657</v>
      </c>
      <c r="H60" s="204"/>
      <c r="I60" s="204"/>
      <c r="J60" s="196" t="s">
        <v>6446</v>
      </c>
      <c r="K60" s="196"/>
      <c r="L60" s="192" t="str">
        <f>IFERROR(__xludf.DUMMYFUNCTION("IF(
  AND(D60=""Saída"", J60=""Sangria""),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197" t="str">
        <f>IFERROR(__xludf.DUMMYFUNCTION("IF(J60=""Compra de Mercadorias"",
   IF(
      COUNTIF(ARRAYFORMULA(TRIM(CLEAN(TO_TEXT(Notas!BS:BS)))), TRIM(CLEAN(TO_TEXT(B60)))) &gt; 0,
      ""Encontrada"",
      ""Não Encontrada""
   ),
"""")"),"Encontrada")</f>
        <v>Encontrada</v>
      </c>
      <c r="N60" s="194">
        <f>IFERROR(__xludf.DUMMYFUNCTION("ifna(VALUE(REGEXEXTRACT(E60,""[0-9.]+[,]+[0-9]+"")))"),48.36)</f>
        <v>48.36</v>
      </c>
      <c r="O60" s="207"/>
      <c r="P60" s="208"/>
      <c r="Q60" s="209"/>
      <c r="R60" s="210"/>
      <c r="S60" s="97"/>
      <c r="T60" s="95"/>
      <c r="U60" s="95"/>
      <c r="V60" s="95"/>
      <c r="W60" s="96"/>
    </row>
    <row r="61" ht="14.25" customHeight="1">
      <c r="A61" s="186"/>
      <c r="B61" s="13">
        <v>1897709.0</v>
      </c>
      <c r="C61" s="14">
        <v>46021.710752314815</v>
      </c>
      <c r="D61" s="187" t="s">
        <v>97</v>
      </c>
      <c r="E61" s="188" t="s">
        <v>6744</v>
      </c>
      <c r="F61" s="189"/>
      <c r="G61" s="187" t="s">
        <v>6501</v>
      </c>
      <c r="H61" s="204"/>
      <c r="I61" s="204"/>
      <c r="J61" s="196" t="s">
        <v>6080</v>
      </c>
      <c r="K61" s="196" t="s">
        <v>6197</v>
      </c>
      <c r="L61" s="192" t="str">
        <f>IFERROR(__xludf.DUMMYFUNCTION("IF(
  AND(D61=""Saída"", J61=""Sangria""),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198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94">
        <f>IFERROR(__xludf.DUMMYFUNCTION("ifna(VALUE(REGEXEXTRACT(E61,""[0-9.]+[,]+[0-9]+"")))"),38.03)</f>
        <v>38.03</v>
      </c>
      <c r="O61" s="94"/>
      <c r="P61" s="95"/>
      <c r="Q61" s="95"/>
      <c r="R61" s="95"/>
      <c r="S61" s="97"/>
      <c r="T61" s="95"/>
      <c r="U61" s="95"/>
      <c r="V61" s="95"/>
      <c r="W61" s="96"/>
    </row>
    <row r="62" ht="14.25" customHeight="1">
      <c r="A62" s="186"/>
      <c r="B62" s="13">
        <v>1898092.0</v>
      </c>
      <c r="C62" s="14">
        <v>46021.788136574076</v>
      </c>
      <c r="D62" s="187" t="s">
        <v>97</v>
      </c>
      <c r="E62" s="188" t="s">
        <v>1322</v>
      </c>
      <c r="F62" s="189"/>
      <c r="G62" s="187" t="s">
        <v>858</v>
      </c>
      <c r="H62" s="204"/>
      <c r="I62" s="204"/>
      <c r="J62" s="196" t="s">
        <v>6544</v>
      </c>
      <c r="K62" s="196" t="s">
        <v>5991</v>
      </c>
      <c r="L62" s="192" t="str">
        <f>IFERROR(__xludf.DUMMYFUNCTION("IF(
  AND(D62=""Saída"", J62=""Sangria""),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"),"Caixa Sangria")</f>
        <v>Caixa Sangria</v>
      </c>
      <c r="M62" s="197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94">
        <f>IFERROR(__xludf.DUMMYFUNCTION("ifna(VALUE(REGEXEXTRACT(E62,""[0-9.]+[,]+[0-9]+"")))"),1400.0)</f>
        <v>1400</v>
      </c>
      <c r="O62" s="94"/>
      <c r="P62" s="95"/>
      <c r="Q62" s="95"/>
      <c r="R62" s="95"/>
      <c r="S62" s="97"/>
      <c r="T62" s="95"/>
      <c r="U62" s="95"/>
      <c r="V62" s="95"/>
      <c r="W62" s="96"/>
    </row>
    <row r="63" ht="14.25" customHeight="1">
      <c r="A63" s="186"/>
      <c r="B63" s="13">
        <v>1898869.0</v>
      </c>
      <c r="C63" s="14">
        <v>46021.9315162037</v>
      </c>
      <c r="D63" s="187" t="s">
        <v>97</v>
      </c>
      <c r="E63" s="188" t="s">
        <v>6764</v>
      </c>
      <c r="F63" s="189"/>
      <c r="G63" s="187" t="s">
        <v>6766</v>
      </c>
      <c r="H63" s="204"/>
      <c r="I63" s="204"/>
      <c r="J63" s="196" t="s">
        <v>6469</v>
      </c>
      <c r="K63" s="196"/>
      <c r="L63" s="192" t="str">
        <f>IFERROR(__xludf.DUMMYFUNCTION("IF(
  AND(D63=""Saída"", J63=""Sangria""),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198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94">
        <f>IFERROR(__xludf.DUMMYFUNCTION("ifna(VALUE(REGEXEXTRACT(E63,""[0-9.]+[,]+[0-9]+"")))"),85.0)</f>
        <v>85</v>
      </c>
      <c r="O63" s="114"/>
      <c r="P63" s="115"/>
      <c r="Q63" s="115"/>
      <c r="R63" s="115"/>
      <c r="S63" s="116"/>
      <c r="T63" s="115"/>
      <c r="U63" s="115"/>
      <c r="V63" s="115"/>
      <c r="W63" s="117"/>
    </row>
    <row r="64" ht="35.25" customHeight="1">
      <c r="A64" s="186"/>
      <c r="B64" s="13">
        <v>1899918.0</v>
      </c>
      <c r="C64" s="14">
        <v>46022.73149305556</v>
      </c>
      <c r="D64" s="187" t="s">
        <v>97</v>
      </c>
      <c r="E64" s="188" t="s">
        <v>6777</v>
      </c>
      <c r="F64" s="200"/>
      <c r="G64" s="187" t="s">
        <v>6778</v>
      </c>
      <c r="H64" s="204"/>
      <c r="I64" s="204"/>
      <c r="J64" s="196" t="s">
        <v>6080</v>
      </c>
      <c r="K64" s="196" t="s">
        <v>6197</v>
      </c>
      <c r="L64" s="192" t="str">
        <f>IFERROR(__xludf.DUMMYFUNCTION("IF(
  AND(D64=""Saída"", J64=""Sangria""),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197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94">
        <f>IFERROR(__xludf.DUMMYFUNCTION("ifna(VALUE(REGEXEXTRACT(E64,""[0-9.]+[,]+[0-9]+"")))"),9.0)</f>
        <v>9</v>
      </c>
      <c r="S64" s="31"/>
    </row>
    <row r="65" ht="14.25" customHeight="1">
      <c r="A65" s="186"/>
      <c r="B65" s="13">
        <v>1902022.0</v>
      </c>
      <c r="C65" s="14">
        <v>46024.585231481484</v>
      </c>
      <c r="D65" s="187" t="s">
        <v>97</v>
      </c>
      <c r="E65" s="188" t="s">
        <v>6789</v>
      </c>
      <c r="F65" s="189"/>
      <c r="G65" s="187" t="s">
        <v>6790</v>
      </c>
      <c r="H65" s="204"/>
      <c r="I65" s="204"/>
      <c r="J65" s="196" t="s">
        <v>6446</v>
      </c>
      <c r="K65" s="196"/>
      <c r="L65" s="192" t="str">
        <f>IFERROR(__xludf.DUMMYFUNCTION("IF(
  AND(D65=""Saída"", J65=""Sangria""),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198" t="str">
        <f>IFERROR(__xludf.DUMMYFUNCTION("IF(J65=""Compra de Mercadorias"",
   IF(
      COUNTIF(ARRAYFORMULA(TRIM(CLEAN(TO_TEXT(Notas!BS:BS)))), TRIM(CLEAN(TO_TEXT(B65)))) &gt; 0,
      ""Encontrada"",
      ""Não Encontrada""
   ),
"""")"),"Encontrada")</f>
        <v>Encontrada</v>
      </c>
      <c r="N65" s="194">
        <f>IFERROR(__xludf.DUMMYFUNCTION("ifna(VALUE(REGEXEXTRACT(E65,""[0-9.]+[,]+[0-9]+"")))"),194.14)</f>
        <v>194.14</v>
      </c>
      <c r="S65" s="31"/>
    </row>
    <row r="66" ht="14.25" customHeight="1">
      <c r="A66" s="186"/>
      <c r="B66" s="13">
        <v>1902501.0</v>
      </c>
      <c r="C66" s="14">
        <v>46024.70569444444</v>
      </c>
      <c r="D66" s="187" t="s">
        <v>97</v>
      </c>
      <c r="E66" s="188" t="s">
        <v>6799</v>
      </c>
      <c r="F66" s="189"/>
      <c r="G66" s="187" t="s">
        <v>6501</v>
      </c>
      <c r="H66" s="204"/>
      <c r="I66" s="204"/>
      <c r="J66" s="196" t="s">
        <v>6080</v>
      </c>
      <c r="K66" s="196" t="s">
        <v>6197</v>
      </c>
      <c r="L66" s="192" t="str">
        <f>IFERROR(__xludf.DUMMYFUNCTION("IF(
  AND(D66=""Saída"", J66=""Sangria""),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197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94">
        <f>IFERROR(__xludf.DUMMYFUNCTION("ifna(VALUE(REGEXEXTRACT(E66,""[0-9.]+[,]+[0-9]+"")))"),32.71)</f>
        <v>32.71</v>
      </c>
      <c r="S66" s="31"/>
    </row>
    <row r="67" ht="14.25" customHeight="1">
      <c r="A67" s="186"/>
      <c r="B67" s="13">
        <v>1902689.0</v>
      </c>
      <c r="C67" s="14">
        <v>46024.735601851855</v>
      </c>
      <c r="D67" s="187" t="s">
        <v>97</v>
      </c>
      <c r="E67" s="188" t="s">
        <v>1780</v>
      </c>
      <c r="F67" s="189"/>
      <c r="G67" s="187" t="s">
        <v>1042</v>
      </c>
      <c r="H67" s="204"/>
      <c r="I67" s="204"/>
      <c r="J67" s="196" t="s">
        <v>6080</v>
      </c>
      <c r="K67" s="196" t="s">
        <v>6111</v>
      </c>
      <c r="L67" s="192" t="str">
        <f>IFERROR(__xludf.DUMMYFUNCTION("IF(
  AND(D67=""Saída"", J67=""Sangria""),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198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94">
        <f>IFERROR(__xludf.DUMMYFUNCTION("ifna(VALUE(REGEXEXTRACT(E67,""[0-9.]+[,]+[0-9]+"")))"),5.0)</f>
        <v>5</v>
      </c>
      <c r="S67" s="31"/>
    </row>
    <row r="68">
      <c r="A68" s="186"/>
      <c r="B68" s="13">
        <v>1902871.0</v>
      </c>
      <c r="C68" s="14">
        <v>46024.768692129626</v>
      </c>
      <c r="D68" s="187" t="s">
        <v>97</v>
      </c>
      <c r="E68" s="188" t="s">
        <v>6814</v>
      </c>
      <c r="F68" s="189"/>
      <c r="G68" s="187" t="s">
        <v>6815</v>
      </c>
      <c r="H68" s="204"/>
      <c r="I68" s="204"/>
      <c r="J68" s="196" t="s">
        <v>6446</v>
      </c>
      <c r="K68" s="196"/>
      <c r="L68" s="192" t="str">
        <f>IFERROR(__xludf.DUMMYFUNCTION("IF(
  AND(D68=""Saída"", J68=""Sangria""),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197" t="str">
        <f>IFERROR(__xludf.DUMMYFUNCTION("IF(J68=""Compra de Mercadorias"",
   IF(
      COUNTIF(ARRAYFORMULA(TRIM(CLEAN(TO_TEXT(Notas!BS:BS)))), TRIM(CLEAN(TO_TEXT(B68)))) &gt; 0,
      ""Encontrada"",
      ""Não Encontrada""
   ),
"""")"),"Encontrada")</f>
        <v>Encontrada</v>
      </c>
      <c r="N68" s="194">
        <f>IFERROR(__xludf.DUMMYFUNCTION("ifna(VALUE(REGEXEXTRACT(E68,""[0-9.]+[,]+[0-9]+"")))"),193.65)</f>
        <v>193.65</v>
      </c>
      <c r="O68" s="205" t="str">
        <f>B10</f>
        <v/>
      </c>
      <c r="P68" s="112"/>
      <c r="Q68" s="112"/>
      <c r="R68" s="112"/>
      <c r="S68" s="128"/>
      <c r="T68" s="129" t="str">
        <f>B11</f>
        <v/>
      </c>
      <c r="U68" s="112"/>
      <c r="V68" s="112"/>
      <c r="W68" s="130"/>
    </row>
    <row r="69" ht="14.25" customHeight="1">
      <c r="A69" s="186"/>
      <c r="B69" s="13">
        <v>1902893.0</v>
      </c>
      <c r="C69" s="14">
        <v>46024.7733912037</v>
      </c>
      <c r="D69" s="187" t="s">
        <v>97</v>
      </c>
      <c r="E69" s="188" t="s">
        <v>6490</v>
      </c>
      <c r="F69" s="189"/>
      <c r="G69" s="187" t="s">
        <v>6831</v>
      </c>
      <c r="H69" s="204"/>
      <c r="I69" s="204"/>
      <c r="J69" s="196" t="s">
        <v>6446</v>
      </c>
      <c r="K69" s="196"/>
      <c r="L69" s="192" t="str">
        <f>IFERROR(__xludf.DUMMYFUNCTION("IF(
  AND(D69=""Saída"", J69=""Sangria""),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198" t="str">
        <f>IFERROR(__xludf.DUMMYFUNCTION("IF(J69=""Compra de Mercadorias"",
   IF(
      COUNTIF(ARRAYFORMULA(TRIM(CLEAN(TO_TEXT(Notas!BS:BS)))), TRIM(CLEAN(TO_TEXT(B69)))) &gt; 0,
      ""Encontrada"",
      ""Não Encontrada""
   ),
"""")"),"Encontrada")</f>
        <v>Encontrada</v>
      </c>
      <c r="N69" s="194">
        <f>IFERROR(__xludf.DUMMYFUNCTION("ifna(VALUE(REGEXEXTRACT(E69,""[0-9.]+[,]+[0-9]+"")))"),500.0)</f>
        <v>500</v>
      </c>
      <c r="O69" s="52" t="str">
        <f>IFERROR(__xludf.DUMMYFUNCTION("query(C28:L507,""select Col1,Col3,Col8,Col9 where (Col8 = 'Adiantamento' or Col8 = 'Consumo') and Col9 = '""&amp;B10&amp;""'"",1)"),"Data")</f>
        <v>Data</v>
      </c>
      <c r="P69" s="53" t="str">
        <f>IFERROR(__xludf.DUMMYFUNCTION("""COMPUTED_VALUE"""),"Valor ")</f>
        <v>Valor </v>
      </c>
      <c r="Q69" s="53" t="str">
        <f>IFERROR(__xludf.DUMMYFUNCTION("""COMPUTED_VALUE"""),"Tipo")</f>
        <v>Tipo</v>
      </c>
      <c r="R69" s="53" t="str">
        <f>IFERROR(__xludf.DUMMYFUNCTION("""COMPUTED_VALUE"""),"Funcionário")</f>
        <v>Funcionário</v>
      </c>
      <c r="S69" s="55"/>
      <c r="T69" s="56" t="str">
        <f>IFERROR(__xludf.DUMMYFUNCTION("query(C28:L507,""select Col1,Col3,Col8,Col9 where (Col8 = 'Adiantamento' or Col8 = 'Consumo') and Col9 = '""&amp;B11&amp;""'"",1)"),"Data")</f>
        <v>Data</v>
      </c>
      <c r="U69" s="56" t="str">
        <f>IFERROR(__xludf.DUMMYFUNCTION("""COMPUTED_VALUE"""),"Valor ")</f>
        <v>Valor </v>
      </c>
      <c r="V69" s="56" t="str">
        <f>IFERROR(__xludf.DUMMYFUNCTION("""COMPUTED_VALUE"""),"Tipo")</f>
        <v>Tipo</v>
      </c>
      <c r="W69" s="57" t="str">
        <f>IFERROR(__xludf.DUMMYFUNCTION("""COMPUTED_VALUE"""),"Funcionário")</f>
        <v>Funcionário</v>
      </c>
    </row>
    <row r="70" ht="14.25" customHeight="1">
      <c r="A70" s="186"/>
      <c r="B70" s="13">
        <v>1903046.0</v>
      </c>
      <c r="C70" s="14">
        <v>46024.80511574074</v>
      </c>
      <c r="D70" s="187" t="s">
        <v>97</v>
      </c>
      <c r="E70" s="188" t="s">
        <v>1164</v>
      </c>
      <c r="F70" s="189"/>
      <c r="G70" s="187" t="s">
        <v>124</v>
      </c>
      <c r="H70" s="204"/>
      <c r="I70" s="204"/>
      <c r="J70" s="196" t="s">
        <v>6080</v>
      </c>
      <c r="K70" s="196" t="s">
        <v>6111</v>
      </c>
      <c r="L70" s="192" t="str">
        <f>IFERROR(__xludf.DUMMYFUNCTION("IF(
  AND(D70=""Saída"", J70=""Sangria""),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197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94">
        <f>IFERROR(__xludf.DUMMYFUNCTION("ifna(VALUE(REGEXEXTRACT(E70,""[0-9.]+[,]+[0-9]+"")))"),20.0)</f>
        <v>20</v>
      </c>
      <c r="O70" s="58"/>
      <c r="P70" s="59"/>
      <c r="Q70" s="59"/>
      <c r="R70" s="59"/>
      <c r="S70" s="61"/>
      <c r="T70" s="59"/>
      <c r="U70" s="59"/>
      <c r="V70" s="59"/>
      <c r="W70" s="60"/>
    </row>
    <row r="71" ht="14.25" customHeight="1">
      <c r="A71" s="186"/>
      <c r="B71" s="13">
        <v>1903176.0</v>
      </c>
      <c r="C71" s="14">
        <v>46024.83672453704</v>
      </c>
      <c r="D71" s="187" t="s">
        <v>97</v>
      </c>
      <c r="E71" s="188" t="s">
        <v>6859</v>
      </c>
      <c r="F71" s="189"/>
      <c r="G71" s="187" t="s">
        <v>6860</v>
      </c>
      <c r="H71" s="204"/>
      <c r="I71" s="204"/>
      <c r="J71" s="196" t="s">
        <v>6469</v>
      </c>
      <c r="K71" s="196"/>
      <c r="L71" s="192" t="str">
        <f>IFERROR(__xludf.DUMMYFUNCTION("IF(
  AND(D71=""Saída"", J71=""Sangria""),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198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94">
        <f>IFERROR(__xludf.DUMMYFUNCTION("ifna(VALUE(REGEXEXTRACT(E71,""[0-9.]+[,]+[0-9]+"")))"),93.16)</f>
        <v>93.16</v>
      </c>
      <c r="O71" s="58"/>
      <c r="P71" s="59"/>
      <c r="Q71" s="59"/>
      <c r="R71" s="59"/>
      <c r="S71" s="61"/>
      <c r="T71" s="59"/>
      <c r="U71" s="59"/>
      <c r="V71" s="59"/>
      <c r="W71" s="60"/>
    </row>
    <row r="72" ht="14.25" customHeight="1">
      <c r="A72" s="186"/>
      <c r="B72" s="13">
        <v>1903554.0</v>
      </c>
      <c r="C72" s="14">
        <v>46024.91017361111</v>
      </c>
      <c r="D72" s="187" t="s">
        <v>97</v>
      </c>
      <c r="E72" s="188" t="s">
        <v>6871</v>
      </c>
      <c r="F72" s="189"/>
      <c r="G72" s="187" t="s">
        <v>124</v>
      </c>
      <c r="H72" s="204"/>
      <c r="I72" s="204"/>
      <c r="J72" s="196" t="s">
        <v>6080</v>
      </c>
      <c r="K72" s="196" t="s">
        <v>6111</v>
      </c>
      <c r="L72" s="192" t="str">
        <f>IFERROR(__xludf.DUMMYFUNCTION("IF(
  AND(D72=""Saída"", J72=""Sangria""),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197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94">
        <f>IFERROR(__xludf.DUMMYFUNCTION("ifna(VALUE(REGEXEXTRACT(E72,""[0-9.]+[,]+[0-9]+"")))"),31.07)</f>
        <v>31.07</v>
      </c>
      <c r="O72" s="58"/>
      <c r="P72" s="59"/>
      <c r="Q72" s="59"/>
      <c r="R72" s="59"/>
      <c r="S72" s="61"/>
      <c r="T72" s="59"/>
      <c r="U72" s="59"/>
      <c r="V72" s="59"/>
      <c r="W72" s="60"/>
    </row>
    <row r="73" ht="14.25" customHeight="1">
      <c r="A73" s="186"/>
      <c r="B73" s="13">
        <v>1905374.0</v>
      </c>
      <c r="C73" s="14">
        <v>46025.76525462963</v>
      </c>
      <c r="D73" s="187" t="s">
        <v>97</v>
      </c>
      <c r="E73" s="188" t="s">
        <v>6885</v>
      </c>
      <c r="F73" s="189"/>
      <c r="G73" s="187" t="s">
        <v>6886</v>
      </c>
      <c r="H73" s="204"/>
      <c r="I73" s="204"/>
      <c r="J73" s="196" t="s">
        <v>6446</v>
      </c>
      <c r="K73" s="196"/>
      <c r="L73" s="192" t="str">
        <f>IFERROR(__xludf.DUMMYFUNCTION("IF(
  AND(D73=""Saída"", J73=""Sangria""),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198" t="str">
        <f>IFERROR(__xludf.DUMMYFUNCTION("IF(J73=""Compra de Mercadorias"",
   IF(
      COUNTIF(ARRAYFORMULA(TRIM(CLEAN(TO_TEXT(Notas!BS:BS)))), TRIM(CLEAN(TO_TEXT(B73)))) &gt; 0,
      ""Encontrada"",
      ""Não Encontrada""
   ),
"""")"),"Encontrada")</f>
        <v>Encontrada</v>
      </c>
      <c r="N73" s="194">
        <f>IFERROR(__xludf.DUMMYFUNCTION("ifna(VALUE(REGEXEXTRACT(E73,""[0-9.]+[,]+[0-9]+"")))"),471.24)</f>
        <v>471.24</v>
      </c>
      <c r="O73" s="58"/>
      <c r="P73" s="59"/>
      <c r="Q73" s="59"/>
      <c r="R73" s="59"/>
      <c r="S73" s="61"/>
      <c r="T73" s="59"/>
      <c r="U73" s="59"/>
      <c r="V73" s="59"/>
      <c r="W73" s="60"/>
    </row>
    <row r="74" ht="17.25" customHeight="1">
      <c r="A74" s="186"/>
      <c r="B74" s="13">
        <v>1906067.0</v>
      </c>
      <c r="C74" s="14">
        <v>46025.89475694444</v>
      </c>
      <c r="D74" s="187" t="s">
        <v>97</v>
      </c>
      <c r="E74" s="188" t="s">
        <v>6895</v>
      </c>
      <c r="F74" s="200"/>
      <c r="G74" s="187" t="s">
        <v>6897</v>
      </c>
      <c r="H74" s="204"/>
      <c r="I74" s="204"/>
      <c r="J74" s="196" t="s">
        <v>6469</v>
      </c>
      <c r="K74" s="196"/>
      <c r="L74" s="192" t="str">
        <f>IFERROR(__xludf.DUMMYFUNCTION("IF(
  AND(D74=""Saída"", J74=""Sangria""),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197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94">
        <f>IFERROR(__xludf.DUMMYFUNCTION("ifna(VALUE(REGEXEXTRACT(E74,""[0-9.]+[,]+[0-9]+"")))"),97.0)</f>
        <v>97</v>
      </c>
      <c r="O74" s="58"/>
      <c r="P74" s="59"/>
      <c r="Q74" s="59"/>
      <c r="R74" s="59"/>
      <c r="S74" s="61"/>
      <c r="T74" s="59"/>
      <c r="U74" s="59"/>
      <c r="V74" s="59"/>
      <c r="W74" s="60"/>
    </row>
    <row r="75">
      <c r="A75" s="186"/>
      <c r="B75" s="13">
        <v>1906086.0</v>
      </c>
      <c r="C75" s="14">
        <v>46025.89716435185</v>
      </c>
      <c r="D75" s="187" t="s">
        <v>97</v>
      </c>
      <c r="E75" s="188" t="s">
        <v>6561</v>
      </c>
      <c r="F75" s="189"/>
      <c r="G75" s="187" t="s">
        <v>6901</v>
      </c>
      <c r="H75" s="204"/>
      <c r="I75" s="204"/>
      <c r="J75" s="196" t="s">
        <v>6469</v>
      </c>
      <c r="K75" s="196"/>
      <c r="L75" s="192" t="str">
        <f>IFERROR(__xludf.DUMMYFUNCTION("IF(
  AND(D75=""Saída"", J75=""Sangria""),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198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94">
        <f>IFERROR(__xludf.DUMMYFUNCTION("ifna(VALUE(REGEXEXTRACT(E75,""[0-9.]+[,]+[0-9]+"")))"),123.0)</f>
        <v>123</v>
      </c>
      <c r="O75" s="58"/>
      <c r="P75" s="85"/>
      <c r="Q75" s="85"/>
      <c r="R75" s="85"/>
      <c r="S75" s="87"/>
      <c r="T75" s="85"/>
      <c r="U75" s="85"/>
      <c r="V75" s="85"/>
      <c r="W75" s="86"/>
    </row>
    <row r="76" ht="28.5" customHeight="1">
      <c r="A76" s="186"/>
      <c r="B76" s="13">
        <v>1906102.0</v>
      </c>
      <c r="C76" s="14">
        <v>46025.89844907408</v>
      </c>
      <c r="D76" s="187" t="s">
        <v>97</v>
      </c>
      <c r="E76" s="188" t="s">
        <v>6903</v>
      </c>
      <c r="F76" s="189"/>
      <c r="G76" s="187" t="s">
        <v>858</v>
      </c>
      <c r="H76" s="204"/>
      <c r="I76" s="204"/>
      <c r="J76" s="196" t="s">
        <v>6544</v>
      </c>
      <c r="K76" s="196" t="s">
        <v>5991</v>
      </c>
      <c r="L76" s="192" t="str">
        <f>IFERROR(__xludf.DUMMYFUNCTION("IF(
  AND(D76=""Saída"", J76=""Sangria""),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"),"Confirmada")</f>
        <v>Confirmada</v>
      </c>
      <c r="M76" s="197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94">
        <f>IFERROR(__xludf.DUMMYFUNCTION("ifna(VALUE(REGEXEXTRACT(E76,""[0-9.]+[,]+[0-9]+"")))"),1200.0)</f>
        <v>1200</v>
      </c>
      <c r="O76" s="94"/>
      <c r="P76" s="95"/>
      <c r="Q76" s="95"/>
      <c r="R76" s="95"/>
      <c r="S76" s="97"/>
      <c r="T76" s="95"/>
      <c r="U76" s="95"/>
      <c r="V76" s="95"/>
      <c r="W76" s="96"/>
    </row>
    <row r="77" ht="14.25" customHeight="1">
      <c r="A77" s="186"/>
      <c r="B77" s="13">
        <v>1907997.0</v>
      </c>
      <c r="C77" s="14">
        <v>46026.76857638889</v>
      </c>
      <c r="D77" s="187" t="s">
        <v>97</v>
      </c>
      <c r="E77" s="188" t="s">
        <v>532</v>
      </c>
      <c r="F77" s="189"/>
      <c r="G77" s="187" t="s">
        <v>6913</v>
      </c>
      <c r="H77" s="204"/>
      <c r="I77" s="204"/>
      <c r="J77" s="196" t="s">
        <v>6469</v>
      </c>
      <c r="K77" s="196"/>
      <c r="L77" s="192" t="str">
        <f>IFERROR(__xludf.DUMMYFUNCTION("IF(
  AND(D77=""Saída"", J77=""Sangria""),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198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94">
        <f>IFERROR(__xludf.DUMMYFUNCTION("ifna(VALUE(REGEXEXTRACT(E77,""[0-9.]+[,]+[0-9]+"")))"),65.0)</f>
        <v>65</v>
      </c>
      <c r="O77" s="207"/>
      <c r="P77" s="208"/>
      <c r="Q77" s="209"/>
      <c r="R77" s="210"/>
      <c r="S77" s="97"/>
      <c r="T77" s="95"/>
      <c r="U77" s="95"/>
      <c r="V77" s="95"/>
      <c r="W77" s="96"/>
    </row>
    <row r="78" ht="34.5" customHeight="1">
      <c r="A78" s="186"/>
      <c r="B78" s="13">
        <v>1908030.0</v>
      </c>
      <c r="C78" s="14">
        <v>46026.77271990741</v>
      </c>
      <c r="D78" s="187" t="s">
        <v>97</v>
      </c>
      <c r="E78" s="188" t="s">
        <v>6561</v>
      </c>
      <c r="F78" s="189"/>
      <c r="G78" s="187" t="s">
        <v>6922</v>
      </c>
      <c r="H78" s="204"/>
      <c r="I78" s="204"/>
      <c r="J78" s="196" t="s">
        <v>6469</v>
      </c>
      <c r="K78" s="196"/>
      <c r="L78" s="192" t="str">
        <f>IFERROR(__xludf.DUMMYFUNCTION("IF(
  AND(D78=""Saída"", J78=""Sangria""),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197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94">
        <f>IFERROR(__xludf.DUMMYFUNCTION("ifna(VALUE(REGEXEXTRACT(E78,""[0-9.]+[,]+[0-9]+"")))"),123.0)</f>
        <v>123</v>
      </c>
      <c r="O78" s="207"/>
      <c r="P78" s="208"/>
      <c r="Q78" s="209"/>
      <c r="R78" s="210"/>
      <c r="S78" s="97"/>
      <c r="T78" s="95"/>
      <c r="U78" s="95"/>
      <c r="V78" s="95"/>
      <c r="W78" s="96"/>
    </row>
    <row r="79" ht="14.25" customHeight="1">
      <c r="A79" s="186"/>
      <c r="B79" s="13">
        <v>1908040.0</v>
      </c>
      <c r="C79" s="14">
        <v>46026.7740162037</v>
      </c>
      <c r="D79" s="187" t="s">
        <v>97</v>
      </c>
      <c r="E79" s="188" t="s">
        <v>6561</v>
      </c>
      <c r="F79" s="200"/>
      <c r="G79" s="187" t="s">
        <v>6929</v>
      </c>
      <c r="H79" s="204"/>
      <c r="I79" s="204"/>
      <c r="J79" s="196" t="s">
        <v>6469</v>
      </c>
      <c r="K79" s="196"/>
      <c r="L79" s="192" t="str">
        <f>IFERROR(__xludf.DUMMYFUNCTION("IF(
  AND(D79=""Saída"", J79=""Sangria""),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198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94">
        <f>IFERROR(__xludf.DUMMYFUNCTION("ifna(VALUE(REGEXEXTRACT(E79,""[0-9.]+[,]+[0-9]+"")))"),123.0)</f>
        <v>123</v>
      </c>
      <c r="O79" s="207"/>
      <c r="P79" s="208"/>
      <c r="Q79" s="209"/>
      <c r="R79" s="210"/>
      <c r="S79" s="97"/>
      <c r="T79" s="95"/>
      <c r="U79" s="95"/>
      <c r="V79" s="95"/>
      <c r="W79" s="96"/>
    </row>
    <row r="80" ht="14.25" customHeight="1">
      <c r="A80" s="186"/>
      <c r="B80" s="13">
        <v>1910692.0</v>
      </c>
      <c r="C80" s="14">
        <v>46027.71989583333</v>
      </c>
      <c r="D80" s="187" t="s">
        <v>97</v>
      </c>
      <c r="E80" s="188" t="s">
        <v>6475</v>
      </c>
      <c r="F80" s="189"/>
      <c r="G80" s="187" t="s">
        <v>4668</v>
      </c>
      <c r="H80" s="204"/>
      <c r="I80" s="204"/>
      <c r="J80" s="196" t="s">
        <v>6446</v>
      </c>
      <c r="K80" s="196"/>
      <c r="L80" s="192" t="str">
        <f>IFERROR(__xludf.DUMMYFUNCTION("IF(
  AND(D80=""Saída"", J80=""Sangria""),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197" t="str">
        <f>IFERROR(__xludf.DUMMYFUNCTION("IF(J80=""Compra de Mercadorias"",
   IF(
      COUNTIF(ARRAYFORMULA(TRIM(CLEAN(TO_TEXT(Notas!BS:BS)))), TRIM(CLEAN(TO_TEXT(B80)))) &gt; 0,
      ""Encontrada"",
      ""Não Encontrada""
   ),
"""")"),"Encontrada")</f>
        <v>Encontrada</v>
      </c>
      <c r="N80" s="194">
        <f>IFERROR(__xludf.DUMMYFUNCTION("ifna(VALUE(REGEXEXTRACT(E80,""[0-9.]+[,]+[0-9]+"")))"),250.0)</f>
        <v>250</v>
      </c>
      <c r="O80" s="207"/>
      <c r="P80" s="208"/>
      <c r="Q80" s="209"/>
      <c r="R80" s="210"/>
      <c r="S80" s="97"/>
      <c r="T80" s="95"/>
      <c r="U80" s="95"/>
      <c r="V80" s="95"/>
      <c r="W80" s="96"/>
    </row>
    <row r="81" ht="14.25" customHeight="1">
      <c r="A81" s="186"/>
      <c r="B81" s="13">
        <v>1910695.0</v>
      </c>
      <c r="C81" s="14">
        <v>46027.72048611111</v>
      </c>
      <c r="D81" s="187" t="s">
        <v>97</v>
      </c>
      <c r="E81" s="188" t="s">
        <v>6949</v>
      </c>
      <c r="F81" s="189"/>
      <c r="G81" s="187" t="s">
        <v>6950</v>
      </c>
      <c r="H81" s="204"/>
      <c r="I81" s="204"/>
      <c r="J81" s="196" t="s">
        <v>6446</v>
      </c>
      <c r="K81" s="196"/>
      <c r="L81" s="192" t="str">
        <f>IFERROR(__xludf.DUMMYFUNCTION("IF(
  AND(D81=""Saída"", J81=""Sangria""),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198" t="str">
        <f>IFERROR(__xludf.DUMMYFUNCTION("IF(J81=""Compra de Mercadorias"",
   IF(
      COUNTIF(ARRAYFORMULA(TRIM(CLEAN(TO_TEXT(Notas!BS:BS)))), TRIM(CLEAN(TO_TEXT(B81)))) &gt; 0,
      ""Encontrada"",
      ""Não Encontrada""
   ),
"""")"),"Encontrada")</f>
        <v>Encontrada</v>
      </c>
      <c r="N81" s="194">
        <f>IFERROR(__xludf.DUMMYFUNCTION("ifna(VALUE(REGEXEXTRACT(E81,""[0-9.]+[,]+[0-9]+"")))"),192.59)</f>
        <v>192.59</v>
      </c>
      <c r="O81" s="94"/>
      <c r="P81" s="95"/>
      <c r="Q81" s="95"/>
      <c r="R81" s="95"/>
      <c r="S81" s="97"/>
      <c r="T81" s="95"/>
      <c r="U81" s="95"/>
      <c r="V81" s="95"/>
      <c r="W81" s="96"/>
    </row>
    <row r="82" ht="14.25" customHeight="1">
      <c r="A82" s="186"/>
      <c r="B82" s="13">
        <v>1910709.0</v>
      </c>
      <c r="C82" s="14">
        <v>46027.721979166665</v>
      </c>
      <c r="D82" s="187" t="s">
        <v>97</v>
      </c>
      <c r="E82" s="188" t="s">
        <v>6965</v>
      </c>
      <c r="F82" s="189"/>
      <c r="G82" s="187" t="s">
        <v>6967</v>
      </c>
      <c r="H82" s="204"/>
      <c r="I82" s="204"/>
      <c r="J82" s="196" t="s">
        <v>6446</v>
      </c>
      <c r="K82" s="196"/>
      <c r="L82" s="192" t="str">
        <f>IFERROR(__xludf.DUMMYFUNCTION("IF(
  AND(D82=""Saída"", J82=""Sangria""),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197" t="str">
        <f>IFERROR(__xludf.DUMMYFUNCTION("IF(J82=""Compra de Mercadorias"",
   IF(
      COUNTIF(ARRAYFORMULA(TRIM(CLEAN(TO_TEXT(Notas!BS:BS)))), TRIM(CLEAN(TO_TEXT(B82)))) &gt; 0,
      ""Encontrada"",
      ""Não Encontrada""
   ),
"""")"),"Encontrada")</f>
        <v>Encontrada</v>
      </c>
      <c r="N82" s="194">
        <f>IFERROR(__xludf.DUMMYFUNCTION("ifna(VALUE(REGEXEXTRACT(E82,""[0-9.]+[,]+[0-9]+"")))"),37.99)</f>
        <v>37.99</v>
      </c>
      <c r="O82" s="94"/>
      <c r="P82" s="95"/>
      <c r="Q82" s="95"/>
      <c r="R82" s="95"/>
      <c r="S82" s="97"/>
      <c r="T82" s="95"/>
      <c r="U82" s="95"/>
      <c r="V82" s="95"/>
      <c r="W82" s="96"/>
    </row>
    <row r="83" ht="14.25" customHeight="1">
      <c r="A83" s="186"/>
      <c r="B83" s="13">
        <v>1910738.0</v>
      </c>
      <c r="C83" s="14">
        <v>46027.72782407407</v>
      </c>
      <c r="D83" s="187" t="s">
        <v>97</v>
      </c>
      <c r="E83" s="188" t="s">
        <v>6549</v>
      </c>
      <c r="F83" s="189"/>
      <c r="G83" s="187" t="s">
        <v>6974</v>
      </c>
      <c r="H83" s="204"/>
      <c r="I83" s="204"/>
      <c r="J83" s="196" t="s">
        <v>6446</v>
      </c>
      <c r="K83" s="196"/>
      <c r="L83" s="192" t="str">
        <f>IFERROR(__xludf.DUMMYFUNCTION("IF(
  AND(D83=""Saída"", J83=""Sangria""),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198" t="str">
        <f>IFERROR(__xludf.DUMMYFUNCTION("IF(J83=""Compra de Mercadorias"",
   IF(
      COUNTIF(ARRAYFORMULA(TRIM(CLEAN(TO_TEXT(Notas!BS:BS)))), TRIM(CLEAN(TO_TEXT(B83)))) &gt; 0,
      ""Encontrada"",
      ""Não Encontrada""
   ),
"""")"),"Encontrada")</f>
        <v>Encontrada</v>
      </c>
      <c r="N83" s="194">
        <f>IFERROR(__xludf.DUMMYFUNCTION("ifna(VALUE(REGEXEXTRACT(E83,""[0-9.]+[,]+[0-9]+"")))"),12.0)</f>
        <v>12</v>
      </c>
      <c r="O83" s="114"/>
      <c r="P83" s="115"/>
      <c r="Q83" s="115"/>
      <c r="R83" s="115"/>
      <c r="S83" s="97"/>
      <c r="T83" s="115"/>
      <c r="U83" s="115"/>
      <c r="V83" s="115"/>
      <c r="W83" s="117"/>
    </row>
    <row r="84" ht="14.25" customHeight="1">
      <c r="A84" s="186"/>
      <c r="B84" s="13">
        <v>1910765.0</v>
      </c>
      <c r="C84" s="14">
        <v>46027.733715277776</v>
      </c>
      <c r="D84" s="187" t="s">
        <v>97</v>
      </c>
      <c r="E84" s="188" t="s">
        <v>6985</v>
      </c>
      <c r="F84" s="189"/>
      <c r="G84" s="187" t="s">
        <v>6988</v>
      </c>
      <c r="H84" s="204"/>
      <c r="I84" s="204"/>
      <c r="J84" s="196" t="s">
        <v>6446</v>
      </c>
      <c r="K84" s="196"/>
      <c r="L84" s="192" t="str">
        <f>IFERROR(__xludf.DUMMYFUNCTION("IF(
  AND(D84=""Saída"", J84=""Sangria""),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197" t="str">
        <f>IFERROR(__xludf.DUMMYFUNCTION("IF(J84=""Compra de Mercadorias"",
   IF(
      COUNTIF(ARRAYFORMULA(TRIM(CLEAN(TO_TEXT(Notas!BS:BS)))), TRIM(CLEAN(TO_TEXT(B84)))) &gt; 0,
      ""Encontrada"",
      ""Não Encontrada""
   ),
"""")"),"Encontrada")</f>
        <v>Encontrada</v>
      </c>
      <c r="N84" s="194">
        <f>IFERROR(__xludf.DUMMYFUNCTION("ifna(VALUE(REGEXEXTRACT(E84,""[0-9.]+[,]+[0-9]+"")))"),3.0)</f>
        <v>3</v>
      </c>
      <c r="O84" s="211"/>
      <c r="P84" s="212"/>
      <c r="Q84" s="212"/>
      <c r="R84" s="212"/>
      <c r="S84" s="97"/>
      <c r="T84" s="212"/>
      <c r="U84" s="212"/>
      <c r="V84" s="212"/>
      <c r="W84" s="213"/>
    </row>
    <row r="85" ht="14.25" customHeight="1">
      <c r="A85" s="186"/>
      <c r="B85" s="13">
        <v>1910782.0</v>
      </c>
      <c r="C85" s="14">
        <v>46027.737222222226</v>
      </c>
      <c r="D85" s="187" t="s">
        <v>97</v>
      </c>
      <c r="E85" s="188" t="s">
        <v>7004</v>
      </c>
      <c r="F85" s="189"/>
      <c r="G85" s="187" t="s">
        <v>7005</v>
      </c>
      <c r="H85" s="204"/>
      <c r="I85" s="204"/>
      <c r="J85" s="196" t="s">
        <v>6551</v>
      </c>
      <c r="K85" s="196"/>
      <c r="L85" s="192" t="str">
        <f>IFERROR(__xludf.DUMMYFUNCTION("IF(
  AND(D85=""Saída"", J85=""Sangria""),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198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94">
        <f>IFERROR(__xludf.DUMMYFUNCTION("ifna(VALUE(REGEXEXTRACT(E85,""[0-9.]+[,]+[0-9]+"")))"),612.0)</f>
        <v>612</v>
      </c>
      <c r="O85" s="211"/>
      <c r="P85" s="212"/>
      <c r="Q85" s="212"/>
      <c r="R85" s="212"/>
      <c r="S85" s="97"/>
      <c r="T85" s="212"/>
      <c r="U85" s="212"/>
      <c r="V85" s="212"/>
      <c r="W85" s="213"/>
    </row>
    <row r="86" ht="14.25" customHeight="1">
      <c r="A86" s="186"/>
      <c r="B86" s="13">
        <v>1910826.0</v>
      </c>
      <c r="C86" s="14">
        <v>46027.74644675926</v>
      </c>
      <c r="D86" s="187" t="s">
        <v>97</v>
      </c>
      <c r="E86" s="188" t="s">
        <v>1090</v>
      </c>
      <c r="F86" s="189"/>
      <c r="G86" s="187" t="s">
        <v>7011</v>
      </c>
      <c r="H86" s="204"/>
      <c r="I86" s="204"/>
      <c r="J86" s="196" t="s">
        <v>6080</v>
      </c>
      <c r="K86" s="196" t="s">
        <v>6197</v>
      </c>
      <c r="L86" s="192" t="str">
        <f>IFERROR(__xludf.DUMMYFUNCTION("IF(
  AND(D86=""Saída"", J86=""Sangria""),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197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94">
        <f>IFERROR(__xludf.DUMMYFUNCTION("ifna(VALUE(REGEXEXTRACT(E86,""[0-9.]+[,]+[0-9]+"")))"),10.0)</f>
        <v>10</v>
      </c>
      <c r="O86" s="211"/>
      <c r="P86" s="212"/>
      <c r="Q86" s="212"/>
      <c r="R86" s="212"/>
      <c r="S86" s="97"/>
      <c r="T86" s="212"/>
      <c r="U86" s="212"/>
      <c r="V86" s="212"/>
      <c r="W86" s="213"/>
    </row>
    <row r="87" ht="14.25" customHeight="1">
      <c r="A87" s="186"/>
      <c r="B87" s="13">
        <v>1911019.0</v>
      </c>
      <c r="C87" s="14">
        <v>46027.78387731482</v>
      </c>
      <c r="D87" s="187" t="s">
        <v>97</v>
      </c>
      <c r="E87" s="188" t="s">
        <v>650</v>
      </c>
      <c r="F87" s="189"/>
      <c r="G87" s="187" t="s">
        <v>7022</v>
      </c>
      <c r="H87" s="204"/>
      <c r="I87" s="204"/>
      <c r="J87" s="196" t="s">
        <v>6469</v>
      </c>
      <c r="K87" s="196"/>
      <c r="L87" s="192" t="str">
        <f>IFERROR(__xludf.DUMMYFUNCTION("IF(
  AND(D87=""Saída"", J87=""Sangria""),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198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94">
        <f>IFERROR(__xludf.DUMMYFUNCTION("ifna(VALUE(REGEXEXTRACT(E87,""[0-9.]+[,]+[0-9]+"")))"),78.0)</f>
        <v>78</v>
      </c>
      <c r="O87" s="211"/>
      <c r="P87" s="212"/>
      <c r="Q87" s="212"/>
      <c r="R87" s="212"/>
      <c r="S87" s="97"/>
      <c r="T87" s="212"/>
      <c r="U87" s="212"/>
      <c r="V87" s="212"/>
      <c r="W87" s="213"/>
    </row>
    <row r="88" ht="14.25" customHeight="1">
      <c r="A88" s="186"/>
      <c r="B88" s="13">
        <v>1911121.0</v>
      </c>
      <c r="C88" s="14">
        <v>46027.81122685185</v>
      </c>
      <c r="D88" s="187" t="s">
        <v>97</v>
      </c>
      <c r="E88" s="188" t="s">
        <v>7028</v>
      </c>
      <c r="F88" s="189"/>
      <c r="G88" s="187" t="s">
        <v>124</v>
      </c>
      <c r="H88" s="204"/>
      <c r="I88" s="204"/>
      <c r="J88" s="196" t="s">
        <v>6080</v>
      </c>
      <c r="K88" s="196" t="s">
        <v>6111</v>
      </c>
      <c r="L88" s="192" t="str">
        <f>IFERROR(__xludf.DUMMYFUNCTION("IF(
  AND(D88=""Saída"", J88=""Sangria""),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197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94">
        <f>IFERROR(__xludf.DUMMYFUNCTION("ifna(VALUE(REGEXEXTRACT(E88,""[0-9.]+[,]+[0-9]+"")))"),7.67)</f>
        <v>7.67</v>
      </c>
      <c r="O88" s="214"/>
      <c r="P88" s="215"/>
      <c r="Q88" s="215"/>
      <c r="R88" s="215"/>
      <c r="S88" s="216"/>
      <c r="T88" s="215"/>
      <c r="U88" s="215"/>
      <c r="V88" s="215"/>
      <c r="W88" s="217"/>
    </row>
    <row r="89" ht="14.25" customHeight="1">
      <c r="A89" s="186"/>
      <c r="B89" s="13">
        <v>1911446.0</v>
      </c>
      <c r="C89" s="14">
        <v>46027.89884259259</v>
      </c>
      <c r="D89" s="187" t="s">
        <v>97</v>
      </c>
      <c r="E89" s="188" t="s">
        <v>7043</v>
      </c>
      <c r="F89" s="200"/>
      <c r="G89" s="187" t="s">
        <v>7044</v>
      </c>
      <c r="H89" s="204"/>
      <c r="I89" s="204"/>
      <c r="J89" s="196" t="s">
        <v>6080</v>
      </c>
      <c r="K89" s="196" t="s">
        <v>6111</v>
      </c>
      <c r="L89" s="192" t="str">
        <f>IFERROR(__xludf.DUMMYFUNCTION("IF(
  AND(D89=""Saída"", J89=""Sangria""),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198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94">
        <f>IFERROR(__xludf.DUMMYFUNCTION("ifna(VALUE(REGEXEXTRACT(E89,""[0-9.]+[,]+[0-9]+"")))"),33.7)</f>
        <v>33.7</v>
      </c>
      <c r="O89" s="31"/>
      <c r="P89" s="31"/>
      <c r="Q89" s="31"/>
      <c r="R89" s="31"/>
      <c r="S89" s="31"/>
      <c r="T89" s="31"/>
      <c r="U89" s="31"/>
      <c r="V89" s="31"/>
      <c r="W89" s="31"/>
    </row>
    <row r="90" ht="14.25" customHeight="1">
      <c r="A90" s="186"/>
      <c r="B90" s="13">
        <v>1911461.0</v>
      </c>
      <c r="C90" s="14">
        <v>46027.9003125</v>
      </c>
      <c r="D90" s="187" t="s">
        <v>97</v>
      </c>
      <c r="E90" s="188" t="s">
        <v>163</v>
      </c>
      <c r="F90" s="200"/>
      <c r="G90" s="187" t="s">
        <v>7055</v>
      </c>
      <c r="H90" s="204"/>
      <c r="I90" s="204"/>
      <c r="J90" s="196"/>
      <c r="K90" s="196"/>
      <c r="L90" s="192" t="str">
        <f>IFERROR(__xludf.DUMMYFUNCTION("IF(
  AND(D90=""Saída"", J90=""Sangria""),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197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94">
        <f>IFERROR(__xludf.DUMMYFUNCTION("ifna(VALUE(REGEXEXTRACT(E90,""[0-9.]+[,]+[0-9]+"")))"),0.01)</f>
        <v>0.01</v>
      </c>
      <c r="O90" s="31"/>
      <c r="P90" s="31"/>
      <c r="Q90" s="31"/>
      <c r="R90" s="31"/>
      <c r="S90" s="31"/>
      <c r="T90" s="31"/>
      <c r="U90" s="31"/>
      <c r="V90" s="31"/>
      <c r="W90" s="31"/>
    </row>
    <row r="91" ht="14.25" customHeight="1">
      <c r="A91" s="186"/>
      <c r="B91" s="13">
        <v>1912630.0</v>
      </c>
      <c r="C91" s="14">
        <v>46028.6953125</v>
      </c>
      <c r="D91" s="187" t="s">
        <v>97</v>
      </c>
      <c r="E91" s="188" t="s">
        <v>7061</v>
      </c>
      <c r="F91" s="189"/>
      <c r="G91" s="187" t="s">
        <v>7064</v>
      </c>
      <c r="H91" s="204"/>
      <c r="I91" s="204"/>
      <c r="J91" s="196" t="s">
        <v>6446</v>
      </c>
      <c r="K91" s="196"/>
      <c r="L91" s="192" t="str">
        <f>IFERROR(__xludf.DUMMYFUNCTION("IF(
  AND(D91=""Saída"", J91=""Sangria""),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198" t="str">
        <f>IFERROR(__xludf.DUMMYFUNCTION("IF(J91=""Compra de Mercadorias"",
   IF(
      COUNTIF(ARRAYFORMULA(TRIM(CLEAN(TO_TEXT(Notas!BS:BS)))), TRIM(CLEAN(TO_TEXT(B91)))) &gt; 0,
      ""Encontrada"",
      ""Não Encontrada""
   ),
"""")"),"Encontrada")</f>
        <v>Encontrada</v>
      </c>
      <c r="N91" s="194">
        <f>IFERROR(__xludf.DUMMYFUNCTION("ifna(VALUE(REGEXEXTRACT(E91,""[0-9.]+[,]+[0-9]+"")))"),323.5)</f>
        <v>323.5</v>
      </c>
      <c r="O91" s="31"/>
      <c r="P91" s="31"/>
      <c r="Q91" s="31"/>
      <c r="R91" s="31"/>
      <c r="S91" s="31"/>
      <c r="T91" s="31"/>
      <c r="U91" s="31"/>
      <c r="V91" s="31"/>
      <c r="W91" s="31"/>
    </row>
    <row r="92" ht="14.25" customHeight="1">
      <c r="A92" s="186"/>
      <c r="B92" s="13">
        <v>1912744.0</v>
      </c>
      <c r="C92" s="14">
        <v>46028.71680555555</v>
      </c>
      <c r="D92" s="187" t="s">
        <v>97</v>
      </c>
      <c r="E92" s="188" t="s">
        <v>7071</v>
      </c>
      <c r="F92" s="189"/>
      <c r="G92" s="187" t="s">
        <v>7072</v>
      </c>
      <c r="H92" s="204"/>
      <c r="I92" s="204"/>
      <c r="J92" s="196" t="s">
        <v>6446</v>
      </c>
      <c r="K92" s="196"/>
      <c r="L92" s="192" t="str">
        <f>IFERROR(__xludf.DUMMYFUNCTION("IF(
  AND(D92=""Saída"", J92=""Sangria""),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197" t="str">
        <f>IFERROR(__xludf.DUMMYFUNCTION("IF(J92=""Compra de Mercadorias"",
   IF(
      COUNTIF(ARRAYFORMULA(TRIM(CLEAN(TO_TEXT(Notas!BS:BS)))), TRIM(CLEAN(TO_TEXT(B92)))) &gt; 0,
      ""Encontrada"",
      ""Não Encontrada""
   ),
"""")"),"Não Encontrada")</f>
        <v>Não Encontrada</v>
      </c>
      <c r="N92" s="194">
        <f>IFERROR(__xludf.DUMMYFUNCTION("ifna(VALUE(REGEXEXTRACT(E92,""[0-9.]+[,]+[0-9]+"")))"),49.99)</f>
        <v>49.99</v>
      </c>
      <c r="O92" s="31"/>
      <c r="P92" s="31"/>
      <c r="Q92" s="31"/>
      <c r="R92" s="31"/>
      <c r="S92" s="31"/>
      <c r="T92" s="31"/>
      <c r="U92" s="194"/>
      <c r="V92" s="194"/>
      <c r="W92" s="194"/>
    </row>
    <row r="93" ht="14.25" customHeight="1">
      <c r="A93" s="186"/>
      <c r="B93" s="13">
        <v>1912748.0</v>
      </c>
      <c r="C93" s="14">
        <v>46028.7178125</v>
      </c>
      <c r="D93" s="187" t="s">
        <v>97</v>
      </c>
      <c r="E93" s="188" t="s">
        <v>7083</v>
      </c>
      <c r="F93" s="189"/>
      <c r="G93" s="187" t="s">
        <v>7084</v>
      </c>
      <c r="H93" s="204"/>
      <c r="I93" s="204"/>
      <c r="J93" s="196" t="s">
        <v>6469</v>
      </c>
      <c r="K93" s="196"/>
      <c r="L93" s="192" t="str">
        <f>IFERROR(__xludf.DUMMYFUNCTION("IF(
  AND(D93=""Saída"", J93=""Sangria""),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198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94">
        <f>IFERROR(__xludf.DUMMYFUNCTION("ifna(VALUE(REGEXEXTRACT(E93,""[0-9.]+[,]+[0-9]+"")))"),197.16)</f>
        <v>197.16</v>
      </c>
      <c r="O93" s="218" t="s">
        <v>7094</v>
      </c>
      <c r="P93" s="219"/>
      <c r="Q93" s="219"/>
      <c r="R93" s="219"/>
      <c r="S93" s="219"/>
      <c r="T93" s="64"/>
      <c r="U93" s="194"/>
      <c r="V93" s="194"/>
      <c r="W93" s="194"/>
    </row>
    <row r="94" ht="14.25" customHeight="1">
      <c r="A94" s="186"/>
      <c r="B94" s="13">
        <v>1912761.0</v>
      </c>
      <c r="C94" s="14">
        <v>46028.72109953704</v>
      </c>
      <c r="D94" s="187" t="s">
        <v>97</v>
      </c>
      <c r="E94" s="188" t="s">
        <v>650</v>
      </c>
      <c r="F94" s="189"/>
      <c r="G94" s="187" t="s">
        <v>7096</v>
      </c>
      <c r="H94" s="204"/>
      <c r="I94" s="204"/>
      <c r="J94" s="196" t="s">
        <v>6469</v>
      </c>
      <c r="K94" s="196"/>
      <c r="L94" s="192" t="str">
        <f>IFERROR(__xludf.DUMMYFUNCTION("IF(
  AND(D94=""Saída"", J94=""Sangria""),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197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94">
        <f>IFERROR(__xludf.DUMMYFUNCTION("ifna(VALUE(REGEXEXTRACT(E94,""[0-9.]+[,]+[0-9]+"")))"),78.0)</f>
        <v>78</v>
      </c>
      <c r="O94" s="220"/>
      <c r="T94" s="221"/>
      <c r="U94" s="194"/>
      <c r="V94" s="194"/>
      <c r="W94" s="194"/>
    </row>
    <row r="95" ht="14.25" customHeight="1">
      <c r="A95" s="186"/>
      <c r="B95" s="13">
        <v>1912765.0</v>
      </c>
      <c r="C95" s="14">
        <v>46028.72211805556</v>
      </c>
      <c r="D95" s="187" t="s">
        <v>97</v>
      </c>
      <c r="E95" s="188" t="s">
        <v>7105</v>
      </c>
      <c r="F95" s="189"/>
      <c r="G95" s="187" t="s">
        <v>1042</v>
      </c>
      <c r="H95" s="204"/>
      <c r="I95" s="204"/>
      <c r="J95" s="196" t="s">
        <v>6080</v>
      </c>
      <c r="K95" s="196" t="s">
        <v>6111</v>
      </c>
      <c r="L95" s="192" t="str">
        <f>IFERROR(__xludf.DUMMYFUNCTION("IF(
  AND(D95=""Saída"", J95=""Sangria""),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198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94">
        <f>IFERROR(__xludf.DUMMYFUNCTION("ifna(VALUE(REGEXEXTRACT(E95,""[0-9.]+[,]+[0-9]+"")))"),24.28)</f>
        <v>24.28</v>
      </c>
      <c r="O95" s="222" t="s">
        <v>0</v>
      </c>
      <c r="P95" s="223" t="s">
        <v>10</v>
      </c>
      <c r="Q95" s="223" t="s">
        <v>7118</v>
      </c>
      <c r="R95" s="223" t="s">
        <v>51</v>
      </c>
      <c r="S95" s="224" t="s">
        <v>38</v>
      </c>
      <c r="T95" s="221"/>
      <c r="U95" s="194"/>
      <c r="V95" s="194"/>
      <c r="W95" s="194"/>
    </row>
    <row r="96" ht="14.25" customHeight="1">
      <c r="A96" s="186"/>
      <c r="B96" s="13">
        <v>1912783.0</v>
      </c>
      <c r="C96" s="14">
        <v>46028.72578703704</v>
      </c>
      <c r="D96" s="187" t="s">
        <v>97</v>
      </c>
      <c r="E96" s="188" t="s">
        <v>7121</v>
      </c>
      <c r="F96" s="200"/>
      <c r="G96" s="187" t="s">
        <v>6501</v>
      </c>
      <c r="H96" s="204"/>
      <c r="I96" s="204"/>
      <c r="J96" s="196" t="s">
        <v>6080</v>
      </c>
      <c r="K96" s="196" t="s">
        <v>6197</v>
      </c>
      <c r="L96" s="192" t="str">
        <f>IFERROR(__xludf.DUMMYFUNCTION("IF(
  AND(D96=""Saída"", J96=""Sangria""),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197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94">
        <f>IFERROR(__xludf.DUMMYFUNCTION("ifna(VALUE(REGEXEXTRACT(E96,""[0-9.]+[,]+[0-9]+"")))"),37.24)</f>
        <v>37.24</v>
      </c>
      <c r="O96" s="225" t="s">
        <v>2582</v>
      </c>
      <c r="P96" s="208">
        <v>46043.0</v>
      </c>
      <c r="Q96" s="209" t="s">
        <v>225</v>
      </c>
      <c r="R96" s="210"/>
      <c r="S96" s="226"/>
      <c r="T96" s="227" t="str">
        <f t="shared" ref="T96:T116" si="1">IFERROR(VLOOKUP(Q96, $A$4:$B$11, 2, FALSE), "")</f>
        <v>Mariselma</v>
      </c>
      <c r="U96" s="194"/>
      <c r="V96" s="194"/>
      <c r="W96" s="194"/>
    </row>
    <row r="97" ht="14.25" customHeight="1">
      <c r="A97" s="186"/>
      <c r="B97" s="13">
        <v>1917184.0</v>
      </c>
      <c r="C97" s="14">
        <v>46030.74810185185</v>
      </c>
      <c r="D97" s="187" t="s">
        <v>97</v>
      </c>
      <c r="E97" s="188" t="s">
        <v>7127</v>
      </c>
      <c r="F97" s="189"/>
      <c r="G97" s="187" t="s">
        <v>6584</v>
      </c>
      <c r="H97" s="204"/>
      <c r="I97" s="204"/>
      <c r="J97" s="196" t="s">
        <v>6080</v>
      </c>
      <c r="K97" s="196" t="s">
        <v>6197</v>
      </c>
      <c r="L97" s="192" t="str">
        <f>IFERROR(__xludf.DUMMYFUNCTION("IF(
  AND(D97=""Saída"", J97=""Sangria""),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198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94">
        <f>IFERROR(__xludf.DUMMYFUNCTION("ifna(VALUE(REGEXEXTRACT(E97,""[0-9.]+[,]+[0-9]+"")))"),41.39)</f>
        <v>41.39</v>
      </c>
      <c r="O97" s="225" t="s">
        <v>2438</v>
      </c>
      <c r="P97" s="208">
        <v>46019.0</v>
      </c>
      <c r="Q97" s="209" t="s">
        <v>126</v>
      </c>
      <c r="R97" s="210">
        <v>500.0</v>
      </c>
      <c r="S97" s="228"/>
      <c r="T97" s="227" t="str">
        <f t="shared" si="1"/>
        <v>Sabrina</v>
      </c>
      <c r="U97" s="194"/>
      <c r="V97" s="194"/>
      <c r="W97" s="194"/>
    </row>
    <row r="98" ht="14.25" customHeight="1">
      <c r="A98" s="186"/>
      <c r="B98" s="13">
        <v>1917215.0</v>
      </c>
      <c r="C98" s="14">
        <v>46030.754583333335</v>
      </c>
      <c r="D98" s="187" t="s">
        <v>97</v>
      </c>
      <c r="E98" s="188" t="s">
        <v>650</v>
      </c>
      <c r="F98" s="200"/>
      <c r="G98" s="187" t="s">
        <v>7130</v>
      </c>
      <c r="H98" s="204"/>
      <c r="I98" s="204"/>
      <c r="J98" s="196" t="s">
        <v>6469</v>
      </c>
      <c r="K98" s="196"/>
      <c r="L98" s="192" t="str">
        <f>IFERROR(__xludf.DUMMYFUNCTION("IF(
  AND(D98=""Saída"", J98=""Sangria""),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197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94">
        <f>IFERROR(__xludf.DUMMYFUNCTION("ifna(VALUE(REGEXEXTRACT(E98,""[0-9.]+[,]+[0-9]+"")))"),78.0)</f>
        <v>78</v>
      </c>
      <c r="O98" s="225"/>
      <c r="P98" s="208"/>
      <c r="Q98" s="209"/>
      <c r="R98" s="210"/>
      <c r="S98" s="229"/>
      <c r="T98" s="227" t="str">
        <f t="shared" si="1"/>
        <v/>
      </c>
      <c r="U98" s="194"/>
      <c r="V98" s="194"/>
      <c r="W98" s="194"/>
    </row>
    <row r="99" ht="14.25" customHeight="1">
      <c r="A99" s="186"/>
      <c r="B99" s="13">
        <v>1919514.0</v>
      </c>
      <c r="C99" s="14">
        <v>46031.736655092594</v>
      </c>
      <c r="D99" s="187" t="s">
        <v>97</v>
      </c>
      <c r="E99" s="188" t="s">
        <v>281</v>
      </c>
      <c r="F99" s="189"/>
      <c r="G99" s="187" t="s">
        <v>6584</v>
      </c>
      <c r="H99" s="204"/>
      <c r="I99" s="204"/>
      <c r="J99" s="196" t="s">
        <v>6080</v>
      </c>
      <c r="K99" s="196" t="s">
        <v>6197</v>
      </c>
      <c r="L99" s="192" t="str">
        <f>IFERROR(__xludf.DUMMYFUNCTION("IF(
  AND(D99=""Saída"", J99=""Sangria""),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198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94">
        <f>IFERROR(__xludf.DUMMYFUNCTION("ifna(VALUE(REGEXEXTRACT(E99,""[0-9.]+[,]+[0-9]+"")))"),19.9)</f>
        <v>19.9</v>
      </c>
      <c r="O99" s="225"/>
      <c r="P99" s="208"/>
      <c r="Q99" s="209"/>
      <c r="R99" s="210"/>
      <c r="S99" s="230"/>
      <c r="T99" s="227" t="str">
        <f t="shared" si="1"/>
        <v/>
      </c>
      <c r="U99" s="194"/>
      <c r="V99" s="194"/>
      <c r="W99" s="194"/>
    </row>
    <row r="100" ht="14.25" customHeight="1">
      <c r="A100" s="186"/>
      <c r="B100" s="13">
        <v>1919566.0</v>
      </c>
      <c r="C100" s="14">
        <v>46031.74901620371</v>
      </c>
      <c r="D100" s="187" t="s">
        <v>97</v>
      </c>
      <c r="E100" s="188" t="s">
        <v>7152</v>
      </c>
      <c r="F100" s="189"/>
      <c r="G100" s="187" t="s">
        <v>7153</v>
      </c>
      <c r="H100" s="204"/>
      <c r="I100" s="204"/>
      <c r="J100" s="196" t="s">
        <v>6446</v>
      </c>
      <c r="K100" s="196"/>
      <c r="L100" s="192" t="str">
        <f>IFERROR(__xludf.DUMMYFUNCTION("IF(
  AND(D100=""Saída"", J100=""Sangria""),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197" t="str">
        <f>IFERROR(__xludf.DUMMYFUNCTION("IF(J100=""Compra de Mercadorias"",
   IF(
      COUNTIF(ARRAYFORMULA(TRIM(CLEAN(TO_TEXT(Notas!BS:BS)))), TRIM(CLEAN(TO_TEXT(B100)))) &gt; 0,
      ""Encontrada"",
      ""Não Encontrada""
   ),
"""")"),"Encontrada")</f>
        <v>Encontrada</v>
      </c>
      <c r="N100" s="194">
        <f>IFERROR(__xludf.DUMMYFUNCTION("ifna(VALUE(REGEXEXTRACT(E100,""[0-9.]+[,]+[0-9]+"")))"),41.88)</f>
        <v>41.88</v>
      </c>
      <c r="O100" s="225"/>
      <c r="P100" s="208"/>
      <c r="Q100" s="209"/>
      <c r="R100" s="210"/>
      <c r="S100" s="229"/>
      <c r="T100" s="227" t="str">
        <f t="shared" si="1"/>
        <v/>
      </c>
      <c r="U100" s="194"/>
      <c r="V100" s="194"/>
      <c r="W100" s="194"/>
    </row>
    <row r="101" ht="14.25" customHeight="1">
      <c r="A101" s="186"/>
      <c r="B101" s="13">
        <v>1919570.0</v>
      </c>
      <c r="C101" s="14">
        <v>46031.74979166667</v>
      </c>
      <c r="D101" s="187" t="s">
        <v>97</v>
      </c>
      <c r="E101" s="188" t="s">
        <v>7161</v>
      </c>
      <c r="F101" s="189"/>
      <c r="G101" s="187" t="s">
        <v>7162</v>
      </c>
      <c r="H101" s="204"/>
      <c r="I101" s="204"/>
      <c r="J101" s="196" t="s">
        <v>6446</v>
      </c>
      <c r="K101" s="196"/>
      <c r="L101" s="192" t="str">
        <f>IFERROR(__xludf.DUMMYFUNCTION("IF(
  AND(D101=""Saída"", J101=""Sangria""),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198" t="str">
        <f>IFERROR(__xludf.DUMMYFUNCTION("IF(J101=""Compra de Mercadorias"",
   IF(
      COUNTIF(ARRAYFORMULA(TRIM(CLEAN(TO_TEXT(Notas!BS:BS)))), TRIM(CLEAN(TO_TEXT(B101)))) &gt; 0,
      ""Encontrada"",
      ""Não Encontrada""
   ),
"""")"),"Encontrada")</f>
        <v>Encontrada</v>
      </c>
      <c r="N101" s="194">
        <f>IFERROR(__xludf.DUMMYFUNCTION("ifna(VALUE(REGEXEXTRACT(E101,""[0-9.]+[,]+[0-9]+"")))"),78.36)</f>
        <v>78.36</v>
      </c>
      <c r="O101" s="231"/>
      <c r="P101" s="232"/>
      <c r="Q101" s="233"/>
      <c r="R101" s="234"/>
      <c r="S101" s="230"/>
      <c r="T101" s="227" t="str">
        <f t="shared" si="1"/>
        <v/>
      </c>
      <c r="U101" s="194"/>
      <c r="V101" s="194"/>
      <c r="W101" s="194"/>
    </row>
    <row r="102" ht="14.25" customHeight="1">
      <c r="A102" s="186"/>
      <c r="B102" s="13">
        <v>1919575.0</v>
      </c>
      <c r="C102" s="14">
        <v>46031.751284722224</v>
      </c>
      <c r="D102" s="187" t="s">
        <v>97</v>
      </c>
      <c r="E102" s="188" t="s">
        <v>7058</v>
      </c>
      <c r="F102" s="189"/>
      <c r="G102" s="187" t="s">
        <v>7173</v>
      </c>
      <c r="H102" s="204"/>
      <c r="I102" s="204"/>
      <c r="J102" s="196" t="s">
        <v>6446</v>
      </c>
      <c r="K102" s="196"/>
      <c r="L102" s="192" t="str">
        <f>IFERROR(__xludf.DUMMYFUNCTION("IF(
  AND(D102=""Saída"", J102=""Sangria""),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197" t="str">
        <f>IFERROR(__xludf.DUMMYFUNCTION("IF(J102=""Compra de Mercadorias"",
   IF(
      COUNTIF(ARRAYFORMULA(TRIM(CLEAN(TO_TEXT(Notas!BS:BS)))), TRIM(CLEAN(TO_TEXT(B102)))) &gt; 0,
      ""Encontrada"",
      ""Não Encontrada""
   ),
"""")"),"Encontrada")</f>
        <v>Encontrada</v>
      </c>
      <c r="N102" s="194">
        <f>IFERROR(__xludf.DUMMYFUNCTION("ifna(VALUE(REGEXEXTRACT(E102,""[0-9.]+[,]+[0-9]+"")))"),375.0)</f>
        <v>375</v>
      </c>
      <c r="O102" s="235"/>
      <c r="P102" s="236"/>
      <c r="Q102" s="229"/>
      <c r="R102" s="237" t="str">
        <f t="shared" ref="R102:R138" si="2">IFERROR(VLOOKUP(Q102, $B$4:$C$18, 2, FALSE), "")</f>
        <v/>
      </c>
      <c r="S102" s="229" t="str">
        <f t="shared" ref="S102:S138" si="3">IFERROR(VLOOKUP(Q102, $A$4:$B$18, 2, FALSE), "")</f>
        <v/>
      </c>
      <c r="T102" s="227" t="str">
        <f t="shared" si="1"/>
        <v/>
      </c>
      <c r="U102" s="194"/>
      <c r="V102" s="194"/>
      <c r="W102" s="194"/>
    </row>
    <row r="103" ht="14.25" customHeight="1">
      <c r="A103" s="186"/>
      <c r="B103" s="13">
        <v>1919579.0</v>
      </c>
      <c r="C103" s="14">
        <v>46031.75162037037</v>
      </c>
      <c r="D103" s="187" t="s">
        <v>97</v>
      </c>
      <c r="E103" s="188" t="s">
        <v>7180</v>
      </c>
      <c r="F103" s="189"/>
      <c r="G103" s="187" t="s">
        <v>7182</v>
      </c>
      <c r="H103" s="204"/>
      <c r="I103" s="204"/>
      <c r="J103" s="196" t="s">
        <v>6446</v>
      </c>
      <c r="K103" s="196"/>
      <c r="L103" s="192" t="str">
        <f>IFERROR(__xludf.DUMMYFUNCTION("IF(
  AND(D103=""Saída"", J103=""Sangria""),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198" t="str">
        <f>IFERROR(__xludf.DUMMYFUNCTION("IF(J103=""Compra de Mercadorias"",
   IF(
      COUNTIF(ARRAYFORMULA(TRIM(CLEAN(TO_TEXT(Notas!BS:BS)))), TRIM(CLEAN(TO_TEXT(B103)))) &gt; 0,
      ""Encontrada"",
      ""Não Encontrada""
   ),
"""")"),"Encontrada")</f>
        <v>Encontrada</v>
      </c>
      <c r="N103" s="194">
        <f>IFERROR(__xludf.DUMMYFUNCTION("ifna(VALUE(REGEXEXTRACT(E103,""[0-9.]+[,]+[0-9]+"")))"),139.58)</f>
        <v>139.58</v>
      </c>
      <c r="O103" s="238"/>
      <c r="P103" s="239"/>
      <c r="Q103" s="230"/>
      <c r="R103" s="240" t="str">
        <f t="shared" si="2"/>
        <v/>
      </c>
      <c r="S103" s="230" t="str">
        <f t="shared" si="3"/>
        <v/>
      </c>
      <c r="T103" s="227" t="str">
        <f t="shared" si="1"/>
        <v/>
      </c>
      <c r="U103" s="194"/>
      <c r="V103" s="194"/>
      <c r="W103" s="194"/>
    </row>
    <row r="104" ht="14.25" customHeight="1">
      <c r="A104" s="186"/>
      <c r="B104" s="13">
        <v>1919584.0</v>
      </c>
      <c r="C104" s="14">
        <v>46031.75251157407</v>
      </c>
      <c r="D104" s="187" t="s">
        <v>97</v>
      </c>
      <c r="E104" s="188" t="s">
        <v>7187</v>
      </c>
      <c r="F104" s="189"/>
      <c r="G104" s="187" t="s">
        <v>7188</v>
      </c>
      <c r="H104" s="204"/>
      <c r="I104" s="204"/>
      <c r="J104" s="196" t="s">
        <v>6446</v>
      </c>
      <c r="K104" s="196"/>
      <c r="L104" s="192" t="str">
        <f>IFERROR(__xludf.DUMMYFUNCTION("IF(
  AND(D104=""Saída"", J104=""Sangria""),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197" t="str">
        <f>IFERROR(__xludf.DUMMYFUNCTION("IF(J104=""Compra de Mercadorias"",
   IF(
      COUNTIF(ARRAYFORMULA(TRIM(CLEAN(TO_TEXT(Notas!BS:BS)))), TRIM(CLEAN(TO_TEXT(B104)))) &gt; 0,
      ""Encontrada"",
      ""Não Encontrada""
   ),
"""")"),"Encontrada")</f>
        <v>Encontrada</v>
      </c>
      <c r="N104" s="194">
        <f>IFERROR(__xludf.DUMMYFUNCTION("ifna(VALUE(REGEXEXTRACT(E104,""[0-9.]+[,]+[0-9]+"")))"),952.89)</f>
        <v>952.89</v>
      </c>
      <c r="O104" s="235"/>
      <c r="P104" s="236"/>
      <c r="Q104" s="229"/>
      <c r="R104" s="237" t="str">
        <f t="shared" si="2"/>
        <v/>
      </c>
      <c r="S104" s="229" t="str">
        <f t="shared" si="3"/>
        <v/>
      </c>
      <c r="T104" s="227" t="str">
        <f t="shared" si="1"/>
        <v/>
      </c>
      <c r="U104" s="194"/>
      <c r="V104" s="194"/>
      <c r="W104" s="194"/>
    </row>
    <row r="105" ht="14.25" customHeight="1">
      <c r="A105" s="186"/>
      <c r="B105" s="13">
        <v>1919610.0</v>
      </c>
      <c r="C105" s="14">
        <v>46031.75707175926</v>
      </c>
      <c r="D105" s="187" t="s">
        <v>97</v>
      </c>
      <c r="E105" s="188" t="s">
        <v>7202</v>
      </c>
      <c r="F105" s="189"/>
      <c r="G105" s="187" t="s">
        <v>7205</v>
      </c>
      <c r="H105" s="204"/>
      <c r="I105" s="204"/>
      <c r="J105" s="196" t="s">
        <v>6544</v>
      </c>
      <c r="K105" s="196" t="s">
        <v>5991</v>
      </c>
      <c r="L105" s="192" t="str">
        <f>IFERROR(__xludf.DUMMYFUNCTION("IF(
  AND(D105=""Saída"", J105=""Sangria""),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"),"Confirmada")</f>
        <v>Confirmada</v>
      </c>
      <c r="M105" s="198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94">
        <f>IFERROR(__xludf.DUMMYFUNCTION("ifna(VALUE(REGEXEXTRACT(E105,""[0-9.]+[,]+[0-9]+"")))"),1600.0)</f>
        <v>1600</v>
      </c>
      <c r="O105" s="238"/>
      <c r="P105" s="239"/>
      <c r="Q105" s="230"/>
      <c r="R105" s="240" t="str">
        <f t="shared" si="2"/>
        <v/>
      </c>
      <c r="S105" s="230" t="str">
        <f t="shared" si="3"/>
        <v/>
      </c>
      <c r="T105" s="227" t="str">
        <f t="shared" si="1"/>
        <v/>
      </c>
      <c r="U105" s="194"/>
      <c r="V105" s="194"/>
      <c r="W105" s="194"/>
    </row>
    <row r="106" ht="14.25" customHeight="1">
      <c r="A106" s="186"/>
      <c r="B106" s="13">
        <v>1919616.0</v>
      </c>
      <c r="C106" s="14">
        <v>46031.75819444445</v>
      </c>
      <c r="D106" s="187" t="s">
        <v>97</v>
      </c>
      <c r="E106" s="188" t="s">
        <v>650</v>
      </c>
      <c r="F106" s="189"/>
      <c r="G106" s="187" t="s">
        <v>7219</v>
      </c>
      <c r="H106" s="204"/>
      <c r="I106" s="204"/>
      <c r="J106" s="196" t="s">
        <v>6469</v>
      </c>
      <c r="K106" s="196"/>
      <c r="L106" s="192" t="str">
        <f>IFERROR(__xludf.DUMMYFUNCTION("IF(
  AND(D106=""Saída"", J106=""Sangria""),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197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94">
        <f>IFERROR(__xludf.DUMMYFUNCTION("ifna(VALUE(REGEXEXTRACT(E106,""[0-9.]+[,]+[0-9]+"")))"),78.0)</f>
        <v>78</v>
      </c>
      <c r="O106" s="235"/>
      <c r="P106" s="236"/>
      <c r="Q106" s="229"/>
      <c r="R106" s="237" t="str">
        <f t="shared" si="2"/>
        <v/>
      </c>
      <c r="S106" s="229" t="str">
        <f t="shared" si="3"/>
        <v/>
      </c>
      <c r="T106" s="227" t="str">
        <f t="shared" si="1"/>
        <v/>
      </c>
      <c r="U106" s="194"/>
      <c r="V106" s="194"/>
      <c r="W106" s="194"/>
    </row>
    <row r="107" ht="14.25" customHeight="1">
      <c r="A107" s="186"/>
      <c r="B107" s="13">
        <v>1921151.0</v>
      </c>
      <c r="C107" s="14">
        <v>46032.587118055555</v>
      </c>
      <c r="D107" s="187" t="s">
        <v>97</v>
      </c>
      <c r="E107" s="188" t="s">
        <v>7228</v>
      </c>
      <c r="F107" s="189"/>
      <c r="G107" s="187" t="s">
        <v>6778</v>
      </c>
      <c r="H107" s="204"/>
      <c r="I107" s="204"/>
      <c r="J107" s="196" t="s">
        <v>6080</v>
      </c>
      <c r="K107" s="196" t="s">
        <v>6197</v>
      </c>
      <c r="L107" s="192" t="str">
        <f>IFERROR(__xludf.DUMMYFUNCTION("IF(
  AND(D107=""Saída"", J107=""Sangria""),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198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94">
        <f>IFERROR(__xludf.DUMMYFUNCTION("ifna(VALUE(REGEXEXTRACT(E107,""[0-9.]+[,]+[0-9]+"")))"),22.32)</f>
        <v>22.32</v>
      </c>
      <c r="O107" s="238"/>
      <c r="P107" s="230"/>
      <c r="Q107" s="230"/>
      <c r="R107" s="240" t="str">
        <f t="shared" si="2"/>
        <v/>
      </c>
      <c r="S107" s="230" t="str">
        <f t="shared" si="3"/>
        <v/>
      </c>
      <c r="T107" s="227" t="str">
        <f t="shared" si="1"/>
        <v/>
      </c>
      <c r="U107" s="194"/>
      <c r="V107" s="194"/>
      <c r="W107" s="194"/>
    </row>
    <row r="108" ht="14.25" customHeight="1">
      <c r="A108" s="186"/>
      <c r="B108" s="13">
        <v>1921568.0</v>
      </c>
      <c r="C108" s="14">
        <v>46032.693020833336</v>
      </c>
      <c r="D108" s="187" t="s">
        <v>97</v>
      </c>
      <c r="E108" s="188" t="s">
        <v>7242</v>
      </c>
      <c r="F108" s="200"/>
      <c r="G108" s="187" t="s">
        <v>157</v>
      </c>
      <c r="H108" s="204"/>
      <c r="I108" s="204"/>
      <c r="J108" s="196" t="s">
        <v>6446</v>
      </c>
      <c r="K108" s="196"/>
      <c r="L108" s="192" t="str">
        <f>IFERROR(__xludf.DUMMYFUNCTION("IF(
  AND(D108=""Saída"", J108=""Sangria""),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197" t="str">
        <f>IFERROR(__xludf.DUMMYFUNCTION("IF(J108=""Compra de Mercadorias"",
   IF(
      COUNTIF(ARRAYFORMULA(TRIM(CLEAN(TO_TEXT(Notas!BS:BS)))), TRIM(CLEAN(TO_TEXT(B108)))) &gt; 0,
      ""Encontrada"",
      ""Não Encontrada""
   ),
"""")"),"Encontrada")</f>
        <v>Encontrada</v>
      </c>
      <c r="N108" s="194">
        <f>IFERROR(__xludf.DUMMYFUNCTION("ifna(VALUE(REGEXEXTRACT(E108,""[0-9.]+[,]+[0-9]+"")))"),105.2)</f>
        <v>105.2</v>
      </c>
      <c r="O108" s="235"/>
      <c r="P108" s="229"/>
      <c r="Q108" s="229"/>
      <c r="R108" s="237" t="str">
        <f t="shared" si="2"/>
        <v/>
      </c>
      <c r="S108" s="229" t="str">
        <f t="shared" si="3"/>
        <v/>
      </c>
      <c r="T108" s="227" t="str">
        <f t="shared" si="1"/>
        <v/>
      </c>
      <c r="U108" s="194"/>
      <c r="V108" s="194"/>
      <c r="W108" s="194"/>
    </row>
    <row r="109" ht="14.25" customHeight="1">
      <c r="A109" s="186"/>
      <c r="B109" s="13">
        <v>1921638.0</v>
      </c>
      <c r="C109" s="14">
        <v>46032.708449074074</v>
      </c>
      <c r="D109" s="187" t="s">
        <v>97</v>
      </c>
      <c r="E109" s="188" t="s">
        <v>163</v>
      </c>
      <c r="F109" s="189"/>
      <c r="G109" s="187" t="s">
        <v>7253</v>
      </c>
      <c r="H109" s="204"/>
      <c r="I109" s="204"/>
      <c r="J109" s="196"/>
      <c r="K109" s="196"/>
      <c r="L109" s="192" t="str">
        <f>IFERROR(__xludf.DUMMYFUNCTION("IF(
  AND(D109=""Saída"", J109=""Sangria""),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198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94">
        <f>IFERROR(__xludf.DUMMYFUNCTION("ifna(VALUE(REGEXEXTRACT(E109,""[0-9.]+[,]+[0-9]+"")))"),0.01)</f>
        <v>0.01</v>
      </c>
      <c r="O109" s="238"/>
      <c r="P109" s="230"/>
      <c r="Q109" s="230"/>
      <c r="R109" s="240" t="str">
        <f t="shared" si="2"/>
        <v/>
      </c>
      <c r="S109" s="230" t="str">
        <f t="shared" si="3"/>
        <v/>
      </c>
      <c r="T109" s="227" t="str">
        <f t="shared" si="1"/>
        <v/>
      </c>
      <c r="U109" s="194"/>
      <c r="V109" s="194"/>
      <c r="W109" s="194"/>
    </row>
    <row r="110" ht="14.25" customHeight="1">
      <c r="A110" s="186"/>
      <c r="B110" s="13">
        <v>1921865.0</v>
      </c>
      <c r="C110" s="14">
        <v>46032.76002314815</v>
      </c>
      <c r="D110" s="187" t="s">
        <v>97</v>
      </c>
      <c r="E110" s="188" t="s">
        <v>532</v>
      </c>
      <c r="F110" s="189"/>
      <c r="G110" s="187" t="s">
        <v>7256</v>
      </c>
      <c r="H110" s="204"/>
      <c r="I110" s="204"/>
      <c r="J110" s="196" t="s">
        <v>6469</v>
      </c>
      <c r="K110" s="196"/>
      <c r="L110" s="192" t="str">
        <f>IFERROR(__xludf.DUMMYFUNCTION("IF(
  AND(D110=""Saída"", J110=""Sangria""),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197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94">
        <f>IFERROR(__xludf.DUMMYFUNCTION("ifna(VALUE(REGEXEXTRACT(E110,""[0-9.]+[,]+[0-9]+"")))"),65.0)</f>
        <v>65</v>
      </c>
      <c r="O110" s="235"/>
      <c r="P110" s="229"/>
      <c r="Q110" s="229"/>
      <c r="R110" s="237" t="str">
        <f t="shared" si="2"/>
        <v/>
      </c>
      <c r="S110" s="229" t="str">
        <f t="shared" si="3"/>
        <v/>
      </c>
      <c r="T110" s="227" t="str">
        <f t="shared" si="1"/>
        <v/>
      </c>
      <c r="U110" s="194"/>
      <c r="V110" s="194"/>
      <c r="W110" s="194"/>
    </row>
    <row r="111" ht="14.25" customHeight="1">
      <c r="A111" s="186"/>
      <c r="B111" s="13">
        <v>1921875.0</v>
      </c>
      <c r="C111" s="14">
        <v>46032.76201388889</v>
      </c>
      <c r="D111" s="187" t="s">
        <v>97</v>
      </c>
      <c r="E111" s="188" t="s">
        <v>473</v>
      </c>
      <c r="F111" s="189"/>
      <c r="G111" s="187" t="s">
        <v>7270</v>
      </c>
      <c r="H111" s="204"/>
      <c r="I111" s="204"/>
      <c r="J111" s="196" t="s">
        <v>6469</v>
      </c>
      <c r="K111" s="196"/>
      <c r="L111" s="192" t="str">
        <f>IFERROR(__xludf.DUMMYFUNCTION("IF(
  AND(D111=""Saída"", J111=""Sangria""),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198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94">
        <f>IFERROR(__xludf.DUMMYFUNCTION("ifna(VALUE(REGEXEXTRACT(E111,""[0-9.]+[,]+[0-9]+"")))"),84.0)</f>
        <v>84</v>
      </c>
      <c r="O111" s="238"/>
      <c r="P111" s="230"/>
      <c r="Q111" s="230"/>
      <c r="R111" s="240" t="str">
        <f t="shared" si="2"/>
        <v/>
      </c>
      <c r="S111" s="230" t="str">
        <f t="shared" si="3"/>
        <v/>
      </c>
      <c r="T111" s="227" t="str">
        <f t="shared" si="1"/>
        <v/>
      </c>
      <c r="U111" s="194"/>
      <c r="V111" s="194"/>
      <c r="W111" s="194"/>
    </row>
    <row r="112" ht="14.25" customHeight="1">
      <c r="A112" s="186"/>
      <c r="B112" s="13">
        <v>1925160.0</v>
      </c>
      <c r="C112" s="14">
        <v>46033.8647337963</v>
      </c>
      <c r="D112" s="187" t="s">
        <v>97</v>
      </c>
      <c r="E112" s="188" t="s">
        <v>7283</v>
      </c>
      <c r="F112" s="189"/>
      <c r="G112" s="187" t="s">
        <v>7284</v>
      </c>
      <c r="H112" s="204"/>
      <c r="I112" s="204"/>
      <c r="J112" s="196" t="s">
        <v>6469</v>
      </c>
      <c r="K112" s="196"/>
      <c r="L112" s="192" t="str">
        <f>IFERROR(__xludf.DUMMYFUNCTION("IF(
  AND(D112=""Saída"", J112=""Sangria""),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197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94">
        <f>IFERROR(__xludf.DUMMYFUNCTION("ifna(VALUE(REGEXEXTRACT(E112,""[0-9.]+[,]+[0-9]+"")))"),71.0)</f>
        <v>71</v>
      </c>
      <c r="O112" s="235"/>
      <c r="P112" s="229"/>
      <c r="Q112" s="229"/>
      <c r="R112" s="237" t="str">
        <f t="shared" si="2"/>
        <v/>
      </c>
      <c r="S112" s="229" t="str">
        <f t="shared" si="3"/>
        <v/>
      </c>
      <c r="T112" s="227" t="str">
        <f t="shared" si="1"/>
        <v/>
      </c>
      <c r="U112" s="194"/>
      <c r="V112" s="194"/>
      <c r="W112" s="194"/>
    </row>
    <row r="113" ht="14.25" customHeight="1">
      <c r="A113" s="186"/>
      <c r="B113" s="13">
        <v>1925184.0</v>
      </c>
      <c r="C113" s="14">
        <v>46033.8680787037</v>
      </c>
      <c r="D113" s="187" t="s">
        <v>97</v>
      </c>
      <c r="E113" s="188" t="s">
        <v>6561</v>
      </c>
      <c r="F113" s="189"/>
      <c r="G113" s="187" t="s">
        <v>7295</v>
      </c>
      <c r="H113" s="204"/>
      <c r="I113" s="204"/>
      <c r="J113" s="196" t="s">
        <v>6469</v>
      </c>
      <c r="K113" s="196"/>
      <c r="L113" s="192" t="str">
        <f>IFERROR(__xludf.DUMMYFUNCTION("IF(
  AND(D113=""Saída"", J113=""Sangria""),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198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94">
        <f>IFERROR(__xludf.DUMMYFUNCTION("ifna(VALUE(REGEXEXTRACT(E113,""[0-9.]+[,]+[0-9]+"")))"),123.0)</f>
        <v>123</v>
      </c>
      <c r="O113" s="238"/>
      <c r="P113" s="230"/>
      <c r="Q113" s="230"/>
      <c r="R113" s="240" t="str">
        <f t="shared" si="2"/>
        <v/>
      </c>
      <c r="S113" s="230" t="str">
        <f t="shared" si="3"/>
        <v/>
      </c>
      <c r="T113" s="227" t="str">
        <f t="shared" si="1"/>
        <v/>
      </c>
      <c r="U113" s="194"/>
      <c r="V113" s="194"/>
      <c r="W113" s="194"/>
    </row>
    <row r="114" ht="14.25" customHeight="1">
      <c r="A114" s="186"/>
      <c r="B114" s="13">
        <v>1925191.0</v>
      </c>
      <c r="C114" s="14">
        <v>46033.86871527778</v>
      </c>
      <c r="D114" s="187" t="s">
        <v>97</v>
      </c>
      <c r="E114" s="188" t="s">
        <v>6561</v>
      </c>
      <c r="F114" s="189"/>
      <c r="G114" s="187" t="s">
        <v>7305</v>
      </c>
      <c r="H114" s="204"/>
      <c r="I114" s="204"/>
      <c r="J114" s="196" t="s">
        <v>6469</v>
      </c>
      <c r="K114" s="196"/>
      <c r="L114" s="192" t="str">
        <f>IFERROR(__xludf.DUMMYFUNCTION("IF(
  AND(D114=""Saída"", J114=""Sangria""),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197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94">
        <f>IFERROR(__xludf.DUMMYFUNCTION("ifna(VALUE(REGEXEXTRACT(E114,""[0-9.]+[,]+[0-9]+"")))"),123.0)</f>
        <v>123</v>
      </c>
      <c r="O114" s="235"/>
      <c r="P114" s="229"/>
      <c r="Q114" s="229"/>
      <c r="R114" s="237" t="str">
        <f t="shared" si="2"/>
        <v/>
      </c>
      <c r="S114" s="229" t="str">
        <f t="shared" si="3"/>
        <v/>
      </c>
      <c r="T114" s="227" t="str">
        <f t="shared" si="1"/>
        <v/>
      </c>
      <c r="U114" s="194"/>
      <c r="V114" s="194"/>
      <c r="W114" s="194"/>
    </row>
    <row r="115" ht="14.25" customHeight="1">
      <c r="A115" s="186"/>
      <c r="B115" s="13">
        <v>1925520.0</v>
      </c>
      <c r="C115" s="14">
        <v>46033.90675925926</v>
      </c>
      <c r="D115" s="187" t="s">
        <v>97</v>
      </c>
      <c r="E115" s="188" t="s">
        <v>1412</v>
      </c>
      <c r="F115" s="189"/>
      <c r="G115" s="187" t="s">
        <v>858</v>
      </c>
      <c r="H115" s="204"/>
      <c r="I115" s="204"/>
      <c r="J115" s="196" t="s">
        <v>6544</v>
      </c>
      <c r="K115" s="196" t="s">
        <v>5991</v>
      </c>
      <c r="L115" s="192" t="str">
        <f>IFERROR(__xludf.DUMMYFUNCTION("IF(
  AND(D115=""Saída"", J115=""Sangria""),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"),"Confirmada")</f>
        <v>Confirmada</v>
      </c>
      <c r="M115" s="198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94">
        <f>IFERROR(__xludf.DUMMYFUNCTION("ifna(VALUE(REGEXEXTRACT(E115,""[0-9.]+[,]+[0-9]+"")))"),800.0)</f>
        <v>800</v>
      </c>
      <c r="O115" s="238"/>
      <c r="P115" s="230"/>
      <c r="Q115" s="230"/>
      <c r="R115" s="240" t="str">
        <f t="shared" si="2"/>
        <v/>
      </c>
      <c r="S115" s="230" t="str">
        <f t="shared" si="3"/>
        <v/>
      </c>
      <c r="T115" s="227" t="str">
        <f t="shared" si="1"/>
        <v/>
      </c>
      <c r="U115" s="194"/>
      <c r="V115" s="194"/>
      <c r="W115" s="194"/>
    </row>
    <row r="116" ht="14.25" customHeight="1">
      <c r="A116" s="186"/>
      <c r="B116" s="13">
        <v>1925528.0</v>
      </c>
      <c r="C116" s="14">
        <v>46033.90795138889</v>
      </c>
      <c r="D116" s="187" t="s">
        <v>97</v>
      </c>
      <c r="E116" s="188" t="s">
        <v>7328</v>
      </c>
      <c r="F116" s="200"/>
      <c r="G116" s="187" t="s">
        <v>7331</v>
      </c>
      <c r="H116" s="204"/>
      <c r="I116" s="204"/>
      <c r="J116" s="196" t="s">
        <v>6551</v>
      </c>
      <c r="K116" s="196"/>
      <c r="L116" s="192" t="str">
        <f>IFERROR(__xludf.DUMMYFUNCTION("IF(
  AND(D116=""Saída"", J116=""Sangria""),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197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94">
        <f>IFERROR(__xludf.DUMMYFUNCTION("ifna(VALUE(REGEXEXTRACT(E116,""[0-9.]+[,]+[0-9]+"")))"),1008.0)</f>
        <v>1008</v>
      </c>
      <c r="O116" s="235"/>
      <c r="P116" s="229"/>
      <c r="Q116" s="229"/>
      <c r="R116" s="237" t="str">
        <f t="shared" si="2"/>
        <v/>
      </c>
      <c r="S116" s="229" t="str">
        <f t="shared" si="3"/>
        <v/>
      </c>
      <c r="T116" s="227" t="str">
        <f t="shared" si="1"/>
        <v/>
      </c>
      <c r="U116" s="194"/>
      <c r="V116" s="194"/>
      <c r="W116" s="194"/>
    </row>
    <row r="117" ht="14.25" customHeight="1">
      <c r="A117" s="186"/>
      <c r="B117" s="13">
        <v>1928385.0</v>
      </c>
      <c r="C117" s="14">
        <v>46034.92922453704</v>
      </c>
      <c r="D117" s="187" t="s">
        <v>97</v>
      </c>
      <c r="E117" s="188" t="s">
        <v>650</v>
      </c>
      <c r="F117" s="241"/>
      <c r="G117" s="187" t="s">
        <v>7342</v>
      </c>
      <c r="H117" s="204"/>
      <c r="I117" s="204"/>
      <c r="J117" s="196" t="s">
        <v>6469</v>
      </c>
      <c r="K117" s="196"/>
      <c r="L117" s="192" t="str">
        <f>IFERROR(__xludf.DUMMYFUNCTION("IF(
  AND(D117=""Saída"", J117=""Sangria""),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198" t="str">
        <f>IFERROR(__xludf.DUMMYFUNCTION("IF(J117=""Compra de Mercadorias"",
   IF(
      COUNTIF(ARRAYFORMULA(TRIM(CLEAN(TO_TEXT(Notas!BS:BS)))), TRIM(CLEAN(TO_TEXT(#REF!)))) &gt; 0,
      ""Encontrada"",
      ""Não Encontrada""
   ),
"""")"),"")</f>
        <v/>
      </c>
      <c r="N117" s="194">
        <f>IFERROR(__xludf.DUMMYFUNCTION("ifna(VALUE(REGEXEXTRACT(E117,""[0-9.]+[,]+[0-9]+"")))"),78.0)</f>
        <v>78</v>
      </c>
      <c r="O117" s="238"/>
      <c r="P117" s="230"/>
      <c r="Q117" s="230"/>
      <c r="R117" s="240" t="str">
        <f t="shared" si="2"/>
        <v/>
      </c>
      <c r="S117" s="230" t="str">
        <f t="shared" si="3"/>
        <v/>
      </c>
      <c r="T117" s="242" t="str">
        <f t="shared" ref="T117:T138" si="4">IFERROR(VLOOKUP(Q117, $A$4:$B$18, 2, FALSE), "")</f>
        <v/>
      </c>
      <c r="U117" s="194"/>
      <c r="V117" s="194"/>
      <c r="W117" s="194"/>
    </row>
    <row r="118" ht="14.25" customHeight="1">
      <c r="A118" s="186"/>
      <c r="B118" s="13">
        <v>1929689.0</v>
      </c>
      <c r="C118" s="14">
        <v>46035.76526620371</v>
      </c>
      <c r="D118" s="13" t="s">
        <v>97</v>
      </c>
      <c r="E118" s="13" t="s">
        <v>650</v>
      </c>
      <c r="F118" s="200"/>
      <c r="G118" s="13" t="s">
        <v>7356</v>
      </c>
      <c r="H118" s="204"/>
      <c r="I118" s="204"/>
      <c r="J118" s="196" t="s">
        <v>6469</v>
      </c>
      <c r="K118" s="196"/>
      <c r="L118" s="192" t="str">
        <f>IFERROR(__xludf.DUMMYFUNCTION("IF(
  AND(D118=""Saída"", J118=""Sangria""),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197" t="str">
        <f>IFERROR(__xludf.DUMMYFUNCTION("IF(J118=""Compra de Mercadorias"",
   IF(
      COUNTIF(ARRAYFORMULA(TRIM(CLEAN(TO_TEXT(Notas!BS:BS)))), TRIM(CLEAN(TO_TEXT(B117)))) &gt; 0,
      ""Encontrada"",
      ""Não Encontrada""
   ),
"""")"),"")</f>
        <v/>
      </c>
      <c r="N118" s="194">
        <f>IFERROR(__xludf.DUMMYFUNCTION("ifna(VALUE(REGEXEXTRACT(E118,""[0-9.]+[,]+[0-9]+"")))"),78.0)</f>
        <v>78</v>
      </c>
      <c r="O118" s="235"/>
      <c r="P118" s="229"/>
      <c r="Q118" s="229"/>
      <c r="R118" s="237" t="str">
        <f t="shared" si="2"/>
        <v/>
      </c>
      <c r="S118" s="229" t="str">
        <f t="shared" si="3"/>
        <v/>
      </c>
      <c r="T118" s="242" t="str">
        <f t="shared" si="4"/>
        <v/>
      </c>
      <c r="U118" s="194"/>
      <c r="V118" s="194"/>
      <c r="W118" s="194"/>
    </row>
    <row r="119" ht="14.25" customHeight="1">
      <c r="A119" s="186"/>
      <c r="B119" s="13">
        <v>1931291.0</v>
      </c>
      <c r="C119" s="14">
        <v>46036.68770833333</v>
      </c>
      <c r="D119" s="187" t="s">
        <v>97</v>
      </c>
      <c r="E119" s="188" t="s">
        <v>6475</v>
      </c>
      <c r="F119" s="189"/>
      <c r="G119" s="187" t="s">
        <v>7368</v>
      </c>
      <c r="H119" s="204"/>
      <c r="I119" s="204"/>
      <c r="J119" s="196" t="s">
        <v>6446</v>
      </c>
      <c r="K119" s="196"/>
      <c r="L119" s="192" t="str">
        <f>IFERROR(__xludf.DUMMYFUNCTION("IF(
  AND(D119=""Saída"", J119=""Sangria""),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198" t="str">
        <f>IFERROR(__xludf.DUMMYFUNCTION("IF(J119=""Compra de Mercadorias"",
   IF(
      COUNTIF(ARRAYFORMULA(TRIM(CLEAN(TO_TEXT(Notas!BS:BS)))), TRIM(CLEAN(TO_TEXT(B119)))) &gt; 0,
      ""Encontrada"",
      ""Não Encontrada""
   ),
"""")"),"Encontrada")</f>
        <v>Encontrada</v>
      </c>
      <c r="N119" s="194">
        <f>IFERROR(__xludf.DUMMYFUNCTION("ifna(VALUE(REGEXEXTRACT(E119,""[0-9.]+[,]+[0-9]+"")))"),250.0)</f>
        <v>250</v>
      </c>
      <c r="O119" s="238"/>
      <c r="P119" s="230"/>
      <c r="Q119" s="230"/>
      <c r="R119" s="240" t="str">
        <f t="shared" si="2"/>
        <v/>
      </c>
      <c r="S119" s="230" t="str">
        <f t="shared" si="3"/>
        <v/>
      </c>
      <c r="T119" s="242" t="str">
        <f t="shared" si="4"/>
        <v/>
      </c>
      <c r="U119" s="194"/>
      <c r="V119" s="194"/>
      <c r="W119" s="194"/>
    </row>
    <row r="120" ht="14.25" customHeight="1">
      <c r="A120" s="186"/>
      <c r="B120" s="13">
        <v>1931325.0</v>
      </c>
      <c r="C120" s="14">
        <v>46036.69326388889</v>
      </c>
      <c r="D120" s="187" t="s">
        <v>97</v>
      </c>
      <c r="E120" s="188" t="s">
        <v>7378</v>
      </c>
      <c r="F120" s="189"/>
      <c r="G120" s="187" t="s">
        <v>7379</v>
      </c>
      <c r="H120" s="204"/>
      <c r="I120" s="204"/>
      <c r="J120" s="196" t="s">
        <v>6446</v>
      </c>
      <c r="K120" s="196"/>
      <c r="L120" s="192" t="str">
        <f>IFERROR(__xludf.DUMMYFUNCTION("IF(
  AND(D120=""Saída"", J120=""Sangria""),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197" t="str">
        <f>IFERROR(__xludf.DUMMYFUNCTION("IF(J120=""Compra de Mercadorias"",
   IF(
      COUNTIF(ARRAYFORMULA(TRIM(CLEAN(TO_TEXT(Notas!BS:BS)))), TRIM(CLEAN(TO_TEXT(B120)))) &gt; 0,
      ""Encontrada"",
      ""Não Encontrada""
   ),
"""")"),"Encontrada")</f>
        <v>Encontrada</v>
      </c>
      <c r="N120" s="194">
        <f>IFERROR(__xludf.DUMMYFUNCTION("ifna(VALUE(REGEXEXTRACT(E120,""[0-9.]+[,]+[0-9]+"")))"),27.6)</f>
        <v>27.6</v>
      </c>
      <c r="O120" s="235"/>
      <c r="P120" s="229"/>
      <c r="Q120" s="229"/>
      <c r="R120" s="237" t="str">
        <f t="shared" si="2"/>
        <v/>
      </c>
      <c r="S120" s="229" t="str">
        <f t="shared" si="3"/>
        <v/>
      </c>
      <c r="T120" s="242" t="str">
        <f t="shared" si="4"/>
        <v/>
      </c>
      <c r="U120" s="194"/>
      <c r="V120" s="194"/>
      <c r="W120" s="194"/>
    </row>
    <row r="121" ht="14.25" customHeight="1">
      <c r="A121" s="186"/>
      <c r="B121" s="13">
        <v>1931558.0</v>
      </c>
      <c r="C121" s="14">
        <v>46036.748020833336</v>
      </c>
      <c r="D121" s="187" t="s">
        <v>97</v>
      </c>
      <c r="E121" s="188" t="s">
        <v>7390</v>
      </c>
      <c r="F121" s="189"/>
      <c r="G121" s="187" t="s">
        <v>7392</v>
      </c>
      <c r="H121" s="204"/>
      <c r="I121" s="204"/>
      <c r="J121" s="196" t="s">
        <v>6446</v>
      </c>
      <c r="K121" s="196"/>
      <c r="L121" s="192" t="str">
        <f>IFERROR(__xludf.DUMMYFUNCTION("IF(
  AND(D121=""Saída"", J121=""Sangria""),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198" t="str">
        <f>IFERROR(__xludf.DUMMYFUNCTION("IF(J121=""Compra de Mercadorias"",
   IF(
      COUNTIF(ARRAYFORMULA(TRIM(CLEAN(TO_TEXT(Notas!BS:BS)))), TRIM(CLEAN(TO_TEXT(B121)))) &gt; 0,
      ""Encontrada"",
      ""Não Encontrada""
   ),
"""")"),"Encontrada")</f>
        <v>Encontrada</v>
      </c>
      <c r="N121" s="194">
        <f>IFERROR(__xludf.DUMMYFUNCTION("ifna(VALUE(REGEXEXTRACT(E121,""[0-9.]+[,]+[0-9]+"")))"),2.0)</f>
        <v>2</v>
      </c>
      <c r="O121" s="238"/>
      <c r="P121" s="230"/>
      <c r="Q121" s="230"/>
      <c r="R121" s="240" t="str">
        <f t="shared" si="2"/>
        <v/>
      </c>
      <c r="S121" s="230" t="str">
        <f t="shared" si="3"/>
        <v/>
      </c>
      <c r="T121" s="242" t="str">
        <f t="shared" si="4"/>
        <v/>
      </c>
      <c r="U121" s="194"/>
      <c r="V121" s="194"/>
      <c r="W121" s="194"/>
    </row>
    <row r="122" ht="14.25" customHeight="1">
      <c r="A122" s="186"/>
      <c r="B122" s="13">
        <v>1931559.0</v>
      </c>
      <c r="C122" s="14">
        <v>46036.7484837963</v>
      </c>
      <c r="D122" s="187" t="s">
        <v>97</v>
      </c>
      <c r="E122" s="188" t="s">
        <v>650</v>
      </c>
      <c r="F122" s="189"/>
      <c r="G122" s="187" t="s">
        <v>7402</v>
      </c>
      <c r="H122" s="204"/>
      <c r="I122" s="204"/>
      <c r="J122" s="196" t="s">
        <v>6469</v>
      </c>
      <c r="K122" s="196"/>
      <c r="L122" s="192" t="str">
        <f>IFERROR(__xludf.DUMMYFUNCTION("IF(
  AND(D122=""Saída"", J122=""Sangria""),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197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94">
        <f>IFERROR(__xludf.DUMMYFUNCTION("ifna(VALUE(REGEXEXTRACT(E122,""[0-9.]+[,]+[0-9]+"")))"),78.0)</f>
        <v>78</v>
      </c>
      <c r="O122" s="235"/>
      <c r="P122" s="229"/>
      <c r="Q122" s="229"/>
      <c r="R122" s="237" t="str">
        <f t="shared" si="2"/>
        <v/>
      </c>
      <c r="S122" s="229" t="str">
        <f t="shared" si="3"/>
        <v/>
      </c>
      <c r="T122" s="242" t="str">
        <f t="shared" si="4"/>
        <v/>
      </c>
      <c r="U122" s="194"/>
      <c r="V122" s="194"/>
      <c r="W122" s="194"/>
    </row>
    <row r="123" ht="14.25" customHeight="1">
      <c r="A123" s="186"/>
      <c r="B123" s="13">
        <v>1932059.0</v>
      </c>
      <c r="C123" s="14">
        <v>46036.88883101852</v>
      </c>
      <c r="D123" s="187" t="s">
        <v>97</v>
      </c>
      <c r="E123" s="188" t="s">
        <v>7202</v>
      </c>
      <c r="F123" s="189"/>
      <c r="G123" s="187" t="s">
        <v>7407</v>
      </c>
      <c r="H123" s="204"/>
      <c r="I123" s="204"/>
      <c r="J123" s="196" t="s">
        <v>6544</v>
      </c>
      <c r="K123" s="196" t="s">
        <v>6111</v>
      </c>
      <c r="L123" s="192" t="str">
        <f>IFERROR(__xludf.DUMMYFUNCTION("IF(
  AND(D123=""Saída"", J123=""Sangria""),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"),"Confirmada")</f>
        <v>Confirmada</v>
      </c>
      <c r="M123" s="198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94">
        <f>IFERROR(__xludf.DUMMYFUNCTION("ifna(VALUE(REGEXEXTRACT(E123,""[0-9.]+[,]+[0-9]+"")))"),1600.0)</f>
        <v>1600</v>
      </c>
      <c r="O123" s="238"/>
      <c r="P123" s="230"/>
      <c r="Q123" s="230"/>
      <c r="R123" s="240" t="str">
        <f t="shared" si="2"/>
        <v/>
      </c>
      <c r="S123" s="230" t="str">
        <f t="shared" si="3"/>
        <v/>
      </c>
      <c r="T123" s="242" t="str">
        <f t="shared" si="4"/>
        <v/>
      </c>
      <c r="U123" s="194"/>
      <c r="V123" s="194"/>
      <c r="W123" s="194"/>
    </row>
    <row r="124" ht="14.25" customHeight="1">
      <c r="A124" s="186"/>
      <c r="B124" s="13">
        <v>1933723.0</v>
      </c>
      <c r="C124" s="14">
        <v>46037.778703703705</v>
      </c>
      <c r="D124" s="187" t="s">
        <v>97</v>
      </c>
      <c r="E124" s="188" t="s">
        <v>650</v>
      </c>
      <c r="F124" s="200"/>
      <c r="G124" s="187" t="s">
        <v>7413</v>
      </c>
      <c r="H124" s="204"/>
      <c r="I124" s="204"/>
      <c r="J124" s="196" t="s">
        <v>6469</v>
      </c>
      <c r="K124" s="196"/>
      <c r="L124" s="192" t="str">
        <f>IFERROR(__xludf.DUMMYFUNCTION("IF(
  AND(D124=""Saída"", J124=""Sangria""),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197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94">
        <f>IFERROR(__xludf.DUMMYFUNCTION("ifna(VALUE(REGEXEXTRACT(E124,""[0-9.]+[,]+[0-9]+"")))"),78.0)</f>
        <v>78</v>
      </c>
      <c r="O124" s="235"/>
      <c r="P124" s="229"/>
      <c r="Q124" s="229"/>
      <c r="R124" s="237" t="str">
        <f t="shared" si="2"/>
        <v/>
      </c>
      <c r="S124" s="229" t="str">
        <f t="shared" si="3"/>
        <v/>
      </c>
      <c r="T124" s="242" t="str">
        <f t="shared" si="4"/>
        <v/>
      </c>
      <c r="U124" s="194"/>
      <c r="V124" s="194"/>
      <c r="W124" s="194"/>
    </row>
    <row r="125" ht="14.25" customHeight="1">
      <c r="A125" s="186"/>
      <c r="B125" s="13">
        <v>1934964.0</v>
      </c>
      <c r="C125" s="14">
        <v>46038.570555555554</v>
      </c>
      <c r="D125" s="187" t="s">
        <v>97</v>
      </c>
      <c r="E125" s="188" t="s">
        <v>7423</v>
      </c>
      <c r="F125" s="189"/>
      <c r="G125" s="187" t="s">
        <v>6953</v>
      </c>
      <c r="H125" s="204"/>
      <c r="I125" s="204"/>
      <c r="J125" s="196" t="s">
        <v>6446</v>
      </c>
      <c r="K125" s="196"/>
      <c r="L125" s="192" t="str">
        <f>IFERROR(__xludf.DUMMYFUNCTION("IF(
  AND(D125=""Saída"", J125=""Sangria""),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198" t="str">
        <f>IFERROR(__xludf.DUMMYFUNCTION("IF(J125=""Compra de Mercadorias"",
   IF(
      COUNTIF(ARRAYFORMULA(TRIM(CLEAN(TO_TEXT(Notas!BS:BS)))), TRIM(CLEAN(TO_TEXT(B125)))) &gt; 0,
      ""Encontrada"",
      ""Não Encontrada""
   ),
"""")"),"Encontrada")</f>
        <v>Encontrada</v>
      </c>
      <c r="N125" s="194">
        <f>IFERROR(__xludf.DUMMYFUNCTION("ifna(VALUE(REGEXEXTRACT(E125,""[0-9.]+[,]+[0-9]+"")))"),164.0)</f>
        <v>164</v>
      </c>
      <c r="O125" s="238"/>
      <c r="P125" s="230"/>
      <c r="Q125" s="230"/>
      <c r="R125" s="240" t="str">
        <f t="shared" si="2"/>
        <v/>
      </c>
      <c r="S125" s="230" t="str">
        <f t="shared" si="3"/>
        <v/>
      </c>
      <c r="T125" s="242" t="str">
        <f t="shared" si="4"/>
        <v/>
      </c>
      <c r="U125" s="194"/>
      <c r="V125" s="194"/>
      <c r="W125" s="194"/>
    </row>
    <row r="126" ht="14.25" customHeight="1">
      <c r="A126" s="186"/>
      <c r="B126" s="13">
        <v>1934992.0</v>
      </c>
      <c r="C126" s="14">
        <v>46038.58083333333</v>
      </c>
      <c r="D126" s="187" t="s">
        <v>97</v>
      </c>
      <c r="E126" s="188" t="s">
        <v>7434</v>
      </c>
      <c r="F126" s="189"/>
      <c r="G126" s="187" t="s">
        <v>7436</v>
      </c>
      <c r="H126" s="204"/>
      <c r="I126" s="204"/>
      <c r="J126" s="196" t="s">
        <v>6446</v>
      </c>
      <c r="K126" s="196"/>
      <c r="L126" s="192" t="str">
        <f>IFERROR(__xludf.DUMMYFUNCTION("IF(
  AND(D126=""Saída"", J126=""Sangria""),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197" t="str">
        <f>IFERROR(__xludf.DUMMYFUNCTION("IF(J126=""Compra de Mercadorias"",
   IF(
      COUNTIF(ARRAYFORMULA(TRIM(CLEAN(TO_TEXT(Notas!BS:BS)))), TRIM(CLEAN(TO_TEXT(B126)))) &gt; 0,
      ""Encontrada"",
      ""Não Encontrada""
   ),
"""")"),"Encontrada")</f>
        <v>Encontrada</v>
      </c>
      <c r="N126" s="194">
        <f>IFERROR(__xludf.DUMMYFUNCTION("ifna(VALUE(REGEXEXTRACT(E126,""[0-9.]+[,]+[0-9]+"")))"),204.19)</f>
        <v>204.19</v>
      </c>
      <c r="O126" s="235"/>
      <c r="P126" s="229"/>
      <c r="Q126" s="229"/>
      <c r="R126" s="237" t="str">
        <f t="shared" si="2"/>
        <v/>
      </c>
      <c r="S126" s="229" t="str">
        <f t="shared" si="3"/>
        <v/>
      </c>
      <c r="T126" s="242" t="str">
        <f t="shared" si="4"/>
        <v/>
      </c>
      <c r="U126" s="194"/>
      <c r="V126" s="194"/>
      <c r="W126" s="194"/>
    </row>
    <row r="127" ht="14.25" customHeight="1">
      <c r="A127" s="186"/>
      <c r="B127" s="13">
        <v>1935287.0</v>
      </c>
      <c r="C127" s="14">
        <v>46038.66486111111</v>
      </c>
      <c r="D127" s="187" t="s">
        <v>97</v>
      </c>
      <c r="E127" s="188" t="s">
        <v>7441</v>
      </c>
      <c r="F127" s="189"/>
      <c r="G127" s="187" t="s">
        <v>7442</v>
      </c>
      <c r="H127" s="204"/>
      <c r="I127" s="204"/>
      <c r="J127" s="196" t="s">
        <v>6446</v>
      </c>
      <c r="K127" s="196"/>
      <c r="L127" s="192" t="str">
        <f>IFERROR(__xludf.DUMMYFUNCTION("IF(
  AND(D127=""Saída"", J127=""Sangria""),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198" t="str">
        <f>IFERROR(__xludf.DUMMYFUNCTION("IF(J127=""Compra de Mercadorias"",
   IF(
      COUNTIF(ARRAYFORMULA(TRIM(CLEAN(TO_TEXT(Notas!BS:BS)))), TRIM(CLEAN(TO_TEXT(B127)))) &gt; 0,
      ""Encontrada"",
      ""Não Encontrada""
   ),
"""")"),"Encontrada")</f>
        <v>Encontrada</v>
      </c>
      <c r="N127" s="194">
        <f>IFERROR(__xludf.DUMMYFUNCTION("ifna(VALUE(REGEXEXTRACT(E127,""[0-9.]+[,]+[0-9]+"")))"),285.0)</f>
        <v>285</v>
      </c>
      <c r="O127" s="238"/>
      <c r="P127" s="230"/>
      <c r="Q127" s="230"/>
      <c r="R127" s="240" t="str">
        <f t="shared" si="2"/>
        <v/>
      </c>
      <c r="S127" s="230" t="str">
        <f t="shared" si="3"/>
        <v/>
      </c>
      <c r="T127" s="242" t="str">
        <f t="shared" si="4"/>
        <v/>
      </c>
      <c r="U127" s="194"/>
      <c r="V127" s="194"/>
      <c r="W127" s="194"/>
    </row>
    <row r="128" ht="14.25" customHeight="1">
      <c r="A128" s="186"/>
      <c r="B128" s="13">
        <v>1935438.0</v>
      </c>
      <c r="C128" s="14">
        <v>46038.692083333335</v>
      </c>
      <c r="D128" s="187" t="s">
        <v>97</v>
      </c>
      <c r="E128" s="188" t="s">
        <v>7058</v>
      </c>
      <c r="F128" s="189"/>
      <c r="G128" s="187" t="s">
        <v>7059</v>
      </c>
      <c r="H128" s="204"/>
      <c r="I128" s="204"/>
      <c r="J128" s="196" t="s">
        <v>6446</v>
      </c>
      <c r="K128" s="196"/>
      <c r="L128" s="192" t="str">
        <f>IFERROR(__xludf.DUMMYFUNCTION("IF(
  AND(D128=""Saída"", J128=""Sangria""),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197" t="str">
        <f>IFERROR(__xludf.DUMMYFUNCTION("IF(J128=""Compra de Mercadorias"",
   IF(
      COUNTIF(ARRAYFORMULA(TRIM(CLEAN(TO_TEXT(Notas!BS:BS)))), TRIM(CLEAN(TO_TEXT(B128)))) &gt; 0,
      ""Encontrada"",
      ""Não Encontrada""
   ),
"""")"),"Encontrada")</f>
        <v>Encontrada</v>
      </c>
      <c r="N128" s="194">
        <f>IFERROR(__xludf.DUMMYFUNCTION("ifna(VALUE(REGEXEXTRACT(E128,""[0-9.]+[,]+[0-9]+"")))"),375.0)</f>
        <v>375</v>
      </c>
      <c r="O128" s="235"/>
      <c r="P128" s="229"/>
      <c r="Q128" s="229"/>
      <c r="R128" s="237" t="str">
        <f t="shared" si="2"/>
        <v/>
      </c>
      <c r="S128" s="229" t="str">
        <f t="shared" si="3"/>
        <v/>
      </c>
      <c r="T128" s="242" t="str">
        <f t="shared" si="4"/>
        <v/>
      </c>
      <c r="U128" s="194"/>
      <c r="V128" s="194"/>
      <c r="W128" s="194"/>
    </row>
    <row r="129" ht="14.25" customHeight="1">
      <c r="A129" s="186"/>
      <c r="B129" s="13">
        <v>1935674.0</v>
      </c>
      <c r="C129" s="14">
        <v>46038.73719907407</v>
      </c>
      <c r="D129" s="187" t="s">
        <v>97</v>
      </c>
      <c r="E129" s="188" t="s">
        <v>650</v>
      </c>
      <c r="F129" s="189"/>
      <c r="G129" s="187" t="s">
        <v>7449</v>
      </c>
      <c r="H129" s="204"/>
      <c r="I129" s="204"/>
      <c r="J129" s="196" t="s">
        <v>6469</v>
      </c>
      <c r="K129" s="196"/>
      <c r="L129" s="192" t="str">
        <f>IFERROR(__xludf.DUMMYFUNCTION("IF(
  AND(D129=""Saída"", J129=""Sangria""),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198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94">
        <f>IFERROR(__xludf.DUMMYFUNCTION("ifna(VALUE(REGEXEXTRACT(E129,""[0-9.]+[,]+[0-9]+"")))"),78.0)</f>
        <v>78</v>
      </c>
      <c r="O129" s="238"/>
      <c r="P129" s="230"/>
      <c r="Q129" s="230"/>
      <c r="R129" s="240" t="str">
        <f t="shared" si="2"/>
        <v/>
      </c>
      <c r="S129" s="230" t="str">
        <f t="shared" si="3"/>
        <v/>
      </c>
      <c r="T129" s="242" t="str">
        <f t="shared" si="4"/>
        <v/>
      </c>
      <c r="U129" s="194"/>
      <c r="V129" s="194"/>
      <c r="W129" s="194"/>
    </row>
    <row r="130" ht="14.25" customHeight="1">
      <c r="A130" s="186"/>
      <c r="B130" s="13">
        <v>1937233.0</v>
      </c>
      <c r="C130" s="14">
        <v>46039.58494212963</v>
      </c>
      <c r="D130" s="187" t="s">
        <v>97</v>
      </c>
      <c r="E130" s="188" t="s">
        <v>7461</v>
      </c>
      <c r="F130" s="189"/>
      <c r="G130" s="187" t="s">
        <v>7463</v>
      </c>
      <c r="H130" s="204"/>
      <c r="I130" s="204"/>
      <c r="J130" s="196" t="s">
        <v>6446</v>
      </c>
      <c r="K130" s="196"/>
      <c r="L130" s="192" t="str">
        <f>IFERROR(__xludf.DUMMYFUNCTION("IF(
  AND(D130=""Saída"", J130=""Sangria""),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197" t="str">
        <f>IFERROR(__xludf.DUMMYFUNCTION("IF(J130=""Compra de Mercadorias"",
   IF(
      COUNTIF(ARRAYFORMULA(TRIM(CLEAN(TO_TEXT(Notas!BS:BS)))), TRIM(CLEAN(TO_TEXT(B130)))) &gt; 0,
      ""Encontrada"",
      ""Não Encontrada""
   ),
"""")"),"Encontrada")</f>
        <v>Encontrada</v>
      </c>
      <c r="N130" s="194">
        <f>IFERROR(__xludf.DUMMYFUNCTION("ifna(VALUE(REGEXEXTRACT(E130,""[0-9.]+[,]+[0-9]+"")))"),62.54)</f>
        <v>62.54</v>
      </c>
      <c r="O130" s="235"/>
      <c r="P130" s="229"/>
      <c r="Q130" s="229"/>
      <c r="R130" s="237" t="str">
        <f t="shared" si="2"/>
        <v/>
      </c>
      <c r="S130" s="229" t="str">
        <f t="shared" si="3"/>
        <v/>
      </c>
      <c r="T130" s="242" t="str">
        <f t="shared" si="4"/>
        <v/>
      </c>
      <c r="U130" s="194"/>
      <c r="V130" s="194"/>
      <c r="W130" s="194"/>
    </row>
    <row r="131" ht="14.25" customHeight="1">
      <c r="A131" s="186"/>
      <c r="B131" s="13">
        <v>1938258.0</v>
      </c>
      <c r="C131" s="14">
        <v>46039.820925925924</v>
      </c>
      <c r="D131" s="187" t="s">
        <v>97</v>
      </c>
      <c r="E131" s="188" t="s">
        <v>7300</v>
      </c>
      <c r="F131" s="189"/>
      <c r="G131" s="187" t="s">
        <v>7475</v>
      </c>
      <c r="H131" s="204"/>
      <c r="I131" s="204"/>
      <c r="J131" s="196" t="s">
        <v>6469</v>
      </c>
      <c r="K131" s="196"/>
      <c r="L131" s="192" t="str">
        <f>IFERROR(__xludf.DUMMYFUNCTION("IF(
  AND(D131=""Saída"", J131=""Sangria""),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198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94">
        <f>IFERROR(__xludf.DUMMYFUNCTION("ifna(VALUE(REGEXEXTRACT(E131,""[0-9.]+[,]+[0-9]+"")))"),45.0)</f>
        <v>45</v>
      </c>
      <c r="O131" s="238"/>
      <c r="P131" s="230"/>
      <c r="Q131" s="230"/>
      <c r="R131" s="240" t="str">
        <f t="shared" si="2"/>
        <v/>
      </c>
      <c r="S131" s="230" t="str">
        <f t="shared" si="3"/>
        <v/>
      </c>
      <c r="T131" s="242" t="str">
        <f t="shared" si="4"/>
        <v/>
      </c>
      <c r="U131" s="194"/>
      <c r="V131" s="194"/>
      <c r="W131" s="194"/>
    </row>
    <row r="132" ht="14.25" customHeight="1">
      <c r="A132" s="186"/>
      <c r="B132" s="13">
        <v>1938263.0</v>
      </c>
      <c r="C132" s="14">
        <v>46039.82175925926</v>
      </c>
      <c r="D132" s="187" t="s">
        <v>97</v>
      </c>
      <c r="E132" s="188" t="s">
        <v>532</v>
      </c>
      <c r="F132" s="189"/>
      <c r="G132" s="187" t="s">
        <v>7486</v>
      </c>
      <c r="H132" s="204"/>
      <c r="I132" s="204"/>
      <c r="J132" s="196" t="s">
        <v>6469</v>
      </c>
      <c r="K132" s="196"/>
      <c r="L132" s="192" t="str">
        <f>IFERROR(__xludf.DUMMYFUNCTION("IF(
  AND(D132=""Saída"", J132=""Sangria""),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197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94">
        <f>IFERROR(__xludf.DUMMYFUNCTION("ifna(VALUE(REGEXEXTRACT(E132,""[0-9.]+[,]+[0-9]+"")))"),65.0)</f>
        <v>65</v>
      </c>
      <c r="O132" s="235"/>
      <c r="P132" s="229"/>
      <c r="Q132" s="229"/>
      <c r="R132" s="237" t="str">
        <f t="shared" si="2"/>
        <v/>
      </c>
      <c r="S132" s="229" t="str">
        <f t="shared" si="3"/>
        <v/>
      </c>
      <c r="T132" s="242" t="str">
        <f t="shared" si="4"/>
        <v/>
      </c>
      <c r="U132" s="194"/>
      <c r="V132" s="194"/>
      <c r="W132" s="194"/>
    </row>
    <row r="133" ht="14.25" customHeight="1">
      <c r="A133" s="186"/>
      <c r="B133" s="13">
        <v>1938679.0</v>
      </c>
      <c r="C133" s="14">
        <v>46039.8959375</v>
      </c>
      <c r="D133" s="187" t="s">
        <v>97</v>
      </c>
      <c r="E133" s="188" t="s">
        <v>7499</v>
      </c>
      <c r="F133" s="189"/>
      <c r="G133" s="187" t="s">
        <v>858</v>
      </c>
      <c r="H133" s="204"/>
      <c r="I133" s="204"/>
      <c r="J133" s="196" t="s">
        <v>6544</v>
      </c>
      <c r="K133" s="196" t="s">
        <v>5991</v>
      </c>
      <c r="L133" s="192" t="str">
        <f>IFERROR(__xludf.DUMMYFUNCTION("IF(
  AND(D133=""Saída"", J133=""Sangria""),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"),"Confirmada")</f>
        <v>Confirmada</v>
      </c>
      <c r="M133" s="198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94">
        <f>IFERROR(__xludf.DUMMYFUNCTION("ifna(VALUE(REGEXEXTRACT(E133,""[0-9.]+[,]+[0-9]+"")))"),1700.0)</f>
        <v>1700</v>
      </c>
      <c r="O133" s="243"/>
      <c r="P133" s="244"/>
      <c r="Q133" s="244"/>
      <c r="R133" s="245" t="str">
        <f t="shared" si="2"/>
        <v/>
      </c>
      <c r="S133" s="244" t="str">
        <f t="shared" si="3"/>
        <v/>
      </c>
      <c r="T133" s="242" t="str">
        <f t="shared" si="4"/>
        <v/>
      </c>
      <c r="U133" s="194"/>
      <c r="V133" s="194"/>
      <c r="W133" s="194"/>
    </row>
    <row r="134" ht="14.25" customHeight="1">
      <c r="A134" s="186"/>
      <c r="B134" s="13">
        <v>1938700.0</v>
      </c>
      <c r="C134" s="14">
        <v>46039.898414351854</v>
      </c>
      <c r="D134" s="187" t="s">
        <v>97</v>
      </c>
      <c r="E134" s="188" t="s">
        <v>6561</v>
      </c>
      <c r="F134" s="200"/>
      <c r="G134" s="187" t="s">
        <v>7506</v>
      </c>
      <c r="H134" s="204"/>
      <c r="I134" s="204"/>
      <c r="J134" s="196" t="s">
        <v>6469</v>
      </c>
      <c r="K134" s="196"/>
      <c r="L134" s="192" t="str">
        <f>IFERROR(__xludf.DUMMYFUNCTION("IF(
  AND(D134=""Saída"", J134=""Sangria""),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197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94">
        <f>IFERROR(__xludf.DUMMYFUNCTION("ifna(VALUE(REGEXEXTRACT(E134,""[0-9.]+[,]+[0-9]+"")))"),123.0)</f>
        <v>123</v>
      </c>
      <c r="O134" s="243"/>
      <c r="P134" s="244"/>
      <c r="Q134" s="244"/>
      <c r="R134" s="245" t="str">
        <f t="shared" si="2"/>
        <v/>
      </c>
      <c r="S134" s="244" t="str">
        <f t="shared" si="3"/>
        <v/>
      </c>
      <c r="T134" s="242" t="str">
        <f t="shared" si="4"/>
        <v/>
      </c>
      <c r="U134" s="194"/>
      <c r="V134" s="194"/>
      <c r="W134" s="194"/>
    </row>
    <row r="135" ht="14.25" customHeight="1">
      <c r="A135" s="186"/>
      <c r="B135" s="13">
        <v>1941121.0</v>
      </c>
      <c r="C135" s="14">
        <v>46040.8683912037</v>
      </c>
      <c r="D135" s="187" t="s">
        <v>97</v>
      </c>
      <c r="E135" s="188" t="s">
        <v>6561</v>
      </c>
      <c r="F135" s="189"/>
      <c r="G135" s="187" t="s">
        <v>7512</v>
      </c>
      <c r="H135" s="204"/>
      <c r="I135" s="204"/>
      <c r="J135" s="196" t="s">
        <v>6469</v>
      </c>
      <c r="K135" s="196"/>
      <c r="L135" s="192" t="str">
        <f>IFERROR(__xludf.DUMMYFUNCTION("IF(
  AND(D135=""Saída"", J135=""Sangria""),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198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94">
        <f>IFERROR(__xludf.DUMMYFUNCTION("ifna(VALUE(REGEXEXTRACT(E135,""[0-9.]+[,]+[0-9]+"")))"),123.0)</f>
        <v>123</v>
      </c>
      <c r="O135" s="243"/>
      <c r="P135" s="244"/>
      <c r="Q135" s="244"/>
      <c r="R135" s="245" t="str">
        <f t="shared" si="2"/>
        <v/>
      </c>
      <c r="S135" s="244" t="str">
        <f t="shared" si="3"/>
        <v/>
      </c>
      <c r="T135" s="242" t="str">
        <f t="shared" si="4"/>
        <v/>
      </c>
      <c r="U135" s="194"/>
      <c r="V135" s="194"/>
      <c r="W135" s="194"/>
    </row>
    <row r="136" ht="14.25" customHeight="1">
      <c r="A136" s="186"/>
      <c r="B136" s="13">
        <v>1941180.0</v>
      </c>
      <c r="C136" s="14">
        <v>46040.87503472222</v>
      </c>
      <c r="D136" s="187" t="s">
        <v>97</v>
      </c>
      <c r="E136" s="188" t="s">
        <v>1164</v>
      </c>
      <c r="F136" s="189"/>
      <c r="G136" s="187" t="s">
        <v>7519</v>
      </c>
      <c r="H136" s="204"/>
      <c r="I136" s="204"/>
      <c r="J136" s="196" t="s">
        <v>6300</v>
      </c>
      <c r="K136" s="196"/>
      <c r="L136" s="192" t="str">
        <f>IFERROR(__xludf.DUMMYFUNCTION("IF(
  AND(D136=""Saída"", J136=""Sangria""),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197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94">
        <f>IFERROR(__xludf.DUMMYFUNCTION("ifna(VALUE(REGEXEXTRACT(E136,""[0-9.]+[,]+[0-9]+"")))"),20.0)</f>
        <v>20</v>
      </c>
      <c r="O136" s="243"/>
      <c r="P136" s="244"/>
      <c r="Q136" s="244"/>
      <c r="R136" s="245" t="str">
        <f t="shared" si="2"/>
        <v/>
      </c>
      <c r="S136" s="244" t="str">
        <f t="shared" si="3"/>
        <v/>
      </c>
      <c r="T136" s="242" t="str">
        <f t="shared" si="4"/>
        <v/>
      </c>
      <c r="U136" s="194"/>
      <c r="V136" s="194"/>
      <c r="W136" s="194"/>
    </row>
    <row r="137" ht="14.25" customHeight="1">
      <c r="A137" s="186"/>
      <c r="B137" s="13">
        <v>1941201.0</v>
      </c>
      <c r="C137" s="14">
        <v>46040.877175925925</v>
      </c>
      <c r="D137" s="187" t="s">
        <v>97</v>
      </c>
      <c r="E137" s="188" t="s">
        <v>1071</v>
      </c>
      <c r="F137" s="189"/>
      <c r="G137" s="187" t="s">
        <v>7527</v>
      </c>
      <c r="H137" s="204"/>
      <c r="I137" s="204"/>
      <c r="J137" s="196" t="s">
        <v>6469</v>
      </c>
      <c r="K137" s="196"/>
      <c r="L137" s="192" t="str">
        <f>IFERROR(__xludf.DUMMYFUNCTION("IF(
  AND(D137=""Saída"", J137=""Sangria""),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198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94">
        <f>IFERROR(__xludf.DUMMYFUNCTION("ifna(VALUE(REGEXEXTRACT(E137,""[0-9.]+[,]+[0-9]+"")))"),110.0)</f>
        <v>110</v>
      </c>
      <c r="O137" s="243"/>
      <c r="P137" s="244"/>
      <c r="Q137" s="244"/>
      <c r="R137" s="245" t="str">
        <f t="shared" si="2"/>
        <v/>
      </c>
      <c r="S137" s="244" t="str">
        <f t="shared" si="3"/>
        <v/>
      </c>
      <c r="T137" s="242" t="str">
        <f t="shared" si="4"/>
        <v/>
      </c>
      <c r="U137" s="194"/>
      <c r="V137" s="194"/>
      <c r="W137" s="194"/>
    </row>
    <row r="138" ht="14.25" customHeight="1">
      <c r="A138" s="186"/>
      <c r="B138" s="13">
        <v>1941212.0</v>
      </c>
      <c r="C138" s="14">
        <v>46040.87835648148</v>
      </c>
      <c r="D138" s="187" t="s">
        <v>97</v>
      </c>
      <c r="E138" s="188" t="s">
        <v>556</v>
      </c>
      <c r="F138" s="189"/>
      <c r="G138" s="187" t="s">
        <v>7537</v>
      </c>
      <c r="H138" s="204"/>
      <c r="I138" s="204"/>
      <c r="J138" s="196" t="s">
        <v>6469</v>
      </c>
      <c r="K138" s="196"/>
      <c r="L138" s="192" t="str">
        <f>IFERROR(__xludf.DUMMYFUNCTION("IF(
  AND(D138=""Saída"", J138=""Sangria""),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197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94">
        <f>IFERROR(__xludf.DUMMYFUNCTION("ifna(VALUE(REGEXEXTRACT(E138,""[0-9.]+[,]+[0-9]+"")))"),104.0)</f>
        <v>104</v>
      </c>
      <c r="O138" s="246"/>
      <c r="P138" s="247"/>
      <c r="Q138" s="247"/>
      <c r="R138" s="248" t="str">
        <f t="shared" si="2"/>
        <v/>
      </c>
      <c r="S138" s="247" t="str">
        <f t="shared" si="3"/>
        <v/>
      </c>
      <c r="T138" s="249" t="str">
        <f t="shared" si="4"/>
        <v/>
      </c>
      <c r="U138" s="194"/>
      <c r="V138" s="194"/>
      <c r="W138" s="194"/>
    </row>
    <row r="139" ht="14.25" customHeight="1">
      <c r="A139" s="186"/>
      <c r="B139" s="13">
        <v>1941417.0</v>
      </c>
      <c r="C139" s="14">
        <v>46040.901504629626</v>
      </c>
      <c r="D139" s="187" t="s">
        <v>97</v>
      </c>
      <c r="E139" s="188" t="s">
        <v>7548</v>
      </c>
      <c r="F139" s="189"/>
      <c r="G139" s="187" t="s">
        <v>7550</v>
      </c>
      <c r="H139" s="204"/>
      <c r="I139" s="204"/>
      <c r="J139" s="196" t="s">
        <v>6551</v>
      </c>
      <c r="K139" s="196"/>
      <c r="L139" s="192" t="str">
        <f>IFERROR(__xludf.DUMMYFUNCTION("IF(
  AND(D139=""Saída"", J139=""Sangria""),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198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94">
        <f>IFERROR(__xludf.DUMMYFUNCTION("ifna(VALUE(REGEXEXTRACT(E139,""[0-9.]+[,]+[0-9]+"")))"),924.0)</f>
        <v>924</v>
      </c>
      <c r="O139" s="194"/>
      <c r="P139" s="194"/>
      <c r="Q139" s="194"/>
      <c r="R139" s="194"/>
      <c r="S139" s="194"/>
      <c r="T139" s="194"/>
      <c r="U139" s="194"/>
      <c r="V139" s="194"/>
      <c r="W139" s="194"/>
    </row>
    <row r="140" ht="14.25" customHeight="1">
      <c r="A140" s="186"/>
      <c r="B140" s="13">
        <v>1941465.0</v>
      </c>
      <c r="C140" s="14">
        <v>46040.905694444446</v>
      </c>
      <c r="D140" s="187" t="s">
        <v>97</v>
      </c>
      <c r="E140" s="188" t="s">
        <v>462</v>
      </c>
      <c r="F140" s="200"/>
      <c r="G140" s="187" t="s">
        <v>7557</v>
      </c>
      <c r="H140" s="204"/>
      <c r="I140" s="204"/>
      <c r="J140" s="196" t="s">
        <v>6544</v>
      </c>
      <c r="K140" s="196" t="s">
        <v>5991</v>
      </c>
      <c r="L140" s="192" t="str">
        <f>IFERROR(__xludf.DUMMYFUNCTION("IF(
  AND(D140=""Saída"", J140=""Sangria""),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"),"Confirmada")</f>
        <v>Confirmada</v>
      </c>
      <c r="M140" s="197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94">
        <f>IFERROR(__xludf.DUMMYFUNCTION("ifna(VALUE(REGEXEXTRACT(E140,""[0-9.]+[,]+[0-9]+"")))"),700.0)</f>
        <v>700</v>
      </c>
      <c r="O140" s="250" t="s">
        <v>7561</v>
      </c>
      <c r="W140" s="194"/>
    </row>
    <row r="141" ht="14.25" customHeight="1">
      <c r="A141" s="186"/>
      <c r="B141" s="13">
        <v>1943356.0</v>
      </c>
      <c r="C141" s="14">
        <v>46041.75900462963</v>
      </c>
      <c r="D141" s="187" t="s">
        <v>97</v>
      </c>
      <c r="E141" s="188" t="s">
        <v>7283</v>
      </c>
      <c r="F141" s="189"/>
      <c r="G141" s="187" t="s">
        <v>7569</v>
      </c>
      <c r="H141" s="204"/>
      <c r="I141" s="204"/>
      <c r="J141" s="196" t="s">
        <v>6469</v>
      </c>
      <c r="K141" s="196"/>
      <c r="L141" s="192" t="str">
        <f>IFERROR(__xludf.DUMMYFUNCTION("IF(
  AND(D141=""Saída"", J141=""Sangria""),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198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94">
        <f>IFERROR(__xludf.DUMMYFUNCTION("ifna(VALUE(REGEXEXTRACT(E141,""[0-9.]+[,]+[0-9]+"")))"),71.0)</f>
        <v>71</v>
      </c>
      <c r="O141" s="251" t="str">
        <f>IFERROR(__xludf.DUMMYFUNCTION("QUERY(B28:M507,""Select B,C,D,E,G,H,I,M where M = 'Não Encontrada'"",1)"),"ID")</f>
        <v>ID</v>
      </c>
      <c r="P141" s="251" t="str">
        <f>IFERROR(__xludf.DUMMYFUNCTION("""COMPUTED_VALUE"""),"Data")</f>
        <v>Data</v>
      </c>
      <c r="Q141" s="251" t="str">
        <f>IFERROR(__xludf.DUMMYFUNCTION("""COMPUTED_VALUE"""),"Entrada/Saída")</f>
        <v>Entrada/Saída</v>
      </c>
      <c r="R141" s="252" t="str">
        <f>IFERROR(__xludf.DUMMYFUNCTION("""COMPUTED_VALUE"""),"Valor ")</f>
        <v>Valor </v>
      </c>
      <c r="S141" s="251" t="str">
        <f>IFERROR(__xludf.DUMMYFUNCTION("""COMPUTED_VALUE"""),"Descrição")</f>
        <v>Descrição</v>
      </c>
      <c r="V141" s="253" t="str">
        <f>IFERROR(__xludf.DUMMYFUNCTION("""COMPUTED_VALUE"""),"Nota")</f>
        <v>Nota</v>
      </c>
      <c r="W141" s="194"/>
    </row>
    <row r="142" ht="14.25" customHeight="1">
      <c r="A142" s="186"/>
      <c r="B142" s="13">
        <v>1943811.0</v>
      </c>
      <c r="C142" s="14">
        <v>46041.89351851852</v>
      </c>
      <c r="D142" s="187" t="s">
        <v>97</v>
      </c>
      <c r="E142" s="188" t="s">
        <v>7582</v>
      </c>
      <c r="F142" s="189"/>
      <c r="G142" s="187" t="s">
        <v>7585</v>
      </c>
      <c r="H142" s="204"/>
      <c r="I142" s="204"/>
      <c r="J142" s="196" t="s">
        <v>6446</v>
      </c>
      <c r="K142" s="196"/>
      <c r="L142" s="192" t="str">
        <f>IFERROR(__xludf.DUMMYFUNCTION("IF(
  AND(D142=""Saída"", J142=""Sangria""),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197" t="str">
        <f>IFERROR(__xludf.DUMMYFUNCTION("IF(J142=""Compra de Mercadorias"",
   IF(
      COUNTIF(ARRAYFORMULA(TRIM(CLEAN(TO_TEXT(Notas!BS:BS)))), TRIM(CLEAN(TO_TEXT(B142)))) &gt; 0,
      ""Encontrada"",
      ""Não Encontrada""
   ),
"""")"),"Encontrada")</f>
        <v>Encontrada</v>
      </c>
      <c r="N142" s="194">
        <f>IFERROR(__xludf.DUMMYFUNCTION("ifna(VALUE(REGEXEXTRACT(E142,""[0-9.]+[,]+[0-9]+"")))"),176.6)</f>
        <v>176.6</v>
      </c>
      <c r="O142" s="254">
        <f>IFERROR(__xludf.DUMMYFUNCTION("""COMPUTED_VALUE"""),1912744.0)</f>
        <v>1912744</v>
      </c>
      <c r="P142" s="255">
        <f>IFERROR(__xludf.DUMMYFUNCTION("""COMPUTED_VALUE"""),46028.71680555555)</f>
        <v>46028.71681</v>
      </c>
      <c r="Q142" s="254" t="str">
        <f>IFERROR(__xludf.DUMMYFUNCTION("""COMPUTED_VALUE"""),"Saída")</f>
        <v>Saída</v>
      </c>
      <c r="R142" s="256" t="str">
        <f>IFERROR(__xludf.DUMMYFUNCTION("""COMPUTED_VALUE"""),"R$ 49,99")</f>
        <v>R$ 49,99</v>
      </c>
      <c r="S142" s="257" t="str">
        <f>IFERROR(__xludf.DUMMYFUNCTION("""COMPUTED_VALUE"""),"Pagamento Mari, referente à sobra de dinheiro do dia anterior (05/01/26) que não foi pago a ela aos ID's (1910709) e (1910738)")</f>
        <v>Pagamento Mari, referente à sobra de dinheiro do dia anterior (05/01/26) que não foi pago a ela aos ID's (1910709) e (1910738)</v>
      </c>
      <c r="V142" s="254" t="str">
        <f>IFERROR(__xludf.DUMMYFUNCTION("""COMPUTED_VALUE"""),"Não Encontrada")</f>
        <v>Não Encontrada</v>
      </c>
      <c r="W142" s="194"/>
    </row>
    <row r="143" ht="14.25" customHeight="1">
      <c r="A143" s="186"/>
      <c r="B143" s="13">
        <v>1945308.0</v>
      </c>
      <c r="C143" s="14">
        <v>46042.773877314816</v>
      </c>
      <c r="D143" s="187" t="s">
        <v>97</v>
      </c>
      <c r="E143" s="188" t="s">
        <v>7283</v>
      </c>
      <c r="F143" s="200"/>
      <c r="G143" s="187" t="s">
        <v>7601</v>
      </c>
      <c r="H143" s="204"/>
      <c r="I143" s="204"/>
      <c r="J143" s="196" t="s">
        <v>6469</v>
      </c>
      <c r="K143" s="196"/>
      <c r="L143" s="192" t="str">
        <f>IFERROR(__xludf.DUMMYFUNCTION("IF(
  AND(D143=""Saída"", J143=""Sangria""),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198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94">
        <f>IFERROR(__xludf.DUMMYFUNCTION("ifna(VALUE(REGEXEXTRACT(E143,""[0-9.]+[,]+[0-9]+"")))"),71.0)</f>
        <v>71</v>
      </c>
      <c r="O143" s="258">
        <f>IFERROR(__xludf.DUMMYFUNCTION("""COMPUTED_VALUE"""),1950361.0)</f>
        <v>1950361</v>
      </c>
      <c r="P143" s="259">
        <f>IFERROR(__xludf.DUMMYFUNCTION("""COMPUTED_VALUE"""),46045.687997685185)</f>
        <v>46045.688</v>
      </c>
      <c r="Q143" s="258" t="str">
        <f>IFERROR(__xludf.DUMMYFUNCTION("""COMPUTED_VALUE"""),"Saída")</f>
        <v>Saída</v>
      </c>
      <c r="R143" s="260" t="str">
        <f>IFERROR(__xludf.DUMMYFUNCTION("""COMPUTED_VALUE"""),"R$ 200,00")</f>
        <v>R$ 200,00</v>
      </c>
      <c r="S143" s="258" t="str">
        <f>IFERROR(__xludf.DUMMYFUNCTION("""COMPUTED_VALUE"""),"pago gasolina para (DANIEL PATRAO )")</f>
        <v>pago gasolina para (DANIEL PATRAO )</v>
      </c>
      <c r="V143" s="258" t="str">
        <f>IFERROR(__xludf.DUMMYFUNCTION("""COMPUTED_VALUE"""),"Não Encontrada")</f>
        <v>Não Encontrada</v>
      </c>
      <c r="W143" s="194"/>
    </row>
    <row r="144" ht="14.25" customHeight="1">
      <c r="A144" s="186"/>
      <c r="B144" s="13">
        <v>1946820.0</v>
      </c>
      <c r="C144" s="14">
        <v>46043.69556712963</v>
      </c>
      <c r="D144" s="187" t="s">
        <v>97</v>
      </c>
      <c r="E144" s="188" t="s">
        <v>233</v>
      </c>
      <c r="F144" s="189"/>
      <c r="G144" s="187" t="s">
        <v>7612</v>
      </c>
      <c r="H144" s="204"/>
      <c r="I144" s="204"/>
      <c r="J144" s="196" t="s">
        <v>6446</v>
      </c>
      <c r="K144" s="196"/>
      <c r="L144" s="192" t="str">
        <f>IFERROR(__xludf.DUMMYFUNCTION("IF(
  AND(D144=""Saída"", J144=""Sangria""),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197" t="str">
        <f>IFERROR(__xludf.DUMMYFUNCTION("IF(J144=""Compra de Mercadorias"",
   IF(
      COUNTIF(ARRAYFORMULA(TRIM(CLEAN(TO_TEXT(Notas!BS:BS)))), TRIM(CLEAN(TO_TEXT(B144)))) &gt; 0,
      ""Encontrada"",
      ""Não Encontrada""
   ),
"""")"),"Encontrada")</f>
        <v>Encontrada</v>
      </c>
      <c r="N144" s="194">
        <f>IFERROR(__xludf.DUMMYFUNCTION("ifna(VALUE(REGEXEXTRACT(E144,""[0-9.]+[,]+[0-9]+"")))"),19.0)</f>
        <v>19</v>
      </c>
      <c r="O144" s="254"/>
      <c r="P144" s="255"/>
      <c r="Q144" s="254"/>
      <c r="R144" s="256"/>
      <c r="S144" s="254"/>
      <c r="V144" s="254"/>
      <c r="W144" s="194"/>
    </row>
    <row r="145" ht="14.25" customHeight="1">
      <c r="A145" s="186"/>
      <c r="B145" s="13">
        <v>1946822.0</v>
      </c>
      <c r="C145" s="14">
        <v>46043.696377314816</v>
      </c>
      <c r="D145" s="187" t="s">
        <v>97</v>
      </c>
      <c r="E145" s="188" t="s">
        <v>7620</v>
      </c>
      <c r="F145" s="189"/>
      <c r="G145" s="187" t="s">
        <v>7622</v>
      </c>
      <c r="H145" s="204"/>
      <c r="I145" s="204"/>
      <c r="J145" s="196" t="s">
        <v>6446</v>
      </c>
      <c r="K145" s="196"/>
      <c r="L145" s="192" t="str">
        <f>IFERROR(__xludf.DUMMYFUNCTION("IF(
  AND(D145=""Saída"", J145=""Sangria""),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198" t="str">
        <f>IFERROR(__xludf.DUMMYFUNCTION("IF(J145=""Compra de Mercadorias"",
   IF(
      COUNTIF(ARRAYFORMULA(TRIM(CLEAN(TO_TEXT(Notas!BS:BS)))), TRIM(CLEAN(TO_TEXT(B145)))) &gt; 0,
      ""Encontrada"",
      ""Não Encontrada""
   ),
"""")"),"Encontrada")</f>
        <v>Encontrada</v>
      </c>
      <c r="N145" s="194">
        <f>IFERROR(__xludf.DUMMYFUNCTION("ifna(VALUE(REGEXEXTRACT(E145,""[0-9.]+[,]+[0-9]+"")))"),48.0)</f>
        <v>48</v>
      </c>
      <c r="O145" s="258"/>
      <c r="P145" s="259"/>
      <c r="Q145" s="258"/>
      <c r="R145" s="260"/>
      <c r="S145" s="258"/>
      <c r="V145" s="258"/>
      <c r="W145" s="194"/>
    </row>
    <row r="146" ht="14.25" customHeight="1">
      <c r="A146" s="186"/>
      <c r="B146" s="13">
        <v>1946831.0</v>
      </c>
      <c r="C146" s="14">
        <v>46043.69792824074</v>
      </c>
      <c r="D146" s="187" t="s">
        <v>97</v>
      </c>
      <c r="E146" s="188" t="s">
        <v>306</v>
      </c>
      <c r="F146" s="189"/>
      <c r="G146" s="187" t="s">
        <v>7633</v>
      </c>
      <c r="H146" s="204"/>
      <c r="I146" s="204"/>
      <c r="J146" s="196" t="s">
        <v>6446</v>
      </c>
      <c r="K146" s="196"/>
      <c r="L146" s="192" t="str">
        <f>IFERROR(__xludf.DUMMYFUNCTION("IF(
  AND(D146=""Saída"", J146=""Sangria""),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197" t="str">
        <f>IFERROR(__xludf.DUMMYFUNCTION("IF(J146=""Compra de Mercadorias"",
   IF(
      COUNTIF(ARRAYFORMULA(TRIM(CLEAN(TO_TEXT(Notas!BS:BS)))), TRIM(CLEAN(TO_TEXT(B146)))) &gt; 0,
      ""Encontrada"",
      ""Não Encontrada""
   ),
"""")"),"Encontrada")</f>
        <v>Encontrada</v>
      </c>
      <c r="N146" s="194">
        <f>IFERROR(__xludf.DUMMYFUNCTION("ifna(VALUE(REGEXEXTRACT(E146,""[0-9.]+[,]+[0-9]+"")))"),56.0)</f>
        <v>56</v>
      </c>
      <c r="O146" s="254"/>
      <c r="P146" s="255"/>
      <c r="Q146" s="254"/>
      <c r="R146" s="256"/>
      <c r="S146" s="254"/>
      <c r="V146" s="254"/>
      <c r="W146" s="194"/>
    </row>
    <row r="147" ht="14.25" customHeight="1">
      <c r="A147" s="186"/>
      <c r="B147" s="13">
        <v>1946845.0</v>
      </c>
      <c r="C147" s="14">
        <v>46043.699837962966</v>
      </c>
      <c r="D147" s="187" t="s">
        <v>97</v>
      </c>
      <c r="E147" s="188" t="s">
        <v>7646</v>
      </c>
      <c r="F147" s="189"/>
      <c r="G147" s="187" t="s">
        <v>7648</v>
      </c>
      <c r="H147" s="204"/>
      <c r="I147" s="204"/>
      <c r="J147" s="196" t="s">
        <v>6446</v>
      </c>
      <c r="K147" s="196"/>
      <c r="L147" s="192" t="str">
        <f>IFERROR(__xludf.DUMMYFUNCTION("IF(
  AND(D147=""Saída"", J147=""Sangria""),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198" t="str">
        <f>IFERROR(__xludf.DUMMYFUNCTION("IF(J147=""Compra de Mercadorias"",
   IF(
      COUNTIF(ARRAYFORMULA(TRIM(CLEAN(TO_TEXT(Notas!BS:BS)))), TRIM(CLEAN(TO_TEXT(B147)))) &gt; 0,
      ""Encontrada"",
      ""Não Encontrada""
   ),
"""")"),"Encontrada")</f>
        <v>Encontrada</v>
      </c>
      <c r="N147" s="194">
        <f>IFERROR(__xludf.DUMMYFUNCTION("ifna(VALUE(REGEXEXTRACT(E147,""[0-9.]+[,]+[0-9]+"")))"),201.0)</f>
        <v>201</v>
      </c>
      <c r="O147" s="258"/>
      <c r="P147" s="259"/>
      <c r="Q147" s="258"/>
      <c r="R147" s="260"/>
      <c r="S147" s="258"/>
      <c r="V147" s="258"/>
      <c r="W147" s="194"/>
    </row>
    <row r="148" ht="14.25" customHeight="1">
      <c r="A148" s="186"/>
      <c r="B148" s="13">
        <v>1946852.0</v>
      </c>
      <c r="C148" s="14">
        <v>46043.70175925926</v>
      </c>
      <c r="D148" s="187" t="s">
        <v>97</v>
      </c>
      <c r="E148" s="188" t="s">
        <v>7661</v>
      </c>
      <c r="F148" s="189"/>
      <c r="G148" s="187" t="s">
        <v>7662</v>
      </c>
      <c r="H148" s="204"/>
      <c r="I148" s="204"/>
      <c r="J148" s="196" t="s">
        <v>6446</v>
      </c>
      <c r="K148" s="196"/>
      <c r="L148" s="192" t="str">
        <f>IFERROR(__xludf.DUMMYFUNCTION("IF(
  AND(D148=""Saída"", J148=""Sangria""),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197" t="str">
        <f>IFERROR(__xludf.DUMMYFUNCTION("IF(J148=""Compra de Mercadorias"",
   IF(
      COUNTIF(ARRAYFORMULA(TRIM(CLEAN(TO_TEXT(Notas!BS:BS)))), TRIM(CLEAN(TO_TEXT(B148)))) &gt; 0,
      ""Encontrada"",
      ""Não Encontrada""
   ),
"""")"),"Encontrada")</f>
        <v>Encontrada</v>
      </c>
      <c r="N148" s="194">
        <f>IFERROR(__xludf.DUMMYFUNCTION("ifna(VALUE(REGEXEXTRACT(E148,""[0-9.]+[,]+[0-9]+"")))"),171.3)</f>
        <v>171.3</v>
      </c>
      <c r="O148" s="254"/>
      <c r="P148" s="255"/>
      <c r="Q148" s="254"/>
      <c r="R148" s="256"/>
      <c r="S148" s="254"/>
      <c r="V148" s="254"/>
      <c r="W148" s="194"/>
    </row>
    <row r="149" ht="14.25" customHeight="1">
      <c r="A149" s="186"/>
      <c r="B149" s="13">
        <v>1947120.0</v>
      </c>
      <c r="C149" s="14">
        <v>46043.76681712963</v>
      </c>
      <c r="D149" s="187" t="s">
        <v>97</v>
      </c>
      <c r="E149" s="188" t="s">
        <v>7283</v>
      </c>
      <c r="F149" s="189"/>
      <c r="G149" s="187" t="s">
        <v>7676</v>
      </c>
      <c r="H149" s="204"/>
      <c r="I149" s="204"/>
      <c r="J149" s="196" t="s">
        <v>6469</v>
      </c>
      <c r="K149" s="196"/>
      <c r="L149" s="192" t="str">
        <f>IFERROR(__xludf.DUMMYFUNCTION("IF(
  AND(D149=""Saída"", J149=""Sangria""),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198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94">
        <f>IFERROR(__xludf.DUMMYFUNCTION("ifna(VALUE(REGEXEXTRACT(E149,""[0-9.]+[,]+[0-9]+"")))"),71.0)</f>
        <v>71</v>
      </c>
      <c r="O149" s="258"/>
      <c r="P149" s="259"/>
      <c r="Q149" s="258"/>
      <c r="R149" s="260"/>
      <c r="S149" s="258"/>
      <c r="V149" s="258"/>
      <c r="W149" s="194"/>
    </row>
    <row r="150" ht="14.25" customHeight="1">
      <c r="A150" s="186"/>
      <c r="B150" s="13">
        <v>1948473.0</v>
      </c>
      <c r="C150" s="14">
        <v>46044.67395833333</v>
      </c>
      <c r="D150" s="187" t="s">
        <v>97</v>
      </c>
      <c r="E150" s="188" t="s">
        <v>7678</v>
      </c>
      <c r="F150" s="189"/>
      <c r="G150" s="187" t="s">
        <v>7679</v>
      </c>
      <c r="H150" s="204"/>
      <c r="I150" s="204"/>
      <c r="J150" s="196" t="s">
        <v>6300</v>
      </c>
      <c r="K150" s="196"/>
      <c r="L150" s="192" t="str">
        <f>IFERROR(__xludf.DUMMYFUNCTION("IF(
  AND(D150=""Saída"", J150=""Sangria""),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197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94">
        <f>IFERROR(__xludf.DUMMYFUNCTION("ifna(VALUE(REGEXEXTRACT(E150,""[0-9.]+[,]+[0-9]+"")))"),37.74)</f>
        <v>37.74</v>
      </c>
      <c r="O150" s="254"/>
      <c r="P150" s="255"/>
      <c r="Q150" s="254"/>
      <c r="R150" s="256"/>
      <c r="S150" s="254"/>
      <c r="V150" s="254"/>
      <c r="W150" s="194"/>
    </row>
    <row r="151" ht="14.25" customHeight="1">
      <c r="A151" s="186"/>
      <c r="B151" s="13">
        <v>1948487.0</v>
      </c>
      <c r="C151" s="14">
        <v>46044.67799768518</v>
      </c>
      <c r="D151" s="187" t="s">
        <v>97</v>
      </c>
      <c r="E151" s="188" t="s">
        <v>7689</v>
      </c>
      <c r="F151" s="200"/>
      <c r="G151" s="187" t="s">
        <v>7690</v>
      </c>
      <c r="H151" s="204"/>
      <c r="I151" s="204"/>
      <c r="J151" s="196" t="s">
        <v>6469</v>
      </c>
      <c r="K151" s="196"/>
      <c r="L151" s="192" t="str">
        <f>IFERROR(__xludf.DUMMYFUNCTION("IF(
  AND(D151=""Saída"", J151=""Sangria""),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198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94">
        <f>IFERROR(__xludf.DUMMYFUNCTION("ifna(VALUE(REGEXEXTRACT(E151,""[0-9.]+[,]+[0-9]+"")))"),52.0)</f>
        <v>52</v>
      </c>
      <c r="O151" s="258"/>
      <c r="P151" s="259"/>
      <c r="Q151" s="258"/>
      <c r="R151" s="260"/>
      <c r="S151" s="258"/>
      <c r="V151" s="258"/>
      <c r="W151" s="194"/>
    </row>
    <row r="152" ht="14.25" customHeight="1">
      <c r="A152" s="186"/>
      <c r="B152" s="13">
        <v>1950056.0</v>
      </c>
      <c r="C152" s="14">
        <v>46045.61545138889</v>
      </c>
      <c r="D152" s="187" t="s">
        <v>97</v>
      </c>
      <c r="E152" s="188" t="s">
        <v>7058</v>
      </c>
      <c r="F152" s="189"/>
      <c r="G152" s="187" t="s">
        <v>7700</v>
      </c>
      <c r="H152" s="204"/>
      <c r="I152" s="204"/>
      <c r="J152" s="196" t="s">
        <v>6446</v>
      </c>
      <c r="K152" s="196"/>
      <c r="L152" s="192" t="str">
        <f>IFERROR(__xludf.DUMMYFUNCTION("IF(
  AND(D152=""Saída"", J152=""Sangria""),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197" t="str">
        <f>IFERROR(__xludf.DUMMYFUNCTION("IF(J152=""Compra de Mercadorias"",
   IF(
      COUNTIF(ARRAYFORMULA(TRIM(CLEAN(TO_TEXT(Notas!BS:BS)))), TRIM(CLEAN(TO_TEXT(B152)))) &gt; 0,
      ""Encontrada"",
      ""Não Encontrada""
   ),
"""")"),"Encontrada")</f>
        <v>Encontrada</v>
      </c>
      <c r="N152" s="194">
        <f>IFERROR(__xludf.DUMMYFUNCTION("ifna(VALUE(REGEXEXTRACT(E152,""[0-9.]+[,]+[0-9]+"")))"),375.0)</f>
        <v>375</v>
      </c>
      <c r="O152" s="254"/>
      <c r="P152" s="255"/>
      <c r="Q152" s="254"/>
      <c r="R152" s="256"/>
      <c r="S152" s="254"/>
      <c r="V152" s="254"/>
      <c r="W152" s="194"/>
    </row>
    <row r="153" ht="14.25" customHeight="1">
      <c r="A153" s="186"/>
      <c r="B153" s="13">
        <v>1950361.0</v>
      </c>
      <c r="C153" s="14">
        <v>46045.687997685185</v>
      </c>
      <c r="D153" s="187" t="s">
        <v>97</v>
      </c>
      <c r="E153" s="188" t="s">
        <v>7704</v>
      </c>
      <c r="F153" s="189"/>
      <c r="G153" s="187" t="s">
        <v>7705</v>
      </c>
      <c r="H153" s="204"/>
      <c r="I153" s="204"/>
      <c r="J153" s="196" t="s">
        <v>6446</v>
      </c>
      <c r="K153" s="196"/>
      <c r="L153" s="192" t="str">
        <f>IFERROR(__xludf.DUMMYFUNCTION("IF(
  AND(D153=""Saída"", J153=""Sangria""),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198" t="str">
        <f>IFERROR(__xludf.DUMMYFUNCTION("IF(J153=""Compra de Mercadorias"",
   IF(
      COUNTIF(ARRAYFORMULA(TRIM(CLEAN(TO_TEXT(Notas!BS:BS)))), TRIM(CLEAN(TO_TEXT(B153)))) &gt; 0,
      ""Encontrada"",
      ""Não Encontrada""
   ),
"""")"),"Não Encontrada")</f>
        <v>Não Encontrada</v>
      </c>
      <c r="N153" s="194">
        <f>IFERROR(__xludf.DUMMYFUNCTION("ifna(VALUE(REGEXEXTRACT(E153,""[0-9.]+[,]+[0-9]+"")))"),200.0)</f>
        <v>200</v>
      </c>
      <c r="O153" s="258"/>
      <c r="P153" s="259"/>
      <c r="Q153" s="258"/>
      <c r="R153" s="260"/>
      <c r="S153" s="258"/>
      <c r="V153" s="258"/>
      <c r="W153" s="194"/>
    </row>
    <row r="154" ht="14.25" customHeight="1">
      <c r="A154" s="186"/>
      <c r="B154" s="13">
        <v>1950369.0</v>
      </c>
      <c r="C154" s="14">
        <v>46045.6899537037</v>
      </c>
      <c r="D154" s="187" t="s">
        <v>97</v>
      </c>
      <c r="E154" s="188" t="s">
        <v>7717</v>
      </c>
      <c r="F154" s="189"/>
      <c r="G154" s="187" t="s">
        <v>7720</v>
      </c>
      <c r="H154" s="204"/>
      <c r="I154" s="204"/>
      <c r="J154" s="196" t="s">
        <v>6446</v>
      </c>
      <c r="K154" s="196"/>
      <c r="L154" s="192" t="str">
        <f>IFERROR(__xludf.DUMMYFUNCTION("IF(
  AND(D154=""Saída"", J154=""Sangria""),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197" t="str">
        <f>IFERROR(__xludf.DUMMYFUNCTION("IF(J154=""Compra de Mercadorias"",
   IF(
      COUNTIF(ARRAYFORMULA(TRIM(CLEAN(TO_TEXT(Notas!BS:BS)))), TRIM(CLEAN(TO_TEXT(B154)))) &gt; 0,
      ""Encontrada"",
      ""Não Encontrada""
   ),
"""")"),"Encontrada")</f>
        <v>Encontrada</v>
      </c>
      <c r="N154" s="194">
        <f>IFERROR(__xludf.DUMMYFUNCTION("ifna(VALUE(REGEXEXTRACT(E154,""[0-9.]+[,]+[0-9]+"")))"),25.0)</f>
        <v>25</v>
      </c>
      <c r="O154" s="254"/>
      <c r="P154" s="255"/>
      <c r="Q154" s="254"/>
      <c r="R154" s="256"/>
      <c r="S154" s="254"/>
      <c r="V154" s="254"/>
      <c r="W154" s="194"/>
    </row>
    <row r="155" ht="14.25" customHeight="1">
      <c r="A155" s="186"/>
      <c r="B155" s="13">
        <v>1950378.0</v>
      </c>
      <c r="C155" s="14">
        <v>46045.69190972222</v>
      </c>
      <c r="D155" s="187" t="s">
        <v>97</v>
      </c>
      <c r="E155" s="188" t="s">
        <v>7689</v>
      </c>
      <c r="F155" s="189"/>
      <c r="G155" s="187" t="s">
        <v>7732</v>
      </c>
      <c r="H155" s="204"/>
      <c r="I155" s="204"/>
      <c r="J155" s="196" t="s">
        <v>6469</v>
      </c>
      <c r="K155" s="196"/>
      <c r="L155" s="192" t="str">
        <f>IFERROR(__xludf.DUMMYFUNCTION("IF(
  AND(D155=""Saída"", J155=""Sangria""),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198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94">
        <f>IFERROR(__xludf.DUMMYFUNCTION("ifna(VALUE(REGEXEXTRACT(E155,""[0-9.]+[,]+[0-9]+"")))"),52.0)</f>
        <v>52</v>
      </c>
      <c r="O155" s="258"/>
      <c r="P155" s="259"/>
      <c r="Q155" s="258"/>
      <c r="R155" s="260"/>
      <c r="S155" s="258"/>
      <c r="V155" s="258"/>
      <c r="W155" s="194"/>
    </row>
    <row r="156" ht="14.25" customHeight="1">
      <c r="A156" s="186"/>
      <c r="B156" s="13">
        <v>1950575.0</v>
      </c>
      <c r="C156" s="14">
        <v>46045.741875</v>
      </c>
      <c r="D156" s="187" t="s">
        <v>97</v>
      </c>
      <c r="E156" s="188" t="s">
        <v>7738</v>
      </c>
      <c r="F156" s="189"/>
      <c r="G156" s="187" t="s">
        <v>7739</v>
      </c>
      <c r="H156" s="204"/>
      <c r="I156" s="204"/>
      <c r="J156" s="196" t="s">
        <v>6446</v>
      </c>
      <c r="K156" s="196"/>
      <c r="L156" s="192" t="str">
        <f>IFERROR(__xludf.DUMMYFUNCTION("IF(
  AND(D156=""Saída"", J156=""Sangria""),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197" t="str">
        <f>IFERROR(__xludf.DUMMYFUNCTION("IF(J156=""Compra de Mercadorias"",
   IF(
      COUNTIF(ARRAYFORMULA(TRIM(CLEAN(TO_TEXT(Notas!BS:BS)))), TRIM(CLEAN(TO_TEXT(B156)))) &gt; 0,
      ""Encontrada"",
      ""Não Encontrada""
   ),
"""")"),"Encontrada")</f>
        <v>Encontrada</v>
      </c>
      <c r="N156" s="194">
        <f>IFERROR(__xludf.DUMMYFUNCTION("ifna(VALUE(REGEXEXTRACT(E156,""[0-9.]+[,]+[0-9]+"")))"),49.33)</f>
        <v>49.33</v>
      </c>
      <c r="O156" s="254"/>
      <c r="P156" s="255"/>
      <c r="Q156" s="254"/>
      <c r="R156" s="256"/>
      <c r="S156" s="254"/>
      <c r="V156" s="254"/>
      <c r="W156" s="194"/>
    </row>
    <row r="157" ht="14.25" customHeight="1">
      <c r="A157" s="186"/>
      <c r="B157" s="13">
        <v>1952549.0</v>
      </c>
      <c r="C157" s="14">
        <v>46046.74827546296</v>
      </c>
      <c r="D157" s="187" t="s">
        <v>97</v>
      </c>
      <c r="E157" s="188" t="s">
        <v>7744</v>
      </c>
      <c r="F157" s="189"/>
      <c r="G157" s="187" t="s">
        <v>7745</v>
      </c>
      <c r="H157" s="204"/>
      <c r="I157" s="204"/>
      <c r="J157" s="196" t="s">
        <v>6469</v>
      </c>
      <c r="K157" s="196"/>
      <c r="L157" s="192" t="str">
        <f>IFERROR(__xludf.DUMMYFUNCTION("IF(
  AND(D157=""Saída"", J157=""Sangria""),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198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94">
        <f>IFERROR(__xludf.DUMMYFUNCTION("ifna(VALUE(REGEXEXTRACT(E157,""[0-9.]+[,]+[0-9]+"")))"),59.0)</f>
        <v>59</v>
      </c>
      <c r="O157" s="258"/>
      <c r="P157" s="259"/>
      <c r="Q157" s="258"/>
      <c r="R157" s="260"/>
      <c r="S157" s="258"/>
      <c r="V157" s="258"/>
      <c r="W157" s="194"/>
    </row>
    <row r="158" ht="14.25" customHeight="1">
      <c r="A158" s="186"/>
      <c r="B158" s="13">
        <v>1952704.0</v>
      </c>
      <c r="C158" s="14">
        <v>46046.78297453704</v>
      </c>
      <c r="D158" s="187" t="s">
        <v>97</v>
      </c>
      <c r="E158" s="188" t="s">
        <v>7283</v>
      </c>
      <c r="F158" s="189"/>
      <c r="G158" s="187" t="s">
        <v>7758</v>
      </c>
      <c r="H158" s="204"/>
      <c r="I158" s="204"/>
      <c r="J158" s="196" t="s">
        <v>6469</v>
      </c>
      <c r="K158" s="196"/>
      <c r="L158" s="192" t="str">
        <f>IFERROR(__xludf.DUMMYFUNCTION("IF(
  AND(D158=""Saída"", J158=""Sangria""),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197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94">
        <f>IFERROR(__xludf.DUMMYFUNCTION("ifna(VALUE(REGEXEXTRACT(E158,""[0-9.]+[,]+[0-9]+"")))"),71.0)</f>
        <v>71</v>
      </c>
      <c r="O158" s="254"/>
      <c r="P158" s="255"/>
      <c r="Q158" s="254"/>
      <c r="R158" s="256"/>
      <c r="S158" s="254"/>
      <c r="V158" s="254"/>
      <c r="W158" s="194"/>
    </row>
    <row r="159" ht="14.25" customHeight="1">
      <c r="A159" s="186"/>
      <c r="B159" s="13">
        <v>1955594.0</v>
      </c>
      <c r="C159" s="14">
        <v>46047.82778935185</v>
      </c>
      <c r="D159" s="187" t="s">
        <v>97</v>
      </c>
      <c r="E159" s="188" t="s">
        <v>6561</v>
      </c>
      <c r="F159" s="189"/>
      <c r="G159" s="187" t="s">
        <v>7770</v>
      </c>
      <c r="H159" s="204"/>
      <c r="I159" s="204"/>
      <c r="J159" s="196" t="s">
        <v>6469</v>
      </c>
      <c r="K159" s="196"/>
      <c r="L159" s="192" t="str">
        <f>IFERROR(__xludf.DUMMYFUNCTION("IF(
  AND(D159=""Saída"", J159=""Sangria""),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198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94">
        <f>IFERROR(__xludf.DUMMYFUNCTION("ifna(VALUE(REGEXEXTRACT(E159,""[0-9.]+[,]+[0-9]+"")))"),123.0)</f>
        <v>123</v>
      </c>
      <c r="O159" s="258"/>
      <c r="P159" s="259"/>
      <c r="Q159" s="258"/>
      <c r="R159" s="260"/>
      <c r="S159" s="258"/>
      <c r="V159" s="258"/>
      <c r="W159" s="194"/>
    </row>
    <row r="160" ht="14.25" customHeight="1">
      <c r="A160" s="186"/>
      <c r="B160" s="13">
        <v>1956064.0</v>
      </c>
      <c r="C160" s="14">
        <v>46047.897152777776</v>
      </c>
      <c r="D160" s="187" t="s">
        <v>97</v>
      </c>
      <c r="E160" s="188" t="s">
        <v>6547</v>
      </c>
      <c r="F160" s="189"/>
      <c r="G160" s="187" t="s">
        <v>7781</v>
      </c>
      <c r="H160" s="204"/>
      <c r="I160" s="204"/>
      <c r="J160" s="196" t="s">
        <v>6469</v>
      </c>
      <c r="K160" s="196"/>
      <c r="L160" s="192" t="str">
        <f>IFERROR(__xludf.DUMMYFUNCTION("IF(
  AND(D160=""Saída"", J160=""Sangria""),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197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94">
        <f>IFERROR(__xludf.DUMMYFUNCTION("ifna(VALUE(REGEXEXTRACT(E160,""[0-9.]+[,]+[0-9]+"")))"),117.0)</f>
        <v>117</v>
      </c>
      <c r="O160" s="254"/>
      <c r="P160" s="255"/>
      <c r="Q160" s="254"/>
      <c r="R160" s="256"/>
      <c r="S160" s="254"/>
      <c r="V160" s="254"/>
      <c r="W160" s="194"/>
    </row>
    <row r="161" ht="14.25" customHeight="1">
      <c r="A161" s="186"/>
      <c r="B161" s="13">
        <v>1956079.0</v>
      </c>
      <c r="C161" s="14">
        <v>46047.89849537037</v>
      </c>
      <c r="D161" s="187" t="s">
        <v>97</v>
      </c>
      <c r="E161" s="188" t="s">
        <v>7784</v>
      </c>
      <c r="F161" s="200"/>
      <c r="G161" s="187" t="s">
        <v>858</v>
      </c>
      <c r="H161" s="204"/>
      <c r="I161" s="204"/>
      <c r="J161" s="196" t="s">
        <v>6544</v>
      </c>
      <c r="K161" s="196" t="s">
        <v>5991</v>
      </c>
      <c r="L161" s="192" t="str">
        <f>IFERROR(__xludf.DUMMYFUNCTION("IF(
  AND(D161=""Saída"", J161=""Sangria""),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"),"Confirmada")</f>
        <v>Confirmada</v>
      </c>
      <c r="M161" s="198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94">
        <f>IFERROR(__xludf.DUMMYFUNCTION("ifna(VALUE(REGEXEXTRACT(E161,""[0-9.]+[,]+[0-9]+"")))"),2800.0)</f>
        <v>2800</v>
      </c>
      <c r="O161" s="258"/>
      <c r="P161" s="262"/>
      <c r="Q161" s="258"/>
      <c r="R161" s="260"/>
      <c r="S161" s="258"/>
      <c r="V161" s="258"/>
      <c r="W161" s="194"/>
    </row>
    <row r="162" ht="14.25" customHeight="1">
      <c r="A162" s="186"/>
      <c r="B162" s="13">
        <v>1956111.0</v>
      </c>
      <c r="C162" s="14">
        <v>46047.902407407404</v>
      </c>
      <c r="D162" s="187" t="s">
        <v>97</v>
      </c>
      <c r="E162" s="188" t="s">
        <v>7796</v>
      </c>
      <c r="F162" s="200"/>
      <c r="G162" s="187" t="s">
        <v>7799</v>
      </c>
      <c r="H162" s="204"/>
      <c r="I162" s="204"/>
      <c r="J162" s="196" t="s">
        <v>6469</v>
      </c>
      <c r="K162" s="196"/>
      <c r="L162" s="192" t="str">
        <f>IFERROR(__xludf.DUMMYFUNCTION("IF(
  AND(D162=""Saída"", J162=""Sangria""),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197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94">
        <f>IFERROR(__xludf.DUMMYFUNCTION("ifna(VALUE(REGEXEXTRACT(E162,""[0-9.]+[,]+[0-9]+"")))"),684.0)</f>
        <v>684</v>
      </c>
      <c r="O162" s="254"/>
      <c r="P162" s="263"/>
      <c r="Q162" s="254"/>
      <c r="R162" s="256"/>
      <c r="S162" s="254"/>
      <c r="V162" s="254"/>
      <c r="W162" s="194"/>
    </row>
    <row r="163" ht="14.25" customHeight="1">
      <c r="A163" s="186"/>
      <c r="B163" s="13"/>
      <c r="C163" s="14"/>
      <c r="D163" s="187"/>
      <c r="E163" s="188"/>
      <c r="F163" s="189"/>
      <c r="G163" s="187"/>
      <c r="H163" s="204"/>
      <c r="I163" s="204"/>
      <c r="J163" s="196"/>
      <c r="K163" s="196"/>
      <c r="L163" s="192"/>
      <c r="M163" s="198"/>
      <c r="N163" s="194" t="str">
        <f>IFERROR(__xludf.DUMMYFUNCTION("ifna(VALUE(REGEXEXTRACT(E163,""[0-9.]+[,]+[0-9]+"")))"),"")</f>
        <v/>
      </c>
      <c r="O163" s="258"/>
      <c r="P163" s="262"/>
      <c r="Q163" s="258"/>
      <c r="R163" s="260"/>
      <c r="S163" s="258"/>
      <c r="V163" s="258"/>
      <c r="W163" s="194"/>
    </row>
    <row r="164" ht="14.25" customHeight="1">
      <c r="A164" s="186"/>
      <c r="B164" s="13"/>
      <c r="C164" s="14"/>
      <c r="D164" s="187"/>
      <c r="E164" s="188"/>
      <c r="F164" s="189"/>
      <c r="G164" s="187"/>
      <c r="H164" s="204"/>
      <c r="I164" s="204"/>
      <c r="J164" s="196"/>
      <c r="K164" s="196"/>
      <c r="L164" s="192"/>
      <c r="M164" s="197"/>
      <c r="N164" s="194" t="str">
        <f>IFERROR(__xludf.DUMMYFUNCTION("ifna(VALUE(REGEXEXTRACT(E164,""[0-9.]+[,]+[0-9]+"")))"),"")</f>
        <v/>
      </c>
      <c r="O164" s="254"/>
      <c r="P164" s="263"/>
      <c r="Q164" s="254"/>
      <c r="R164" s="256"/>
      <c r="S164" s="254"/>
      <c r="V164" s="254"/>
      <c r="W164" s="194"/>
    </row>
    <row r="165" ht="14.25" customHeight="1">
      <c r="A165" s="186"/>
      <c r="B165" s="13"/>
      <c r="C165" s="14"/>
      <c r="D165" s="187"/>
      <c r="E165" s="188"/>
      <c r="F165" s="189"/>
      <c r="G165" s="187"/>
      <c r="H165" s="204"/>
      <c r="I165" s="204"/>
      <c r="J165" s="196"/>
      <c r="K165" s="196"/>
      <c r="L165" s="192"/>
      <c r="M165" s="198"/>
      <c r="N165" s="194" t="str">
        <f>IFERROR(__xludf.DUMMYFUNCTION("ifna(VALUE(REGEXEXTRACT(E165,""[0-9.]+[,]+[0-9]+"")))"),"")</f>
        <v/>
      </c>
      <c r="O165" s="264"/>
      <c r="P165" s="262"/>
      <c r="Q165" s="258"/>
      <c r="R165" s="260"/>
      <c r="S165" s="258"/>
      <c r="V165" s="258"/>
      <c r="W165" s="194"/>
    </row>
    <row r="166" ht="14.25" customHeight="1">
      <c r="A166" s="186"/>
      <c r="B166" s="13"/>
      <c r="C166" s="14"/>
      <c r="D166" s="187"/>
      <c r="E166" s="188"/>
      <c r="F166" s="189"/>
      <c r="G166" s="187"/>
      <c r="H166" s="204"/>
      <c r="I166" s="204"/>
      <c r="J166" s="196"/>
      <c r="K166" s="196"/>
      <c r="L166" s="192"/>
      <c r="M166" s="197"/>
      <c r="N166" s="194" t="str">
        <f>IFERROR(__xludf.DUMMYFUNCTION("ifna(VALUE(REGEXEXTRACT(E166,""[0-9.]+[,]+[0-9]+"")))"),"")</f>
        <v/>
      </c>
      <c r="O166" s="254"/>
      <c r="P166" s="263"/>
      <c r="Q166" s="254"/>
      <c r="R166" s="256"/>
      <c r="S166" s="254"/>
      <c r="V166" s="254"/>
      <c r="W166" s="194"/>
    </row>
    <row r="167" ht="14.25" customHeight="1">
      <c r="A167" s="186"/>
      <c r="B167" s="13"/>
      <c r="C167" s="14"/>
      <c r="D167" s="187"/>
      <c r="E167" s="188"/>
      <c r="F167" s="189"/>
      <c r="G167" s="187"/>
      <c r="H167" s="204"/>
      <c r="I167" s="204"/>
      <c r="J167" s="196"/>
      <c r="K167" s="196"/>
      <c r="L167" s="192" t="str">
        <f>IFERROR(__xludf.DUMMYFUNCTION("IF(
  AND(D167=""Saída"", J167=""Sangria""),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198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94" t="str">
        <f>IFERROR(__xludf.DUMMYFUNCTION("ifna(VALUE(REGEXEXTRACT(E167,""[0-9.]+[,]+[0-9]+"")))"),"")</f>
        <v/>
      </c>
      <c r="O167" s="258"/>
      <c r="P167" s="262"/>
      <c r="Q167" s="258"/>
      <c r="R167" s="260"/>
      <c r="S167" s="258"/>
      <c r="V167" s="258"/>
      <c r="W167" s="194"/>
    </row>
    <row r="168" ht="14.25" customHeight="1">
      <c r="A168" s="186"/>
      <c r="B168" s="13"/>
      <c r="C168" s="14"/>
      <c r="D168" s="187"/>
      <c r="E168" s="188"/>
      <c r="F168" s="189"/>
      <c r="G168" s="187"/>
      <c r="H168" s="204"/>
      <c r="I168" s="204"/>
      <c r="J168" s="196"/>
      <c r="K168" s="196"/>
      <c r="L168" s="192" t="str">
        <f>IFERROR(__xludf.DUMMYFUNCTION("IF(
  AND(D168=""Saída"", J168=""Sangria""),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197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94" t="str">
        <f>IFERROR(__xludf.DUMMYFUNCTION("ifna(VALUE(REGEXEXTRACT(E168,""[0-9.]+[,]+[0-9]+"")))"),"")</f>
        <v/>
      </c>
      <c r="O168" s="254"/>
      <c r="P168" s="263"/>
      <c r="Q168" s="254"/>
      <c r="R168" s="256"/>
      <c r="S168" s="254"/>
      <c r="V168" s="254"/>
      <c r="W168" s="194"/>
    </row>
    <row r="169" ht="14.25" customHeight="1">
      <c r="A169" s="186"/>
      <c r="B169" s="13"/>
      <c r="C169" s="14"/>
      <c r="D169" s="187"/>
      <c r="E169" s="188"/>
      <c r="F169" s="200"/>
      <c r="G169" s="187"/>
      <c r="H169" s="204"/>
      <c r="I169" s="204"/>
      <c r="J169" s="196"/>
      <c r="K169" s="196"/>
      <c r="L169" s="192" t="str">
        <f>IFERROR(__xludf.DUMMYFUNCTION("IF(
  AND(D169=""Saída"", J169=""Sangria""),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198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94" t="str">
        <f>IFERROR(__xludf.DUMMYFUNCTION("ifna(VALUE(REGEXEXTRACT(E169,""[0-9.]+[,]+[0-9]+"")))"),"")</f>
        <v/>
      </c>
      <c r="O169" s="258"/>
      <c r="P169" s="262"/>
      <c r="Q169" s="258"/>
      <c r="R169" s="258"/>
      <c r="S169" s="258"/>
      <c r="V169" s="258"/>
      <c r="W169" s="194"/>
    </row>
    <row r="170" ht="14.25" customHeight="1">
      <c r="A170" s="186"/>
      <c r="B170" s="13"/>
      <c r="C170" s="14"/>
      <c r="D170" s="187"/>
      <c r="E170" s="188"/>
      <c r="F170" s="189"/>
      <c r="G170" s="187"/>
      <c r="H170" s="204"/>
      <c r="I170" s="204"/>
      <c r="J170" s="196"/>
      <c r="K170" s="196"/>
      <c r="L170" s="192" t="str">
        <f>IFERROR(__xludf.DUMMYFUNCTION("IF(
  AND(D170=""Saída"", J170=""Sangria""),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197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94" t="str">
        <f>IFERROR(__xludf.DUMMYFUNCTION("ifna(VALUE(REGEXEXTRACT(E170,""[0-9.]+[,]+[0-9]+"")))"),"")</f>
        <v/>
      </c>
      <c r="O170" s="254"/>
      <c r="P170" s="263"/>
      <c r="Q170" s="254"/>
      <c r="R170" s="254"/>
      <c r="S170" s="254"/>
      <c r="V170" s="254"/>
      <c r="W170" s="194"/>
    </row>
    <row r="171" ht="14.25" customHeight="1">
      <c r="A171" s="186"/>
      <c r="B171" s="13"/>
      <c r="C171" s="14"/>
      <c r="D171" s="187"/>
      <c r="E171" s="188"/>
      <c r="F171" s="189"/>
      <c r="G171" s="187"/>
      <c r="H171" s="204"/>
      <c r="I171" s="204"/>
      <c r="J171" s="196"/>
      <c r="K171" s="196"/>
      <c r="L171" s="192" t="str">
        <f>IFERROR(__xludf.DUMMYFUNCTION("IF(
  AND(D171=""Saída"", J171=""Sangria""),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198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94" t="str">
        <f>IFERROR(__xludf.DUMMYFUNCTION("ifna(VALUE(REGEXEXTRACT(E171,""[0-9.]+[,]+[0-9]+"")))"),"")</f>
        <v/>
      </c>
      <c r="O171" s="258"/>
      <c r="P171" s="262"/>
      <c r="Q171" s="258"/>
      <c r="R171" s="258"/>
      <c r="S171" s="258"/>
      <c r="V171" s="258"/>
      <c r="W171" s="194"/>
    </row>
    <row r="172" ht="14.25" customHeight="1">
      <c r="A172" s="186"/>
      <c r="B172" s="13"/>
      <c r="C172" s="14"/>
      <c r="D172" s="187"/>
      <c r="E172" s="188"/>
      <c r="F172" s="200"/>
      <c r="G172" s="187"/>
      <c r="H172" s="204"/>
      <c r="I172" s="204"/>
      <c r="J172" s="196"/>
      <c r="K172" s="196"/>
      <c r="L172" s="192" t="str">
        <f>IFERROR(__xludf.DUMMYFUNCTION("IF(
  AND(D172=""Saída"", J172=""Sangria""),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197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94" t="str">
        <f>IFERROR(__xludf.DUMMYFUNCTION("ifna(VALUE(REGEXEXTRACT(E172,""[0-9.]+[,]+[0-9]+"")))"),"")</f>
        <v/>
      </c>
      <c r="O172" s="254"/>
      <c r="P172" s="263"/>
      <c r="Q172" s="254"/>
      <c r="R172" s="254"/>
      <c r="S172" s="254"/>
      <c r="V172" s="254"/>
      <c r="W172" s="194"/>
    </row>
    <row r="173" ht="14.25" customHeight="1">
      <c r="A173" s="186"/>
      <c r="B173" s="13"/>
      <c r="C173" s="14"/>
      <c r="D173" s="187"/>
      <c r="E173" s="188"/>
      <c r="F173" s="189"/>
      <c r="G173" s="187"/>
      <c r="H173" s="204"/>
      <c r="I173" s="204"/>
      <c r="J173" s="196"/>
      <c r="K173" s="196"/>
      <c r="L173" s="192" t="str">
        <f>IFERROR(__xludf.DUMMYFUNCTION("IF(
  AND(D173=""Saída"", J173=""Sangria""),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198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94" t="str">
        <f>IFERROR(__xludf.DUMMYFUNCTION("ifna(VALUE(REGEXEXTRACT(E173,""[0-9.]+[,]+[0-9]+"")))"),"")</f>
        <v/>
      </c>
      <c r="O173" s="258"/>
      <c r="P173" s="265"/>
      <c r="Q173" s="258"/>
      <c r="R173" s="258"/>
      <c r="S173" s="258"/>
      <c r="V173" s="258"/>
      <c r="W173" s="194"/>
    </row>
    <row r="174" ht="14.25" customHeight="1">
      <c r="A174" s="186"/>
      <c r="B174" s="13"/>
      <c r="C174" s="14"/>
      <c r="D174" s="187"/>
      <c r="E174" s="188"/>
      <c r="F174" s="189"/>
      <c r="G174" s="187"/>
      <c r="H174" s="204"/>
      <c r="I174" s="204"/>
      <c r="J174" s="196"/>
      <c r="K174" s="196"/>
      <c r="L174" s="192" t="str">
        <f>IFERROR(__xludf.DUMMYFUNCTION("IF(
  AND(D174=""Saída"", J174=""Sangria""),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197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94" t="str">
        <f>IFERROR(__xludf.DUMMYFUNCTION("ifna(VALUE(REGEXEXTRACT(E174,""[0-9.]+[,]+[0-9]+"")))"),"")</f>
        <v/>
      </c>
      <c r="O174" s="254"/>
      <c r="P174" s="263"/>
      <c r="Q174" s="254"/>
      <c r="R174" s="254"/>
      <c r="S174" s="254"/>
      <c r="V174" s="254"/>
      <c r="W174" s="194"/>
    </row>
    <row r="175" ht="14.25" customHeight="1">
      <c r="A175" s="186"/>
      <c r="B175" s="13"/>
      <c r="C175" s="14"/>
      <c r="D175" s="187"/>
      <c r="E175" s="188"/>
      <c r="F175" s="200"/>
      <c r="G175" s="187"/>
      <c r="H175" s="204"/>
      <c r="I175" s="204"/>
      <c r="J175" s="196"/>
      <c r="K175" s="196"/>
      <c r="L175" s="192" t="str">
        <f>IFERROR(__xludf.DUMMYFUNCTION("IF(
  AND(D175=""Saída"", J175=""Sangria""),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198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94" t="str">
        <f>IFERROR(__xludf.DUMMYFUNCTION("ifna(VALUE(REGEXEXTRACT(E175,""[0-9.]+[,]+[0-9]+"")))"),"")</f>
        <v/>
      </c>
      <c r="O175" s="258"/>
      <c r="P175" s="262"/>
      <c r="Q175" s="258"/>
      <c r="R175" s="258"/>
      <c r="S175" s="258"/>
      <c r="V175" s="258"/>
      <c r="W175" s="194"/>
    </row>
    <row r="176" ht="14.25" customHeight="1">
      <c r="A176" s="186"/>
      <c r="B176" s="13"/>
      <c r="C176" s="14"/>
      <c r="D176" s="187"/>
      <c r="E176" s="188"/>
      <c r="F176" s="189"/>
      <c r="G176" s="187"/>
      <c r="H176" s="204"/>
      <c r="I176" s="204"/>
      <c r="J176" s="196"/>
      <c r="K176" s="196"/>
      <c r="L176" s="192" t="str">
        <f>IFERROR(__xludf.DUMMYFUNCTION("IF(
  AND(D176=""Saída"", J176=""Sangria""),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197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94" t="str">
        <f>IFERROR(__xludf.DUMMYFUNCTION("ifna(VALUE(REGEXEXTRACT(E176,""[0-9.]+[,]+[0-9]+"")))"),"")</f>
        <v/>
      </c>
      <c r="O176" s="254"/>
      <c r="P176" s="263"/>
      <c r="Q176" s="254"/>
      <c r="R176" s="254"/>
      <c r="S176" s="254"/>
      <c r="V176" s="254"/>
      <c r="W176" s="194"/>
    </row>
    <row r="177" ht="14.25" customHeight="1">
      <c r="A177" s="186"/>
      <c r="B177" s="13"/>
      <c r="C177" s="14"/>
      <c r="D177" s="187"/>
      <c r="E177" s="188"/>
      <c r="F177" s="189"/>
      <c r="G177" s="187"/>
      <c r="H177" s="204"/>
      <c r="I177" s="204"/>
      <c r="K177" s="196"/>
      <c r="L177" s="192" t="str">
        <f>IFERROR(__xludf.DUMMYFUNCTION("IF(
  AND(D177=""Saída"", J177=""Sangria""),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198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94" t="str">
        <f>IFERROR(__xludf.DUMMYFUNCTION("ifna(VALUE(REGEXEXTRACT(E177,""[0-9.]+[,]+[0-9]+"")))"),"")</f>
        <v/>
      </c>
      <c r="O177" s="258"/>
      <c r="P177" s="262"/>
      <c r="Q177" s="258"/>
      <c r="R177" s="258"/>
      <c r="S177" s="258"/>
      <c r="V177" s="258"/>
      <c r="W177" s="194"/>
    </row>
    <row r="178" ht="14.25" customHeight="1">
      <c r="A178" s="186"/>
      <c r="B178" s="13"/>
      <c r="C178" s="14"/>
      <c r="D178" s="187"/>
      <c r="E178" s="188"/>
      <c r="F178" s="189"/>
      <c r="G178" s="187"/>
      <c r="H178" s="204"/>
      <c r="I178" s="204"/>
      <c r="J178" s="196"/>
      <c r="K178" s="196"/>
      <c r="L178" s="192" t="str">
        <f>IFERROR(__xludf.DUMMYFUNCTION("IF(
  AND(D178=""Saída"", J178=""Sangria""),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197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94" t="str">
        <f>IFERROR(__xludf.DUMMYFUNCTION("ifna(VALUE(REGEXEXTRACT(E178,""[0-9.]+[,]+[0-9]+"")))"),"")</f>
        <v/>
      </c>
      <c r="O178" s="254"/>
      <c r="P178" s="263"/>
      <c r="Q178" s="254"/>
      <c r="R178" s="254"/>
      <c r="S178" s="254"/>
      <c r="V178" s="254"/>
      <c r="W178" s="194"/>
    </row>
    <row r="179" ht="14.25" customHeight="1">
      <c r="A179" s="186"/>
      <c r="B179" s="13"/>
      <c r="C179" s="14"/>
      <c r="D179" s="187"/>
      <c r="E179" s="188"/>
      <c r="F179" s="200"/>
      <c r="G179" s="187"/>
      <c r="H179" s="204"/>
      <c r="I179" s="204"/>
      <c r="J179" s="196"/>
      <c r="K179" s="196"/>
      <c r="L179" s="192" t="str">
        <f>IFERROR(__xludf.DUMMYFUNCTION("IF(
  AND(D179=""Saída"", J179=""Sangria""),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198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94" t="str">
        <f>IFERROR(__xludf.DUMMYFUNCTION("ifna(VALUE(REGEXEXTRACT(E179,""[0-9.]+[,]+[0-9]+"")))"),"")</f>
        <v/>
      </c>
      <c r="O179" s="258"/>
      <c r="P179" s="262"/>
      <c r="Q179" s="258"/>
      <c r="R179" s="258"/>
      <c r="S179" s="258"/>
      <c r="V179" s="258"/>
      <c r="W179" s="194"/>
    </row>
    <row r="180" ht="14.25" customHeight="1">
      <c r="A180" s="186"/>
      <c r="B180" s="13"/>
      <c r="C180" s="14"/>
      <c r="D180" s="187"/>
      <c r="E180" s="188"/>
      <c r="F180" s="189"/>
      <c r="G180" s="187"/>
      <c r="H180" s="204"/>
      <c r="I180" s="204"/>
      <c r="K180" s="196"/>
      <c r="L180" s="192" t="str">
        <f>IFERROR(__xludf.DUMMYFUNCTION("IF(
  AND(D180=""Saída"", J180=""Sangria""),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197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94" t="str">
        <f>IFERROR(__xludf.DUMMYFUNCTION("ifna(VALUE(REGEXEXTRACT(E180,""[0-9.]+[,]+[0-9]+"")))"),"")</f>
        <v/>
      </c>
      <c r="O180" s="254"/>
      <c r="P180" s="263"/>
      <c r="Q180" s="254"/>
      <c r="R180" s="254"/>
      <c r="S180" s="254"/>
      <c r="V180" s="254"/>
      <c r="W180" s="194"/>
    </row>
    <row r="181" ht="14.25" customHeight="1">
      <c r="A181" s="186"/>
      <c r="B181" s="13"/>
      <c r="C181" s="14"/>
      <c r="D181" s="187"/>
      <c r="E181" s="188"/>
      <c r="F181" s="189"/>
      <c r="G181" s="187"/>
      <c r="H181" s="204"/>
      <c r="I181" s="204"/>
      <c r="J181" s="196"/>
      <c r="K181" s="196"/>
      <c r="L181" s="192" t="str">
        <f>IFERROR(__xludf.DUMMYFUNCTION("IF(
  AND(D181=""Saída"", J181=""Sangria""),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198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94" t="str">
        <f>IFERROR(__xludf.DUMMYFUNCTION("ifna(VALUE(REGEXEXTRACT(E181,""[0-9.]+[,]+[0-9]+"")))"),"")</f>
        <v/>
      </c>
      <c r="O181" s="258"/>
      <c r="P181" s="262"/>
      <c r="Q181" s="258"/>
      <c r="R181" s="258"/>
      <c r="S181" s="258"/>
      <c r="V181" s="258"/>
      <c r="W181" s="194"/>
    </row>
    <row r="182" ht="14.25" customHeight="1">
      <c r="A182" s="186"/>
      <c r="B182" s="13"/>
      <c r="C182" s="14"/>
      <c r="D182" s="187"/>
      <c r="E182" s="188"/>
      <c r="F182" s="189"/>
      <c r="G182" s="187"/>
      <c r="H182" s="204"/>
      <c r="I182" s="204"/>
      <c r="J182" s="196"/>
      <c r="K182" s="196"/>
      <c r="L182" s="192" t="str">
        <f>IFERROR(__xludf.DUMMYFUNCTION("IF(
  AND(D182=""Saída"", J182=""Sangria""),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197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94" t="str">
        <f>IFERROR(__xludf.DUMMYFUNCTION("ifna(VALUE(REGEXEXTRACT(E182,""[0-9.]+[,]+[0-9]+"")))"),"")</f>
        <v/>
      </c>
      <c r="O182" s="254"/>
      <c r="P182" s="263"/>
      <c r="Q182" s="254"/>
      <c r="R182" s="254"/>
      <c r="S182" s="254"/>
      <c r="V182" s="254"/>
      <c r="W182" s="194"/>
    </row>
    <row r="183" ht="14.25" customHeight="1">
      <c r="A183" s="186"/>
      <c r="B183" s="13"/>
      <c r="C183" s="14"/>
      <c r="D183" s="187"/>
      <c r="E183" s="188"/>
      <c r="F183" s="200"/>
      <c r="G183" s="187"/>
      <c r="H183" s="204"/>
      <c r="I183" s="204"/>
      <c r="J183" s="196"/>
      <c r="K183" s="196"/>
      <c r="L183" s="192" t="str">
        <f>IFERROR(__xludf.DUMMYFUNCTION("IF(
  AND(D183=""Saída"", J183=""Sangria""),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198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94" t="str">
        <f>IFERROR(__xludf.DUMMYFUNCTION("ifna(VALUE(REGEXEXTRACT(E183,""[0-9.]+[,]+[0-9]+"")))"),"")</f>
        <v/>
      </c>
      <c r="O183" s="258"/>
      <c r="P183" s="262"/>
      <c r="Q183" s="258"/>
      <c r="R183" s="258"/>
      <c r="S183" s="258"/>
      <c r="V183" s="258"/>
      <c r="W183" s="194"/>
    </row>
    <row r="184" ht="14.25" customHeight="1">
      <c r="A184" s="186"/>
      <c r="B184" s="13"/>
      <c r="C184" s="14"/>
      <c r="D184" s="187"/>
      <c r="E184" s="188"/>
      <c r="F184" s="200"/>
      <c r="G184" s="187"/>
      <c r="H184" s="204"/>
      <c r="I184" s="204"/>
      <c r="J184" s="196"/>
      <c r="K184" s="196"/>
      <c r="L184" s="192" t="str">
        <f>IFERROR(__xludf.DUMMYFUNCTION("IF(
  AND(D184=""Saída"", J184=""Sangria""),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197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94" t="str">
        <f>IFERROR(__xludf.DUMMYFUNCTION("ifna(VALUE(REGEXEXTRACT(E184,""[0-9.]+[,]+[0-9]+"")))"),"")</f>
        <v/>
      </c>
      <c r="O184" s="254"/>
      <c r="P184" s="263"/>
      <c r="Q184" s="254"/>
      <c r="R184" s="254"/>
      <c r="S184" s="254"/>
      <c r="V184" s="254"/>
      <c r="W184" s="194"/>
    </row>
    <row r="185" ht="14.25" customHeight="1">
      <c r="A185" s="186"/>
      <c r="B185" s="13"/>
      <c r="C185" s="14"/>
      <c r="D185" s="187"/>
      <c r="E185" s="188"/>
      <c r="F185" s="189"/>
      <c r="G185" s="187"/>
      <c r="H185" s="204"/>
      <c r="I185" s="204"/>
      <c r="J185" s="196"/>
      <c r="K185" s="196"/>
      <c r="L185" s="192" t="str">
        <f>IFERROR(__xludf.DUMMYFUNCTION("IF(
  AND(D185=""Saída"", J185=""Sangria""),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198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94" t="str">
        <f>IFERROR(__xludf.DUMMYFUNCTION("ifna(VALUE(REGEXEXTRACT(E185,""[0-9.]+[,]+[0-9]+"")))"),"")</f>
        <v/>
      </c>
      <c r="O185" s="258"/>
      <c r="P185" s="262"/>
      <c r="Q185" s="258"/>
      <c r="R185" s="258"/>
      <c r="S185" s="258"/>
      <c r="V185" s="258"/>
      <c r="W185" s="194"/>
    </row>
    <row r="186" ht="14.25" customHeight="1">
      <c r="A186" s="186"/>
      <c r="B186" s="13"/>
      <c r="C186" s="14"/>
      <c r="D186" s="187"/>
      <c r="E186" s="188"/>
      <c r="F186" s="200"/>
      <c r="G186" s="187"/>
      <c r="H186" s="204"/>
      <c r="I186" s="204"/>
      <c r="J186" s="196"/>
      <c r="K186" s="196"/>
      <c r="L186" s="192" t="str">
        <f>IFERROR(__xludf.DUMMYFUNCTION("IF(
  AND(D186=""Saída"", J186=""Sangria""),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197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94" t="str">
        <f>IFERROR(__xludf.DUMMYFUNCTION("ifna(VALUE(REGEXEXTRACT(E186,""[0-9.]+[,]+[0-9]+"")))"),"")</f>
        <v/>
      </c>
      <c r="O186" s="254"/>
      <c r="P186" s="263"/>
      <c r="Q186" s="254"/>
      <c r="R186" s="254"/>
      <c r="S186" s="254"/>
      <c r="V186" s="254"/>
      <c r="W186" s="194"/>
    </row>
    <row r="187" ht="14.25" customHeight="1">
      <c r="A187" s="186"/>
      <c r="B187" s="13"/>
      <c r="C187" s="14"/>
      <c r="D187" s="187"/>
      <c r="E187" s="188"/>
      <c r="F187" s="189"/>
      <c r="G187" s="187"/>
      <c r="H187" s="204"/>
      <c r="I187" s="204"/>
      <c r="J187" s="196"/>
      <c r="K187" s="196"/>
      <c r="L187" s="192" t="str">
        <f>IFERROR(__xludf.DUMMYFUNCTION("IF(
  AND(D187=""Saída"", J187=""Sangria""),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198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94" t="str">
        <f>IFERROR(__xludf.DUMMYFUNCTION("ifna(VALUE(REGEXEXTRACT(E187,""[0-9.]+[,]+[0-9]+"")))"),"")</f>
        <v/>
      </c>
      <c r="O187" s="258"/>
      <c r="P187" s="262"/>
      <c r="Q187" s="258"/>
      <c r="R187" s="258"/>
      <c r="S187" s="258"/>
      <c r="V187" s="258"/>
      <c r="W187" s="194"/>
    </row>
    <row r="188" ht="14.25" customHeight="1">
      <c r="A188" s="186"/>
      <c r="B188" s="13"/>
      <c r="C188" s="14"/>
      <c r="D188" s="187"/>
      <c r="E188" s="188"/>
      <c r="F188" s="189"/>
      <c r="G188" s="187"/>
      <c r="H188" s="204"/>
      <c r="I188" s="204"/>
      <c r="J188" s="196"/>
      <c r="K188" s="196"/>
      <c r="L188" s="192" t="str">
        <f>IFERROR(__xludf.DUMMYFUNCTION("IF(
  AND(D188=""Saída"", J188=""Sangria""),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197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94" t="str">
        <f>IFERROR(__xludf.DUMMYFUNCTION("ifna(VALUE(REGEXEXTRACT(E188,""[0-9.]+[,]+[0-9]+"")))"),"")</f>
        <v/>
      </c>
      <c r="O188" s="254"/>
      <c r="P188" s="263"/>
      <c r="Q188" s="254"/>
      <c r="R188" s="254"/>
      <c r="S188" s="254"/>
      <c r="V188" s="254"/>
      <c r="W188" s="194"/>
    </row>
    <row r="189" ht="14.25" customHeight="1">
      <c r="A189" s="186"/>
      <c r="B189" s="13"/>
      <c r="C189" s="14"/>
      <c r="D189" s="187"/>
      <c r="E189" s="188"/>
      <c r="F189" s="189"/>
      <c r="G189" s="187"/>
      <c r="H189" s="204"/>
      <c r="I189" s="204"/>
      <c r="J189" s="196"/>
      <c r="K189" s="196"/>
      <c r="L189" s="192" t="str">
        <f>IFERROR(__xludf.DUMMYFUNCTION("IF(
  AND(D189=""Saída"", J189=""Sangria""),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198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94" t="str">
        <f>IFERROR(__xludf.DUMMYFUNCTION("ifna(VALUE(REGEXEXTRACT(E189,""[0-9.]+[,]+[0-9]+"")))"),"")</f>
        <v/>
      </c>
      <c r="O189" s="258"/>
      <c r="P189" s="262"/>
      <c r="Q189" s="258"/>
      <c r="R189" s="258"/>
      <c r="S189" s="258"/>
      <c r="V189" s="258"/>
      <c r="W189" s="194"/>
    </row>
    <row r="190" ht="14.25" customHeight="1">
      <c r="A190" s="186"/>
      <c r="B190" s="13"/>
      <c r="C190" s="14"/>
      <c r="D190" s="187"/>
      <c r="E190" s="188"/>
      <c r="F190" s="189"/>
      <c r="G190" s="187"/>
      <c r="H190" s="204"/>
      <c r="I190" s="204"/>
      <c r="J190" s="196"/>
      <c r="K190" s="196"/>
      <c r="L190" s="192" t="str">
        <f>IFERROR(__xludf.DUMMYFUNCTION("IF(
  AND(D190=""Saída"", J190=""Sangria""),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197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94" t="str">
        <f>IFERROR(__xludf.DUMMYFUNCTION("ifna(VALUE(REGEXEXTRACT(E190,""[0-9.]+[,]+[0-9]+"")))"),"")</f>
        <v/>
      </c>
      <c r="O190" s="254"/>
      <c r="P190" s="263"/>
      <c r="Q190" s="254"/>
      <c r="R190" s="254"/>
      <c r="S190" s="254"/>
      <c r="V190" s="254"/>
      <c r="W190" s="194"/>
    </row>
    <row r="191" ht="14.25" customHeight="1">
      <c r="A191" s="186"/>
      <c r="B191" s="13"/>
      <c r="C191" s="14"/>
      <c r="D191" s="187"/>
      <c r="E191" s="188"/>
      <c r="F191" s="189"/>
      <c r="G191" s="187"/>
      <c r="H191" s="204"/>
      <c r="I191" s="204"/>
      <c r="J191" s="266"/>
      <c r="K191" s="196"/>
      <c r="L191" s="192" t="str">
        <f>IFERROR(__xludf.DUMMYFUNCTION("IF(
  AND(D191=""Saída"", J191=""Sangria""),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198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94" t="str">
        <f>IFERROR(__xludf.DUMMYFUNCTION("ifna(VALUE(REGEXEXTRACT(E191,""[0-9.]+[,]+[0-9]+"")))"),"")</f>
        <v/>
      </c>
      <c r="O191" s="258"/>
      <c r="P191" s="262"/>
      <c r="Q191" s="258"/>
      <c r="R191" s="258"/>
      <c r="S191" s="258"/>
      <c r="V191" s="258"/>
      <c r="W191" s="194"/>
    </row>
    <row r="192" ht="14.25" customHeight="1">
      <c r="A192" s="186"/>
      <c r="B192" s="13"/>
      <c r="C192" s="14"/>
      <c r="D192" s="187"/>
      <c r="E192" s="188"/>
      <c r="F192" s="200"/>
      <c r="G192" s="187"/>
      <c r="H192" s="204"/>
      <c r="I192" s="204"/>
      <c r="J192" s="196"/>
      <c r="K192" s="196"/>
      <c r="L192" s="192" t="str">
        <f>IFERROR(__xludf.DUMMYFUNCTION("IF(
  AND(D192=""Saída"", J192=""Sangria""),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197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94" t="str">
        <f>IFERROR(__xludf.DUMMYFUNCTION("ifna(VALUE(REGEXEXTRACT(E192,""[0-9.]+[,]+[0-9]+"")))"),"")</f>
        <v/>
      </c>
      <c r="O192" s="254"/>
      <c r="P192" s="263"/>
      <c r="Q192" s="254"/>
      <c r="R192" s="254"/>
      <c r="S192" s="254"/>
      <c r="V192" s="254"/>
      <c r="W192" s="194"/>
    </row>
    <row r="193" ht="14.25" customHeight="1">
      <c r="A193" s="186"/>
      <c r="B193" s="13"/>
      <c r="C193" s="14"/>
      <c r="D193" s="187"/>
      <c r="E193" s="188"/>
      <c r="F193" s="189"/>
      <c r="G193" s="187"/>
      <c r="H193" s="204"/>
      <c r="I193" s="204"/>
      <c r="J193" s="196"/>
      <c r="K193" s="196"/>
      <c r="L193" s="192" t="str">
        <f>IFERROR(__xludf.DUMMYFUNCTION("IF(
  AND(D193=""Saída"", J193=""Sangria""),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198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94" t="str">
        <f>IFERROR(__xludf.DUMMYFUNCTION("ifna(VALUE(REGEXEXTRACT(E193,""[0-9.]+[,]+[0-9]+"")))"),"")</f>
        <v/>
      </c>
      <c r="O193" s="194"/>
      <c r="P193" s="194"/>
      <c r="Q193" s="194"/>
      <c r="R193" s="194"/>
      <c r="S193" s="194"/>
      <c r="T193" s="194"/>
      <c r="U193" s="194"/>
      <c r="V193" s="194"/>
      <c r="W193" s="194"/>
    </row>
    <row r="194" ht="14.25" customHeight="1">
      <c r="A194" s="186"/>
      <c r="B194" s="13"/>
      <c r="C194" s="14"/>
      <c r="D194" s="187"/>
      <c r="E194" s="188"/>
      <c r="F194" s="189"/>
      <c r="G194" s="187"/>
      <c r="H194" s="204"/>
      <c r="I194" s="204"/>
      <c r="J194" s="196"/>
      <c r="K194" s="196"/>
      <c r="L194" s="192" t="str">
        <f>IFERROR(__xludf.DUMMYFUNCTION("IF(
  AND(D194=""Saída"", J194=""Sangria""),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197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94" t="str">
        <f>IFERROR(__xludf.DUMMYFUNCTION("ifna(VALUE(REGEXEXTRACT(E194,""[0-9.]+[,]+[0-9]+"")))"),"")</f>
        <v/>
      </c>
      <c r="O194" s="194"/>
      <c r="P194" s="194"/>
      <c r="Q194" s="194"/>
      <c r="R194" s="194"/>
      <c r="S194" s="194"/>
      <c r="T194" s="194"/>
      <c r="U194" s="194"/>
      <c r="V194" s="194"/>
      <c r="W194" s="194"/>
    </row>
    <row r="195" ht="14.25" customHeight="1">
      <c r="A195" s="186"/>
      <c r="B195" s="13"/>
      <c r="C195" s="14"/>
      <c r="D195" s="187"/>
      <c r="E195" s="188"/>
      <c r="F195" s="200"/>
      <c r="G195" s="187"/>
      <c r="H195" s="204"/>
      <c r="I195" s="204"/>
      <c r="J195" s="196"/>
      <c r="K195" s="196"/>
      <c r="L195" s="192" t="str">
        <f>IFERROR(__xludf.DUMMYFUNCTION("IF(
  AND(D195=""Saída"", J195=""Sangria""),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198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94" t="str">
        <f>IFERROR(__xludf.DUMMYFUNCTION("ifna(VALUE(REGEXEXTRACT(E195,""[0-9.]+[,]+[0-9]+"")))"),"")</f>
        <v/>
      </c>
      <c r="O195" s="194"/>
      <c r="P195" s="194"/>
      <c r="Q195" s="194"/>
      <c r="R195" s="194"/>
      <c r="S195" s="194"/>
      <c r="T195" s="194"/>
      <c r="U195" s="194"/>
      <c r="V195" s="194"/>
      <c r="W195" s="194"/>
    </row>
    <row r="196" ht="14.25" customHeight="1">
      <c r="A196" s="186"/>
      <c r="B196" s="13"/>
      <c r="C196" s="14"/>
      <c r="D196" s="187"/>
      <c r="E196" s="188"/>
      <c r="F196" s="189"/>
      <c r="G196" s="187"/>
      <c r="H196" s="204"/>
      <c r="I196" s="204"/>
      <c r="K196" s="196"/>
      <c r="L196" s="192" t="str">
        <f>IFERROR(__xludf.DUMMYFUNCTION("IF(
  AND(D196=""Saída"", J196=""Sangria""),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197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94" t="str">
        <f>IFERROR(__xludf.DUMMYFUNCTION("ifna(VALUE(REGEXEXTRACT(E196,""[0-9.]+[,]+[0-9]+"")))"),"")</f>
        <v/>
      </c>
      <c r="O196" s="194"/>
      <c r="P196" s="194"/>
      <c r="Q196" s="194"/>
      <c r="R196" s="194"/>
      <c r="S196" s="194"/>
      <c r="T196" s="194"/>
      <c r="U196" s="194"/>
      <c r="V196" s="194"/>
      <c r="W196" s="194"/>
    </row>
    <row r="197" ht="14.25" customHeight="1">
      <c r="A197" s="186"/>
      <c r="B197" s="13"/>
      <c r="C197" s="14"/>
      <c r="D197" s="187"/>
      <c r="E197" s="188"/>
      <c r="F197" s="189"/>
      <c r="G197" s="187"/>
      <c r="H197" s="204"/>
      <c r="I197" s="204"/>
      <c r="J197" s="196"/>
      <c r="K197" s="196"/>
      <c r="L197" s="192" t="str">
        <f>IFERROR(__xludf.DUMMYFUNCTION("IF(
  AND(D197=""Saída"", J197=""Sangria""),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198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94" t="str">
        <f>IFERROR(__xludf.DUMMYFUNCTION("ifna(VALUE(REGEXEXTRACT(E197,""[0-9.]+[,]+[0-9]+"")))"),"")</f>
        <v/>
      </c>
      <c r="O197" s="194"/>
      <c r="P197" s="194"/>
      <c r="Q197" s="194"/>
      <c r="R197" s="194"/>
      <c r="S197" s="194"/>
      <c r="T197" s="194"/>
      <c r="U197" s="194"/>
      <c r="V197" s="194"/>
      <c r="W197" s="194"/>
    </row>
    <row r="198" ht="14.25" customHeight="1">
      <c r="A198" s="186"/>
      <c r="B198" s="13"/>
      <c r="C198" s="14"/>
      <c r="D198" s="187"/>
      <c r="E198" s="188"/>
      <c r="F198" s="189"/>
      <c r="G198" s="187"/>
      <c r="H198" s="204"/>
      <c r="I198" s="204"/>
      <c r="J198" s="196"/>
      <c r="K198" s="196"/>
      <c r="L198" s="192" t="str">
        <f>IFERROR(__xludf.DUMMYFUNCTION("IF(
  AND(D198=""Saída"", J198=""Sangria""),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197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94" t="str">
        <f>IFERROR(__xludf.DUMMYFUNCTION("ifna(VALUE(REGEXEXTRACT(E198,""[0-9.]+[,]+[0-9]+"")))"),"")</f>
        <v/>
      </c>
      <c r="O198" s="194"/>
      <c r="P198" s="194"/>
      <c r="Q198" s="194"/>
      <c r="R198" s="194"/>
      <c r="S198" s="194"/>
      <c r="T198" s="194"/>
      <c r="U198" s="194"/>
      <c r="V198" s="194"/>
      <c r="W198" s="194"/>
    </row>
    <row r="199" ht="14.25" customHeight="1">
      <c r="A199" s="186"/>
      <c r="B199" s="13"/>
      <c r="C199" s="14"/>
      <c r="D199" s="187"/>
      <c r="E199" s="188"/>
      <c r="F199" s="189"/>
      <c r="G199" s="187"/>
      <c r="H199" s="204"/>
      <c r="I199" s="204"/>
      <c r="J199" s="196"/>
      <c r="K199" s="196"/>
      <c r="L199" s="192" t="str">
        <f>IFERROR(__xludf.DUMMYFUNCTION("IF(
  AND(D199=""Saída"", J199=""Sangria""),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198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94" t="str">
        <f>IFERROR(__xludf.DUMMYFUNCTION("ifna(VALUE(REGEXEXTRACT(E199,""[0-9.]+[,]+[0-9]+"")))"),"")</f>
        <v/>
      </c>
      <c r="O199" s="194"/>
      <c r="P199" s="194"/>
      <c r="Q199" s="194"/>
      <c r="R199" s="194"/>
      <c r="S199" s="194"/>
      <c r="T199" s="194"/>
      <c r="U199" s="194"/>
      <c r="V199" s="194"/>
      <c r="W199" s="194"/>
    </row>
    <row r="200" ht="14.25" customHeight="1">
      <c r="A200" s="186"/>
      <c r="B200" s="13"/>
      <c r="C200" s="14"/>
      <c r="D200" s="187"/>
      <c r="E200" s="188"/>
      <c r="F200" s="189"/>
      <c r="G200" s="187"/>
      <c r="H200" s="204"/>
      <c r="I200" s="204"/>
      <c r="J200" s="196"/>
      <c r="K200" s="196"/>
      <c r="L200" s="192" t="str">
        <f>IFERROR(__xludf.DUMMYFUNCTION("IF(
  AND(D200=""Saída"", J200=""Sangria""),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197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94" t="str">
        <f>IFERROR(__xludf.DUMMYFUNCTION("ifna(VALUE(REGEXEXTRACT(E200,""[0-9.]+[,]+[0-9]+"")))"),"")</f>
        <v/>
      </c>
      <c r="O200" s="194"/>
      <c r="P200" s="194"/>
      <c r="Q200" s="194"/>
      <c r="R200" s="194"/>
      <c r="S200" s="194"/>
      <c r="T200" s="194"/>
      <c r="U200" s="194"/>
      <c r="V200" s="194"/>
      <c r="W200" s="194"/>
    </row>
    <row r="201" ht="14.25" customHeight="1">
      <c r="A201" s="186"/>
      <c r="B201" s="13"/>
      <c r="C201" s="14"/>
      <c r="D201" s="187"/>
      <c r="E201" s="188"/>
      <c r="F201" s="189"/>
      <c r="G201" s="187"/>
      <c r="H201" s="204"/>
      <c r="I201" s="204"/>
      <c r="J201" s="196"/>
      <c r="K201" s="196"/>
      <c r="L201" s="192" t="str">
        <f>IFERROR(__xludf.DUMMYFUNCTION("IF(
  AND(D201=""Saída"", J201=""Sangria""),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198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94" t="str">
        <f>IFERROR(__xludf.DUMMYFUNCTION("ifna(VALUE(REGEXEXTRACT(E201,""[0-9.]+[,]+[0-9]+"")))"),"")</f>
        <v/>
      </c>
      <c r="O201" s="194"/>
      <c r="P201" s="194"/>
      <c r="Q201" s="194"/>
      <c r="R201" s="194"/>
      <c r="S201" s="194"/>
      <c r="T201" s="194"/>
      <c r="U201" s="194"/>
      <c r="V201" s="194"/>
      <c r="W201" s="194"/>
    </row>
    <row r="202" ht="14.25" customHeight="1">
      <c r="A202" s="186"/>
      <c r="B202" s="13"/>
      <c r="C202" s="14"/>
      <c r="D202" s="187"/>
      <c r="E202" s="188"/>
      <c r="F202" s="189"/>
      <c r="G202" s="187"/>
      <c r="H202" s="204"/>
      <c r="I202" s="204"/>
      <c r="J202" s="196"/>
      <c r="K202" s="196"/>
      <c r="L202" s="192" t="str">
        <f>IFERROR(__xludf.DUMMYFUNCTION("IF(
  AND(D202=""Saída"", J202=""Sangria""),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197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94" t="str">
        <f>IFERROR(__xludf.DUMMYFUNCTION("ifna(VALUE(REGEXEXTRACT(E202,""[0-9.]+[,]+[0-9]+"")))"),"")</f>
        <v/>
      </c>
      <c r="O202" s="194"/>
      <c r="P202" s="194"/>
      <c r="Q202" s="194"/>
      <c r="R202" s="194"/>
      <c r="S202" s="194"/>
      <c r="T202" s="194"/>
      <c r="U202" s="194"/>
      <c r="V202" s="194"/>
      <c r="W202" s="194"/>
    </row>
    <row r="203" ht="14.25" customHeight="1">
      <c r="A203" s="186"/>
      <c r="B203" s="13"/>
      <c r="C203" s="14"/>
      <c r="D203" s="187"/>
      <c r="E203" s="188"/>
      <c r="F203" s="189"/>
      <c r="G203" s="187"/>
      <c r="H203" s="204"/>
      <c r="I203" s="204"/>
      <c r="J203" s="196"/>
      <c r="K203" s="196"/>
      <c r="L203" s="192" t="str">
        <f>IFERROR(__xludf.DUMMYFUNCTION("IF(
  AND(D203=""Saída"", J203=""Sangria""),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198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94" t="str">
        <f>IFERROR(__xludf.DUMMYFUNCTION("ifna(VALUE(REGEXEXTRACT(E203,""[0-9.]+[,]+[0-9]+"")))"),"")</f>
        <v/>
      </c>
      <c r="O203" s="194"/>
      <c r="P203" s="194"/>
      <c r="Q203" s="194"/>
      <c r="R203" s="194"/>
      <c r="S203" s="194"/>
      <c r="T203" s="194"/>
      <c r="U203" s="194"/>
      <c r="V203" s="194"/>
      <c r="W203" s="194"/>
    </row>
    <row r="204" ht="14.25" customHeight="1">
      <c r="A204" s="186"/>
      <c r="B204" s="13"/>
      <c r="C204" s="14"/>
      <c r="D204" s="187"/>
      <c r="E204" s="188"/>
      <c r="F204" s="189"/>
      <c r="G204" s="187"/>
      <c r="H204" s="204"/>
      <c r="I204" s="204"/>
      <c r="J204" s="196"/>
      <c r="K204" s="196"/>
      <c r="L204" s="192" t="str">
        <f>IFERROR(__xludf.DUMMYFUNCTION("IF(
  AND(D204=""Saída"", J204=""Sangria""),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197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94" t="str">
        <f>IFERROR(__xludf.DUMMYFUNCTION("ifna(VALUE(REGEXEXTRACT(E204,""[0-9.]+[,]+[0-9]+"")))"),"")</f>
        <v/>
      </c>
      <c r="O204" s="194"/>
      <c r="P204" s="194"/>
      <c r="Q204" s="194"/>
      <c r="R204" s="194"/>
      <c r="S204" s="194"/>
      <c r="T204" s="194"/>
      <c r="U204" s="194"/>
      <c r="V204" s="194"/>
      <c r="W204" s="194"/>
    </row>
    <row r="205" ht="14.25" customHeight="1">
      <c r="A205" s="186"/>
      <c r="B205" s="13"/>
      <c r="C205" s="14"/>
      <c r="D205" s="187"/>
      <c r="E205" s="188"/>
      <c r="F205" s="200"/>
      <c r="G205" s="187"/>
      <c r="H205" s="204"/>
      <c r="I205" s="204"/>
      <c r="J205" s="196"/>
      <c r="K205" s="196"/>
      <c r="L205" s="192" t="str">
        <f>IFERROR(__xludf.DUMMYFUNCTION("IF(
  AND(D205=""Saída"", J205=""Sangria""),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198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94" t="str">
        <f>IFERROR(__xludf.DUMMYFUNCTION("ifna(VALUE(REGEXEXTRACT(E205,""[0-9.]+[,]+[0-9]+"")))"),"")</f>
        <v/>
      </c>
      <c r="O205" s="194"/>
      <c r="P205" s="194"/>
      <c r="Q205" s="194"/>
      <c r="R205" s="194"/>
      <c r="S205" s="194"/>
      <c r="T205" s="194"/>
      <c r="U205" s="194"/>
      <c r="V205" s="194"/>
      <c r="W205" s="194"/>
    </row>
    <row r="206" ht="14.25" customHeight="1">
      <c r="A206" s="186"/>
      <c r="B206" s="13"/>
      <c r="C206" s="14"/>
      <c r="D206" s="187"/>
      <c r="E206" s="188"/>
      <c r="F206" s="189"/>
      <c r="G206" s="187"/>
      <c r="H206" s="204"/>
      <c r="I206" s="204"/>
      <c r="J206" s="196"/>
      <c r="K206" s="196"/>
      <c r="L206" s="192" t="str">
        <f>IFERROR(__xludf.DUMMYFUNCTION("IF(
  AND(D206=""Saída"", J206=""Sangria""),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197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94" t="str">
        <f>IFERROR(__xludf.DUMMYFUNCTION("ifna(VALUE(REGEXEXTRACT(E206,""[0-9.]+[,]+[0-9]+"")))"),"")</f>
        <v/>
      </c>
      <c r="O206" s="194"/>
      <c r="P206" s="194"/>
      <c r="Q206" s="194"/>
      <c r="R206" s="194"/>
      <c r="S206" s="194"/>
      <c r="T206" s="194"/>
      <c r="U206" s="194"/>
      <c r="V206" s="194"/>
      <c r="W206" s="194"/>
    </row>
    <row r="207" ht="14.25" customHeight="1">
      <c r="A207" s="186"/>
      <c r="B207" s="13"/>
      <c r="C207" s="14"/>
      <c r="D207" s="187"/>
      <c r="E207" s="188"/>
      <c r="F207" s="189"/>
      <c r="G207" s="187"/>
      <c r="H207" s="204"/>
      <c r="I207" s="204"/>
      <c r="J207" s="196"/>
      <c r="K207" s="196"/>
      <c r="L207" s="192" t="str">
        <f>IFERROR(__xludf.DUMMYFUNCTION("IF(
  AND(D207=""Saída"", J207=""Sangria""),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198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94" t="str">
        <f>IFERROR(__xludf.DUMMYFUNCTION("ifna(VALUE(REGEXEXTRACT(E207,""[0-9.]+[,]+[0-9]+"")))"),"")</f>
        <v/>
      </c>
      <c r="O207" s="194"/>
      <c r="P207" s="194"/>
      <c r="Q207" s="194"/>
      <c r="R207" s="194"/>
      <c r="S207" s="194"/>
      <c r="T207" s="194"/>
      <c r="U207" s="194"/>
      <c r="V207" s="194"/>
      <c r="W207" s="194"/>
    </row>
    <row r="208" ht="14.25" customHeight="1">
      <c r="A208" s="186"/>
      <c r="B208" s="13"/>
      <c r="C208" s="14"/>
      <c r="D208" s="187"/>
      <c r="E208" s="188"/>
      <c r="F208" s="189"/>
      <c r="G208" s="187"/>
      <c r="H208" s="204"/>
      <c r="I208" s="204"/>
      <c r="J208" s="196"/>
      <c r="K208" s="196"/>
      <c r="L208" s="192" t="str">
        <f>IFERROR(__xludf.DUMMYFUNCTION("IF(
  AND(D208=""Saída"", J208=""Sangria""),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197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94" t="str">
        <f>IFERROR(__xludf.DUMMYFUNCTION("ifna(VALUE(REGEXEXTRACT(E208,""[0-9.]+[,]+[0-9]+"")))"),"")</f>
        <v/>
      </c>
      <c r="O208" s="194"/>
      <c r="P208" s="194"/>
      <c r="Q208" s="194"/>
      <c r="R208" s="194"/>
      <c r="S208" s="194"/>
      <c r="T208" s="194"/>
      <c r="U208" s="194"/>
      <c r="V208" s="194"/>
      <c r="W208" s="194"/>
    </row>
    <row r="209" ht="14.25" customHeight="1">
      <c r="A209" s="186"/>
      <c r="B209" s="13"/>
      <c r="C209" s="14"/>
      <c r="D209" s="187"/>
      <c r="E209" s="188"/>
      <c r="F209" s="189"/>
      <c r="G209" s="187"/>
      <c r="H209" s="204"/>
      <c r="I209" s="204"/>
      <c r="K209" s="196"/>
      <c r="L209" s="192" t="str">
        <f>IFERROR(__xludf.DUMMYFUNCTION("IF(
  AND(D209=""Saída"", J209=""Sangria""),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198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94" t="str">
        <f>IFERROR(__xludf.DUMMYFUNCTION("ifna(VALUE(REGEXEXTRACT(E209,""[0-9.]+[,]+[0-9]+"")))"),"")</f>
        <v/>
      </c>
      <c r="O209" s="194"/>
      <c r="P209" s="194"/>
      <c r="Q209" s="194"/>
      <c r="R209" s="194"/>
      <c r="S209" s="194"/>
      <c r="T209" s="194"/>
      <c r="U209" s="194"/>
      <c r="V209" s="194"/>
      <c r="W209" s="194"/>
    </row>
    <row r="210" ht="14.25" customHeight="1">
      <c r="A210" s="186"/>
      <c r="B210" s="13"/>
      <c r="C210" s="14"/>
      <c r="D210" s="187"/>
      <c r="E210" s="188"/>
      <c r="F210" s="200"/>
      <c r="G210" s="187"/>
      <c r="H210" s="204"/>
      <c r="I210" s="204"/>
      <c r="J210" s="196"/>
      <c r="K210" s="196"/>
      <c r="L210" s="192" t="str">
        <f>IFERROR(__xludf.DUMMYFUNCTION("IF(
  AND(D210=""Saída"", J210=""Sangria""),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197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94" t="str">
        <f>IFERROR(__xludf.DUMMYFUNCTION("ifna(VALUE(REGEXEXTRACT(E210,""[0-9.]+[,]+[0-9]+"")))"),"")</f>
        <v/>
      </c>
      <c r="O210" s="194"/>
      <c r="P210" s="194"/>
      <c r="Q210" s="194"/>
      <c r="R210" s="194"/>
      <c r="S210" s="194"/>
      <c r="T210" s="194"/>
      <c r="U210" s="194"/>
      <c r="V210" s="194"/>
      <c r="W210" s="194"/>
    </row>
    <row r="211" ht="14.25" customHeight="1">
      <c r="A211" s="186"/>
      <c r="B211" s="13"/>
      <c r="C211" s="14"/>
      <c r="D211" s="187"/>
      <c r="E211" s="188"/>
      <c r="F211" s="189"/>
      <c r="G211" s="187"/>
      <c r="H211" s="204"/>
      <c r="I211" s="204"/>
      <c r="J211" s="196"/>
      <c r="K211" s="196"/>
      <c r="L211" s="192" t="str">
        <f>IFERROR(__xludf.DUMMYFUNCTION("IF(
  AND(D211=""Saída"", J211=""Sangria""),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198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94" t="str">
        <f>IFERROR(__xludf.DUMMYFUNCTION("ifna(VALUE(REGEXEXTRACT(E211,""[0-9.]+[,]+[0-9]+"")))"),"")</f>
        <v/>
      </c>
      <c r="O211" s="194"/>
      <c r="P211" s="194"/>
      <c r="Q211" s="194"/>
      <c r="R211" s="194"/>
      <c r="S211" s="194"/>
      <c r="T211" s="194"/>
      <c r="U211" s="194"/>
      <c r="V211" s="194"/>
      <c r="W211" s="194"/>
    </row>
    <row r="212" ht="14.25" customHeight="1">
      <c r="A212" s="186"/>
      <c r="B212" s="13"/>
      <c r="C212" s="14"/>
      <c r="D212" s="187"/>
      <c r="E212" s="188"/>
      <c r="F212" s="200"/>
      <c r="G212" s="187"/>
      <c r="H212" s="204"/>
      <c r="I212" s="204"/>
      <c r="J212" s="196"/>
      <c r="K212" s="196"/>
      <c r="L212" s="192" t="str">
        <f>IFERROR(__xludf.DUMMYFUNCTION("IF(
  AND(D212=""Saída"", J212=""Sangria""),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197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94" t="str">
        <f>IFERROR(__xludf.DUMMYFUNCTION("ifna(VALUE(REGEXEXTRACT(E212,""[0-9.]+[,]+[0-9]+"")))"),"")</f>
        <v/>
      </c>
      <c r="O212" s="194"/>
      <c r="P212" s="194"/>
      <c r="Q212" s="194"/>
      <c r="R212" s="194"/>
      <c r="S212" s="194"/>
      <c r="T212" s="194"/>
      <c r="U212" s="194"/>
      <c r="V212" s="194"/>
      <c r="W212" s="194"/>
    </row>
    <row r="213" ht="14.25" customHeight="1">
      <c r="A213" s="186"/>
      <c r="B213" s="13"/>
      <c r="C213" s="14"/>
      <c r="D213" s="187"/>
      <c r="E213" s="188"/>
      <c r="F213" s="189"/>
      <c r="G213" s="187"/>
      <c r="H213" s="204"/>
      <c r="I213" s="204"/>
      <c r="J213" s="196"/>
      <c r="K213" s="196"/>
      <c r="L213" s="192" t="str">
        <f>IFERROR(__xludf.DUMMYFUNCTION("IF(
  AND(D213=""Saída"", J213=""Sangria""),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198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94" t="str">
        <f>IFERROR(__xludf.DUMMYFUNCTION("ifna(VALUE(REGEXEXTRACT(E213,""[0-9.]+[,]+[0-9]+"")))"),"")</f>
        <v/>
      </c>
      <c r="O213" s="194"/>
      <c r="P213" s="194"/>
      <c r="Q213" s="194"/>
      <c r="R213" s="194"/>
      <c r="S213" s="194"/>
      <c r="T213" s="194"/>
      <c r="U213" s="194"/>
      <c r="V213" s="194"/>
      <c r="W213" s="194"/>
    </row>
    <row r="214" ht="14.25" customHeight="1">
      <c r="A214" s="186"/>
      <c r="B214" s="13"/>
      <c r="C214" s="14"/>
      <c r="D214" s="187"/>
      <c r="E214" s="188"/>
      <c r="F214" s="189"/>
      <c r="G214" s="187"/>
      <c r="H214" s="204"/>
      <c r="I214" s="204"/>
      <c r="J214" s="196"/>
      <c r="K214" s="196"/>
      <c r="L214" s="192" t="str">
        <f>IFERROR(__xludf.DUMMYFUNCTION("IF(
  AND(D214=""Saída"", J214=""Sangria""),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197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94" t="str">
        <f>IFERROR(__xludf.DUMMYFUNCTION("ifna(VALUE(REGEXEXTRACT(E214,""[0-9.]+[,]+[0-9]+"")))"),"")</f>
        <v/>
      </c>
      <c r="O214" s="194"/>
      <c r="P214" s="194"/>
      <c r="Q214" s="194"/>
      <c r="R214" s="194"/>
      <c r="S214" s="194"/>
      <c r="T214" s="194"/>
      <c r="U214" s="194"/>
      <c r="V214" s="194"/>
      <c r="W214" s="194"/>
    </row>
    <row r="215" ht="14.25" customHeight="1">
      <c r="A215" s="186"/>
      <c r="B215" s="13"/>
      <c r="C215" s="14"/>
      <c r="D215" s="187"/>
      <c r="E215" s="188"/>
      <c r="F215" s="189"/>
      <c r="G215" s="187"/>
      <c r="H215" s="204"/>
      <c r="I215" s="204"/>
      <c r="J215" s="196"/>
      <c r="K215" s="196"/>
      <c r="L215" s="192" t="str">
        <f>IFERROR(__xludf.DUMMYFUNCTION("IF(
  AND(D215=""Saída"", J215=""Sangria""),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198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94" t="str">
        <f>IFERROR(__xludf.DUMMYFUNCTION("ifna(VALUE(REGEXEXTRACT(E215,""[0-9.]+[,]+[0-9]+"")))"),"")</f>
        <v/>
      </c>
      <c r="O215" s="194"/>
      <c r="P215" s="194"/>
      <c r="Q215" s="194"/>
      <c r="R215" s="194"/>
      <c r="S215" s="194"/>
      <c r="T215" s="194"/>
      <c r="U215" s="194"/>
      <c r="V215" s="194"/>
      <c r="W215" s="194"/>
    </row>
    <row r="216" ht="14.25" customHeight="1">
      <c r="A216" s="186"/>
      <c r="B216" s="13"/>
      <c r="C216" s="14"/>
      <c r="D216" s="187"/>
      <c r="E216" s="188"/>
      <c r="F216" s="200"/>
      <c r="G216" s="187"/>
      <c r="H216" s="204"/>
      <c r="I216" s="204"/>
      <c r="J216" s="196"/>
      <c r="K216" s="196"/>
      <c r="L216" s="192" t="str">
        <f>IFERROR(__xludf.DUMMYFUNCTION("IF(
  AND(D216=""Saída"", J216=""Sangria""),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197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94" t="str">
        <f>IFERROR(__xludf.DUMMYFUNCTION("ifna(VALUE(REGEXEXTRACT(E216,""[0-9.]+[,]+[0-9]+"")))"),"")</f>
        <v/>
      </c>
      <c r="O216" s="194"/>
      <c r="P216" s="194"/>
      <c r="Q216" s="194"/>
      <c r="R216" s="194"/>
      <c r="S216" s="194"/>
      <c r="T216" s="194"/>
      <c r="U216" s="194"/>
      <c r="V216" s="194"/>
      <c r="W216" s="194"/>
    </row>
    <row r="217" ht="14.25" customHeight="1">
      <c r="A217" s="186"/>
      <c r="B217" s="13"/>
      <c r="C217" s="14"/>
      <c r="D217" s="187"/>
      <c r="E217" s="188"/>
      <c r="F217" s="189"/>
      <c r="G217" s="187"/>
      <c r="H217" s="204"/>
      <c r="I217" s="204"/>
      <c r="J217" s="196"/>
      <c r="K217" s="196"/>
      <c r="L217" s="192" t="str">
        <f>IFERROR(__xludf.DUMMYFUNCTION("IF(
  AND(D217=""Saída"", J217=""Sangria""),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198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94" t="str">
        <f>IFERROR(__xludf.DUMMYFUNCTION("ifna(VALUE(REGEXEXTRACT(E217,""[0-9.]+[,]+[0-9]+"")))"),"")</f>
        <v/>
      </c>
      <c r="O217" s="194"/>
      <c r="P217" s="194"/>
      <c r="Q217" s="194"/>
      <c r="R217" s="194"/>
      <c r="S217" s="194"/>
      <c r="T217" s="194"/>
      <c r="U217" s="194"/>
      <c r="V217" s="194"/>
      <c r="W217" s="194"/>
    </row>
    <row r="218" ht="14.25" customHeight="1">
      <c r="A218" s="186"/>
      <c r="B218" s="13"/>
      <c r="C218" s="14"/>
      <c r="D218" s="187"/>
      <c r="E218" s="188"/>
      <c r="F218" s="189"/>
      <c r="G218" s="187"/>
      <c r="H218" s="204"/>
      <c r="I218" s="204"/>
      <c r="J218" s="196"/>
      <c r="K218" s="196"/>
      <c r="L218" s="192" t="str">
        <f>IFERROR(__xludf.DUMMYFUNCTION("IF(
  AND(D218=""Saída"", J218=""Sangria""),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197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94" t="str">
        <f>IFERROR(__xludf.DUMMYFUNCTION("ifna(VALUE(REGEXEXTRACT(E218,""[0-9.]+[,]+[0-9]+"")))"),"")</f>
        <v/>
      </c>
      <c r="O218" s="194"/>
      <c r="P218" s="194"/>
      <c r="Q218" s="194"/>
      <c r="R218" s="194"/>
      <c r="S218" s="194"/>
      <c r="T218" s="194"/>
      <c r="U218" s="194"/>
      <c r="V218" s="194"/>
      <c r="W218" s="194"/>
    </row>
    <row r="219" ht="14.25" customHeight="1">
      <c r="A219" s="186"/>
      <c r="B219" s="13"/>
      <c r="C219" s="14"/>
      <c r="D219" s="187"/>
      <c r="E219" s="188"/>
      <c r="F219" s="189"/>
      <c r="G219" s="187"/>
      <c r="H219" s="204"/>
      <c r="I219" s="204"/>
      <c r="J219" s="196"/>
      <c r="K219" s="196"/>
      <c r="L219" s="192" t="str">
        <f>IFERROR(__xludf.DUMMYFUNCTION("IF(
  AND(D219=""Saída"", J219=""Sangria""),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198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94" t="str">
        <f>IFERROR(__xludf.DUMMYFUNCTION("ifna(VALUE(REGEXEXTRACT(E219,""[0-9.]+[,]+[0-9]+"")))"),"")</f>
        <v/>
      </c>
      <c r="O219" s="194"/>
      <c r="P219" s="194"/>
      <c r="Q219" s="194"/>
      <c r="R219" s="194"/>
      <c r="S219" s="194"/>
      <c r="T219" s="194"/>
      <c r="U219" s="194"/>
      <c r="V219" s="194"/>
      <c r="W219" s="194"/>
    </row>
    <row r="220" ht="14.25" customHeight="1">
      <c r="A220" s="186"/>
      <c r="B220" s="13"/>
      <c r="C220" s="14"/>
      <c r="D220" s="187"/>
      <c r="E220" s="188"/>
      <c r="F220" s="189"/>
      <c r="G220" s="187"/>
      <c r="H220" s="204"/>
      <c r="I220" s="204"/>
      <c r="J220" s="196"/>
      <c r="K220" s="196"/>
      <c r="L220" s="192" t="str">
        <f>IFERROR(__xludf.DUMMYFUNCTION("IF(
  AND(D220=""Saída"", J220=""Sangria""),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197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94" t="str">
        <f>IFERROR(__xludf.DUMMYFUNCTION("ifna(VALUE(REGEXEXTRACT(E220,""[0-9.]+[,]+[0-9]+"")))"),"")</f>
        <v/>
      </c>
      <c r="O220" s="194"/>
      <c r="P220" s="194"/>
      <c r="Q220" s="194"/>
      <c r="R220" s="194"/>
      <c r="S220" s="194"/>
      <c r="T220" s="194"/>
      <c r="U220" s="194"/>
      <c r="V220" s="194"/>
      <c r="W220" s="194"/>
    </row>
    <row r="221" ht="14.25" customHeight="1">
      <c r="A221" s="186"/>
      <c r="B221" s="13"/>
      <c r="C221" s="14"/>
      <c r="D221" s="187"/>
      <c r="E221" s="188"/>
      <c r="F221" s="189"/>
      <c r="G221" s="187"/>
      <c r="H221" s="204"/>
      <c r="I221" s="204"/>
      <c r="J221" s="196"/>
      <c r="K221" s="196"/>
      <c r="L221" s="192" t="str">
        <f>IFERROR(__xludf.DUMMYFUNCTION("IF(
  AND(D221=""Saída"", J221=""Sangria""),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198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94" t="str">
        <f>IFERROR(__xludf.DUMMYFUNCTION("ifna(VALUE(REGEXEXTRACT(E221,""[0-9.]+[,]+[0-9]+"")))"),"")</f>
        <v/>
      </c>
      <c r="O221" s="194"/>
      <c r="P221" s="194"/>
      <c r="Q221" s="194"/>
      <c r="R221" s="194"/>
      <c r="S221" s="194"/>
      <c r="T221" s="194"/>
      <c r="U221" s="194"/>
      <c r="V221" s="194"/>
      <c r="W221" s="194"/>
    </row>
    <row r="222" ht="14.25" customHeight="1">
      <c r="A222" s="186"/>
      <c r="B222" s="13"/>
      <c r="C222" s="14"/>
      <c r="D222" s="187"/>
      <c r="E222" s="188"/>
      <c r="F222" s="189"/>
      <c r="G222" s="187"/>
      <c r="H222" s="204"/>
      <c r="I222" s="204"/>
      <c r="J222" s="196"/>
      <c r="K222" s="196"/>
      <c r="L222" s="192" t="str">
        <f>IFERROR(__xludf.DUMMYFUNCTION("IF(
  AND(D222=""Saída"", J222=""Sangria""),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197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94" t="str">
        <f>IFERROR(__xludf.DUMMYFUNCTION("ifna(VALUE(REGEXEXTRACT(E222,""[0-9.]+[,]+[0-9]+"")))"),"")</f>
        <v/>
      </c>
      <c r="O222" s="194"/>
      <c r="P222" s="194"/>
      <c r="Q222" s="194"/>
      <c r="R222" s="194"/>
      <c r="S222" s="194"/>
      <c r="T222" s="194"/>
      <c r="U222" s="194"/>
      <c r="V222" s="194"/>
      <c r="W222" s="194"/>
    </row>
    <row r="223" ht="14.25" customHeight="1">
      <c r="A223" s="186"/>
      <c r="B223" s="13"/>
      <c r="C223" s="14"/>
      <c r="D223" s="187"/>
      <c r="E223" s="188"/>
      <c r="F223" s="189"/>
      <c r="G223" s="187"/>
      <c r="H223" s="204"/>
      <c r="I223" s="204"/>
      <c r="J223" s="196"/>
      <c r="K223" s="196"/>
      <c r="L223" s="192" t="str">
        <f>IFERROR(__xludf.DUMMYFUNCTION("IF(
  AND(D223=""Saída"", J223=""Sangria""),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198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94" t="str">
        <f>IFERROR(__xludf.DUMMYFUNCTION("ifna(VALUE(REGEXEXTRACT(E223,""[0-9.]+[,]+[0-9]+"")))"),"")</f>
        <v/>
      </c>
      <c r="O223" s="194"/>
      <c r="P223" s="194"/>
      <c r="Q223" s="194"/>
      <c r="R223" s="194"/>
      <c r="S223" s="194"/>
      <c r="T223" s="194"/>
      <c r="U223" s="194"/>
      <c r="V223" s="194"/>
      <c r="W223" s="194"/>
    </row>
    <row r="224" ht="14.25" customHeight="1">
      <c r="A224" s="186"/>
      <c r="B224" s="13"/>
      <c r="C224" s="14"/>
      <c r="D224" s="187"/>
      <c r="E224" s="188"/>
      <c r="F224" s="189"/>
      <c r="G224" s="187"/>
      <c r="H224" s="204"/>
      <c r="I224" s="204"/>
      <c r="J224" s="196"/>
      <c r="K224" s="196"/>
      <c r="L224" s="192" t="str">
        <f>IFERROR(__xludf.DUMMYFUNCTION("IF(
  AND(D224=""Saída"", J224=""Sangria""),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197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94" t="str">
        <f>IFERROR(__xludf.DUMMYFUNCTION("ifna(VALUE(REGEXEXTRACT(E224,""[0-9.]+[,]+[0-9]+"")))"),"")</f>
        <v/>
      </c>
      <c r="O224" s="194"/>
      <c r="P224" s="194"/>
      <c r="Q224" s="194"/>
      <c r="R224" s="194"/>
      <c r="S224" s="194"/>
      <c r="T224" s="194"/>
      <c r="U224" s="194"/>
      <c r="V224" s="194"/>
      <c r="W224" s="194"/>
    </row>
    <row r="225" ht="14.25" customHeight="1">
      <c r="A225" s="186"/>
      <c r="B225" s="13"/>
      <c r="C225" s="14"/>
      <c r="D225" s="187"/>
      <c r="E225" s="188"/>
      <c r="F225" s="189"/>
      <c r="G225" s="187"/>
      <c r="H225" s="204"/>
      <c r="I225" s="204"/>
      <c r="J225" s="196"/>
      <c r="K225" s="202"/>
      <c r="L225" s="192" t="str">
        <f>IFERROR(__xludf.DUMMYFUNCTION("IF(
  AND(D225=""Saída"", J225=""Sangria""),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198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94" t="str">
        <f>IFERROR(__xludf.DUMMYFUNCTION("ifna(VALUE(REGEXEXTRACT(E225,""[0-9.]+[,]+[0-9]+"")))"),"")</f>
        <v/>
      </c>
      <c r="O225" s="194"/>
      <c r="P225" s="194"/>
      <c r="Q225" s="194"/>
      <c r="R225" s="194"/>
      <c r="S225" s="194"/>
      <c r="T225" s="194"/>
      <c r="U225" s="194"/>
      <c r="V225" s="194"/>
      <c r="W225" s="194"/>
    </row>
    <row r="226" ht="14.25" customHeight="1">
      <c r="A226" s="186"/>
      <c r="B226" s="13"/>
      <c r="C226" s="14"/>
      <c r="D226" s="187"/>
      <c r="E226" s="188"/>
      <c r="F226" s="200"/>
      <c r="G226" s="187"/>
      <c r="H226" s="204"/>
      <c r="I226" s="204"/>
      <c r="J226" s="196"/>
      <c r="K226" s="196"/>
      <c r="L226" s="192" t="str">
        <f>IFERROR(__xludf.DUMMYFUNCTION("IF(
  AND(D226=""Saída"", J226=""Sangria""),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197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94" t="str">
        <f>IFERROR(__xludf.DUMMYFUNCTION("ifna(VALUE(REGEXEXTRACT(E226,""[0-9.]+[,]+[0-9]+"")))"),"")</f>
        <v/>
      </c>
      <c r="O226" s="194"/>
      <c r="P226" s="194"/>
      <c r="Q226" s="194"/>
      <c r="R226" s="194"/>
      <c r="S226" s="194"/>
      <c r="T226" s="194"/>
      <c r="U226" s="194"/>
      <c r="V226" s="194"/>
      <c r="W226" s="194"/>
    </row>
    <row r="227" ht="14.25" customHeight="1">
      <c r="A227" s="186"/>
      <c r="B227" s="13"/>
      <c r="C227" s="14"/>
      <c r="D227" s="187"/>
      <c r="E227" s="188"/>
      <c r="F227" s="189"/>
      <c r="G227" s="187"/>
      <c r="H227" s="204"/>
      <c r="I227" s="204"/>
      <c r="J227" s="196"/>
      <c r="K227" s="196"/>
      <c r="L227" s="192" t="str">
        <f>IFERROR(__xludf.DUMMYFUNCTION("IF(
  AND(D227=""Saída"", J227=""Sangria""),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198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94" t="str">
        <f>IFERROR(__xludf.DUMMYFUNCTION("ifna(VALUE(REGEXEXTRACT(E227,""[0-9.]+[,]+[0-9]+"")))"),"")</f>
        <v/>
      </c>
      <c r="O227" s="194"/>
      <c r="P227" s="194"/>
      <c r="Q227" s="194"/>
      <c r="R227" s="194"/>
      <c r="S227" s="194"/>
      <c r="T227" s="194"/>
      <c r="U227" s="194"/>
      <c r="V227" s="194"/>
      <c r="W227" s="194"/>
    </row>
    <row r="228" ht="14.25" customHeight="1">
      <c r="A228" s="186"/>
      <c r="B228" s="13"/>
      <c r="C228" s="14"/>
      <c r="D228" s="187"/>
      <c r="E228" s="188"/>
      <c r="F228" s="189"/>
      <c r="G228" s="187"/>
      <c r="H228" s="204"/>
      <c r="I228" s="204"/>
      <c r="J228" s="196"/>
      <c r="K228" s="196"/>
      <c r="L228" s="192" t="str">
        <f>IFERROR(__xludf.DUMMYFUNCTION("IF(
  AND(D228=""Saída"", J228=""Sangria""),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197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94" t="str">
        <f>IFERROR(__xludf.DUMMYFUNCTION("ifna(VALUE(REGEXEXTRACT(E228,""[0-9.]+[,]+[0-9]+"")))"),"")</f>
        <v/>
      </c>
      <c r="O228" s="194"/>
      <c r="P228" s="194"/>
      <c r="Q228" s="194"/>
      <c r="R228" s="194"/>
      <c r="S228" s="194"/>
      <c r="T228" s="194"/>
      <c r="U228" s="194"/>
      <c r="V228" s="194"/>
      <c r="W228" s="194"/>
    </row>
    <row r="229" ht="14.25" customHeight="1">
      <c r="A229" s="186"/>
      <c r="B229" s="13"/>
      <c r="C229" s="14"/>
      <c r="D229" s="187"/>
      <c r="E229" s="188"/>
      <c r="F229" s="189"/>
      <c r="G229" s="187"/>
      <c r="H229" s="204"/>
      <c r="I229" s="204"/>
      <c r="J229" s="196"/>
      <c r="K229" s="196"/>
      <c r="L229" s="192" t="str">
        <f>IFERROR(__xludf.DUMMYFUNCTION("IF(
  AND(D229=""Saída"", J229=""Sangria""),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198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94" t="str">
        <f>IFERROR(__xludf.DUMMYFUNCTION("ifna(VALUE(REGEXEXTRACT(E229,""[0-9.]+[,]+[0-9]+"")))"),"")</f>
        <v/>
      </c>
      <c r="O229" s="194"/>
      <c r="P229" s="194"/>
      <c r="Q229" s="194"/>
      <c r="R229" s="194"/>
      <c r="S229" s="194"/>
      <c r="T229" s="194"/>
      <c r="U229" s="194"/>
      <c r="V229" s="194"/>
      <c r="W229" s="194"/>
    </row>
    <row r="230" ht="14.25" customHeight="1">
      <c r="A230" s="186"/>
      <c r="B230" s="13"/>
      <c r="C230" s="14"/>
      <c r="D230" s="187"/>
      <c r="E230" s="188"/>
      <c r="F230" s="189"/>
      <c r="G230" s="187"/>
      <c r="H230" s="204"/>
      <c r="I230" s="204"/>
      <c r="J230" s="196"/>
      <c r="K230" s="196"/>
      <c r="L230" s="192" t="str">
        <f>IFERROR(__xludf.DUMMYFUNCTION("IF(
  AND(D230=""Saída"", J230=""Sangria""),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197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94" t="str">
        <f>IFERROR(__xludf.DUMMYFUNCTION("ifna(VALUE(REGEXEXTRACT(E230,""[0-9.]+[,]+[0-9]+"")))"),"")</f>
        <v/>
      </c>
      <c r="O230" s="194"/>
      <c r="P230" s="194"/>
      <c r="Q230" s="194"/>
      <c r="R230" s="194"/>
      <c r="S230" s="194"/>
      <c r="T230" s="194"/>
      <c r="U230" s="194"/>
      <c r="V230" s="194"/>
      <c r="W230" s="194"/>
    </row>
    <row r="231" ht="14.25" customHeight="1">
      <c r="A231" s="186"/>
      <c r="B231" s="13"/>
      <c r="C231" s="14"/>
      <c r="D231" s="187"/>
      <c r="E231" s="188"/>
      <c r="F231" s="189"/>
      <c r="G231" s="13"/>
      <c r="H231" s="204"/>
      <c r="I231" s="204"/>
      <c r="J231" s="196"/>
      <c r="K231" s="196"/>
      <c r="L231" s="192" t="str">
        <f>IFERROR(__xludf.DUMMYFUNCTION("IF(
  AND(D231=""Saída"", J231=""Sangria""),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198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94" t="str">
        <f>IFERROR(__xludf.DUMMYFUNCTION("ifna(VALUE(REGEXEXTRACT(E231,""[0-9.]+[,]+[0-9]+"")))"),"")</f>
        <v/>
      </c>
      <c r="O231" s="194"/>
      <c r="P231" s="194"/>
      <c r="Q231" s="194"/>
      <c r="R231" s="194"/>
      <c r="S231" s="194"/>
      <c r="T231" s="194"/>
      <c r="U231" s="194"/>
      <c r="V231" s="194"/>
      <c r="W231" s="194"/>
    </row>
    <row r="232" ht="14.25" customHeight="1">
      <c r="A232" s="186"/>
      <c r="B232" s="13"/>
      <c r="C232" s="14"/>
      <c r="D232" s="187"/>
      <c r="E232" s="188"/>
      <c r="F232" s="200"/>
      <c r="G232" s="187"/>
      <c r="H232" s="204"/>
      <c r="I232" s="204"/>
      <c r="J232" s="196"/>
      <c r="K232" s="196"/>
      <c r="L232" s="192" t="str">
        <f>IFERROR(__xludf.DUMMYFUNCTION("IF(
  AND(D232=""Saída"", J232=""Sangria""),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197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94" t="str">
        <f>IFERROR(__xludf.DUMMYFUNCTION("ifna(VALUE(REGEXEXTRACT(E232,""[0-9.]+[,]+[0-9]+"")))"),"")</f>
        <v/>
      </c>
      <c r="O232" s="194"/>
      <c r="P232" s="194"/>
      <c r="Q232" s="194"/>
      <c r="R232" s="194"/>
      <c r="S232" s="194"/>
      <c r="T232" s="194"/>
      <c r="U232" s="194"/>
      <c r="V232" s="194"/>
      <c r="W232" s="194"/>
    </row>
    <row r="233" ht="14.25" customHeight="1">
      <c r="A233" s="186"/>
      <c r="B233" s="13"/>
      <c r="C233" s="14"/>
      <c r="D233" s="187"/>
      <c r="E233" s="188"/>
      <c r="F233" s="189"/>
      <c r="G233" s="187"/>
      <c r="H233" s="204"/>
      <c r="I233" s="204"/>
      <c r="J233" s="196"/>
      <c r="K233" s="196"/>
      <c r="L233" s="192" t="str">
        <f>IFERROR(__xludf.DUMMYFUNCTION("IF(
  AND(D233=""Saída"", J233=""Sangria""),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198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94" t="str">
        <f>IFERROR(__xludf.DUMMYFUNCTION("ifna(VALUE(REGEXEXTRACT(E233,""[0-9.]+[,]+[0-9]+"")))"),"")</f>
        <v/>
      </c>
      <c r="O233" s="194"/>
      <c r="P233" s="194"/>
      <c r="Q233" s="194"/>
      <c r="R233" s="194"/>
      <c r="S233" s="194"/>
      <c r="T233" s="194"/>
      <c r="U233" s="194"/>
      <c r="V233" s="194"/>
      <c r="W233" s="194"/>
    </row>
    <row r="234" ht="14.25" customHeight="1">
      <c r="A234" s="186"/>
      <c r="B234" s="13"/>
      <c r="C234" s="14"/>
      <c r="D234" s="187"/>
      <c r="E234" s="188"/>
      <c r="F234" s="189"/>
      <c r="G234" s="187"/>
      <c r="H234" s="204"/>
      <c r="I234" s="204"/>
      <c r="J234" s="196"/>
      <c r="K234" s="196"/>
      <c r="L234" s="192" t="str">
        <f>IFERROR(__xludf.DUMMYFUNCTION("IF(
  AND(D234=""Saída"", J234=""Sangria""),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197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94" t="str">
        <f>IFERROR(__xludf.DUMMYFUNCTION("ifna(VALUE(REGEXEXTRACT(E234,""[0-9.]+[,]+[0-9]+"")))"),"")</f>
        <v/>
      </c>
      <c r="O234" s="194"/>
      <c r="P234" s="194"/>
      <c r="Q234" s="194"/>
      <c r="R234" s="194"/>
      <c r="S234" s="194"/>
      <c r="T234" s="194"/>
      <c r="U234" s="194"/>
      <c r="V234" s="194"/>
      <c r="W234" s="194"/>
    </row>
    <row r="235" ht="14.25" customHeight="1">
      <c r="A235" s="186"/>
      <c r="C235" s="14"/>
      <c r="D235" s="187"/>
      <c r="E235" s="188"/>
      <c r="F235" s="189"/>
      <c r="G235" s="187"/>
      <c r="H235" s="204"/>
      <c r="I235" s="204"/>
      <c r="J235" s="196"/>
      <c r="K235" s="196"/>
      <c r="L235" s="192" t="str">
        <f>IFERROR(__xludf.DUMMYFUNCTION("IF(
  AND(D235=""Saída"", J235=""Sangria""),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198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94" t="str">
        <f>IFERROR(__xludf.DUMMYFUNCTION("ifna(VALUE(REGEXEXTRACT(E235,""[0-9.]+[,]+[0-9]+"")))"),"")</f>
        <v/>
      </c>
      <c r="O235" s="194"/>
      <c r="P235" s="194"/>
      <c r="Q235" s="194"/>
      <c r="R235" s="194"/>
      <c r="S235" s="194"/>
      <c r="T235" s="194"/>
      <c r="U235" s="194"/>
      <c r="V235" s="194"/>
      <c r="W235" s="194"/>
    </row>
    <row r="236" ht="14.25" customHeight="1">
      <c r="A236" s="186"/>
      <c r="B236" s="13"/>
      <c r="C236" s="14"/>
      <c r="D236" s="187"/>
      <c r="E236" s="188"/>
      <c r="F236" s="200"/>
      <c r="G236" s="187"/>
      <c r="H236" s="204"/>
      <c r="I236" s="204"/>
      <c r="J236" s="196"/>
      <c r="K236" s="196"/>
      <c r="L236" s="192" t="str">
        <f>IFERROR(__xludf.DUMMYFUNCTION("IF(
  AND(D236=""Saída"", J236=""Sangria""),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197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94" t="str">
        <f>IFERROR(__xludf.DUMMYFUNCTION("ifna(VALUE(REGEXEXTRACT(E236,""[0-9.]+[,]+[0-9]+"")))"),"")</f>
        <v/>
      </c>
      <c r="O236" s="194"/>
      <c r="P236" s="194"/>
      <c r="Q236" s="194"/>
      <c r="R236" s="194"/>
      <c r="S236" s="194"/>
      <c r="T236" s="194"/>
      <c r="U236" s="194"/>
      <c r="V236" s="194"/>
      <c r="W236" s="194"/>
    </row>
    <row r="237" ht="14.25" customHeight="1">
      <c r="A237" s="186"/>
      <c r="B237" s="13"/>
      <c r="C237" s="267"/>
      <c r="D237" s="187"/>
      <c r="E237" s="188"/>
      <c r="F237" s="189"/>
      <c r="G237" s="187"/>
      <c r="H237" s="204"/>
      <c r="I237" s="204"/>
      <c r="J237" s="196"/>
      <c r="K237" s="196"/>
      <c r="L237" s="192" t="str">
        <f>IFERROR(__xludf.DUMMYFUNCTION("IF(
  AND(D237=""Saída"", J237=""Sangria""),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198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94" t="str">
        <f>IFERROR(__xludf.DUMMYFUNCTION("ifna(VALUE(REGEXEXTRACT(E237,""[0-9.]+[,]+[0-9]+"")))"),"")</f>
        <v/>
      </c>
      <c r="O237" s="194"/>
      <c r="P237" s="194"/>
      <c r="Q237" s="194"/>
      <c r="R237" s="194"/>
      <c r="S237" s="194"/>
      <c r="T237" s="194"/>
      <c r="U237" s="194"/>
      <c r="V237" s="194"/>
      <c r="W237" s="194"/>
    </row>
    <row r="238" ht="14.25" customHeight="1">
      <c r="A238" s="186"/>
      <c r="B238" s="13"/>
      <c r="C238" s="14"/>
      <c r="D238" s="187"/>
      <c r="E238" s="188"/>
      <c r="F238" s="189"/>
      <c r="G238" s="187"/>
      <c r="H238" s="204"/>
      <c r="I238" s="204"/>
      <c r="J238" s="196"/>
      <c r="K238" s="196"/>
      <c r="L238" s="192" t="str">
        <f>IFERROR(__xludf.DUMMYFUNCTION("IF(
  AND(D238=""Saída"", J238=""Sangria""),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197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94" t="str">
        <f>IFERROR(__xludf.DUMMYFUNCTION("ifna(VALUE(REGEXEXTRACT(E238,""[0-9.]+[,]+[0-9]+"")))"),"")</f>
        <v/>
      </c>
      <c r="O238" s="194"/>
      <c r="P238" s="194"/>
      <c r="Q238" s="194"/>
      <c r="R238" s="194"/>
      <c r="S238" s="194"/>
      <c r="T238" s="194"/>
      <c r="U238" s="194"/>
      <c r="V238" s="194"/>
      <c r="W238" s="194"/>
    </row>
    <row r="239" ht="14.25" customHeight="1">
      <c r="A239" s="186"/>
      <c r="B239" s="13"/>
      <c r="C239" s="14"/>
      <c r="D239" s="187"/>
      <c r="E239" s="188"/>
      <c r="F239" s="189"/>
      <c r="G239" s="187"/>
      <c r="H239" s="204"/>
      <c r="I239" s="204"/>
      <c r="J239" s="196"/>
      <c r="K239" s="196"/>
      <c r="L239" s="192" t="str">
        <f>IFERROR(__xludf.DUMMYFUNCTION("IF(
  AND(D239=""Saída"", J239=""Sangria""),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198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94" t="str">
        <f>IFERROR(__xludf.DUMMYFUNCTION("ifna(VALUE(REGEXEXTRACT(E239,""[0-9.]+[,]+[0-9]+"")))"),"")</f>
        <v/>
      </c>
      <c r="O239" s="194"/>
      <c r="P239" s="194"/>
      <c r="Q239" s="194"/>
      <c r="R239" s="194"/>
      <c r="S239" s="194"/>
      <c r="T239" s="194"/>
      <c r="U239" s="194"/>
      <c r="V239" s="194"/>
      <c r="W239" s="194"/>
    </row>
    <row r="240" ht="14.25" customHeight="1">
      <c r="A240" s="186"/>
      <c r="B240" s="13"/>
      <c r="C240" s="14"/>
      <c r="D240" s="187"/>
      <c r="E240" s="188"/>
      <c r="F240" s="189"/>
      <c r="G240" s="187"/>
      <c r="H240" s="204"/>
      <c r="I240" s="204"/>
      <c r="J240" s="196"/>
      <c r="K240" s="196"/>
      <c r="L240" s="192" t="str">
        <f>IFERROR(__xludf.DUMMYFUNCTION("IF(
  AND(D240=""Saída"", J240=""Sangria""),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197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94" t="str">
        <f>IFERROR(__xludf.DUMMYFUNCTION("ifna(VALUE(REGEXEXTRACT(E240,""[0-9.]+[,]+[0-9]+"")))"),"")</f>
        <v/>
      </c>
      <c r="O240" s="194"/>
      <c r="P240" s="194"/>
      <c r="Q240" s="194"/>
      <c r="R240" s="194"/>
      <c r="S240" s="194"/>
      <c r="T240" s="194"/>
      <c r="U240" s="194"/>
      <c r="V240" s="194"/>
      <c r="W240" s="194"/>
    </row>
    <row r="241" ht="14.25" customHeight="1">
      <c r="A241" s="186"/>
      <c r="B241" s="13"/>
      <c r="C241" s="14"/>
      <c r="D241" s="187"/>
      <c r="E241" s="188"/>
      <c r="F241" s="189"/>
      <c r="G241" s="187"/>
      <c r="H241" s="204"/>
      <c r="I241" s="204"/>
      <c r="J241" s="196"/>
      <c r="K241" s="196"/>
      <c r="L241" s="192" t="str">
        <f>IFERROR(__xludf.DUMMYFUNCTION("IF(
  AND(D241=""Saída"", J241=""Sangria""),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198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94" t="str">
        <f>IFERROR(__xludf.DUMMYFUNCTION("ifna(VALUE(REGEXEXTRACT(E241,""[0-9.]+[,]+[0-9]+"")))"),"")</f>
        <v/>
      </c>
      <c r="O241" s="194"/>
      <c r="P241" s="194"/>
      <c r="Q241" s="194"/>
      <c r="R241" s="194"/>
      <c r="S241" s="194"/>
      <c r="T241" s="194"/>
      <c r="U241" s="194"/>
      <c r="V241" s="194"/>
      <c r="W241" s="194"/>
    </row>
    <row r="242" ht="14.25" customHeight="1">
      <c r="A242" s="186"/>
      <c r="B242" s="13"/>
      <c r="C242" s="14"/>
      <c r="D242" s="187"/>
      <c r="E242" s="188"/>
      <c r="F242" s="189"/>
      <c r="G242" s="187"/>
      <c r="H242" s="204"/>
      <c r="I242" s="204"/>
      <c r="J242" s="196"/>
      <c r="K242" s="196"/>
      <c r="L242" s="192" t="str">
        <f>IFERROR(__xludf.DUMMYFUNCTION("IF(
  AND(D242=""Saída"", J242=""Sangria""),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197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94" t="str">
        <f>IFERROR(__xludf.DUMMYFUNCTION("ifna(VALUE(REGEXEXTRACT(E242,""[0-9.]+[,]+[0-9]+"")))"),"")</f>
        <v/>
      </c>
      <c r="O242" s="194"/>
      <c r="P242" s="194"/>
      <c r="Q242" s="194"/>
      <c r="R242" s="194"/>
      <c r="S242" s="194"/>
      <c r="T242" s="194"/>
      <c r="U242" s="194"/>
      <c r="V242" s="194"/>
      <c r="W242" s="194"/>
    </row>
    <row r="243" ht="14.25" customHeight="1">
      <c r="A243" s="186"/>
      <c r="B243" s="13"/>
      <c r="C243" s="14"/>
      <c r="D243" s="187"/>
      <c r="E243" s="188"/>
      <c r="F243" s="189"/>
      <c r="G243" s="187"/>
      <c r="H243" s="204"/>
      <c r="I243" s="204"/>
      <c r="J243" s="196"/>
      <c r="K243" s="196"/>
      <c r="L243" s="192" t="str">
        <f>IFERROR(__xludf.DUMMYFUNCTION("IF(
  AND(D243=""Saída"", J243=""Sangria""),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198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94" t="str">
        <f>IFERROR(__xludf.DUMMYFUNCTION("ifna(VALUE(REGEXEXTRACT(E243,""[0-9.]+[,]+[0-9]+"")))"),"")</f>
        <v/>
      </c>
      <c r="O243" s="194"/>
      <c r="P243" s="194"/>
      <c r="Q243" s="194"/>
      <c r="R243" s="194"/>
      <c r="S243" s="194"/>
      <c r="T243" s="194"/>
      <c r="U243" s="194"/>
      <c r="V243" s="194"/>
      <c r="W243" s="194"/>
    </row>
    <row r="244" ht="14.25" customHeight="1">
      <c r="A244" s="186"/>
      <c r="B244" s="13"/>
      <c r="C244" s="14"/>
      <c r="D244" s="187"/>
      <c r="E244" s="188"/>
      <c r="F244" s="189"/>
      <c r="G244" s="187"/>
      <c r="H244" s="204"/>
      <c r="I244" s="204"/>
      <c r="J244" s="196"/>
      <c r="K244" s="196"/>
      <c r="L244" s="192" t="str">
        <f>IFERROR(__xludf.DUMMYFUNCTION("IF(
  AND(D244=""Saída"", J244=""Sangria""),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197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94" t="str">
        <f>IFERROR(__xludf.DUMMYFUNCTION("ifna(VALUE(REGEXEXTRACT(E244,""[0-9.]+[,]+[0-9]+"")))"),"")</f>
        <v/>
      </c>
      <c r="O244" s="194"/>
      <c r="P244" s="194"/>
      <c r="Q244" s="194"/>
      <c r="R244" s="194"/>
      <c r="S244" s="194"/>
      <c r="T244" s="194"/>
      <c r="U244" s="194"/>
      <c r="V244" s="194"/>
      <c r="W244" s="194"/>
    </row>
    <row r="245" ht="14.25" customHeight="1">
      <c r="A245" s="186"/>
      <c r="B245" s="13"/>
      <c r="C245" s="14"/>
      <c r="D245" s="187"/>
      <c r="E245" s="188"/>
      <c r="F245" s="189"/>
      <c r="G245" s="187"/>
      <c r="H245" s="204"/>
      <c r="I245" s="204"/>
      <c r="J245" s="196"/>
      <c r="K245" s="196"/>
      <c r="L245" s="192" t="str">
        <f>IFERROR(__xludf.DUMMYFUNCTION("IF(
  AND(D245=""Saída"", J245=""Sangria""),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198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94" t="str">
        <f>IFERROR(__xludf.DUMMYFUNCTION("ifna(VALUE(REGEXEXTRACT(E245,""[0-9.]+[,]+[0-9]+"")))"),"")</f>
        <v/>
      </c>
      <c r="O245" s="194"/>
      <c r="P245" s="194"/>
      <c r="Q245" s="194"/>
      <c r="R245" s="194"/>
      <c r="S245" s="194"/>
      <c r="T245" s="194"/>
      <c r="U245" s="194"/>
      <c r="V245" s="194"/>
      <c r="W245" s="194"/>
    </row>
    <row r="246" ht="14.25" customHeight="1">
      <c r="A246" s="186"/>
      <c r="C246" s="14"/>
      <c r="D246" s="187"/>
      <c r="E246" s="188"/>
      <c r="F246" s="189"/>
      <c r="G246" s="187"/>
      <c r="H246" s="204"/>
      <c r="I246" s="204"/>
      <c r="J246" s="196"/>
      <c r="K246" s="196"/>
      <c r="L246" s="192" t="str">
        <f>IFERROR(__xludf.DUMMYFUNCTION("IF(
  AND(D246=""Saída"", J246=""Sangria""),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197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94" t="str">
        <f>IFERROR(__xludf.DUMMYFUNCTION("ifna(VALUE(REGEXEXTRACT(E246,""[0-9.]+[,]+[0-9]+"")))"),"")</f>
        <v/>
      </c>
      <c r="O246" s="194"/>
      <c r="P246" s="194"/>
      <c r="Q246" s="194"/>
      <c r="R246" s="194"/>
      <c r="S246" s="194"/>
      <c r="T246" s="194"/>
      <c r="U246" s="194"/>
      <c r="V246" s="194"/>
      <c r="W246" s="194"/>
    </row>
    <row r="247" ht="14.25" customHeight="1">
      <c r="A247" s="186"/>
      <c r="B247" s="13"/>
      <c r="C247" s="14"/>
      <c r="D247" s="187"/>
      <c r="E247" s="188"/>
      <c r="F247" s="200"/>
      <c r="G247" s="187"/>
      <c r="H247" s="204"/>
      <c r="I247" s="204"/>
      <c r="J247" s="196"/>
      <c r="K247" s="196"/>
      <c r="L247" s="192" t="str">
        <f>IFERROR(__xludf.DUMMYFUNCTION("IF(
  AND(D247=""Saída"", J247=""Sangria""),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198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94" t="str">
        <f>IFERROR(__xludf.DUMMYFUNCTION("ifna(VALUE(REGEXEXTRACT(E247,""[0-9.]+[,]+[0-9]+"")))"),"")</f>
        <v/>
      </c>
      <c r="O247" s="194"/>
      <c r="P247" s="194"/>
      <c r="Q247" s="194"/>
      <c r="R247" s="194"/>
      <c r="S247" s="194"/>
      <c r="T247" s="194"/>
      <c r="U247" s="194"/>
      <c r="V247" s="194"/>
      <c r="W247" s="194"/>
    </row>
    <row r="248" ht="14.25" customHeight="1">
      <c r="A248" s="186"/>
      <c r="B248" s="13"/>
      <c r="C248" s="14"/>
      <c r="D248" s="187"/>
      <c r="E248" s="188"/>
      <c r="F248" s="189"/>
      <c r="G248" s="187"/>
      <c r="H248" s="204"/>
      <c r="I248" s="204"/>
      <c r="J248" s="196"/>
      <c r="K248" s="196"/>
      <c r="L248" s="192" t="str">
        <f>IFERROR(__xludf.DUMMYFUNCTION("IF(
  AND(D248=""Saída"", J248=""Sangria""),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197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94" t="str">
        <f>IFERROR(__xludf.DUMMYFUNCTION("ifna(VALUE(REGEXEXTRACT(E248,""[0-9.]+[,]+[0-9]+"")))"),"")</f>
        <v/>
      </c>
      <c r="O248" s="194"/>
      <c r="P248" s="194"/>
      <c r="Q248" s="194"/>
      <c r="R248" s="194"/>
      <c r="S248" s="194"/>
      <c r="T248" s="194"/>
      <c r="U248" s="194"/>
      <c r="V248" s="194"/>
      <c r="W248" s="194"/>
    </row>
    <row r="249" ht="14.25" customHeight="1">
      <c r="A249" s="186"/>
      <c r="B249" s="13"/>
      <c r="C249" s="14"/>
      <c r="D249" s="187"/>
      <c r="E249" s="188"/>
      <c r="F249" s="189"/>
      <c r="G249" s="13"/>
      <c r="H249" s="204"/>
      <c r="I249" s="204"/>
      <c r="J249" s="196"/>
      <c r="K249" s="196"/>
      <c r="L249" s="192" t="str">
        <f>IFERROR(__xludf.DUMMYFUNCTION("IF(
  AND(D249=""Saída"", J249=""Sangria""),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198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94" t="str">
        <f>IFERROR(__xludf.DUMMYFUNCTION("ifna(VALUE(REGEXEXTRACT(E249,""[0-9.]+[,]+[0-9]+"")))"),"")</f>
        <v/>
      </c>
      <c r="O249" s="194"/>
      <c r="P249" s="194"/>
      <c r="Q249" s="194"/>
      <c r="R249" s="194"/>
      <c r="S249" s="194"/>
      <c r="T249" s="194"/>
      <c r="U249" s="194"/>
      <c r="V249" s="194"/>
      <c r="W249" s="194"/>
    </row>
    <row r="250" ht="14.25" customHeight="1">
      <c r="A250" s="186"/>
      <c r="B250" s="13"/>
      <c r="C250" s="14"/>
      <c r="D250" s="187"/>
      <c r="E250" s="188"/>
      <c r="F250" s="200"/>
      <c r="G250" s="187"/>
      <c r="H250" s="204"/>
      <c r="I250" s="204"/>
      <c r="J250" s="196"/>
      <c r="K250" s="196"/>
      <c r="L250" s="192" t="str">
        <f>IFERROR(__xludf.DUMMYFUNCTION("IF(
  AND(D250=""Saída"", J250=""Sangria""),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197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94" t="str">
        <f>IFERROR(__xludf.DUMMYFUNCTION("ifna(VALUE(REGEXEXTRACT(E250,""[0-9.]+[,]+[0-9]+"")))"),"")</f>
        <v/>
      </c>
      <c r="O250" s="194"/>
      <c r="P250" s="194"/>
      <c r="Q250" s="194"/>
      <c r="R250" s="194"/>
      <c r="S250" s="194"/>
      <c r="T250" s="194"/>
      <c r="U250" s="194"/>
      <c r="V250" s="194"/>
      <c r="W250" s="194"/>
    </row>
    <row r="251" ht="14.25" customHeight="1">
      <c r="A251" s="186"/>
      <c r="B251" s="13"/>
      <c r="C251" s="14"/>
      <c r="D251" s="187"/>
      <c r="E251" s="188"/>
      <c r="F251" s="200"/>
      <c r="G251" s="187"/>
      <c r="H251" s="204"/>
      <c r="I251" s="204"/>
      <c r="J251" s="196"/>
      <c r="K251" s="196"/>
      <c r="L251" s="192" t="str">
        <f>IFERROR(__xludf.DUMMYFUNCTION("IF(
  AND(D251=""Saída"", J251=""Sangria""),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198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94" t="str">
        <f>IFERROR(__xludf.DUMMYFUNCTION("ifna(VALUE(REGEXEXTRACT(E251,""[0-9.]+[,]+[0-9]+"")))"),"")</f>
        <v/>
      </c>
      <c r="O251" s="194"/>
      <c r="P251" s="194"/>
      <c r="Q251" s="194"/>
      <c r="R251" s="194"/>
      <c r="S251" s="194"/>
      <c r="T251" s="194"/>
      <c r="U251" s="194"/>
      <c r="V251" s="194"/>
      <c r="W251" s="194"/>
    </row>
    <row r="252" ht="14.25" customHeight="1">
      <c r="A252" s="186"/>
      <c r="B252" s="13"/>
      <c r="C252" s="14"/>
      <c r="D252" s="13"/>
      <c r="E252" s="188"/>
      <c r="F252" s="189"/>
      <c r="G252" s="187"/>
      <c r="H252" s="204"/>
      <c r="I252" s="204"/>
      <c r="J252" s="196"/>
      <c r="K252" s="196"/>
      <c r="L252" s="192" t="str">
        <f>IFERROR(__xludf.DUMMYFUNCTION("IF(
  AND(D252=""Saída"", J252=""Sangria""),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197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94" t="str">
        <f>IFERROR(__xludf.DUMMYFUNCTION("ifna(VALUE(REGEXEXTRACT(E252,""[0-9.]+[,]+[0-9]+"")))"),"")</f>
        <v/>
      </c>
      <c r="O252" s="194"/>
      <c r="P252" s="194"/>
      <c r="Q252" s="194"/>
      <c r="R252" s="194"/>
      <c r="S252" s="194"/>
      <c r="T252" s="194"/>
      <c r="U252" s="194"/>
      <c r="V252" s="194"/>
      <c r="W252" s="194"/>
    </row>
    <row r="253" ht="14.25" customHeight="1">
      <c r="A253" s="186"/>
      <c r="B253" s="13"/>
      <c r="C253" s="14"/>
      <c r="D253" s="187"/>
      <c r="E253" s="188"/>
      <c r="F253" s="189"/>
      <c r="G253" s="187"/>
      <c r="H253" s="204"/>
      <c r="I253" s="204"/>
      <c r="J253" s="196"/>
      <c r="K253" s="196"/>
      <c r="L253" s="192" t="str">
        <f>IFERROR(__xludf.DUMMYFUNCTION("IF(
  AND(D253=""Saída"", J253=""Sangria""),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198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94" t="str">
        <f>IFERROR(__xludf.DUMMYFUNCTION("ifna(VALUE(REGEXEXTRACT(E253,""[0-9.]+[,]+[0-9]+"")))"),"")</f>
        <v/>
      </c>
      <c r="O253" s="194"/>
      <c r="P253" s="194"/>
      <c r="Q253" s="194"/>
      <c r="R253" s="194"/>
      <c r="S253" s="194"/>
      <c r="T253" s="194"/>
      <c r="U253" s="194"/>
      <c r="V253" s="194"/>
      <c r="W253" s="194"/>
    </row>
    <row r="254" ht="14.25" customHeight="1">
      <c r="A254" s="186"/>
      <c r="B254" s="13"/>
      <c r="C254" s="14"/>
      <c r="D254" s="187"/>
      <c r="E254" s="188"/>
      <c r="F254" s="189"/>
      <c r="G254" s="187"/>
      <c r="H254" s="204"/>
      <c r="I254" s="204"/>
      <c r="J254" s="196"/>
      <c r="K254" s="196"/>
      <c r="L254" s="192" t="str">
        <f>IFERROR(__xludf.DUMMYFUNCTION("IF(
  AND(D254=""Saída"", J254=""Sangria""),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197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94" t="str">
        <f>IFERROR(__xludf.DUMMYFUNCTION("ifna(VALUE(REGEXEXTRACT(E254,""[0-9.]+[,]+[0-9]+"")))"),"")</f>
        <v/>
      </c>
      <c r="O254" s="194"/>
      <c r="P254" s="194"/>
      <c r="Q254" s="194"/>
      <c r="R254" s="194"/>
      <c r="S254" s="194"/>
      <c r="T254" s="194"/>
      <c r="U254" s="194"/>
      <c r="V254" s="194"/>
      <c r="W254" s="194"/>
    </row>
    <row r="255" ht="14.25" customHeight="1">
      <c r="A255" s="186"/>
      <c r="B255" s="13"/>
      <c r="C255" s="14"/>
      <c r="D255" s="187"/>
      <c r="E255" s="188"/>
      <c r="F255" s="189"/>
      <c r="G255" s="187"/>
      <c r="H255" s="204"/>
      <c r="I255" s="204"/>
      <c r="J255" s="196"/>
      <c r="K255" s="196"/>
      <c r="L255" s="192" t="str">
        <f>IFERROR(__xludf.DUMMYFUNCTION("IF(
  AND(D255=""Saída"", J255=""Sangria""),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198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94" t="str">
        <f>IFERROR(__xludf.DUMMYFUNCTION("ifna(VALUE(REGEXEXTRACT(E255,""[0-9.]+[,]+[0-9]+"")))"),"")</f>
        <v/>
      </c>
      <c r="O255" s="194"/>
      <c r="P255" s="194"/>
      <c r="Q255" s="194"/>
      <c r="R255" s="194"/>
      <c r="S255" s="194"/>
      <c r="T255" s="194"/>
      <c r="U255" s="194"/>
      <c r="V255" s="194"/>
      <c r="W255" s="194"/>
    </row>
    <row r="256" ht="14.25" customHeight="1">
      <c r="A256" s="186"/>
      <c r="B256" s="13"/>
      <c r="C256" s="14"/>
      <c r="D256" s="187"/>
      <c r="E256" s="188"/>
      <c r="F256" s="189"/>
      <c r="G256" s="187"/>
      <c r="H256" s="204"/>
      <c r="I256" s="204"/>
      <c r="J256" s="196"/>
      <c r="K256" s="196"/>
      <c r="L256" s="192" t="str">
        <f>IFERROR(__xludf.DUMMYFUNCTION("IF(
  AND(D256=""Saída"", J256=""Sangria""),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197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94" t="str">
        <f>IFERROR(__xludf.DUMMYFUNCTION("ifna(VALUE(REGEXEXTRACT(E256,""[0-9.]+[,]+[0-9]+"")))"),"")</f>
        <v/>
      </c>
      <c r="O256" s="194"/>
      <c r="P256" s="194"/>
      <c r="Q256" s="194"/>
      <c r="R256" s="194"/>
      <c r="S256" s="194"/>
      <c r="T256" s="194"/>
      <c r="U256" s="194"/>
      <c r="V256" s="194"/>
      <c r="W256" s="194"/>
    </row>
    <row r="257" ht="14.25" customHeight="1">
      <c r="A257" s="186"/>
      <c r="B257" s="13"/>
      <c r="C257" s="14"/>
      <c r="D257" s="187"/>
      <c r="E257" s="188"/>
      <c r="F257" s="189"/>
      <c r="G257" s="187"/>
      <c r="H257" s="204"/>
      <c r="I257" s="204"/>
      <c r="J257" s="196"/>
      <c r="K257" s="196"/>
      <c r="L257" s="192" t="str">
        <f>IFERROR(__xludf.DUMMYFUNCTION("IF(
  AND(D257=""Saída"", J257=""Sangria""),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198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94" t="str">
        <f>IFERROR(__xludf.DUMMYFUNCTION("ifna(VALUE(REGEXEXTRACT(E257,""[0-9.]+[,]+[0-9]+"")))"),"")</f>
        <v/>
      </c>
      <c r="O257" s="194"/>
      <c r="P257" s="194"/>
      <c r="Q257" s="194"/>
      <c r="R257" s="194"/>
      <c r="S257" s="194"/>
      <c r="T257" s="194"/>
      <c r="U257" s="194"/>
      <c r="V257" s="194"/>
      <c r="W257" s="194"/>
    </row>
    <row r="258" ht="14.25" customHeight="1">
      <c r="A258" s="186"/>
      <c r="B258" s="13"/>
      <c r="C258" s="14"/>
      <c r="D258" s="187"/>
      <c r="E258" s="188"/>
      <c r="F258" s="189"/>
      <c r="G258" s="187"/>
      <c r="H258" s="204"/>
      <c r="I258" s="204"/>
      <c r="J258" s="196"/>
      <c r="K258" s="196"/>
      <c r="L258" s="192" t="str">
        <f>IFERROR(__xludf.DUMMYFUNCTION("IF(
  AND(D258=""Saída"", J258=""Sangria""),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197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94" t="str">
        <f>IFERROR(__xludf.DUMMYFUNCTION("ifna(VALUE(REGEXEXTRACT(E258,""[0-9.]+[,]+[0-9]+"")))"),"")</f>
        <v/>
      </c>
      <c r="O258" s="194"/>
      <c r="P258" s="194"/>
      <c r="Q258" s="194"/>
      <c r="R258" s="194"/>
      <c r="S258" s="194"/>
      <c r="T258" s="194"/>
      <c r="U258" s="194"/>
      <c r="V258" s="194"/>
      <c r="W258" s="194"/>
    </row>
    <row r="259" ht="14.25" customHeight="1">
      <c r="A259" s="186"/>
      <c r="B259" s="13"/>
      <c r="C259" s="14"/>
      <c r="D259" s="187"/>
      <c r="E259" s="188"/>
      <c r="F259" s="189"/>
      <c r="G259" s="187"/>
      <c r="H259" s="204"/>
      <c r="I259" s="204"/>
      <c r="J259" s="196"/>
      <c r="K259" s="196"/>
      <c r="L259" s="192" t="str">
        <f>IFERROR(__xludf.DUMMYFUNCTION("IF(
  AND(D259=""Saída"", J259=""Sangria""),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198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94" t="str">
        <f>IFERROR(__xludf.DUMMYFUNCTION("ifna(VALUE(REGEXEXTRACT(E259,""[0-9.]+[,]+[0-9]+"")))"),"")</f>
        <v/>
      </c>
      <c r="O259" s="194"/>
      <c r="P259" s="194"/>
      <c r="Q259" s="194"/>
      <c r="R259" s="194"/>
      <c r="S259" s="194"/>
      <c r="T259" s="194"/>
      <c r="U259" s="194"/>
      <c r="V259" s="194"/>
      <c r="W259" s="194"/>
    </row>
    <row r="260" ht="14.25" customHeight="1">
      <c r="A260" s="186"/>
      <c r="B260" s="13"/>
      <c r="C260" s="14"/>
      <c r="D260" s="187"/>
      <c r="E260" s="188"/>
      <c r="F260" s="200"/>
      <c r="G260" s="187"/>
      <c r="H260" s="204"/>
      <c r="I260" s="204"/>
      <c r="J260" s="196"/>
      <c r="K260" s="196"/>
      <c r="L260" s="192" t="str">
        <f>IFERROR(__xludf.DUMMYFUNCTION("IF(
  AND(D260=""Saída"", J260=""Sangria""),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197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94" t="str">
        <f>IFERROR(__xludf.DUMMYFUNCTION("ifna(VALUE(REGEXEXTRACT(E260,""[0-9.]+[,]+[0-9]+"")))"),"")</f>
        <v/>
      </c>
      <c r="O260" s="194"/>
      <c r="P260" s="194"/>
      <c r="Q260" s="194"/>
      <c r="R260" s="194"/>
      <c r="S260" s="194"/>
      <c r="T260" s="194"/>
      <c r="U260" s="194"/>
      <c r="V260" s="194"/>
      <c r="W260" s="194"/>
    </row>
    <row r="261" ht="14.25" customHeight="1">
      <c r="A261" s="186"/>
      <c r="B261" s="13"/>
      <c r="C261" s="14"/>
      <c r="D261" s="187"/>
      <c r="E261" s="188"/>
      <c r="F261" s="189"/>
      <c r="G261" s="13"/>
      <c r="H261" s="204"/>
      <c r="I261" s="204"/>
      <c r="J261" s="196"/>
      <c r="K261" s="196"/>
      <c r="L261" s="192" t="str">
        <f>IFERROR(__xludf.DUMMYFUNCTION("IF(
  AND(D261=""Saída"", J261=""Sangria""),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198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94" t="str">
        <f>IFERROR(__xludf.DUMMYFUNCTION("ifna(VALUE(REGEXEXTRACT(E261,""[0-9.]+[,]+[0-9]+"")))"),"")</f>
        <v/>
      </c>
      <c r="O261" s="194"/>
      <c r="P261" s="194"/>
      <c r="Q261" s="194"/>
      <c r="R261" s="194"/>
      <c r="S261" s="194"/>
      <c r="T261" s="194"/>
      <c r="U261" s="194"/>
      <c r="V261" s="194"/>
      <c r="W261" s="194"/>
    </row>
    <row r="262" ht="14.25" customHeight="1">
      <c r="A262" s="186"/>
      <c r="B262" s="13"/>
      <c r="C262" s="14"/>
      <c r="D262" s="187"/>
      <c r="E262" s="188"/>
      <c r="F262" s="189"/>
      <c r="G262" s="13"/>
      <c r="H262" s="204"/>
      <c r="I262" s="204"/>
      <c r="J262" s="196"/>
      <c r="K262" s="196"/>
      <c r="L262" s="192" t="str">
        <f>IFERROR(__xludf.DUMMYFUNCTION("IF(
  AND(D262=""Saída"", J262=""Sangria""),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197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94" t="str">
        <f>IFERROR(__xludf.DUMMYFUNCTION("ifna(VALUE(REGEXEXTRACT(E262,""[0-9.]+[,]+[0-9]+"")))"),"")</f>
        <v/>
      </c>
      <c r="O262" s="194"/>
      <c r="P262" s="194"/>
      <c r="Q262" s="194"/>
      <c r="R262" s="194"/>
      <c r="S262" s="194"/>
      <c r="T262" s="194"/>
      <c r="U262" s="194"/>
      <c r="V262" s="194"/>
      <c r="W262" s="194"/>
    </row>
    <row r="263" ht="14.25" customHeight="1">
      <c r="A263" s="186"/>
      <c r="B263" s="13"/>
      <c r="C263" s="14"/>
      <c r="D263" s="187"/>
      <c r="E263" s="188"/>
      <c r="F263" s="189"/>
      <c r="G263" s="187"/>
      <c r="H263" s="204"/>
      <c r="I263" s="204"/>
      <c r="J263" s="196"/>
      <c r="K263" s="196"/>
      <c r="L263" s="192" t="str">
        <f>IFERROR(__xludf.DUMMYFUNCTION("IF(
  AND(D263=""Saída"", J263=""Sangria""),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198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94" t="str">
        <f>IFERROR(__xludf.DUMMYFUNCTION("ifna(VALUE(REGEXEXTRACT(E263,""[0-9.]+[,]+[0-9]+"")))"),"")</f>
        <v/>
      </c>
      <c r="O263" s="194"/>
      <c r="P263" s="194"/>
      <c r="Q263" s="194"/>
      <c r="R263" s="194"/>
      <c r="S263" s="194"/>
      <c r="T263" s="194"/>
      <c r="U263" s="194"/>
      <c r="V263" s="194"/>
      <c r="W263" s="194"/>
    </row>
    <row r="264" ht="14.25" customHeight="1">
      <c r="A264" s="186"/>
      <c r="B264" s="13"/>
      <c r="C264" s="14"/>
      <c r="D264" s="187"/>
      <c r="E264" s="188"/>
      <c r="F264" s="189"/>
      <c r="G264" s="187"/>
      <c r="H264" s="204"/>
      <c r="I264" s="204"/>
      <c r="J264" s="196"/>
      <c r="K264" s="196"/>
      <c r="L264" s="192" t="str">
        <f>IFERROR(__xludf.DUMMYFUNCTION("IF(
  AND(D264=""Saída"", J264=""Sangria""),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197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94" t="str">
        <f>IFERROR(__xludf.DUMMYFUNCTION("ifna(VALUE(REGEXEXTRACT(E264,""[0-9.]+[,]+[0-9]+"")))"),"")</f>
        <v/>
      </c>
      <c r="O264" s="194"/>
      <c r="P264" s="194"/>
      <c r="Q264" s="194"/>
      <c r="R264" s="194"/>
      <c r="S264" s="194"/>
      <c r="T264" s="194"/>
      <c r="U264" s="194"/>
      <c r="V264" s="194"/>
      <c r="W264" s="194"/>
    </row>
    <row r="265" ht="14.25" customHeight="1">
      <c r="A265" s="186"/>
      <c r="B265" s="13"/>
      <c r="C265" s="14"/>
      <c r="D265" s="187"/>
      <c r="E265" s="188"/>
      <c r="F265" s="200"/>
      <c r="G265" s="187"/>
      <c r="H265" s="204"/>
      <c r="I265" s="204"/>
      <c r="J265" s="196"/>
      <c r="K265" s="196"/>
      <c r="L265" s="192" t="str">
        <f>IFERROR(__xludf.DUMMYFUNCTION("IF(
  AND(D265=""Saída"", J265=""Sangria""),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198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94" t="str">
        <f>IFERROR(__xludf.DUMMYFUNCTION("ifna(VALUE(REGEXEXTRACT(E265,""[0-9.]+[,]+[0-9]+"")))"),"")</f>
        <v/>
      </c>
      <c r="O265" s="194"/>
      <c r="P265" s="194"/>
      <c r="Q265" s="194"/>
      <c r="R265" s="194"/>
      <c r="S265" s="194"/>
      <c r="T265" s="194"/>
      <c r="U265" s="194"/>
      <c r="V265" s="194"/>
      <c r="W265" s="194"/>
    </row>
    <row r="266" ht="14.25" customHeight="1">
      <c r="A266" s="186"/>
      <c r="B266" s="268"/>
      <c r="C266" s="269"/>
      <c r="D266" s="270"/>
      <c r="E266" s="271"/>
      <c r="F266" s="272"/>
      <c r="G266" s="273"/>
      <c r="H266" s="204"/>
      <c r="I266" s="204"/>
      <c r="J266" s="196"/>
      <c r="K266" s="196"/>
      <c r="L266" s="192" t="str">
        <f>IFERROR(__xludf.DUMMYFUNCTION("IF(
  AND(D266=""Saída"", J266=""Sangria""),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197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94" t="str">
        <f>IFERROR(__xludf.DUMMYFUNCTION("ifna(VALUE(REGEXEXTRACT(E266,""[0-9.]+[,]+[0-9]+"")))"),"")</f>
        <v/>
      </c>
      <c r="O266" s="194"/>
      <c r="P266" s="194"/>
      <c r="Q266" s="194"/>
      <c r="R266" s="194"/>
      <c r="S266" s="194"/>
      <c r="T266" s="194"/>
      <c r="U266" s="194"/>
      <c r="V266" s="194"/>
      <c r="W266" s="194"/>
    </row>
    <row r="267" ht="14.25" customHeight="1">
      <c r="A267" s="186"/>
      <c r="B267" s="268"/>
      <c r="C267" s="269"/>
      <c r="D267" s="270"/>
      <c r="E267" s="271"/>
      <c r="F267" s="272"/>
      <c r="G267" s="274"/>
      <c r="H267" s="204"/>
      <c r="I267" s="204"/>
      <c r="J267" s="196"/>
      <c r="K267" s="196"/>
      <c r="L267" s="192" t="str">
        <f>IFERROR(__xludf.DUMMYFUNCTION("IF(
  AND(D267=""Saída"", J267=""Sangria""),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198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94" t="str">
        <f>IFERROR(__xludf.DUMMYFUNCTION("ifna(VALUE(REGEXEXTRACT(E267,""[0-9.]+[,]+[0-9]+"")))"),"")</f>
        <v/>
      </c>
      <c r="O267" s="194"/>
      <c r="P267" s="194"/>
      <c r="Q267" s="194"/>
      <c r="R267" s="194"/>
      <c r="S267" s="194"/>
      <c r="T267" s="194"/>
      <c r="U267" s="194"/>
      <c r="V267" s="194"/>
      <c r="W267" s="194"/>
    </row>
    <row r="268" ht="14.25" customHeight="1">
      <c r="A268" s="186"/>
      <c r="B268" s="268"/>
      <c r="C268" s="269"/>
      <c r="D268" s="270"/>
      <c r="E268" s="271"/>
      <c r="F268" s="272"/>
      <c r="G268" s="273"/>
      <c r="H268" s="204"/>
      <c r="I268" s="204"/>
      <c r="J268" s="212"/>
      <c r="K268" s="196"/>
      <c r="L268" s="192" t="str">
        <f>IFERROR(__xludf.DUMMYFUNCTION("IF(
  AND(D268=""Saída"", J268=""Sangria""),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197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94" t="str">
        <f>IFERROR(__xludf.DUMMYFUNCTION("ifna(VALUE(REGEXEXTRACT(E268,""[0-9.]+[,]+[0-9]+"")))"),"")</f>
        <v/>
      </c>
      <c r="O268" s="194"/>
      <c r="P268" s="194"/>
      <c r="Q268" s="194"/>
      <c r="R268" s="194"/>
      <c r="S268" s="194"/>
      <c r="T268" s="194"/>
      <c r="U268" s="194"/>
      <c r="V268" s="194"/>
      <c r="W268" s="194"/>
    </row>
    <row r="269" ht="14.25" customHeight="1">
      <c r="A269" s="186"/>
      <c r="B269" s="268"/>
      <c r="C269" s="269"/>
      <c r="D269" s="270"/>
      <c r="E269" s="271"/>
      <c r="F269" s="272"/>
      <c r="G269" s="273"/>
      <c r="H269" s="204"/>
      <c r="I269" s="204"/>
      <c r="J269" s="196"/>
      <c r="K269" s="196"/>
      <c r="L269" s="192" t="str">
        <f>IFERROR(__xludf.DUMMYFUNCTION("IF(
  AND(D269=""Saída"", J269=""Sangria""),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198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94" t="str">
        <f>IFERROR(__xludf.DUMMYFUNCTION("ifna(VALUE(REGEXEXTRACT(E269,""[0-9.]+[,]+[0-9]+"")))"),"")</f>
        <v/>
      </c>
      <c r="O269" s="194"/>
      <c r="P269" s="194"/>
      <c r="Q269" s="194"/>
      <c r="R269" s="194"/>
      <c r="S269" s="194"/>
      <c r="T269" s="194"/>
      <c r="U269" s="194"/>
      <c r="V269" s="194"/>
      <c r="W269" s="194"/>
    </row>
    <row r="270" ht="14.25" customHeight="1">
      <c r="A270" s="186"/>
      <c r="B270" s="268"/>
      <c r="C270" s="269"/>
      <c r="D270" s="270"/>
      <c r="E270" s="271"/>
      <c r="F270" s="272"/>
      <c r="G270" s="273"/>
      <c r="H270" s="204"/>
      <c r="I270" s="204"/>
      <c r="J270" s="196"/>
      <c r="K270" s="196"/>
      <c r="L270" s="192" t="str">
        <f>IFERROR(__xludf.DUMMYFUNCTION("IF(
  AND(D270=""Saída"", J270=""Sangria""),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197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94" t="str">
        <f>IFERROR(__xludf.DUMMYFUNCTION("ifna(VALUE(REGEXEXTRACT(E270,""[0-9.]+[,]+[0-9]+"")))"),"")</f>
        <v/>
      </c>
      <c r="O270" s="194"/>
      <c r="P270" s="194"/>
      <c r="Q270" s="194"/>
      <c r="R270" s="194"/>
      <c r="S270" s="194"/>
      <c r="T270" s="194"/>
      <c r="U270" s="194"/>
      <c r="V270" s="194"/>
      <c r="W270" s="194"/>
    </row>
    <row r="271" ht="14.25" customHeight="1">
      <c r="A271" s="186"/>
      <c r="B271" s="268"/>
      <c r="C271" s="269"/>
      <c r="D271" s="270"/>
      <c r="E271" s="275"/>
      <c r="F271" s="276"/>
      <c r="G271" s="273"/>
      <c r="H271" s="204"/>
      <c r="I271" s="204"/>
      <c r="J271" s="196"/>
      <c r="K271" s="196"/>
      <c r="L271" s="192" t="str">
        <f>IFERROR(__xludf.DUMMYFUNCTION("IF(
  AND(D271=""Saída"", J271=""Sangria""),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198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94" t="str">
        <f>IFERROR(__xludf.DUMMYFUNCTION("ifna(VALUE(REGEXEXTRACT(E271,""[0-9.]+[,]+[0-9]+"")))"),"")</f>
        <v/>
      </c>
      <c r="O271" s="194"/>
      <c r="P271" s="194"/>
      <c r="Q271" s="194"/>
      <c r="R271" s="194"/>
      <c r="S271" s="194"/>
      <c r="T271" s="194"/>
      <c r="U271" s="194"/>
      <c r="V271" s="194"/>
      <c r="W271" s="194"/>
    </row>
    <row r="272" ht="14.25" customHeight="1">
      <c r="A272" s="186"/>
      <c r="B272" s="268"/>
      <c r="C272" s="269"/>
      <c r="D272" s="270"/>
      <c r="E272" s="271"/>
      <c r="F272" s="276"/>
      <c r="G272" s="273"/>
      <c r="H272" s="204"/>
      <c r="I272" s="204"/>
      <c r="J272" s="196"/>
      <c r="K272" s="196"/>
      <c r="L272" s="192" t="str">
        <f>IFERROR(__xludf.DUMMYFUNCTION("IF(
  AND(D272=""Saída"", J272=""Sangria""),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197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94" t="str">
        <f>IFERROR(__xludf.DUMMYFUNCTION("ifna(VALUE(REGEXEXTRACT(E272,""[0-9.]+[,]+[0-9]+"")))"),"")</f>
        <v/>
      </c>
      <c r="O272" s="194"/>
      <c r="P272" s="194"/>
      <c r="Q272" s="194"/>
      <c r="R272" s="194"/>
      <c r="S272" s="194"/>
      <c r="T272" s="194"/>
      <c r="U272" s="194"/>
      <c r="V272" s="194"/>
      <c r="W272" s="194"/>
    </row>
    <row r="273" ht="14.25" customHeight="1">
      <c r="A273" s="186"/>
      <c r="B273" s="268"/>
      <c r="C273" s="269"/>
      <c r="D273" s="270"/>
      <c r="E273" s="271"/>
      <c r="F273" s="272"/>
      <c r="G273" s="273"/>
      <c r="H273" s="204"/>
      <c r="I273" s="204"/>
      <c r="J273" s="196"/>
      <c r="K273" s="196"/>
      <c r="L273" s="192" t="str">
        <f>IFERROR(__xludf.DUMMYFUNCTION("IF(
  AND(D273=""Saída"", J273=""Sangria""),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198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94" t="str">
        <f>IFERROR(__xludf.DUMMYFUNCTION("ifna(VALUE(REGEXEXTRACT(E273,""[0-9.]+[,]+[0-9]+"")))"),"")</f>
        <v/>
      </c>
      <c r="O273" s="194"/>
      <c r="P273" s="194"/>
      <c r="Q273" s="194"/>
      <c r="R273" s="194"/>
      <c r="S273" s="194"/>
      <c r="T273" s="194"/>
      <c r="U273" s="194"/>
      <c r="V273" s="194"/>
      <c r="W273" s="194"/>
    </row>
    <row r="274" ht="14.25" customHeight="1">
      <c r="A274" s="186"/>
      <c r="B274" s="268"/>
      <c r="C274" s="269"/>
      <c r="D274" s="270"/>
      <c r="E274" s="271"/>
      <c r="F274" s="272"/>
      <c r="G274" s="273"/>
      <c r="H274" s="204"/>
      <c r="I274" s="204"/>
      <c r="J274" s="196"/>
      <c r="K274" s="196"/>
      <c r="L274" s="192" t="str">
        <f>IFERROR(__xludf.DUMMYFUNCTION("IF(
  AND(D274=""Saída"", J274=""Sangria""),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197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94" t="str">
        <f>IFERROR(__xludf.DUMMYFUNCTION("ifna(VALUE(REGEXEXTRACT(E274,""[0-9.]+[,]+[0-9]+"")))"),"")</f>
        <v/>
      </c>
      <c r="O274" s="194"/>
      <c r="P274" s="194"/>
      <c r="Q274" s="194"/>
      <c r="R274" s="194"/>
      <c r="S274" s="194"/>
      <c r="T274" s="194"/>
      <c r="U274" s="194"/>
      <c r="V274" s="194"/>
      <c r="W274" s="194"/>
    </row>
    <row r="275" ht="14.25" customHeight="1">
      <c r="A275" s="186"/>
      <c r="B275" s="268"/>
      <c r="C275" s="269"/>
      <c r="D275" s="270"/>
      <c r="E275" s="271"/>
      <c r="F275" s="276"/>
      <c r="G275" s="273"/>
      <c r="H275" s="204"/>
      <c r="I275" s="204"/>
      <c r="J275" s="196"/>
      <c r="K275" s="196"/>
      <c r="L275" s="192" t="str">
        <f>IFERROR(__xludf.DUMMYFUNCTION("IF(
  AND(D275=""Saída"", J275=""Sangria""),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198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94" t="str">
        <f>IFERROR(__xludf.DUMMYFUNCTION("ifna(VALUE(REGEXEXTRACT(E275,""[0-9.]+[,]+[0-9]+"")))"),"")</f>
        <v/>
      </c>
      <c r="O275" s="194"/>
      <c r="P275" s="194"/>
      <c r="Q275" s="194"/>
      <c r="R275" s="194"/>
      <c r="S275" s="194"/>
      <c r="T275" s="194"/>
      <c r="U275" s="194"/>
      <c r="V275" s="194"/>
      <c r="W275" s="194"/>
    </row>
    <row r="276" ht="14.25" customHeight="1">
      <c r="A276" s="186"/>
      <c r="B276" s="268"/>
      <c r="C276" s="269"/>
      <c r="D276" s="270"/>
      <c r="E276" s="271"/>
      <c r="F276" s="272"/>
      <c r="G276" s="273"/>
      <c r="H276" s="204"/>
      <c r="I276" s="204"/>
      <c r="J276" s="196"/>
      <c r="K276" s="196"/>
      <c r="L276" s="192" t="str">
        <f>IFERROR(__xludf.DUMMYFUNCTION("IF(
  AND(D276=""Saída"", J276=""Sangria""),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197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94" t="str">
        <f>IFERROR(__xludf.DUMMYFUNCTION("ifna(VALUE(REGEXEXTRACT(E276,""[0-9.]+[,]+[0-9]+"")))"),"")</f>
        <v/>
      </c>
      <c r="O276" s="194"/>
      <c r="P276" s="194"/>
      <c r="Q276" s="194"/>
      <c r="R276" s="194"/>
      <c r="S276" s="194"/>
      <c r="T276" s="194"/>
      <c r="U276" s="194"/>
      <c r="V276" s="194"/>
      <c r="W276" s="194"/>
    </row>
    <row r="277" ht="14.25" customHeight="1">
      <c r="A277" s="186"/>
      <c r="B277" s="268"/>
      <c r="C277" s="269"/>
      <c r="D277" s="270"/>
      <c r="E277" s="271"/>
      <c r="F277" s="272"/>
      <c r="G277" s="273"/>
      <c r="H277" s="204"/>
      <c r="I277" s="204"/>
      <c r="J277" s="196"/>
      <c r="K277" s="196"/>
      <c r="L277" s="192" t="str">
        <f>IFERROR(__xludf.DUMMYFUNCTION("IF(
  AND(D277=""Saída"", J277=""Sangria""),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198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94" t="str">
        <f>IFERROR(__xludf.DUMMYFUNCTION("ifna(VALUE(REGEXEXTRACT(E277,""[0-9.]+[,]+[0-9]+"")))"),"")</f>
        <v/>
      </c>
      <c r="O277" s="194"/>
      <c r="P277" s="194"/>
      <c r="Q277" s="194"/>
      <c r="R277" s="194"/>
      <c r="S277" s="194"/>
      <c r="T277" s="194"/>
      <c r="U277" s="194"/>
      <c r="V277" s="194"/>
      <c r="W277" s="194"/>
    </row>
    <row r="278" ht="14.25" customHeight="1">
      <c r="A278" s="186"/>
      <c r="B278" s="268"/>
      <c r="C278" s="269"/>
      <c r="D278" s="270"/>
      <c r="E278" s="271"/>
      <c r="F278" s="272"/>
      <c r="G278" s="273"/>
      <c r="H278" s="204"/>
      <c r="I278" s="204"/>
      <c r="J278" s="196"/>
      <c r="K278" s="196"/>
      <c r="L278" s="192" t="str">
        <f>IFERROR(__xludf.DUMMYFUNCTION("IF(
  AND(D278=""Saída"", J278=""Sangria""),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197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94" t="str">
        <f>IFERROR(__xludf.DUMMYFUNCTION("ifna(VALUE(REGEXEXTRACT(E278,""[0-9.]+[,]+[0-9]+"")))"),"")</f>
        <v/>
      </c>
      <c r="O278" s="194"/>
      <c r="P278" s="194"/>
      <c r="Q278" s="194"/>
      <c r="R278" s="194"/>
      <c r="S278" s="194"/>
      <c r="T278" s="194"/>
      <c r="U278" s="194"/>
      <c r="V278" s="194"/>
      <c r="W278" s="194"/>
    </row>
    <row r="279" ht="14.25" customHeight="1">
      <c r="A279" s="186"/>
      <c r="B279" s="268"/>
      <c r="C279" s="269"/>
      <c r="D279" s="270"/>
      <c r="E279" s="271"/>
      <c r="F279" s="272"/>
      <c r="G279" s="273"/>
      <c r="H279" s="204"/>
      <c r="I279" s="204"/>
      <c r="J279" s="196"/>
      <c r="K279" s="196"/>
      <c r="L279" s="192" t="str">
        <f>IFERROR(__xludf.DUMMYFUNCTION("IF(
  AND(D279=""Saída"", J279=""Sangria""),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198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94" t="str">
        <f>IFERROR(__xludf.DUMMYFUNCTION("ifna(VALUE(REGEXEXTRACT(E279,""[0-9.]+[,]+[0-9]+"")))"),"")</f>
        <v/>
      </c>
      <c r="O279" s="194"/>
      <c r="P279" s="194"/>
      <c r="Q279" s="194"/>
      <c r="R279" s="194"/>
      <c r="S279" s="194"/>
      <c r="T279" s="194"/>
      <c r="U279" s="194"/>
      <c r="V279" s="194"/>
      <c r="W279" s="194"/>
    </row>
    <row r="280" ht="14.25" customHeight="1">
      <c r="A280" s="186"/>
      <c r="B280" s="268"/>
      <c r="C280" s="269"/>
      <c r="D280" s="270"/>
      <c r="E280" s="271"/>
      <c r="F280" s="272"/>
      <c r="G280" s="273"/>
      <c r="H280" s="204"/>
      <c r="I280" s="204"/>
      <c r="J280" s="196"/>
      <c r="K280" s="202"/>
      <c r="L280" s="192" t="str">
        <f>IFERROR(__xludf.DUMMYFUNCTION("IF(
  AND(D280=""Saída"", J280=""Sangria""),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197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94" t="str">
        <f>IFERROR(__xludf.DUMMYFUNCTION("ifna(VALUE(REGEXEXTRACT(E280,""[0-9.]+[,]+[0-9]+"")))"),"")</f>
        <v/>
      </c>
      <c r="O280" s="194"/>
      <c r="P280" s="194"/>
      <c r="Q280" s="194"/>
      <c r="R280" s="194"/>
      <c r="S280" s="194"/>
      <c r="T280" s="194"/>
      <c r="U280" s="194"/>
      <c r="V280" s="194"/>
      <c r="W280" s="194"/>
    </row>
    <row r="281" ht="14.25" customHeight="1">
      <c r="A281" s="186"/>
      <c r="B281" s="268"/>
      <c r="C281" s="269"/>
      <c r="D281" s="270"/>
      <c r="E281" s="271"/>
      <c r="F281" s="272"/>
      <c r="G281" s="273"/>
      <c r="H281" s="204"/>
      <c r="I281" s="204"/>
      <c r="J281" s="196"/>
      <c r="K281" s="196"/>
      <c r="L281" s="192" t="str">
        <f>IFERROR(__xludf.DUMMYFUNCTION("IF(
  AND(D281=""Saída"", J281=""Sangria""),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198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94" t="str">
        <f>IFERROR(__xludf.DUMMYFUNCTION("ifna(VALUE(REGEXEXTRACT(E281,""[0-9.]+[,]+[0-9]+"")))"),"")</f>
        <v/>
      </c>
      <c r="O281" s="194"/>
      <c r="P281" s="194"/>
      <c r="Q281" s="194"/>
      <c r="R281" s="194"/>
      <c r="S281" s="194"/>
      <c r="T281" s="194"/>
      <c r="U281" s="194"/>
      <c r="V281" s="194"/>
      <c r="W281" s="194"/>
    </row>
    <row r="282" ht="14.25" customHeight="1">
      <c r="A282" s="186"/>
      <c r="B282" s="268"/>
      <c r="C282" s="269"/>
      <c r="D282" s="270"/>
      <c r="E282" s="275"/>
      <c r="F282" s="272"/>
      <c r="G282" s="273"/>
      <c r="H282" s="204"/>
      <c r="I282" s="204"/>
      <c r="J282" s="196"/>
      <c r="K282" s="196"/>
      <c r="L282" s="192" t="str">
        <f>IFERROR(__xludf.DUMMYFUNCTION("IF(
  AND(D282=""Saída"", J282=""Sangria""),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197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94" t="str">
        <f>IFERROR(__xludf.DUMMYFUNCTION("ifna(VALUE(REGEXEXTRACT(E282,""[0-9.]+[,]+[0-9]+"")))"),"")</f>
        <v/>
      </c>
      <c r="O282" s="194"/>
      <c r="P282" s="194"/>
      <c r="Q282" s="194"/>
      <c r="R282" s="194"/>
      <c r="S282" s="194"/>
      <c r="T282" s="194"/>
      <c r="U282" s="194"/>
      <c r="V282" s="194"/>
      <c r="W282" s="194"/>
    </row>
    <row r="283" ht="14.25" customHeight="1">
      <c r="A283" s="186"/>
      <c r="B283" s="268"/>
      <c r="C283" s="269"/>
      <c r="D283" s="270"/>
      <c r="E283" s="271"/>
      <c r="F283" s="272"/>
      <c r="G283" s="273"/>
      <c r="H283" s="204"/>
      <c r="I283" s="204"/>
      <c r="J283" s="196"/>
      <c r="K283" s="196"/>
      <c r="L283" s="192" t="str">
        <f>IFERROR(__xludf.DUMMYFUNCTION("IF(
  AND(D283=""Saída"", J283=""Sangria""),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198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94" t="str">
        <f>IFERROR(__xludf.DUMMYFUNCTION("ifna(VALUE(REGEXEXTRACT(E283,""[0-9.]+[,]+[0-9]+"")))"),"")</f>
        <v/>
      </c>
      <c r="O283" s="194"/>
      <c r="P283" s="194"/>
      <c r="Q283" s="194"/>
      <c r="R283" s="194"/>
      <c r="S283" s="194"/>
      <c r="T283" s="194"/>
      <c r="U283" s="194"/>
      <c r="V283" s="194"/>
      <c r="W283" s="194"/>
    </row>
    <row r="284" ht="14.25" customHeight="1">
      <c r="A284" s="186"/>
      <c r="B284" s="268"/>
      <c r="C284" s="269"/>
      <c r="D284" s="270"/>
      <c r="E284" s="271"/>
      <c r="F284" s="272"/>
      <c r="G284" s="273"/>
      <c r="H284" s="204"/>
      <c r="I284" s="204"/>
      <c r="J284" s="196"/>
      <c r="K284" s="202"/>
      <c r="L284" s="192" t="str">
        <f>IFERROR(__xludf.DUMMYFUNCTION("IF(
  AND(D284=""Saída"", J284=""Sangria""),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197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94" t="str">
        <f>IFERROR(__xludf.DUMMYFUNCTION("ifna(VALUE(REGEXEXTRACT(E284,""[0-9.]+[,]+[0-9]+"")))"),"")</f>
        <v/>
      </c>
      <c r="O284" s="194"/>
      <c r="P284" s="194"/>
      <c r="Q284" s="194"/>
      <c r="R284" s="194"/>
      <c r="S284" s="194"/>
      <c r="T284" s="194"/>
      <c r="U284" s="194"/>
      <c r="V284" s="194"/>
      <c r="W284" s="194"/>
    </row>
    <row r="285" ht="14.25" customHeight="1">
      <c r="A285" s="186"/>
      <c r="B285" s="268"/>
      <c r="C285" s="269"/>
      <c r="D285" s="270"/>
      <c r="E285" s="271"/>
      <c r="F285" s="276"/>
      <c r="G285" s="273"/>
      <c r="H285" s="204"/>
      <c r="I285" s="204"/>
      <c r="J285" s="196"/>
      <c r="K285" s="196"/>
      <c r="L285" s="192" t="str">
        <f>IFERROR(__xludf.DUMMYFUNCTION("IF(
  AND(D285=""Saída"", J285=""Sangria""),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198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94" t="str">
        <f>IFERROR(__xludf.DUMMYFUNCTION("ifna(VALUE(REGEXEXTRACT(E285,""[0-9.]+[,]+[0-9]+"")))"),"")</f>
        <v/>
      </c>
      <c r="O285" s="194"/>
      <c r="P285" s="194"/>
      <c r="Q285" s="194"/>
      <c r="R285" s="194"/>
      <c r="S285" s="194"/>
      <c r="T285" s="194"/>
      <c r="U285" s="194"/>
      <c r="V285" s="194"/>
      <c r="W285" s="194"/>
    </row>
    <row r="286" ht="14.25" customHeight="1">
      <c r="A286" s="186"/>
      <c r="B286" s="268"/>
      <c r="C286" s="269"/>
      <c r="D286" s="270"/>
      <c r="E286" s="271"/>
      <c r="F286" s="276"/>
      <c r="G286" s="273"/>
      <c r="H286" s="204"/>
      <c r="I286" s="204"/>
      <c r="J286" s="196"/>
      <c r="K286" s="196"/>
      <c r="L286" s="192" t="str">
        <f>IFERROR(__xludf.DUMMYFUNCTION("IF(
  AND(D286=""Saída"", J286=""Sangria""),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197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94" t="str">
        <f>IFERROR(__xludf.DUMMYFUNCTION("ifna(VALUE(REGEXEXTRACT(E286,""[0-9.]+[,]+[0-9]+"")))"),"")</f>
        <v/>
      </c>
      <c r="O286" s="194"/>
      <c r="P286" s="194"/>
      <c r="Q286" s="194"/>
      <c r="R286" s="194"/>
      <c r="S286" s="194"/>
      <c r="T286" s="194"/>
      <c r="U286" s="194"/>
      <c r="V286" s="194"/>
      <c r="W286" s="194"/>
    </row>
    <row r="287" ht="14.25" customHeight="1">
      <c r="A287" s="186"/>
      <c r="B287" s="268"/>
      <c r="C287" s="269"/>
      <c r="D287" s="270"/>
      <c r="E287" s="271"/>
      <c r="F287" s="272"/>
      <c r="G287" s="273"/>
      <c r="H287" s="204"/>
      <c r="I287" s="204"/>
      <c r="J287" s="212"/>
      <c r="K287" s="202"/>
      <c r="L287" s="192" t="str">
        <f>IFERROR(__xludf.DUMMYFUNCTION("IF(
  AND(D287=""Saída"", J287=""Sangria""),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198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94" t="str">
        <f>IFERROR(__xludf.DUMMYFUNCTION("ifna(VALUE(REGEXEXTRACT(E287,""[0-9.]+[,]+[0-9]+"")))"),"")</f>
        <v/>
      </c>
      <c r="O287" s="194"/>
      <c r="P287" s="194"/>
      <c r="Q287" s="194"/>
      <c r="R287" s="194"/>
      <c r="S287" s="194"/>
      <c r="T287" s="194"/>
      <c r="U287" s="194"/>
      <c r="V287" s="194"/>
      <c r="W287" s="194"/>
    </row>
    <row r="288" ht="14.25" customHeight="1">
      <c r="A288" s="186"/>
      <c r="B288" s="268"/>
      <c r="C288" s="269"/>
      <c r="D288" s="270"/>
      <c r="E288" s="271"/>
      <c r="F288" s="272"/>
      <c r="G288" s="273"/>
      <c r="H288" s="204"/>
      <c r="I288" s="204"/>
      <c r="J288" s="196"/>
      <c r="K288" s="202"/>
      <c r="L288" s="192" t="str">
        <f>IFERROR(__xludf.DUMMYFUNCTION("IF(
  AND(D288=""Saída"", J288=""Sangria""),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197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94" t="str">
        <f>IFERROR(__xludf.DUMMYFUNCTION("ifna(VALUE(REGEXEXTRACT(E288,""[0-9.]+[,]+[0-9]+"")))"),"")</f>
        <v/>
      </c>
      <c r="O288" s="194"/>
      <c r="P288" s="194"/>
      <c r="Q288" s="194"/>
      <c r="R288" s="194"/>
      <c r="S288" s="194"/>
      <c r="T288" s="194"/>
      <c r="U288" s="194"/>
      <c r="V288" s="194"/>
      <c r="W288" s="194"/>
    </row>
    <row r="289" ht="14.25" customHeight="1">
      <c r="A289" s="186"/>
      <c r="B289" s="268"/>
      <c r="C289" s="269"/>
      <c r="D289" s="270"/>
      <c r="E289" s="271"/>
      <c r="F289" s="272"/>
      <c r="G289" s="273"/>
      <c r="H289" s="204"/>
      <c r="I289" s="204"/>
      <c r="J289" s="196"/>
      <c r="K289" s="196"/>
      <c r="L289" s="192" t="str">
        <f>IFERROR(__xludf.DUMMYFUNCTION("IF(
  AND(D289=""Saída"", J289=""Sangria""),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198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94" t="str">
        <f>IFERROR(__xludf.DUMMYFUNCTION("ifna(VALUE(REGEXEXTRACT(E289,""[0-9.]+[,]+[0-9]+"")))"),"")</f>
        <v/>
      </c>
      <c r="O289" s="194"/>
      <c r="P289" s="194"/>
      <c r="Q289" s="194"/>
      <c r="R289" s="194"/>
      <c r="S289" s="194"/>
      <c r="T289" s="194"/>
      <c r="U289" s="194"/>
      <c r="V289" s="194"/>
      <c r="W289" s="194"/>
    </row>
    <row r="290" ht="14.25" customHeight="1">
      <c r="A290" s="186"/>
      <c r="B290" s="268"/>
      <c r="C290" s="269"/>
      <c r="D290" s="270"/>
      <c r="E290" s="271"/>
      <c r="F290" s="272"/>
      <c r="G290" s="273"/>
      <c r="H290" s="204"/>
      <c r="I290" s="204"/>
      <c r="J290" s="196"/>
      <c r="K290" s="196"/>
      <c r="L290" s="192" t="str">
        <f>IFERROR(__xludf.DUMMYFUNCTION("IF(
  AND(D290=""Saída"", J290=""Sangria""),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197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94" t="str">
        <f>IFERROR(__xludf.DUMMYFUNCTION("ifna(VALUE(REGEXEXTRACT(E290,""[0-9.]+[,]+[0-9]+"")))"),"")</f>
        <v/>
      </c>
      <c r="O290" s="194"/>
      <c r="P290" s="194"/>
      <c r="Q290" s="194"/>
      <c r="R290" s="194"/>
      <c r="S290" s="194"/>
      <c r="T290" s="194"/>
      <c r="U290" s="194"/>
      <c r="V290" s="194"/>
      <c r="W290" s="194"/>
    </row>
    <row r="291" ht="14.25" customHeight="1">
      <c r="A291" s="186"/>
      <c r="B291" s="268"/>
      <c r="C291" s="269"/>
      <c r="D291" s="270"/>
      <c r="E291" s="271"/>
      <c r="F291" s="272"/>
      <c r="G291" s="273"/>
      <c r="H291" s="204"/>
      <c r="I291" s="204"/>
      <c r="J291" s="196"/>
      <c r="K291" s="196"/>
      <c r="L291" s="192" t="str">
        <f>IFERROR(__xludf.DUMMYFUNCTION("IF(
  AND(D291=""Saída"", J291=""Sangria""),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198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94" t="str">
        <f>IFERROR(__xludf.DUMMYFUNCTION("ifna(VALUE(REGEXEXTRACT(E291,""[0-9.]+[,]+[0-9]+"")))"),"")</f>
        <v/>
      </c>
      <c r="O291" s="194"/>
      <c r="P291" s="194"/>
      <c r="Q291" s="194"/>
      <c r="R291" s="194"/>
      <c r="S291" s="194"/>
      <c r="T291" s="194"/>
      <c r="U291" s="194"/>
      <c r="V291" s="194"/>
      <c r="W291" s="194"/>
    </row>
    <row r="292" ht="14.25" customHeight="1">
      <c r="A292" s="31"/>
      <c r="B292" s="268"/>
      <c r="C292" s="269"/>
      <c r="D292" s="270"/>
      <c r="E292" s="271"/>
      <c r="F292" s="272"/>
      <c r="G292" s="273"/>
      <c r="H292" s="204"/>
      <c r="I292" s="204"/>
      <c r="J292" s="196"/>
      <c r="K292" s="196"/>
      <c r="L292" s="192" t="str">
        <f>IFERROR(__xludf.DUMMYFUNCTION("IF(
  AND(D292=""Saída"", J292=""Sangria""),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197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94" t="str">
        <f>IFERROR(__xludf.DUMMYFUNCTION("ifna(VALUE(REGEXEXTRACT(E292,""[0-9.]+[,]+[0-9]+"")))"),"")</f>
        <v/>
      </c>
      <c r="O292" s="194"/>
      <c r="P292" s="194"/>
      <c r="Q292" s="194"/>
      <c r="R292" s="194"/>
      <c r="S292" s="194"/>
      <c r="T292" s="194"/>
      <c r="U292" s="194"/>
      <c r="V292" s="194"/>
      <c r="W292" s="194"/>
    </row>
    <row r="293" ht="14.25" customHeight="1">
      <c r="A293" s="31"/>
      <c r="B293" s="268"/>
      <c r="C293" s="269"/>
      <c r="D293" s="270"/>
      <c r="E293" s="271"/>
      <c r="F293" s="272"/>
      <c r="G293" s="273"/>
      <c r="H293" s="204"/>
      <c r="I293" s="204"/>
      <c r="J293" s="196"/>
      <c r="K293" s="202"/>
      <c r="L293" s="192" t="str">
        <f>IFERROR(__xludf.DUMMYFUNCTION("IF(
  AND(D293=""Saída"", J293=""Sangria""),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198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94" t="str">
        <f>IFERROR(__xludf.DUMMYFUNCTION("ifna(VALUE(REGEXEXTRACT(E293,""[0-9.]+[,]+[0-9]+"")))"),"")</f>
        <v/>
      </c>
      <c r="O293" s="194"/>
      <c r="P293" s="194"/>
      <c r="Q293" s="194"/>
      <c r="R293" s="194"/>
      <c r="S293" s="194"/>
      <c r="T293" s="194"/>
      <c r="U293" s="194"/>
      <c r="V293" s="194"/>
      <c r="W293" s="194"/>
    </row>
    <row r="294" ht="14.25" customHeight="1">
      <c r="A294" s="31"/>
      <c r="B294" s="268"/>
      <c r="C294" s="269"/>
      <c r="D294" s="270"/>
      <c r="E294" s="275"/>
      <c r="F294" s="272"/>
      <c r="G294" s="273"/>
      <c r="H294" s="204"/>
      <c r="I294" s="204"/>
      <c r="J294" s="196"/>
      <c r="K294" s="196"/>
      <c r="L294" s="192" t="str">
        <f>IFERROR(__xludf.DUMMYFUNCTION("IF(
  AND(D294=""Saída"", J294=""Sangria""),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197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94" t="str">
        <f>IFERROR(__xludf.DUMMYFUNCTION("ifna(VALUE(REGEXEXTRACT(E294,""[0-9.]+[,]+[0-9]+"")))"),"")</f>
        <v/>
      </c>
      <c r="O294" s="194"/>
      <c r="P294" s="194"/>
      <c r="Q294" s="194"/>
      <c r="R294" s="194"/>
      <c r="S294" s="194"/>
      <c r="T294" s="194"/>
      <c r="U294" s="194"/>
      <c r="V294" s="194"/>
      <c r="W294" s="194"/>
    </row>
    <row r="295" ht="14.25" customHeight="1">
      <c r="A295" s="31"/>
      <c r="B295" s="268"/>
      <c r="C295" s="269"/>
      <c r="D295" s="270"/>
      <c r="E295" s="271"/>
      <c r="F295" s="272"/>
      <c r="G295" s="273"/>
      <c r="H295" s="204"/>
      <c r="I295" s="204"/>
      <c r="J295" s="196"/>
      <c r="K295" s="196"/>
      <c r="L295" s="192" t="str">
        <f>IFERROR(__xludf.DUMMYFUNCTION("IF(
  AND(D295=""Saída"", J295=""Sangria""),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198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94" t="str">
        <f>IFERROR(__xludf.DUMMYFUNCTION("ifna(VALUE(REGEXEXTRACT(E295,""[0-9.]+[,]+[0-9]+"")))"),"")</f>
        <v/>
      </c>
      <c r="O295" s="194"/>
      <c r="P295" s="194"/>
      <c r="Q295" s="194"/>
      <c r="R295" s="194"/>
      <c r="S295" s="194"/>
      <c r="T295" s="194"/>
      <c r="U295" s="194"/>
      <c r="V295" s="194"/>
      <c r="W295" s="194"/>
    </row>
    <row r="296" ht="14.25" customHeight="1">
      <c r="A296" s="31"/>
      <c r="B296" s="268"/>
      <c r="C296" s="269"/>
      <c r="D296" s="270"/>
      <c r="E296" s="271"/>
      <c r="F296" s="276"/>
      <c r="G296" s="273"/>
      <c r="H296" s="204"/>
      <c r="I296" s="204"/>
      <c r="J296" s="196"/>
      <c r="K296" s="196"/>
      <c r="L296" s="192" t="str">
        <f>IFERROR(__xludf.DUMMYFUNCTION("IF(
  AND(D296=""Saída"", J296=""Sangria""),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197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94" t="str">
        <f>IFERROR(__xludf.DUMMYFUNCTION("ifna(VALUE(REGEXEXTRACT(E296,""[0-9.]+[,]+[0-9]+"")))"),"")</f>
        <v/>
      </c>
      <c r="O296" s="194"/>
      <c r="P296" s="194"/>
      <c r="Q296" s="194"/>
      <c r="R296" s="194"/>
      <c r="S296" s="194"/>
      <c r="T296" s="194"/>
      <c r="U296" s="194"/>
      <c r="V296" s="194"/>
      <c r="W296" s="194"/>
    </row>
    <row r="297" ht="14.25" customHeight="1">
      <c r="A297" s="31"/>
      <c r="B297" s="268"/>
      <c r="C297" s="269"/>
      <c r="D297" s="270"/>
      <c r="E297" s="271"/>
      <c r="F297" s="272"/>
      <c r="G297" s="273"/>
      <c r="H297" s="204"/>
      <c r="I297" s="204"/>
      <c r="J297" s="196"/>
      <c r="K297" s="196"/>
      <c r="L297" s="192" t="str">
        <f>IFERROR(__xludf.DUMMYFUNCTION("IF(
  AND(D297=""Saída"", J297=""Sangria""),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198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94" t="str">
        <f>IFERROR(__xludf.DUMMYFUNCTION("ifna(VALUE(REGEXEXTRACT(E297,""[0-9.]+[,]+[0-9]+"")))"),"")</f>
        <v/>
      </c>
      <c r="O297" s="194"/>
      <c r="P297" s="194"/>
      <c r="Q297" s="194"/>
      <c r="R297" s="194"/>
      <c r="S297" s="194"/>
      <c r="T297" s="194"/>
      <c r="U297" s="194"/>
      <c r="V297" s="194"/>
      <c r="W297" s="194"/>
    </row>
    <row r="298" ht="14.25" customHeight="1">
      <c r="A298" s="31"/>
      <c r="B298" s="268"/>
      <c r="C298" s="269"/>
      <c r="D298" s="270"/>
      <c r="E298" s="271"/>
      <c r="F298" s="272"/>
      <c r="G298" s="273"/>
      <c r="H298" s="204"/>
      <c r="I298" s="204"/>
      <c r="J298" s="196"/>
      <c r="K298" s="196"/>
      <c r="L298" s="192" t="str">
        <f>IFERROR(__xludf.DUMMYFUNCTION("IF(
  AND(D298=""Saída"", J298=""Sangria""),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197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94" t="str">
        <f>IFERROR(__xludf.DUMMYFUNCTION("ifna(VALUE(REGEXEXTRACT(E298,""[0-9.]+[,]+[0-9]+"")))"),"")</f>
        <v/>
      </c>
      <c r="O298" s="194"/>
      <c r="P298" s="194"/>
      <c r="Q298" s="194"/>
      <c r="R298" s="194"/>
      <c r="S298" s="194"/>
      <c r="T298" s="194"/>
      <c r="U298" s="194"/>
      <c r="V298" s="194"/>
      <c r="W298" s="194"/>
    </row>
    <row r="299" ht="14.25" customHeight="1">
      <c r="A299" s="31"/>
      <c r="B299" s="268"/>
      <c r="C299" s="269"/>
      <c r="D299" s="270"/>
      <c r="E299" s="271"/>
      <c r="F299" s="272"/>
      <c r="G299" s="273"/>
      <c r="H299" s="204"/>
      <c r="I299" s="204"/>
      <c r="J299" s="196"/>
      <c r="K299" s="196"/>
      <c r="L299" s="192" t="str">
        <f>IFERROR(__xludf.DUMMYFUNCTION("IF(
  AND(D299=""Saída"", J299=""Sangria""),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198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94" t="str">
        <f>IFERROR(__xludf.DUMMYFUNCTION("ifna(VALUE(REGEXEXTRACT(E299,""[0-9.]+[,]+[0-9]+"")))"),"")</f>
        <v/>
      </c>
      <c r="O299" s="194"/>
      <c r="P299" s="194"/>
      <c r="Q299" s="194"/>
      <c r="R299" s="194"/>
      <c r="S299" s="194"/>
      <c r="T299" s="194"/>
      <c r="U299" s="194"/>
      <c r="V299" s="194"/>
      <c r="W299" s="194"/>
    </row>
    <row r="300" ht="14.25" customHeight="1">
      <c r="A300" s="31"/>
      <c r="B300" s="268"/>
      <c r="C300" s="269"/>
      <c r="D300" s="270"/>
      <c r="E300" s="271"/>
      <c r="F300" s="272"/>
      <c r="G300" s="273"/>
      <c r="H300" s="204"/>
      <c r="I300" s="204"/>
      <c r="J300" s="196"/>
      <c r="K300" s="196"/>
      <c r="L300" s="192" t="str">
        <f>IFERROR(__xludf.DUMMYFUNCTION("IF(
  AND(D300=""Saída"", J300=""Sangria""),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197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94" t="str">
        <f>IFERROR(__xludf.DUMMYFUNCTION("ifna(VALUE(REGEXEXTRACT(E300,""[0-9.]+[,]+[0-9]+"")))"),"")</f>
        <v/>
      </c>
      <c r="O300" s="194"/>
      <c r="P300" s="194"/>
      <c r="Q300" s="194"/>
      <c r="R300" s="194"/>
      <c r="S300" s="194"/>
      <c r="T300" s="194"/>
      <c r="U300" s="194"/>
      <c r="V300" s="194"/>
      <c r="W300" s="194"/>
    </row>
    <row r="301" ht="14.25" customHeight="1">
      <c r="A301" s="31"/>
      <c r="B301" s="268"/>
      <c r="C301" s="269"/>
      <c r="D301" s="270"/>
      <c r="E301" s="271"/>
      <c r="F301" s="276"/>
      <c r="G301" s="273"/>
      <c r="H301" s="204"/>
      <c r="I301" s="204"/>
      <c r="J301" s="196"/>
      <c r="K301" s="196"/>
      <c r="L301" s="192" t="str">
        <f>IFERROR(__xludf.DUMMYFUNCTION("IF(
  AND(D301=""Saída"", J301=""Sangria""),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198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94" t="str">
        <f>IFERROR(__xludf.DUMMYFUNCTION("ifna(VALUE(REGEXEXTRACT(E301,""[0-9.]+[,]+[0-9]+"")))"),"")</f>
        <v/>
      </c>
      <c r="O301" s="194"/>
      <c r="P301" s="194"/>
      <c r="Q301" s="194"/>
      <c r="R301" s="194"/>
      <c r="S301" s="194"/>
      <c r="T301" s="194"/>
      <c r="U301" s="194"/>
      <c r="V301" s="194"/>
      <c r="W301" s="194"/>
    </row>
    <row r="302" ht="14.25" customHeight="1">
      <c r="A302" s="31"/>
      <c r="B302" s="268"/>
      <c r="C302" s="269"/>
      <c r="D302" s="270"/>
      <c r="E302" s="271"/>
      <c r="F302" s="272"/>
      <c r="G302" s="273"/>
      <c r="H302" s="204"/>
      <c r="I302" s="204"/>
      <c r="J302" s="196"/>
      <c r="K302" s="202"/>
      <c r="L302" s="192" t="str">
        <f>IFERROR(__xludf.DUMMYFUNCTION("IF(
  AND(D302=""Saída"", J302=""Sangria""),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197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94" t="str">
        <f>IFERROR(__xludf.DUMMYFUNCTION("ifna(VALUE(REGEXEXTRACT(E302,""[0-9.]+[,]+[0-9]+"")))"),"")</f>
        <v/>
      </c>
      <c r="O302" s="194"/>
      <c r="P302" s="194"/>
      <c r="Q302" s="194"/>
      <c r="R302" s="194"/>
      <c r="S302" s="194"/>
      <c r="T302" s="194"/>
      <c r="U302" s="194"/>
      <c r="V302" s="194"/>
      <c r="W302" s="194"/>
    </row>
    <row r="303" ht="14.25" customHeight="1">
      <c r="A303" s="31"/>
      <c r="B303" s="268"/>
      <c r="C303" s="269"/>
      <c r="D303" s="270"/>
      <c r="E303" s="271"/>
      <c r="F303" s="276"/>
      <c r="G303" s="273"/>
      <c r="H303" s="204"/>
      <c r="I303" s="204"/>
      <c r="J303" s="196"/>
      <c r="K303" s="196"/>
      <c r="L303" s="192" t="str">
        <f>IFERROR(__xludf.DUMMYFUNCTION("IF(
  AND(D303=""Saída"", J303=""Sangria""),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198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94" t="str">
        <f>IFERROR(__xludf.DUMMYFUNCTION("ifna(VALUE(REGEXEXTRACT(E303,""[0-9.]+[,]+[0-9]+"")))"),"")</f>
        <v/>
      </c>
      <c r="O303" s="194"/>
      <c r="P303" s="194"/>
      <c r="Q303" s="194"/>
      <c r="R303" s="194"/>
      <c r="S303" s="194"/>
      <c r="T303" s="194"/>
      <c r="U303" s="194"/>
      <c r="V303" s="194"/>
      <c r="W303" s="194"/>
    </row>
    <row r="304" ht="14.25" customHeight="1">
      <c r="A304" s="31"/>
      <c r="B304" s="268"/>
      <c r="C304" s="269"/>
      <c r="D304" s="270"/>
      <c r="E304" s="271"/>
      <c r="F304" s="272"/>
      <c r="G304" s="273"/>
      <c r="H304" s="204"/>
      <c r="I304" s="204"/>
      <c r="J304" s="212"/>
      <c r="K304" s="196"/>
      <c r="L304" s="192" t="str">
        <f>IFERROR(__xludf.DUMMYFUNCTION("IF(
  AND(D304=""Saída"", J304=""Sangria""),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197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94" t="str">
        <f>IFERROR(__xludf.DUMMYFUNCTION("ifna(VALUE(REGEXEXTRACT(E304,""[0-9.]+[,]+[0-9]+"")))"),"")</f>
        <v/>
      </c>
      <c r="O304" s="194"/>
      <c r="P304" s="194"/>
      <c r="Q304" s="194"/>
      <c r="R304" s="194"/>
      <c r="S304" s="194"/>
      <c r="T304" s="194"/>
      <c r="U304" s="194"/>
      <c r="V304" s="194"/>
      <c r="W304" s="194"/>
    </row>
    <row r="305" ht="14.25" customHeight="1">
      <c r="A305" s="31"/>
      <c r="B305" s="268"/>
      <c r="C305" s="269"/>
      <c r="D305" s="270"/>
      <c r="E305" s="271"/>
      <c r="F305" s="272"/>
      <c r="G305" s="273"/>
      <c r="H305" s="204"/>
      <c r="I305" s="204"/>
      <c r="J305" s="212"/>
      <c r="K305" s="196"/>
      <c r="L305" s="192" t="str">
        <f>IFERROR(__xludf.DUMMYFUNCTION("IF(
  AND(D305=""Saída"", J305=""Sangria""),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198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94" t="str">
        <f>IFERROR(__xludf.DUMMYFUNCTION("ifna(VALUE(REGEXEXTRACT(E305,""[0-9.]+[,]+[0-9]+"")))"),"")</f>
        <v/>
      </c>
      <c r="O305" s="194"/>
      <c r="P305" s="194"/>
      <c r="Q305" s="194"/>
      <c r="R305" s="194"/>
      <c r="S305" s="194"/>
      <c r="T305" s="194"/>
      <c r="U305" s="194"/>
      <c r="V305" s="194"/>
      <c r="W305" s="194"/>
    </row>
    <row r="306" ht="14.25" customHeight="1">
      <c r="A306" s="31"/>
      <c r="B306" s="268"/>
      <c r="C306" s="269"/>
      <c r="D306" s="270"/>
      <c r="E306" s="271"/>
      <c r="F306" s="272"/>
      <c r="G306" s="273"/>
      <c r="H306" s="204"/>
      <c r="I306" s="204"/>
      <c r="J306" s="196"/>
      <c r="K306" s="196"/>
      <c r="L306" s="192" t="str">
        <f>IFERROR(__xludf.DUMMYFUNCTION("IF(
  AND(D306=""Saída"", J306=""Sangria""),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197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94" t="str">
        <f>IFERROR(__xludf.DUMMYFUNCTION("ifna(VALUE(REGEXEXTRACT(E306,""[0-9.]+[,]+[0-9]+"")))"),"")</f>
        <v/>
      </c>
      <c r="O306" s="194"/>
      <c r="P306" s="194"/>
      <c r="Q306" s="194"/>
      <c r="R306" s="194"/>
      <c r="S306" s="194"/>
      <c r="T306" s="194"/>
      <c r="U306" s="194"/>
      <c r="V306" s="194"/>
      <c r="W306" s="194"/>
    </row>
    <row r="307" ht="14.25" customHeight="1">
      <c r="A307" s="31"/>
      <c r="B307" s="268"/>
      <c r="C307" s="269"/>
      <c r="D307" s="270"/>
      <c r="E307" s="271"/>
      <c r="F307" s="272"/>
      <c r="G307" s="273"/>
      <c r="H307" s="204"/>
      <c r="I307" s="204"/>
      <c r="J307" s="196"/>
      <c r="K307" s="202"/>
      <c r="L307" s="192" t="str">
        <f>IFERROR(__xludf.DUMMYFUNCTION("IF(
  AND(D307=""Saída"", J307=""Sangria""),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198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94" t="str">
        <f>IFERROR(__xludf.DUMMYFUNCTION("ifna(VALUE(REGEXEXTRACT(E307,""[0-9.]+[,]+[0-9]+"")))"),"")</f>
        <v/>
      </c>
      <c r="O307" s="194"/>
      <c r="P307" s="194"/>
      <c r="Q307" s="194"/>
      <c r="R307" s="194"/>
      <c r="S307" s="194"/>
      <c r="T307" s="194"/>
      <c r="U307" s="194"/>
      <c r="V307" s="194"/>
      <c r="W307" s="194"/>
    </row>
    <row r="308" ht="14.25" customHeight="1">
      <c r="A308" s="31"/>
      <c r="B308" s="268"/>
      <c r="C308" s="269"/>
      <c r="D308" s="270"/>
      <c r="E308" s="271"/>
      <c r="F308" s="276"/>
      <c r="G308" s="273"/>
      <c r="H308" s="204"/>
      <c r="I308" s="204"/>
      <c r="J308" s="196"/>
      <c r="K308" s="196"/>
      <c r="L308" s="192" t="str">
        <f>IFERROR(__xludf.DUMMYFUNCTION("IF(
  AND(D308=""Saída"", J308=""Sangria""),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197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94" t="str">
        <f>IFERROR(__xludf.DUMMYFUNCTION("ifna(VALUE(REGEXEXTRACT(E308,""[0-9.]+[,]+[0-9]+"")))"),"")</f>
        <v/>
      </c>
      <c r="O308" s="194"/>
      <c r="P308" s="194"/>
      <c r="Q308" s="194"/>
      <c r="R308" s="194"/>
      <c r="S308" s="194"/>
      <c r="T308" s="194"/>
      <c r="U308" s="194"/>
      <c r="V308" s="194"/>
      <c r="W308" s="194"/>
    </row>
    <row r="309" ht="14.25" customHeight="1">
      <c r="A309" s="31"/>
      <c r="B309" s="268"/>
      <c r="C309" s="269"/>
      <c r="D309" s="270"/>
      <c r="E309" s="271"/>
      <c r="F309" s="272"/>
      <c r="G309" s="273"/>
      <c r="H309" s="204"/>
      <c r="I309" s="204"/>
      <c r="J309" s="212"/>
      <c r="K309" s="196"/>
      <c r="L309" s="192" t="str">
        <f>IFERROR(__xludf.DUMMYFUNCTION("IF(
  AND(D309=""Saída"", J309=""Sangria""),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198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94" t="str">
        <f>IFERROR(__xludf.DUMMYFUNCTION("ifna(VALUE(REGEXEXTRACT(E309,""[0-9.]+[,]+[0-9]+"")))"),"")</f>
        <v/>
      </c>
      <c r="O309" s="194"/>
      <c r="P309" s="194"/>
      <c r="Q309" s="194"/>
      <c r="R309" s="194"/>
      <c r="S309" s="194"/>
      <c r="T309" s="194"/>
      <c r="U309" s="194"/>
      <c r="V309" s="194"/>
      <c r="W309" s="194"/>
    </row>
    <row r="310" ht="14.25" customHeight="1">
      <c r="A310" s="31"/>
      <c r="B310" s="268"/>
      <c r="C310" s="269"/>
      <c r="D310" s="270"/>
      <c r="E310" s="271"/>
      <c r="F310" s="272"/>
      <c r="G310" s="273"/>
      <c r="H310" s="204"/>
      <c r="I310" s="204"/>
      <c r="J310" s="196"/>
      <c r="K310" s="196"/>
      <c r="L310" s="192" t="str">
        <f>IFERROR(__xludf.DUMMYFUNCTION("IF(
  AND(D310=""Saída"", J310=""Sangria""),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197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94" t="str">
        <f>IFERROR(__xludf.DUMMYFUNCTION("ifna(VALUE(REGEXEXTRACT(E310,""[0-9.]+[,]+[0-9]+"")))"),"")</f>
        <v/>
      </c>
      <c r="O310" s="194"/>
      <c r="P310" s="194"/>
      <c r="Q310" s="194"/>
      <c r="R310" s="194"/>
      <c r="S310" s="194"/>
      <c r="T310" s="194"/>
      <c r="U310" s="194"/>
      <c r="V310" s="194"/>
      <c r="W310" s="194"/>
    </row>
    <row r="311" ht="14.25" customHeight="1">
      <c r="A311" s="31"/>
      <c r="B311" s="268"/>
      <c r="C311" s="269"/>
      <c r="D311" s="270"/>
      <c r="E311" s="271"/>
      <c r="F311" s="272"/>
      <c r="G311" s="273"/>
      <c r="H311" s="204"/>
      <c r="I311" s="204"/>
      <c r="J311" s="196"/>
      <c r="K311" s="196"/>
      <c r="L311" s="192" t="str">
        <f>IFERROR(__xludf.DUMMYFUNCTION("IF(
  AND(D311=""Saída"", J311=""Sangria""),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198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94" t="str">
        <f>IFERROR(__xludf.DUMMYFUNCTION("ifna(VALUE(REGEXEXTRACT(E311,""[0-9.]+[,]+[0-9]+"")))"),"")</f>
        <v/>
      </c>
      <c r="O311" s="194"/>
      <c r="P311" s="194"/>
      <c r="Q311" s="194"/>
      <c r="R311" s="194"/>
      <c r="S311" s="194"/>
      <c r="T311" s="194"/>
      <c r="U311" s="194"/>
      <c r="V311" s="194"/>
      <c r="W311" s="194"/>
    </row>
    <row r="312" ht="14.25" customHeight="1">
      <c r="A312" s="31"/>
      <c r="B312" s="268"/>
      <c r="C312" s="269"/>
      <c r="D312" s="270"/>
      <c r="E312" s="271"/>
      <c r="F312" s="272"/>
      <c r="G312" s="273"/>
      <c r="H312" s="204"/>
      <c r="I312" s="204"/>
      <c r="J312" s="196"/>
      <c r="K312" s="196"/>
      <c r="L312" s="192" t="str">
        <f>IFERROR(__xludf.DUMMYFUNCTION("IF(
  AND(D312=""Saída"", J312=""Sangria""),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197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94" t="str">
        <f>IFERROR(__xludf.DUMMYFUNCTION("ifna(VALUE(REGEXEXTRACT(E312,""[0-9.]+[,]+[0-9]+"")))"),"")</f>
        <v/>
      </c>
      <c r="O312" s="194"/>
      <c r="P312" s="194"/>
      <c r="Q312" s="194"/>
      <c r="R312" s="194"/>
      <c r="S312" s="194"/>
      <c r="T312" s="194"/>
      <c r="U312" s="194"/>
      <c r="V312" s="194"/>
      <c r="W312" s="194"/>
    </row>
    <row r="313" ht="14.25" customHeight="1">
      <c r="A313" s="31"/>
      <c r="B313" s="268"/>
      <c r="C313" s="269"/>
      <c r="D313" s="270"/>
      <c r="E313" s="271"/>
      <c r="F313" s="272"/>
      <c r="G313" s="273"/>
      <c r="H313" s="204"/>
      <c r="I313" s="204"/>
      <c r="J313" s="196"/>
      <c r="K313" s="196"/>
      <c r="L313" s="192" t="str">
        <f>IFERROR(__xludf.DUMMYFUNCTION("IF(
  AND(D313=""Saída"", J313=""Sangria""),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198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94" t="str">
        <f>IFERROR(__xludf.DUMMYFUNCTION("ifna(VALUE(REGEXEXTRACT(E313,""[0-9.]+[,]+[0-9]+"")))"),"")</f>
        <v/>
      </c>
      <c r="O313" s="194"/>
      <c r="P313" s="194"/>
      <c r="Q313" s="194"/>
      <c r="R313" s="194"/>
      <c r="S313" s="194"/>
      <c r="T313" s="194"/>
      <c r="U313" s="194"/>
      <c r="V313" s="194"/>
      <c r="W313" s="194"/>
    </row>
    <row r="314" ht="14.25" customHeight="1">
      <c r="A314" s="31"/>
      <c r="B314" s="268"/>
      <c r="C314" s="269"/>
      <c r="D314" s="270"/>
      <c r="E314" s="271"/>
      <c r="F314" s="276"/>
      <c r="G314" s="273"/>
      <c r="H314" s="204"/>
      <c r="I314" s="204"/>
      <c r="J314" s="196"/>
      <c r="K314" s="196"/>
      <c r="L314" s="192" t="str">
        <f>IFERROR(__xludf.DUMMYFUNCTION("IF(
  AND(D314=""Saída"", J314=""Sangria""),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197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94" t="str">
        <f>IFERROR(__xludf.DUMMYFUNCTION("ifna(VALUE(REGEXEXTRACT(E314,""[0-9.]+[,]+[0-9]+"")))"),"")</f>
        <v/>
      </c>
      <c r="O314" s="194"/>
      <c r="P314" s="194"/>
      <c r="Q314" s="194"/>
      <c r="R314" s="194"/>
      <c r="S314" s="194"/>
      <c r="T314" s="194"/>
      <c r="U314" s="194"/>
      <c r="V314" s="194"/>
      <c r="W314" s="194"/>
    </row>
    <row r="315" ht="14.25" customHeight="1">
      <c r="A315" s="31"/>
      <c r="B315" s="268"/>
      <c r="C315" s="269"/>
      <c r="D315" s="270"/>
      <c r="E315" s="271"/>
      <c r="F315" s="272"/>
      <c r="G315" s="273"/>
      <c r="H315" s="204"/>
      <c r="I315" s="204"/>
      <c r="J315" s="196"/>
      <c r="K315" s="196"/>
      <c r="L315" s="192" t="str">
        <f>IFERROR(__xludf.DUMMYFUNCTION("IF(
  AND(D315=""Saída"", J315=""Sangria""),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198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94" t="str">
        <f>IFERROR(__xludf.DUMMYFUNCTION("ifna(VALUE(REGEXEXTRACT(E315,""[0-9.]+[,]+[0-9]+"")))"),"")</f>
        <v/>
      </c>
      <c r="O315" s="194"/>
      <c r="P315" s="194"/>
      <c r="Q315" s="194"/>
      <c r="R315" s="194"/>
      <c r="S315" s="194"/>
      <c r="T315" s="194"/>
      <c r="U315" s="194"/>
      <c r="V315" s="194"/>
      <c r="W315" s="194"/>
    </row>
    <row r="316" ht="14.25" customHeight="1">
      <c r="A316" s="31"/>
      <c r="B316" s="268"/>
      <c r="C316" s="269"/>
      <c r="D316" s="270"/>
      <c r="E316" s="271"/>
      <c r="F316" s="276"/>
      <c r="G316" s="273"/>
      <c r="H316" s="204"/>
      <c r="I316" s="204"/>
      <c r="J316" s="196"/>
      <c r="K316" s="196"/>
      <c r="L316" s="192" t="str">
        <f>IFERROR(__xludf.DUMMYFUNCTION("IF(
  AND(D316=""Saída"", J316=""Sangria""),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197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94" t="str">
        <f>IFERROR(__xludf.DUMMYFUNCTION("ifna(VALUE(REGEXEXTRACT(E316,""[0-9.]+[,]+[0-9]+"")))"),"")</f>
        <v/>
      </c>
      <c r="O316" s="194"/>
      <c r="P316" s="194"/>
      <c r="Q316" s="194"/>
      <c r="R316" s="194"/>
      <c r="S316" s="194"/>
      <c r="T316" s="194"/>
      <c r="U316" s="194"/>
      <c r="V316" s="194"/>
      <c r="W316" s="194"/>
    </row>
    <row r="317" ht="14.25" customHeight="1">
      <c r="A317" s="31"/>
      <c r="B317" s="268"/>
      <c r="C317" s="269"/>
      <c r="D317" s="270"/>
      <c r="E317" s="271"/>
      <c r="F317" s="272"/>
      <c r="G317" s="273"/>
      <c r="H317" s="204"/>
      <c r="I317" s="204"/>
      <c r="J317" s="196"/>
      <c r="K317" s="196"/>
      <c r="L317" s="192" t="str">
        <f>IFERROR(__xludf.DUMMYFUNCTION("IF(
  AND(D317=""Saída"", J317=""Sangria""),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198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94" t="str">
        <f>IFERROR(__xludf.DUMMYFUNCTION("ifna(VALUE(REGEXEXTRACT(E317,""[0-9.]+[,]+[0-9]+"")))"),"")</f>
        <v/>
      </c>
      <c r="O317" s="194"/>
      <c r="P317" s="194"/>
      <c r="Q317" s="194"/>
      <c r="R317" s="194"/>
      <c r="S317" s="194"/>
      <c r="T317" s="194"/>
      <c r="U317" s="194"/>
      <c r="V317" s="194"/>
      <c r="W317" s="194"/>
    </row>
    <row r="318" ht="14.25" customHeight="1">
      <c r="A318" s="31"/>
      <c r="B318" s="268"/>
      <c r="C318" s="269"/>
      <c r="D318" s="270"/>
      <c r="E318" s="271"/>
      <c r="F318" s="272"/>
      <c r="G318" s="273"/>
      <c r="H318" s="204"/>
      <c r="I318" s="204"/>
      <c r="J318" s="196"/>
      <c r="K318" s="196"/>
      <c r="L318" s="192" t="str">
        <f>IFERROR(__xludf.DUMMYFUNCTION("IF(
  AND(D318=""Saída"", J318=""Sangria""),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197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94" t="str">
        <f>IFERROR(__xludf.DUMMYFUNCTION("ifna(VALUE(REGEXEXTRACT(E318,""[0-9.]+[,]+[0-9]+"")))"),"")</f>
        <v/>
      </c>
      <c r="O318" s="194"/>
      <c r="P318" s="194"/>
      <c r="Q318" s="194"/>
      <c r="R318" s="194"/>
      <c r="S318" s="194"/>
      <c r="T318" s="194"/>
      <c r="U318" s="194"/>
      <c r="V318" s="194"/>
      <c r="W318" s="194"/>
    </row>
    <row r="319" ht="14.25" customHeight="1">
      <c r="A319" s="31"/>
      <c r="B319" s="268"/>
      <c r="C319" s="269"/>
      <c r="D319" s="270"/>
      <c r="E319" s="271"/>
      <c r="F319" s="272"/>
      <c r="G319" s="273"/>
      <c r="H319" s="204"/>
      <c r="I319" s="204"/>
      <c r="J319" s="196"/>
      <c r="K319" s="196"/>
      <c r="L319" s="192" t="str">
        <f>IFERROR(__xludf.DUMMYFUNCTION("IF(
  AND(D319=""Saída"", J319=""Sangria""),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198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94" t="str">
        <f>IFERROR(__xludf.DUMMYFUNCTION("ifna(VALUE(REGEXEXTRACT(E319,""[0-9.]+[,]+[0-9]+"")))"),"")</f>
        <v/>
      </c>
      <c r="O319" s="194"/>
      <c r="P319" s="194"/>
      <c r="Q319" s="194"/>
      <c r="R319" s="194"/>
      <c r="S319" s="194"/>
      <c r="T319" s="194"/>
      <c r="U319" s="194"/>
      <c r="V319" s="194"/>
      <c r="W319" s="194"/>
    </row>
    <row r="320" ht="14.25" customHeight="1">
      <c r="A320" s="31"/>
      <c r="B320" s="268"/>
      <c r="C320" s="269"/>
      <c r="D320" s="270"/>
      <c r="E320" s="271"/>
      <c r="F320" s="272"/>
      <c r="G320" s="273"/>
      <c r="H320" s="204"/>
      <c r="I320" s="204"/>
      <c r="J320" s="196"/>
      <c r="K320" s="196"/>
      <c r="L320" s="192" t="str">
        <f>IFERROR(__xludf.DUMMYFUNCTION("IF(
  AND(D320=""Saída"", J320=""Sangria""),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197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94" t="str">
        <f>IFERROR(__xludf.DUMMYFUNCTION("ifna(VALUE(REGEXEXTRACT(E320,""[0-9.]+[,]+[0-9]+"")))"),"")</f>
        <v/>
      </c>
      <c r="O320" s="194"/>
      <c r="P320" s="194"/>
      <c r="Q320" s="194"/>
      <c r="R320" s="194"/>
      <c r="S320" s="194"/>
      <c r="T320" s="194"/>
      <c r="U320" s="194"/>
      <c r="V320" s="194"/>
      <c r="W320" s="194"/>
    </row>
    <row r="321" ht="14.25" customHeight="1">
      <c r="A321" s="31"/>
      <c r="B321" s="268"/>
      <c r="C321" s="269"/>
      <c r="D321" s="270"/>
      <c r="E321" s="271"/>
      <c r="F321" s="272"/>
      <c r="G321" s="273"/>
      <c r="H321" s="204"/>
      <c r="I321" s="204"/>
      <c r="J321" s="196"/>
      <c r="K321" s="196"/>
      <c r="L321" s="192" t="str">
        <f>IFERROR(__xludf.DUMMYFUNCTION("IF(
  AND(D321=""Saída"", J321=""Sangria""),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198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94" t="str">
        <f>IFERROR(__xludf.DUMMYFUNCTION("ifna(VALUE(REGEXEXTRACT(E321,""[0-9.]+[,]+[0-9]+"")))"),"")</f>
        <v/>
      </c>
      <c r="O321" s="194"/>
      <c r="P321" s="194"/>
      <c r="Q321" s="194"/>
      <c r="R321" s="194"/>
      <c r="S321" s="194"/>
      <c r="T321" s="194"/>
      <c r="U321" s="194"/>
      <c r="V321" s="194"/>
      <c r="W321" s="194"/>
    </row>
    <row r="322" ht="14.25" customHeight="1">
      <c r="A322" s="31"/>
      <c r="B322" s="268"/>
      <c r="C322" s="269"/>
      <c r="D322" s="270"/>
      <c r="E322" s="271"/>
      <c r="F322" s="272"/>
      <c r="G322" s="273"/>
      <c r="H322" s="204"/>
      <c r="I322" s="204"/>
      <c r="J322" s="196"/>
      <c r="K322" s="196"/>
      <c r="L322" s="192" t="str">
        <f>IFERROR(__xludf.DUMMYFUNCTION("IF(
  AND(D322=""Saída"", J322=""Sangria""),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197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94" t="str">
        <f>IFERROR(__xludf.DUMMYFUNCTION("ifna(VALUE(REGEXEXTRACT(E322,""[0-9.]+[,]+[0-9]+"")))"),"")</f>
        <v/>
      </c>
      <c r="O322" s="194"/>
      <c r="P322" s="194"/>
      <c r="Q322" s="194"/>
      <c r="R322" s="194"/>
      <c r="S322" s="194"/>
      <c r="T322" s="194"/>
      <c r="U322" s="194"/>
      <c r="V322" s="194"/>
      <c r="W322" s="194"/>
    </row>
    <row r="323" ht="14.25" customHeight="1">
      <c r="A323" s="31"/>
      <c r="B323" s="268"/>
      <c r="C323" s="269"/>
      <c r="D323" s="270"/>
      <c r="E323" s="271"/>
      <c r="F323" s="272"/>
      <c r="G323" s="273"/>
      <c r="H323" s="204"/>
      <c r="I323" s="204"/>
      <c r="J323" s="196"/>
      <c r="K323" s="196"/>
      <c r="L323" s="192" t="str">
        <f>IFERROR(__xludf.DUMMYFUNCTION("IF(
  AND(D323=""Saída"", J323=""Sangria""),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198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94" t="str">
        <f>IFERROR(__xludf.DUMMYFUNCTION("ifna(VALUE(REGEXEXTRACT(E323,""[0-9.]+[,]+[0-9]+"")))"),"")</f>
        <v/>
      </c>
      <c r="O323" s="194"/>
      <c r="P323" s="194"/>
      <c r="Q323" s="194"/>
      <c r="R323" s="194"/>
      <c r="S323" s="194"/>
      <c r="T323" s="194"/>
      <c r="U323" s="194"/>
      <c r="V323" s="194"/>
      <c r="W323" s="194"/>
    </row>
    <row r="324" ht="14.25" customHeight="1">
      <c r="A324" s="31"/>
      <c r="B324" s="268"/>
      <c r="C324" s="269"/>
      <c r="D324" s="270"/>
      <c r="E324" s="271"/>
      <c r="F324" s="272"/>
      <c r="G324" s="273"/>
      <c r="H324" s="204"/>
      <c r="I324" s="204"/>
      <c r="J324" s="196"/>
      <c r="K324" s="196"/>
      <c r="L324" s="192" t="str">
        <f>IFERROR(__xludf.DUMMYFUNCTION("IF(
  AND(D324=""Saída"", J324=""Sangria""),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197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94" t="str">
        <f>IFERROR(__xludf.DUMMYFUNCTION("ifna(VALUE(REGEXEXTRACT(E324,""[0-9.]+[,]+[0-9]+"")))"),"")</f>
        <v/>
      </c>
      <c r="O324" s="194"/>
      <c r="P324" s="194"/>
      <c r="Q324" s="194"/>
      <c r="R324" s="194"/>
      <c r="S324" s="194"/>
      <c r="T324" s="194"/>
      <c r="U324" s="194"/>
      <c r="V324" s="194"/>
      <c r="W324" s="194"/>
    </row>
    <row r="325" ht="14.25" customHeight="1">
      <c r="A325" s="31"/>
      <c r="B325" s="268"/>
      <c r="C325" s="269"/>
      <c r="D325" s="270"/>
      <c r="E325" s="271"/>
      <c r="F325" s="272"/>
      <c r="G325" s="273"/>
      <c r="H325" s="204"/>
      <c r="I325" s="204"/>
      <c r="J325" s="196"/>
      <c r="K325" s="196"/>
      <c r="L325" s="192" t="str">
        <f>IFERROR(__xludf.DUMMYFUNCTION("IF(
  AND(D325=""Saída"", J325=""Sangria""),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198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94" t="str">
        <f>IFERROR(__xludf.DUMMYFUNCTION("ifna(VALUE(REGEXEXTRACT(E325,""[0-9.]+[,]+[0-9]+"")))"),"")</f>
        <v/>
      </c>
      <c r="O325" s="194"/>
      <c r="P325" s="194"/>
      <c r="Q325" s="194"/>
      <c r="R325" s="194"/>
      <c r="S325" s="194"/>
      <c r="T325" s="194"/>
      <c r="U325" s="194"/>
      <c r="V325" s="194"/>
      <c r="W325" s="194"/>
    </row>
    <row r="326" ht="14.25" customHeight="1">
      <c r="A326" s="31"/>
      <c r="B326" s="268"/>
      <c r="C326" s="269"/>
      <c r="D326" s="270"/>
      <c r="E326" s="271"/>
      <c r="F326" s="276"/>
      <c r="G326" s="273"/>
      <c r="H326" s="204"/>
      <c r="I326" s="204"/>
      <c r="J326" s="196"/>
      <c r="K326" s="196"/>
      <c r="L326" s="192" t="str">
        <f>IFERROR(__xludf.DUMMYFUNCTION("IF(
  AND(D326=""Saída"", J326=""Sangria""),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197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94" t="str">
        <f>IFERROR(__xludf.DUMMYFUNCTION("ifna(VALUE(REGEXEXTRACT(E326,""[0-9.]+[,]+[0-9]+"")))"),"")</f>
        <v/>
      </c>
      <c r="O326" s="194"/>
      <c r="P326" s="194"/>
      <c r="Q326" s="194"/>
      <c r="R326" s="194"/>
      <c r="S326" s="194"/>
      <c r="T326" s="194"/>
      <c r="U326" s="194"/>
      <c r="V326" s="194"/>
      <c r="W326" s="194"/>
    </row>
    <row r="327" ht="14.25" customHeight="1">
      <c r="A327" s="31"/>
      <c r="B327" s="268"/>
      <c r="C327" s="269"/>
      <c r="D327" s="270"/>
      <c r="E327" s="271"/>
      <c r="F327" s="272"/>
      <c r="G327" s="273"/>
      <c r="H327" s="204"/>
      <c r="I327" s="204"/>
      <c r="J327" s="196"/>
      <c r="K327" s="196"/>
      <c r="L327" s="192" t="str">
        <f>IFERROR(__xludf.DUMMYFUNCTION("IF(
  AND(D327=""Saída"", J327=""Sangria""),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198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94" t="str">
        <f>IFERROR(__xludf.DUMMYFUNCTION("ifna(VALUE(REGEXEXTRACT(E327,""[0-9.]+[,]+[0-9]+"")))"),"")</f>
        <v/>
      </c>
      <c r="O327" s="194"/>
      <c r="P327" s="194"/>
      <c r="Q327" s="194"/>
      <c r="R327" s="194"/>
      <c r="S327" s="194"/>
      <c r="T327" s="194"/>
      <c r="U327" s="194"/>
      <c r="V327" s="194"/>
      <c r="W327" s="194"/>
    </row>
    <row r="328" ht="14.25" customHeight="1">
      <c r="A328" s="31"/>
      <c r="B328" s="268"/>
      <c r="C328" s="269"/>
      <c r="D328" s="270"/>
      <c r="E328" s="271"/>
      <c r="F328" s="272"/>
      <c r="G328" s="273"/>
      <c r="H328" s="204"/>
      <c r="I328" s="204"/>
      <c r="J328" s="196"/>
      <c r="K328" s="196"/>
      <c r="L328" s="192" t="str">
        <f>IFERROR(__xludf.DUMMYFUNCTION("IF(
  AND(D328=""Saída"", J328=""Sangria""),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197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94" t="str">
        <f>IFERROR(__xludf.DUMMYFUNCTION("ifna(VALUE(REGEXEXTRACT(E328,""[0-9.]+[,]+[0-9]+"")))"),"")</f>
        <v/>
      </c>
      <c r="O328" s="194"/>
      <c r="P328" s="194"/>
      <c r="Q328" s="194"/>
      <c r="R328" s="194"/>
      <c r="S328" s="194"/>
      <c r="T328" s="194"/>
      <c r="U328" s="194"/>
      <c r="V328" s="194"/>
      <c r="W328" s="194"/>
    </row>
    <row r="329" ht="14.25" customHeight="1">
      <c r="A329" s="31"/>
      <c r="B329" s="268"/>
      <c r="C329" s="269"/>
      <c r="D329" s="270"/>
      <c r="E329" s="271"/>
      <c r="F329" s="272"/>
      <c r="G329" s="273"/>
      <c r="H329" s="204"/>
      <c r="I329" s="204"/>
      <c r="J329" s="196"/>
      <c r="K329" s="196"/>
      <c r="L329" s="192" t="str">
        <f>IFERROR(__xludf.DUMMYFUNCTION("IF(
  AND(D329=""Saída"", J329=""Sangria""),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198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94" t="str">
        <f>IFERROR(__xludf.DUMMYFUNCTION("ifna(VALUE(REGEXEXTRACT(E329,""[0-9.]+[,]+[0-9]+"")))"),"")</f>
        <v/>
      </c>
      <c r="O329" s="194"/>
      <c r="P329" s="194"/>
      <c r="Q329" s="194"/>
      <c r="R329" s="194"/>
      <c r="S329" s="194"/>
      <c r="T329" s="194"/>
      <c r="U329" s="194"/>
      <c r="V329" s="194"/>
      <c r="W329" s="194"/>
    </row>
    <row r="330" ht="14.25" customHeight="1">
      <c r="A330" s="31"/>
      <c r="B330" s="268"/>
      <c r="C330" s="269"/>
      <c r="D330" s="270"/>
      <c r="E330" s="271"/>
      <c r="F330" s="272"/>
      <c r="G330" s="273"/>
      <c r="H330" s="204"/>
      <c r="I330" s="204"/>
      <c r="J330" s="196"/>
      <c r="K330" s="196"/>
      <c r="L330" s="192" t="str">
        <f>IFERROR(__xludf.DUMMYFUNCTION("IF(
  AND(D330=""Saída"", J330=""Sangria""),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197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94" t="str">
        <f>IFERROR(__xludf.DUMMYFUNCTION("ifna(VALUE(REGEXEXTRACT(E330,""[0-9.]+[,]+[0-9]+"")))"),"")</f>
        <v/>
      </c>
      <c r="O330" s="194"/>
      <c r="P330" s="194"/>
      <c r="Q330" s="194"/>
      <c r="R330" s="194"/>
      <c r="S330" s="194"/>
      <c r="T330" s="194"/>
      <c r="U330" s="194"/>
      <c r="V330" s="194"/>
      <c r="W330" s="194"/>
    </row>
    <row r="331" ht="14.25" customHeight="1">
      <c r="A331" s="31"/>
      <c r="B331" s="268"/>
      <c r="C331" s="269"/>
      <c r="D331" s="270"/>
      <c r="E331" s="271"/>
      <c r="F331" s="272"/>
      <c r="G331" s="273"/>
      <c r="H331" s="204"/>
      <c r="I331" s="204"/>
      <c r="J331" s="196"/>
      <c r="K331" s="196"/>
      <c r="L331" s="192" t="str">
        <f>IFERROR(__xludf.DUMMYFUNCTION("IF(
  AND(D331=""Saída"", J331=""Sangria""),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198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94" t="str">
        <f>IFERROR(__xludf.DUMMYFUNCTION("ifna(VALUE(REGEXEXTRACT(E331,""[0-9.]+[,]+[0-9]+"")))"),"")</f>
        <v/>
      </c>
      <c r="O331" s="194"/>
      <c r="P331" s="194"/>
      <c r="Q331" s="194"/>
      <c r="R331" s="194"/>
      <c r="S331" s="194"/>
      <c r="T331" s="194"/>
      <c r="U331" s="194"/>
      <c r="V331" s="194"/>
      <c r="W331" s="194"/>
    </row>
    <row r="332" ht="14.25" customHeight="1">
      <c r="A332" s="31"/>
      <c r="B332" s="268"/>
      <c r="C332" s="269"/>
      <c r="D332" s="270"/>
      <c r="E332" s="271"/>
      <c r="F332" s="272"/>
      <c r="G332" s="273"/>
      <c r="H332" s="204"/>
      <c r="I332" s="204"/>
      <c r="J332" s="196"/>
      <c r="K332" s="202"/>
      <c r="L332" s="192" t="str">
        <f>IFERROR(__xludf.DUMMYFUNCTION("IF(
  AND(D332=""Saída"", J332=""Sangria""),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197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94" t="str">
        <f>IFERROR(__xludf.DUMMYFUNCTION("ifna(VALUE(REGEXEXTRACT(E332,""[0-9.]+[,]+[0-9]+"")))"),"")</f>
        <v/>
      </c>
      <c r="O332" s="194"/>
      <c r="P332" s="194"/>
      <c r="Q332" s="194"/>
      <c r="R332" s="194"/>
      <c r="S332" s="194"/>
      <c r="T332" s="194"/>
      <c r="U332" s="194"/>
      <c r="V332" s="194"/>
      <c r="W332" s="194"/>
    </row>
    <row r="333" ht="14.25" customHeight="1">
      <c r="A333" s="31"/>
      <c r="B333" s="268"/>
      <c r="C333" s="269"/>
      <c r="D333" s="270"/>
      <c r="E333" s="271"/>
      <c r="F333" s="272"/>
      <c r="G333" s="273"/>
      <c r="H333" s="204"/>
      <c r="I333" s="204"/>
      <c r="J333" s="196"/>
      <c r="K333" s="196"/>
      <c r="L333" s="192" t="str">
        <f>IFERROR(__xludf.DUMMYFUNCTION("IF(
  AND(D333=""Saída"", J333=""Sangria""),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198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94" t="str">
        <f>IFERROR(__xludf.DUMMYFUNCTION("ifna(VALUE(REGEXEXTRACT(E333,""[0-9.]+[,]+[0-9]+"")))"),"")</f>
        <v/>
      </c>
      <c r="O333" s="194"/>
      <c r="P333" s="194"/>
      <c r="Q333" s="194"/>
      <c r="R333" s="194"/>
      <c r="S333" s="194"/>
      <c r="T333" s="194"/>
      <c r="U333" s="194"/>
      <c r="V333" s="194"/>
      <c r="W333" s="194"/>
    </row>
    <row r="334" ht="14.25" customHeight="1">
      <c r="A334" s="31"/>
      <c r="B334" s="268"/>
      <c r="C334" s="269"/>
      <c r="D334" s="270"/>
      <c r="E334" s="271"/>
      <c r="F334" s="272"/>
      <c r="G334" s="273"/>
      <c r="H334" s="204"/>
      <c r="I334" s="204"/>
      <c r="J334" s="196"/>
      <c r="K334" s="196"/>
      <c r="L334" s="192" t="str">
        <f>IFERROR(__xludf.DUMMYFUNCTION("IF(
  AND(D334=""Saída"", J334=""Sangria""),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197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94" t="str">
        <f>IFERROR(__xludf.DUMMYFUNCTION("ifna(VALUE(REGEXEXTRACT(E334,""[0-9.]+[,]+[0-9]+"")))"),"")</f>
        <v/>
      </c>
      <c r="O334" s="194"/>
      <c r="P334" s="194"/>
      <c r="Q334" s="194"/>
      <c r="R334" s="194"/>
      <c r="S334" s="194"/>
      <c r="T334" s="194"/>
      <c r="U334" s="194"/>
      <c r="V334" s="194"/>
      <c r="W334" s="194"/>
    </row>
    <row r="335" ht="14.25" customHeight="1">
      <c r="A335" s="31"/>
      <c r="B335" s="268"/>
      <c r="C335" s="269"/>
      <c r="D335" s="270"/>
      <c r="E335" s="271"/>
      <c r="F335" s="272"/>
      <c r="G335" s="273"/>
      <c r="H335" s="204"/>
      <c r="I335" s="204"/>
      <c r="J335" s="196"/>
      <c r="K335" s="196"/>
      <c r="L335" s="192" t="str">
        <f>IFERROR(__xludf.DUMMYFUNCTION("IF(
  AND(D335=""Saída"", J335=""Sangria""),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198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94" t="str">
        <f>IFERROR(__xludf.DUMMYFUNCTION("ifna(VALUE(REGEXEXTRACT(E335,""[0-9.]+[,]+[0-9]+"")))"),"")</f>
        <v/>
      </c>
      <c r="O335" s="194"/>
      <c r="P335" s="194"/>
      <c r="Q335" s="194"/>
      <c r="R335" s="194"/>
      <c r="S335" s="194"/>
      <c r="T335" s="194"/>
      <c r="U335" s="194"/>
      <c r="V335" s="194"/>
      <c r="W335" s="194"/>
    </row>
    <row r="336" ht="14.25" customHeight="1">
      <c r="A336" s="31"/>
      <c r="B336" s="268"/>
      <c r="C336" s="269"/>
      <c r="D336" s="270"/>
      <c r="E336" s="271"/>
      <c r="F336" s="276"/>
      <c r="G336" s="273"/>
      <c r="H336" s="204"/>
      <c r="I336" s="204"/>
      <c r="J336" s="196"/>
      <c r="K336" s="196"/>
      <c r="L336" s="192" t="str">
        <f>IFERROR(__xludf.DUMMYFUNCTION("IF(
  AND(D336=""Saída"", J336=""Sangria""),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197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94" t="str">
        <f>IFERROR(__xludf.DUMMYFUNCTION("ifna(VALUE(REGEXEXTRACT(E336,""[0-9.]+[,]+[0-9]+"")))"),"")</f>
        <v/>
      </c>
      <c r="O336" s="194"/>
      <c r="P336" s="194"/>
      <c r="Q336" s="194"/>
      <c r="R336" s="194"/>
      <c r="S336" s="194"/>
      <c r="T336" s="194"/>
      <c r="U336" s="194"/>
      <c r="V336" s="194"/>
      <c r="W336" s="194"/>
    </row>
    <row r="337" ht="14.25" customHeight="1">
      <c r="A337" s="31"/>
      <c r="B337" s="268"/>
      <c r="C337" s="269"/>
      <c r="D337" s="270"/>
      <c r="E337" s="275"/>
      <c r="F337" s="272"/>
      <c r="G337" s="273"/>
      <c r="H337" s="204"/>
      <c r="I337" s="204"/>
      <c r="J337" s="196"/>
      <c r="K337" s="196"/>
      <c r="L337" s="192" t="str">
        <f>IFERROR(__xludf.DUMMYFUNCTION("IF(
  AND(D337=""Saída"", J337=""Sangria""),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198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94" t="str">
        <f>IFERROR(__xludf.DUMMYFUNCTION("ifna(VALUE(REGEXEXTRACT(E337,""[0-9.]+[,]+[0-9]+"")))"),"")</f>
        <v/>
      </c>
      <c r="O337" s="194"/>
      <c r="P337" s="194"/>
      <c r="Q337" s="194"/>
      <c r="R337" s="194"/>
      <c r="S337" s="194"/>
      <c r="T337" s="194"/>
      <c r="U337" s="194"/>
      <c r="V337" s="194"/>
      <c r="W337" s="194"/>
    </row>
    <row r="338" ht="14.25" customHeight="1">
      <c r="A338" s="31"/>
      <c r="B338" s="268"/>
      <c r="C338" s="269"/>
      <c r="D338" s="270"/>
      <c r="E338" s="271"/>
      <c r="F338" s="272"/>
      <c r="G338" s="273"/>
      <c r="H338" s="204"/>
      <c r="I338" s="204"/>
      <c r="J338" s="196"/>
      <c r="K338" s="202"/>
      <c r="L338" s="192" t="str">
        <f>IFERROR(__xludf.DUMMYFUNCTION("IF(
  AND(D338=""Saída"", J338=""Sangria""),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197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94" t="str">
        <f>IFERROR(__xludf.DUMMYFUNCTION("ifna(VALUE(REGEXEXTRACT(E338,""[0-9.]+[,]+[0-9]+"")))"),"")</f>
        <v/>
      </c>
      <c r="O338" s="194"/>
      <c r="P338" s="194"/>
      <c r="Q338" s="194"/>
      <c r="R338" s="194"/>
      <c r="S338" s="194"/>
      <c r="T338" s="194"/>
      <c r="U338" s="194"/>
      <c r="V338" s="194"/>
      <c r="W338" s="194"/>
    </row>
    <row r="339" ht="14.25" customHeight="1">
      <c r="A339" s="31"/>
      <c r="B339" s="268"/>
      <c r="C339" s="269"/>
      <c r="D339" s="270"/>
      <c r="E339" s="271"/>
      <c r="F339" s="272"/>
      <c r="G339" s="273"/>
      <c r="H339" s="204"/>
      <c r="I339" s="204"/>
      <c r="J339" s="196"/>
      <c r="K339" s="196"/>
      <c r="L339" s="192" t="str">
        <f>IFERROR(__xludf.DUMMYFUNCTION("IF(
  AND(D339=""Saída"", J339=""Sangria""),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198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94" t="str">
        <f>IFERROR(__xludf.DUMMYFUNCTION("ifna(VALUE(REGEXEXTRACT(E339,""[0-9.]+[,]+[0-9]+"")))"),"")</f>
        <v/>
      </c>
      <c r="O339" s="194"/>
      <c r="P339" s="194"/>
      <c r="Q339" s="194"/>
      <c r="R339" s="194"/>
      <c r="S339" s="194"/>
      <c r="T339" s="194"/>
      <c r="U339" s="194"/>
      <c r="V339" s="194"/>
      <c r="W339" s="194"/>
    </row>
    <row r="340" ht="14.25" customHeight="1">
      <c r="A340" s="31"/>
      <c r="B340" s="268"/>
      <c r="C340" s="269"/>
      <c r="D340" s="270"/>
      <c r="E340" s="271"/>
      <c r="F340" s="272"/>
      <c r="G340" s="273"/>
      <c r="H340" s="204"/>
      <c r="I340" s="204"/>
      <c r="J340" s="196"/>
      <c r="K340" s="196"/>
      <c r="L340" s="192" t="str">
        <f>IFERROR(__xludf.DUMMYFUNCTION("IF(
  AND(D340=""Saída"", J340=""Sangria""),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197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94" t="str">
        <f>IFERROR(__xludf.DUMMYFUNCTION("ifna(VALUE(REGEXEXTRACT(E340,""[0-9.]+[,]+[0-9]+"")))"),"")</f>
        <v/>
      </c>
      <c r="O340" s="194"/>
      <c r="P340" s="194"/>
      <c r="Q340" s="194"/>
      <c r="R340" s="194"/>
      <c r="S340" s="194"/>
      <c r="T340" s="194"/>
      <c r="U340" s="194"/>
      <c r="V340" s="194"/>
      <c r="W340" s="194"/>
    </row>
    <row r="341" ht="14.25" customHeight="1">
      <c r="A341" s="31"/>
      <c r="B341" s="268"/>
      <c r="C341" s="269"/>
      <c r="D341" s="270"/>
      <c r="E341" s="271"/>
      <c r="F341" s="276"/>
      <c r="G341" s="273"/>
      <c r="H341" s="204"/>
      <c r="I341" s="204"/>
      <c r="J341" s="196"/>
      <c r="K341" s="196"/>
      <c r="L341" s="192" t="str">
        <f>IFERROR(__xludf.DUMMYFUNCTION("IF(
  AND(D341=""Saída"", J341=""Sangria""),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198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94" t="str">
        <f>IFERROR(__xludf.DUMMYFUNCTION("ifna(VALUE(REGEXEXTRACT(E341,""[0-9.]+[,]+[0-9]+"")))"),"")</f>
        <v/>
      </c>
      <c r="O341" s="194"/>
      <c r="P341" s="194"/>
      <c r="Q341" s="194"/>
      <c r="R341" s="194"/>
      <c r="S341" s="194"/>
      <c r="T341" s="194"/>
      <c r="U341" s="194"/>
      <c r="V341" s="194"/>
      <c r="W341" s="194"/>
    </row>
    <row r="342" ht="14.25" customHeight="1">
      <c r="A342" s="31"/>
      <c r="B342" s="268"/>
      <c r="C342" s="269"/>
      <c r="D342" s="270"/>
      <c r="E342" s="271"/>
      <c r="F342" s="272"/>
      <c r="G342" s="274"/>
      <c r="H342" s="204"/>
      <c r="I342" s="204"/>
      <c r="J342" s="196"/>
      <c r="K342" s="202"/>
      <c r="L342" s="192" t="str">
        <f>IFERROR(__xludf.DUMMYFUNCTION("IF(
  AND(D342=""Saída"", J342=""Sangria""),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197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94" t="str">
        <f>IFERROR(__xludf.DUMMYFUNCTION("ifna(VALUE(REGEXEXTRACT(E342,""[0-9.]+[,]+[0-9]+"")))"),"")</f>
        <v/>
      </c>
      <c r="O342" s="194"/>
      <c r="P342" s="194"/>
      <c r="Q342" s="194"/>
      <c r="R342" s="194"/>
      <c r="S342" s="194"/>
      <c r="T342" s="194"/>
      <c r="U342" s="194"/>
      <c r="V342" s="194"/>
      <c r="W342" s="194"/>
    </row>
    <row r="343" ht="14.25" customHeight="1">
      <c r="A343" s="31"/>
      <c r="B343" s="268"/>
      <c r="C343" s="269"/>
      <c r="D343" s="270"/>
      <c r="E343" s="271"/>
      <c r="F343" s="272"/>
      <c r="G343" s="273"/>
      <c r="H343" s="204"/>
      <c r="I343" s="204"/>
      <c r="J343" s="196"/>
      <c r="K343" s="196"/>
      <c r="L343" s="192" t="str">
        <f>IFERROR(__xludf.DUMMYFUNCTION("IF(
  AND(D343=""Saída"", J343=""Sangria""),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198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94" t="str">
        <f>IFERROR(__xludf.DUMMYFUNCTION("ifna(VALUE(REGEXEXTRACT(E343,""[0-9.]+[,]+[0-9]+"")))"),"")</f>
        <v/>
      </c>
      <c r="O343" s="194"/>
      <c r="P343" s="194"/>
      <c r="Q343" s="194"/>
      <c r="R343" s="194"/>
      <c r="S343" s="194"/>
      <c r="T343" s="194"/>
      <c r="U343" s="194"/>
      <c r="V343" s="194"/>
      <c r="W343" s="194"/>
    </row>
    <row r="344" ht="14.25" customHeight="1">
      <c r="A344" s="31"/>
      <c r="B344" s="268"/>
      <c r="C344" s="269"/>
      <c r="D344" s="270"/>
      <c r="E344" s="271"/>
      <c r="F344" s="272"/>
      <c r="G344" s="273"/>
      <c r="H344" s="204"/>
      <c r="I344" s="204"/>
      <c r="J344" s="196"/>
      <c r="K344" s="196"/>
      <c r="L344" s="192" t="str">
        <f>IFERROR(__xludf.DUMMYFUNCTION("IF(
  AND(D344=""Saída"", J344=""Sangria""),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197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94" t="str">
        <f>IFERROR(__xludf.DUMMYFUNCTION("ifna(VALUE(REGEXEXTRACT(E344,""[0-9.]+[,]+[0-9]+"")))"),"")</f>
        <v/>
      </c>
      <c r="O344" s="194"/>
      <c r="P344" s="194"/>
      <c r="Q344" s="194"/>
      <c r="R344" s="194"/>
      <c r="S344" s="194"/>
      <c r="T344" s="194"/>
      <c r="U344" s="194"/>
      <c r="V344" s="194"/>
      <c r="W344" s="194"/>
    </row>
    <row r="345" ht="14.25" customHeight="1">
      <c r="A345" s="31"/>
      <c r="B345" s="268"/>
      <c r="C345" s="269"/>
      <c r="D345" s="270"/>
      <c r="E345" s="271"/>
      <c r="F345" s="272"/>
      <c r="G345" s="273"/>
      <c r="H345" s="204"/>
      <c r="I345" s="204"/>
      <c r="J345" s="196"/>
      <c r="K345" s="196"/>
      <c r="L345" s="192" t="str">
        <f>IFERROR(__xludf.DUMMYFUNCTION("IF(
  AND(D345=""Saída"", J345=""Sangria""),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198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94" t="str">
        <f>IFERROR(__xludf.DUMMYFUNCTION("ifna(VALUE(REGEXEXTRACT(E345,""[0-9.]+[,]+[0-9]+"")))"),"")</f>
        <v/>
      </c>
      <c r="O345" s="194"/>
      <c r="P345" s="194"/>
      <c r="Q345" s="194"/>
      <c r="R345" s="194"/>
      <c r="S345" s="194"/>
      <c r="T345" s="194"/>
      <c r="U345" s="194"/>
      <c r="V345" s="194"/>
      <c r="W345" s="194"/>
    </row>
    <row r="346" ht="14.25" customHeight="1">
      <c r="A346" s="31"/>
      <c r="B346" s="268"/>
      <c r="C346" s="269"/>
      <c r="D346" s="270"/>
      <c r="E346" s="271"/>
      <c r="F346" s="272"/>
      <c r="G346" s="273"/>
      <c r="H346" s="204"/>
      <c r="I346" s="204"/>
      <c r="J346" s="196"/>
      <c r="K346" s="196"/>
      <c r="L346" s="192" t="str">
        <f>IFERROR(__xludf.DUMMYFUNCTION("IF(
  AND(D346=""Saída"", J346=""Sangria""),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197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94" t="str">
        <f>IFERROR(__xludf.DUMMYFUNCTION("ifna(VALUE(REGEXEXTRACT(E346,""[0-9.]+[,]+[0-9]+"")))"),"")</f>
        <v/>
      </c>
      <c r="O346" s="194"/>
      <c r="P346" s="194"/>
      <c r="Q346" s="194"/>
      <c r="R346" s="194"/>
      <c r="S346" s="194"/>
      <c r="T346" s="194"/>
      <c r="U346" s="194"/>
      <c r="V346" s="194"/>
      <c r="W346" s="194"/>
    </row>
    <row r="347" ht="14.25" customHeight="1">
      <c r="A347" s="31"/>
      <c r="B347" s="268"/>
      <c r="C347" s="269"/>
      <c r="D347" s="270"/>
      <c r="E347" s="271"/>
      <c r="F347" s="272"/>
      <c r="G347" s="273"/>
      <c r="H347" s="204"/>
      <c r="I347" s="204"/>
      <c r="J347" s="196"/>
      <c r="K347" s="202"/>
      <c r="L347" s="192" t="str">
        <f>IFERROR(__xludf.DUMMYFUNCTION("IF(
  AND(D347=""Saída"", J347=""Sangria""),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198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94" t="str">
        <f>IFERROR(__xludf.DUMMYFUNCTION("ifna(VALUE(REGEXEXTRACT(E347,""[0-9.]+[,]+[0-9]+"")))"),"")</f>
        <v/>
      </c>
      <c r="O347" s="194"/>
      <c r="P347" s="194"/>
      <c r="Q347" s="194"/>
      <c r="R347" s="194"/>
      <c r="S347" s="194"/>
      <c r="T347" s="194"/>
      <c r="U347" s="194"/>
      <c r="V347" s="194"/>
      <c r="W347" s="194"/>
    </row>
    <row r="348" ht="14.25" customHeight="1">
      <c r="A348" s="31"/>
      <c r="B348" s="268"/>
      <c r="C348" s="269"/>
      <c r="D348" s="270"/>
      <c r="E348" s="271"/>
      <c r="F348" s="272"/>
      <c r="G348" s="273"/>
      <c r="H348" s="204"/>
      <c r="I348" s="204"/>
      <c r="J348" s="196"/>
      <c r="K348" s="196"/>
      <c r="L348" s="192" t="str">
        <f>IFERROR(__xludf.DUMMYFUNCTION("IF(
  AND(D348=""Saída"", J348=""Sangria""),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197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94" t="str">
        <f>IFERROR(__xludf.DUMMYFUNCTION("ifna(VALUE(REGEXEXTRACT(E348,""[0-9.]+[,]+[0-9]+"")))"),"")</f>
        <v/>
      </c>
      <c r="O348" s="194"/>
      <c r="P348" s="194"/>
      <c r="Q348" s="194"/>
      <c r="R348" s="194"/>
      <c r="S348" s="194"/>
      <c r="T348" s="194"/>
      <c r="U348" s="194"/>
      <c r="V348" s="194"/>
      <c r="W348" s="194"/>
    </row>
    <row r="349" ht="14.25" customHeight="1">
      <c r="A349" s="31"/>
      <c r="B349" s="268"/>
      <c r="C349" s="269"/>
      <c r="D349" s="270"/>
      <c r="E349" s="275"/>
      <c r="F349" s="272"/>
      <c r="G349" s="273"/>
      <c r="H349" s="204"/>
      <c r="I349" s="204"/>
      <c r="J349" s="196"/>
      <c r="K349" s="196"/>
      <c r="L349" s="192" t="str">
        <f>IFERROR(__xludf.DUMMYFUNCTION("IF(
  AND(D349=""Saída"", J349=""Sangria""),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198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94" t="str">
        <f>IFERROR(__xludf.DUMMYFUNCTION("ifna(VALUE(REGEXEXTRACT(E349,""[0-9.]+[,]+[0-9]+"")))"),"")</f>
        <v/>
      </c>
      <c r="O349" s="194"/>
      <c r="P349" s="194"/>
      <c r="Q349" s="194"/>
      <c r="R349" s="194"/>
      <c r="S349" s="194"/>
      <c r="T349" s="194"/>
      <c r="U349" s="194"/>
      <c r="V349" s="194"/>
      <c r="W349" s="194"/>
    </row>
    <row r="350" ht="14.25" customHeight="1">
      <c r="A350" s="31"/>
      <c r="B350" s="268"/>
      <c r="C350" s="269"/>
      <c r="D350" s="270"/>
      <c r="E350" s="271"/>
      <c r="F350" s="272"/>
      <c r="G350" s="273"/>
      <c r="H350" s="204"/>
      <c r="I350" s="204"/>
      <c r="J350" s="196"/>
      <c r="K350" s="202"/>
      <c r="L350" s="192" t="str">
        <f>IFERROR(__xludf.DUMMYFUNCTION("IF(
  AND(D350=""Saída"", J350=""Sangria""),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197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94" t="str">
        <f>IFERROR(__xludf.DUMMYFUNCTION("ifna(VALUE(REGEXEXTRACT(E350,""[0-9.]+[,]+[0-9]+"")))"),"")</f>
        <v/>
      </c>
      <c r="O350" s="194"/>
      <c r="P350" s="194"/>
      <c r="Q350" s="194"/>
      <c r="R350" s="194"/>
      <c r="S350" s="194"/>
      <c r="T350" s="194"/>
      <c r="U350" s="194"/>
      <c r="V350" s="194"/>
      <c r="W350" s="194"/>
    </row>
    <row r="351" ht="14.25" customHeight="1">
      <c r="A351" s="31"/>
      <c r="B351" s="268"/>
      <c r="C351" s="269"/>
      <c r="D351" s="270"/>
      <c r="E351" s="271"/>
      <c r="F351" s="276"/>
      <c r="G351" s="273"/>
      <c r="H351" s="204"/>
      <c r="I351" s="204"/>
      <c r="J351" s="196"/>
      <c r="K351" s="202"/>
      <c r="L351" s="192" t="str">
        <f>IFERROR(__xludf.DUMMYFUNCTION("IF(
  AND(D351=""Saída"", J351=""Sangria""),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198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94" t="str">
        <f>IFERROR(__xludf.DUMMYFUNCTION("ifna(VALUE(REGEXEXTRACT(E351,""[0-9.]+[,]+[0-9]+"")))"),"")</f>
        <v/>
      </c>
      <c r="O351" s="194"/>
      <c r="P351" s="194"/>
      <c r="Q351" s="194"/>
      <c r="R351" s="194"/>
      <c r="S351" s="194"/>
      <c r="T351" s="194"/>
      <c r="U351" s="194"/>
      <c r="V351" s="194"/>
      <c r="W351" s="194"/>
    </row>
    <row r="352" ht="14.25" customHeight="1">
      <c r="A352" s="31"/>
      <c r="B352" s="268"/>
      <c r="C352" s="269"/>
      <c r="D352" s="270"/>
      <c r="E352" s="271"/>
      <c r="F352" s="272"/>
      <c r="G352" s="273"/>
      <c r="H352" s="204"/>
      <c r="I352" s="204"/>
      <c r="J352" s="196"/>
      <c r="K352" s="196"/>
      <c r="L352" s="192" t="str">
        <f>IFERROR(__xludf.DUMMYFUNCTION("IF(
  AND(D352=""Saída"", J352=""Sangria""),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197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94" t="str">
        <f>IFERROR(__xludf.DUMMYFUNCTION("ifna(VALUE(REGEXEXTRACT(E352,""[0-9.]+[,]+[0-9]+"")))"),"")</f>
        <v/>
      </c>
      <c r="O352" s="194"/>
      <c r="P352" s="194"/>
      <c r="Q352" s="194"/>
      <c r="R352" s="194"/>
      <c r="S352" s="194"/>
      <c r="T352" s="194"/>
      <c r="U352" s="194"/>
      <c r="V352" s="194"/>
      <c r="W352" s="194"/>
    </row>
    <row r="353" ht="14.25" customHeight="1">
      <c r="A353" s="31"/>
      <c r="B353" s="268"/>
      <c r="C353" s="269"/>
      <c r="D353" s="270"/>
      <c r="E353" s="271"/>
      <c r="F353" s="276"/>
      <c r="G353" s="273"/>
      <c r="H353" s="204"/>
      <c r="I353" s="204"/>
      <c r="J353" s="196"/>
      <c r="K353" s="196"/>
      <c r="L353" s="192" t="str">
        <f>IFERROR(__xludf.DUMMYFUNCTION("IF(
  AND(D353=""Saída"", J353=""Sangria""),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198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94" t="str">
        <f>IFERROR(__xludf.DUMMYFUNCTION("ifna(VALUE(REGEXEXTRACT(E353,""[0-9.]+[,]+[0-9]+"")))"),"")</f>
        <v/>
      </c>
      <c r="O353" s="194"/>
      <c r="P353" s="194"/>
      <c r="Q353" s="194"/>
      <c r="R353" s="194"/>
      <c r="S353" s="194"/>
      <c r="T353" s="194"/>
      <c r="U353" s="194"/>
      <c r="V353" s="194"/>
      <c r="W353" s="194"/>
    </row>
    <row r="354" ht="14.25" customHeight="1">
      <c r="A354" s="31"/>
      <c r="B354" s="268"/>
      <c r="C354" s="269"/>
      <c r="D354" s="270"/>
      <c r="E354" s="271"/>
      <c r="F354" s="272"/>
      <c r="G354" s="273"/>
      <c r="H354" s="204"/>
      <c r="I354" s="204"/>
      <c r="J354" s="196"/>
      <c r="K354" s="196"/>
      <c r="L354" s="192" t="str">
        <f>IFERROR(__xludf.DUMMYFUNCTION("IF(
  AND(D354=""Saída"", J354=""Sangria""),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197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94" t="str">
        <f>IFERROR(__xludf.DUMMYFUNCTION("ifna(VALUE(REGEXEXTRACT(E354,""[0-9.]+[,]+[0-9]+"")))"),"")</f>
        <v/>
      </c>
      <c r="O354" s="194"/>
      <c r="P354" s="194"/>
      <c r="Q354" s="194"/>
      <c r="R354" s="194"/>
      <c r="S354" s="194"/>
      <c r="T354" s="194"/>
      <c r="U354" s="194"/>
      <c r="V354" s="194"/>
      <c r="W354" s="194"/>
    </row>
    <row r="355" ht="14.25" customHeight="1">
      <c r="A355" s="31"/>
      <c r="B355" s="268"/>
      <c r="C355" s="269"/>
      <c r="D355" s="270"/>
      <c r="E355" s="271"/>
      <c r="F355" s="272"/>
      <c r="G355" s="273"/>
      <c r="H355" s="204"/>
      <c r="I355" s="204"/>
      <c r="J355" s="196"/>
      <c r="K355" s="196"/>
      <c r="L355" s="192" t="str">
        <f>IFERROR(__xludf.DUMMYFUNCTION("IF(
  AND(D355=""Saída"", J355=""Sangria""),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198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94" t="str">
        <f>IFERROR(__xludf.DUMMYFUNCTION("ifna(VALUE(REGEXEXTRACT(E355,""[0-9.]+[,]+[0-9]+"")))"),"")</f>
        <v/>
      </c>
      <c r="O355" s="194"/>
      <c r="P355" s="194"/>
      <c r="Q355" s="194"/>
      <c r="R355" s="194"/>
      <c r="S355" s="194"/>
      <c r="T355" s="194"/>
      <c r="U355" s="194"/>
      <c r="V355" s="194"/>
      <c r="W355" s="194"/>
    </row>
    <row r="356" ht="14.25" customHeight="1">
      <c r="A356" s="31"/>
      <c r="B356" s="268"/>
      <c r="C356" s="269"/>
      <c r="D356" s="270"/>
      <c r="E356" s="271"/>
      <c r="F356" s="272"/>
      <c r="G356" s="273"/>
      <c r="H356" s="204"/>
      <c r="I356" s="204"/>
      <c r="J356" s="196"/>
      <c r="K356" s="196"/>
      <c r="L356" s="192" t="str">
        <f>IFERROR(__xludf.DUMMYFUNCTION("IF(
  AND(D356=""Saída"", J356=""Sangria""),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197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94" t="str">
        <f>IFERROR(__xludf.DUMMYFUNCTION("ifna(VALUE(REGEXEXTRACT(E356,""[0-9.]+[,]+[0-9]+"")))"),"")</f>
        <v/>
      </c>
      <c r="O356" s="194"/>
      <c r="P356" s="194"/>
      <c r="Q356" s="194"/>
      <c r="R356" s="194"/>
      <c r="S356" s="194"/>
      <c r="T356" s="194"/>
      <c r="U356" s="194"/>
      <c r="V356" s="194"/>
      <c r="W356" s="194"/>
    </row>
    <row r="357" ht="14.25" customHeight="1">
      <c r="A357" s="31"/>
      <c r="B357" s="268"/>
      <c r="C357" s="269"/>
      <c r="D357" s="270"/>
      <c r="E357" s="275"/>
      <c r="F357" s="272"/>
      <c r="G357" s="273"/>
      <c r="H357" s="204"/>
      <c r="I357" s="204"/>
      <c r="J357" s="196"/>
      <c r="K357" s="196"/>
      <c r="L357" s="192" t="str">
        <f>IFERROR(__xludf.DUMMYFUNCTION("IF(
  AND(D357=""Saída"", J357=""Sangria""),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198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94" t="str">
        <f>IFERROR(__xludf.DUMMYFUNCTION("ifna(VALUE(REGEXEXTRACT(E357,""[0-9.]+[,]+[0-9]+"")))"),"")</f>
        <v/>
      </c>
      <c r="O357" s="194"/>
      <c r="P357" s="194"/>
      <c r="Q357" s="194"/>
      <c r="R357" s="194"/>
      <c r="S357" s="194"/>
      <c r="T357" s="194"/>
      <c r="U357" s="194"/>
      <c r="V357" s="194"/>
      <c r="W357" s="194"/>
    </row>
    <row r="358" ht="14.25" customHeight="1">
      <c r="A358" s="31"/>
      <c r="B358" s="268"/>
      <c r="C358" s="269"/>
      <c r="D358" s="270"/>
      <c r="E358" s="271"/>
      <c r="F358" s="272"/>
      <c r="G358" s="273"/>
      <c r="H358" s="204"/>
      <c r="I358" s="204"/>
      <c r="J358" s="196"/>
      <c r="K358" s="202"/>
      <c r="L358" s="192" t="str">
        <f>IFERROR(__xludf.DUMMYFUNCTION("IF(
  AND(D358=""Saída"", J358=""Sangria""),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197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94" t="str">
        <f>IFERROR(__xludf.DUMMYFUNCTION("ifna(VALUE(REGEXEXTRACT(E358,""[0-9.]+[,]+[0-9]+"")))"),"")</f>
        <v/>
      </c>
      <c r="O358" s="194"/>
      <c r="P358" s="194"/>
      <c r="Q358" s="194"/>
      <c r="R358" s="194"/>
      <c r="S358" s="194"/>
      <c r="T358" s="194"/>
      <c r="U358" s="194"/>
      <c r="V358" s="194"/>
      <c r="W358" s="194"/>
    </row>
    <row r="359" ht="14.25" customHeight="1">
      <c r="A359" s="31"/>
      <c r="B359" s="268"/>
      <c r="C359" s="269"/>
      <c r="D359" s="270"/>
      <c r="E359" s="271"/>
      <c r="F359" s="272"/>
      <c r="G359" s="273"/>
      <c r="H359" s="204"/>
      <c r="I359" s="204"/>
      <c r="J359" s="196"/>
      <c r="K359" s="202"/>
      <c r="L359" s="192" t="str">
        <f>IFERROR(__xludf.DUMMYFUNCTION("IF(
  AND(D359=""Saída"", J359=""Sangria""),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198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94" t="str">
        <f>IFERROR(__xludf.DUMMYFUNCTION("ifna(VALUE(REGEXEXTRACT(E359,""[0-9.]+[,]+[0-9]+"")))"),"")</f>
        <v/>
      </c>
      <c r="O359" s="194"/>
      <c r="P359" s="194"/>
      <c r="Q359" s="194"/>
      <c r="R359" s="194"/>
      <c r="S359" s="194"/>
      <c r="T359" s="194"/>
      <c r="U359" s="194"/>
      <c r="V359" s="194"/>
      <c r="W359" s="194"/>
    </row>
    <row r="360" ht="14.25" customHeight="1">
      <c r="A360" s="31"/>
      <c r="B360" s="268"/>
      <c r="C360" s="269"/>
      <c r="D360" s="270"/>
      <c r="E360" s="271"/>
      <c r="F360" s="272"/>
      <c r="G360" s="273"/>
      <c r="H360" s="204"/>
      <c r="I360" s="204"/>
      <c r="J360" s="196"/>
      <c r="K360" s="196"/>
      <c r="L360" s="192" t="str">
        <f>IFERROR(__xludf.DUMMYFUNCTION("IF(
  AND(D360=""Saída"", J360=""Sangria""),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197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94" t="str">
        <f>IFERROR(__xludf.DUMMYFUNCTION("ifna(VALUE(REGEXEXTRACT(E360,""[0-9.]+[,]+[0-9]+"")))"),"")</f>
        <v/>
      </c>
      <c r="O360" s="194"/>
      <c r="P360" s="194"/>
      <c r="Q360" s="194"/>
      <c r="R360" s="194"/>
      <c r="S360" s="194"/>
      <c r="T360" s="194"/>
      <c r="U360" s="194"/>
      <c r="V360" s="194"/>
      <c r="W360" s="194"/>
    </row>
    <row r="361" ht="14.25" customHeight="1">
      <c r="A361" s="31"/>
      <c r="B361" s="268"/>
      <c r="C361" s="269"/>
      <c r="D361" s="270"/>
      <c r="E361" s="271"/>
      <c r="F361" s="272"/>
      <c r="G361" s="273"/>
      <c r="H361" s="204"/>
      <c r="I361" s="204"/>
      <c r="J361" s="196"/>
      <c r="K361" s="196"/>
      <c r="L361" s="192" t="str">
        <f>IFERROR(__xludf.DUMMYFUNCTION("IF(
  AND(D361=""Saída"", J361=""Sangria""),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198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94" t="str">
        <f>IFERROR(__xludf.DUMMYFUNCTION("ifna(VALUE(REGEXEXTRACT(E361,""[0-9.]+[,]+[0-9]+"")))"),"")</f>
        <v/>
      </c>
      <c r="O361" s="194"/>
      <c r="P361" s="194"/>
      <c r="Q361" s="194"/>
      <c r="R361" s="194"/>
      <c r="S361" s="194"/>
      <c r="T361" s="194"/>
      <c r="U361" s="194"/>
      <c r="V361" s="194"/>
      <c r="W361" s="194"/>
    </row>
    <row r="362" ht="14.25" customHeight="1">
      <c r="A362" s="31"/>
      <c r="B362" s="268"/>
      <c r="C362" s="269"/>
      <c r="D362" s="270"/>
      <c r="E362" s="271"/>
      <c r="F362" s="272"/>
      <c r="G362" s="273"/>
      <c r="H362" s="204"/>
      <c r="I362" s="204"/>
      <c r="J362" s="196"/>
      <c r="K362" s="196"/>
      <c r="L362" s="192" t="str">
        <f>IFERROR(__xludf.DUMMYFUNCTION("IF(
  AND(D362=""Saída"", J362=""Sangria""),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197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94" t="str">
        <f>IFERROR(__xludf.DUMMYFUNCTION("ifna(VALUE(REGEXEXTRACT(E362,""[0-9.]+[,]+[0-9]+"")))"),"")</f>
        <v/>
      </c>
      <c r="O362" s="194"/>
      <c r="P362" s="194"/>
      <c r="Q362" s="194"/>
      <c r="R362" s="194"/>
      <c r="S362" s="194"/>
      <c r="T362" s="194"/>
      <c r="U362" s="194"/>
      <c r="V362" s="194"/>
      <c r="W362" s="194"/>
    </row>
    <row r="363" ht="14.25" customHeight="1">
      <c r="A363" s="31"/>
      <c r="B363" s="268"/>
      <c r="C363" s="269"/>
      <c r="D363" s="270"/>
      <c r="E363" s="271"/>
      <c r="F363" s="276"/>
      <c r="G363" s="273"/>
      <c r="H363" s="204"/>
      <c r="I363" s="204"/>
      <c r="J363" s="196"/>
      <c r="K363" s="196"/>
      <c r="L363" s="192" t="str">
        <f>IFERROR(__xludf.DUMMYFUNCTION("IF(
  AND(D363=""Saída"", J363=""Sangria""),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198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94" t="str">
        <f>IFERROR(__xludf.DUMMYFUNCTION("ifna(VALUE(REGEXEXTRACT(E363,""[0-9.]+[,]+[0-9]+"")))"),"")</f>
        <v/>
      </c>
      <c r="O363" s="194"/>
      <c r="P363" s="194"/>
      <c r="Q363" s="194"/>
      <c r="R363" s="194"/>
      <c r="S363" s="194"/>
      <c r="T363" s="194"/>
      <c r="U363" s="194"/>
      <c r="V363" s="194"/>
      <c r="W363" s="194"/>
    </row>
    <row r="364" ht="14.25" customHeight="1">
      <c r="A364" s="31"/>
      <c r="B364" s="268"/>
      <c r="C364" s="269"/>
      <c r="D364" s="270"/>
      <c r="E364" s="271"/>
      <c r="F364" s="272"/>
      <c r="G364" s="273"/>
      <c r="H364" s="204"/>
      <c r="I364" s="204"/>
      <c r="J364" s="196"/>
      <c r="K364" s="196"/>
      <c r="L364" s="192" t="str">
        <f>IFERROR(__xludf.DUMMYFUNCTION("IF(
  AND(D364=""Saída"", J364=""Sangria""),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197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94" t="str">
        <f>IFERROR(__xludf.DUMMYFUNCTION("ifna(VALUE(REGEXEXTRACT(E364,""[0-9.]+[,]+[0-9]+"")))"),"")</f>
        <v/>
      </c>
      <c r="O364" s="194"/>
      <c r="P364" s="194"/>
      <c r="Q364" s="194"/>
      <c r="R364" s="194"/>
      <c r="S364" s="194"/>
      <c r="T364" s="194"/>
      <c r="U364" s="194"/>
      <c r="V364" s="194"/>
      <c r="W364" s="194"/>
    </row>
    <row r="365" ht="14.25" customHeight="1">
      <c r="A365" s="31"/>
      <c r="B365" s="268"/>
      <c r="C365" s="269"/>
      <c r="D365" s="270"/>
      <c r="E365" s="271"/>
      <c r="F365" s="272"/>
      <c r="G365" s="273"/>
      <c r="H365" s="204"/>
      <c r="I365" s="204"/>
      <c r="J365" s="196"/>
      <c r="K365" s="196"/>
      <c r="L365" s="192" t="str">
        <f>IFERROR(__xludf.DUMMYFUNCTION("IF(
  AND(D365=""Saída"", J365=""Sangria""),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198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94" t="str">
        <f>IFERROR(__xludf.DUMMYFUNCTION("ifna(VALUE(REGEXEXTRACT(E365,""[0-9.]+[,]+[0-9]+"")))"),"")</f>
        <v/>
      </c>
      <c r="O365" s="194"/>
      <c r="P365" s="194"/>
      <c r="Q365" s="194"/>
      <c r="R365" s="194"/>
      <c r="S365" s="194"/>
      <c r="T365" s="194"/>
      <c r="U365" s="194"/>
      <c r="V365" s="194"/>
      <c r="W365" s="194"/>
    </row>
    <row r="366" ht="14.25" customHeight="1">
      <c r="A366" s="31"/>
      <c r="B366" s="268"/>
      <c r="C366" s="269"/>
      <c r="D366" s="270"/>
      <c r="E366" s="271"/>
      <c r="F366" s="272"/>
      <c r="G366" s="273"/>
      <c r="H366" s="204"/>
      <c r="I366" s="204"/>
      <c r="J366" s="196"/>
      <c r="K366" s="196"/>
      <c r="L366" s="192" t="str">
        <f>IFERROR(__xludf.DUMMYFUNCTION("IF(
  AND(D366=""Saída"", J366=""Sangria""),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197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94" t="str">
        <f>IFERROR(__xludf.DUMMYFUNCTION("ifna(VALUE(REGEXEXTRACT(E366,""[0-9.]+[,]+[0-9]+"")))"),"")</f>
        <v/>
      </c>
      <c r="O366" s="194"/>
      <c r="P366" s="194"/>
      <c r="Q366" s="194"/>
      <c r="R366" s="194"/>
      <c r="S366" s="194"/>
      <c r="T366" s="194"/>
      <c r="U366" s="194"/>
      <c r="V366" s="194"/>
      <c r="W366" s="194"/>
    </row>
    <row r="367" ht="14.25" customHeight="1">
      <c r="A367" s="31"/>
      <c r="B367" s="268"/>
      <c r="C367" s="269"/>
      <c r="D367" s="270"/>
      <c r="E367" s="271"/>
      <c r="F367" s="272"/>
      <c r="G367" s="273"/>
      <c r="H367" s="204"/>
      <c r="I367" s="204"/>
      <c r="J367" s="196"/>
      <c r="K367" s="202"/>
      <c r="L367" s="192" t="str">
        <f>IFERROR(__xludf.DUMMYFUNCTION("IF(
  AND(D367=""Saída"", J367=""Sangria""),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198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94" t="str">
        <f>IFERROR(__xludf.DUMMYFUNCTION("ifna(VALUE(REGEXEXTRACT(E367,""[0-9.]+[,]+[0-9]+"")))"),"")</f>
        <v/>
      </c>
      <c r="O367" s="194"/>
      <c r="P367" s="194"/>
      <c r="Q367" s="194"/>
      <c r="R367" s="194"/>
      <c r="S367" s="194"/>
      <c r="T367" s="194"/>
      <c r="U367" s="194"/>
      <c r="V367" s="194"/>
      <c r="W367" s="194"/>
    </row>
    <row r="368" ht="14.25" customHeight="1">
      <c r="A368" s="31"/>
      <c r="B368" s="268"/>
      <c r="C368" s="269"/>
      <c r="D368" s="270"/>
      <c r="E368" s="271"/>
      <c r="F368" s="272"/>
      <c r="G368" s="273"/>
      <c r="H368" s="204"/>
      <c r="I368" s="204"/>
      <c r="J368" s="196"/>
      <c r="K368" s="202"/>
      <c r="L368" s="192" t="str">
        <f>IFERROR(__xludf.DUMMYFUNCTION("IF(
  AND(D368=""Saída"", J368=""Sangria""),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197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94" t="str">
        <f>IFERROR(__xludf.DUMMYFUNCTION("ifna(VALUE(REGEXEXTRACT(E368,""[0-9.]+[,]+[0-9]+"")))"),"")</f>
        <v/>
      </c>
      <c r="O368" s="194"/>
      <c r="P368" s="194"/>
      <c r="Q368" s="194"/>
      <c r="R368" s="194"/>
      <c r="S368" s="194"/>
      <c r="T368" s="194"/>
      <c r="U368" s="194"/>
      <c r="V368" s="194"/>
      <c r="W368" s="194"/>
    </row>
    <row r="369" ht="14.25" customHeight="1">
      <c r="A369" s="31"/>
      <c r="B369" s="268"/>
      <c r="C369" s="269"/>
      <c r="D369" s="270"/>
      <c r="E369" s="271"/>
      <c r="F369" s="276"/>
      <c r="G369" s="273"/>
      <c r="H369" s="204"/>
      <c r="I369" s="204"/>
      <c r="J369" s="196"/>
      <c r="K369" s="196"/>
      <c r="L369" s="192" t="str">
        <f>IFERROR(__xludf.DUMMYFUNCTION("IF(
  AND(D369=""Saída"", J369=""Sangria""),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198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94" t="str">
        <f>IFERROR(__xludf.DUMMYFUNCTION("ifna(VALUE(REGEXEXTRACT(E369,""[0-9.]+[,]+[0-9]+"")))"),"")</f>
        <v/>
      </c>
      <c r="O369" s="194"/>
      <c r="P369" s="194"/>
      <c r="Q369" s="194"/>
      <c r="R369" s="194"/>
      <c r="S369" s="194"/>
      <c r="T369" s="194"/>
      <c r="U369" s="194"/>
      <c r="V369" s="194"/>
      <c r="W369" s="194"/>
    </row>
    <row r="370" ht="14.25" customHeight="1">
      <c r="A370" s="31"/>
      <c r="B370" s="268"/>
      <c r="C370" s="269"/>
      <c r="D370" s="270"/>
      <c r="E370" s="271"/>
      <c r="F370" s="272"/>
      <c r="G370" s="273"/>
      <c r="H370" s="204"/>
      <c r="I370" s="204"/>
      <c r="J370" s="196"/>
      <c r="K370" s="196"/>
      <c r="L370" s="192" t="str">
        <f>IFERROR(__xludf.DUMMYFUNCTION("IF(
  AND(D370=""Saída"", J370=""Sangria""),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197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94" t="str">
        <f>IFERROR(__xludf.DUMMYFUNCTION("ifna(VALUE(REGEXEXTRACT(E370,""[0-9.]+[,]+[0-9]+"")))"),"")</f>
        <v/>
      </c>
      <c r="O370" s="194"/>
      <c r="P370" s="194"/>
      <c r="Q370" s="194"/>
      <c r="R370" s="194"/>
      <c r="S370" s="194"/>
      <c r="T370" s="194"/>
      <c r="U370" s="194"/>
      <c r="V370" s="194"/>
      <c r="W370" s="194"/>
    </row>
    <row r="371" ht="14.25" customHeight="1">
      <c r="A371" s="31"/>
      <c r="B371" s="268"/>
      <c r="C371" s="269"/>
      <c r="D371" s="270"/>
      <c r="E371" s="271"/>
      <c r="F371" s="272"/>
      <c r="G371" s="273"/>
      <c r="H371" s="204"/>
      <c r="I371" s="204"/>
      <c r="J371" s="196"/>
      <c r="K371" s="196"/>
      <c r="L371" s="192" t="str">
        <f>IFERROR(__xludf.DUMMYFUNCTION("IF(
  AND(D371=""Saída"", J371=""Sangria""),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198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94" t="str">
        <f>IFERROR(__xludf.DUMMYFUNCTION("ifna(VALUE(REGEXEXTRACT(E371,""[0-9.]+[,]+[0-9]+"")))"),"")</f>
        <v/>
      </c>
      <c r="O371" s="194"/>
      <c r="P371" s="194"/>
      <c r="Q371" s="194"/>
      <c r="R371" s="194"/>
      <c r="S371" s="194"/>
      <c r="T371" s="194"/>
      <c r="U371" s="194"/>
      <c r="V371" s="194"/>
      <c r="W371" s="194"/>
    </row>
    <row r="372" ht="14.25" customHeight="1">
      <c r="A372" s="31"/>
      <c r="B372" s="268"/>
      <c r="C372" s="269"/>
      <c r="D372" s="270"/>
      <c r="E372" s="271"/>
      <c r="F372" s="276"/>
      <c r="G372" s="273"/>
      <c r="H372" s="204"/>
      <c r="I372" s="204"/>
      <c r="J372" s="196"/>
      <c r="K372" s="196"/>
      <c r="L372" s="192" t="str">
        <f>IFERROR(__xludf.DUMMYFUNCTION("IF(
  AND(D372=""Saída"", J372=""Sangria""),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197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94" t="str">
        <f>IFERROR(__xludf.DUMMYFUNCTION("ifna(VALUE(REGEXEXTRACT(E372,""[0-9.]+[,]+[0-9]+"")))"),"")</f>
        <v/>
      </c>
      <c r="O372" s="194"/>
      <c r="P372" s="194"/>
      <c r="Q372" s="194"/>
      <c r="R372" s="194"/>
      <c r="S372" s="194"/>
      <c r="T372" s="194"/>
      <c r="U372" s="194"/>
      <c r="V372" s="194"/>
      <c r="W372" s="194"/>
    </row>
    <row r="373" ht="14.25" customHeight="1">
      <c r="A373" s="31"/>
      <c r="B373" s="268"/>
      <c r="C373" s="269"/>
      <c r="D373" s="270"/>
      <c r="E373" s="271"/>
      <c r="F373" s="272"/>
      <c r="G373" s="273"/>
      <c r="H373" s="204"/>
      <c r="I373" s="204"/>
      <c r="J373" s="196"/>
      <c r="K373" s="196"/>
      <c r="L373" s="192" t="str">
        <f>IFERROR(__xludf.DUMMYFUNCTION("IF(
  AND(D373=""Saída"", J373=""Sangria""),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198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94" t="str">
        <f>IFERROR(__xludf.DUMMYFUNCTION("ifna(VALUE(REGEXEXTRACT(E373,""[0-9.]+[,]+[0-9]+"")))"),"")</f>
        <v/>
      </c>
      <c r="O373" s="194"/>
      <c r="P373" s="194"/>
      <c r="Q373" s="194"/>
      <c r="R373" s="194"/>
      <c r="S373" s="194"/>
      <c r="T373" s="194"/>
      <c r="U373" s="194"/>
      <c r="V373" s="194"/>
      <c r="W373" s="194"/>
    </row>
    <row r="374" ht="14.25" customHeight="1">
      <c r="A374" s="31"/>
      <c r="B374" s="268"/>
      <c r="C374" s="212"/>
      <c r="D374" s="270"/>
      <c r="E374" s="271"/>
      <c r="F374" s="272"/>
      <c r="G374" s="273"/>
      <c r="H374" s="204"/>
      <c r="I374" s="204"/>
      <c r="J374" s="196"/>
      <c r="K374" s="202"/>
      <c r="L374" s="192" t="str">
        <f>IFERROR(__xludf.DUMMYFUNCTION("IF(
  AND(D374=""Saída"", J374=""Sangria""),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197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94" t="str">
        <f>IFERROR(__xludf.DUMMYFUNCTION("ifna(VALUE(REGEXEXTRACT(E374,""[0-9.]+[,]+[0-9]+"")))"),"")</f>
        <v/>
      </c>
      <c r="O374" s="194"/>
      <c r="P374" s="194"/>
      <c r="Q374" s="194"/>
      <c r="R374" s="194"/>
      <c r="S374" s="194"/>
      <c r="T374" s="194"/>
      <c r="U374" s="194"/>
      <c r="V374" s="194"/>
      <c r="W374" s="194"/>
    </row>
    <row r="375" ht="14.25" customHeight="1">
      <c r="A375" s="31"/>
      <c r="B375" s="268"/>
      <c r="C375" s="212"/>
      <c r="D375" s="270"/>
      <c r="E375" s="271"/>
      <c r="F375" s="272"/>
      <c r="G375" s="284"/>
      <c r="H375" s="204"/>
      <c r="I375" s="204"/>
      <c r="J375" s="196"/>
      <c r="K375" s="196"/>
      <c r="L375" s="192" t="str">
        <f>IFERROR(__xludf.DUMMYFUNCTION("IF(
  AND(D375=""Saída"", J375=""Sangria""),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198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94" t="str">
        <f>IFERROR(__xludf.DUMMYFUNCTION("ifna(VALUE(REGEXEXTRACT(E375,""[0-9.]+[,]+[0-9]+"")))"),"")</f>
        <v/>
      </c>
      <c r="O375" s="194"/>
      <c r="P375" s="194"/>
      <c r="Q375" s="194"/>
      <c r="R375" s="194"/>
      <c r="S375" s="194"/>
      <c r="T375" s="194"/>
      <c r="U375" s="194"/>
      <c r="V375" s="194"/>
      <c r="W375" s="194"/>
    </row>
    <row r="376" ht="14.25" customHeight="1">
      <c r="A376" s="31"/>
      <c r="B376" s="268"/>
      <c r="C376" s="269"/>
      <c r="D376" s="270"/>
      <c r="E376" s="271"/>
      <c r="F376" s="272"/>
      <c r="G376" s="273"/>
      <c r="H376" s="204"/>
      <c r="I376" s="204"/>
      <c r="J376" s="196"/>
      <c r="K376" s="196"/>
      <c r="L376" s="192" t="str">
        <f>IFERROR(__xludf.DUMMYFUNCTION("IF(
  AND(D376=""Saída"", J376=""Sangria""),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197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94" t="str">
        <f>IFERROR(__xludf.DUMMYFUNCTION("ifna(VALUE(REGEXEXTRACT(E376,""[0-9.]+[,]+[0-9]+"")))"),"")</f>
        <v/>
      </c>
      <c r="O376" s="194"/>
      <c r="P376" s="194"/>
      <c r="Q376" s="194"/>
      <c r="R376" s="194"/>
      <c r="S376" s="194"/>
      <c r="T376" s="194"/>
      <c r="U376" s="194"/>
      <c r="V376" s="194"/>
      <c r="W376" s="194"/>
    </row>
    <row r="377" ht="14.25" customHeight="1">
      <c r="A377" s="31"/>
      <c r="B377" s="268"/>
      <c r="C377" s="269"/>
      <c r="D377" s="270"/>
      <c r="E377" s="271"/>
      <c r="F377" s="272"/>
      <c r="G377" s="273"/>
      <c r="H377" s="204"/>
      <c r="I377" s="204"/>
      <c r="J377" s="212"/>
      <c r="K377" s="196"/>
      <c r="L377" s="192" t="str">
        <f>IFERROR(__xludf.DUMMYFUNCTION("IF(
  AND(D377=""Saída"", J377=""Sangria""),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198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94" t="str">
        <f>IFERROR(__xludf.DUMMYFUNCTION("ifna(VALUE(REGEXEXTRACT(E377,""[0-9.]+[,]+[0-9]+"")))"),"")</f>
        <v/>
      </c>
      <c r="O377" s="194"/>
      <c r="P377" s="194"/>
      <c r="Q377" s="194"/>
      <c r="R377" s="194"/>
      <c r="S377" s="194"/>
      <c r="T377" s="194"/>
      <c r="U377" s="194"/>
      <c r="V377" s="194"/>
      <c r="W377" s="194"/>
    </row>
    <row r="378" ht="14.25" customHeight="1">
      <c r="A378" s="31"/>
      <c r="B378" s="268"/>
      <c r="C378" s="269"/>
      <c r="D378" s="270"/>
      <c r="E378" s="271"/>
      <c r="F378" s="272"/>
      <c r="G378" s="273"/>
      <c r="H378" s="204"/>
      <c r="I378" s="204"/>
      <c r="J378" s="196"/>
      <c r="K378" s="202"/>
      <c r="L378" s="192" t="str">
        <f>IFERROR(__xludf.DUMMYFUNCTION("IF(
  AND(D378=""Saída"", J378=""Sangria""),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197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94" t="str">
        <f>IFERROR(__xludf.DUMMYFUNCTION("ifna(VALUE(REGEXEXTRACT(E378,""[0-9.]+[,]+[0-9]+"")))"),"")</f>
        <v/>
      </c>
      <c r="O378" s="194"/>
      <c r="P378" s="194"/>
      <c r="Q378" s="194"/>
      <c r="R378" s="194"/>
      <c r="S378" s="194"/>
      <c r="T378" s="194"/>
      <c r="U378" s="194"/>
      <c r="V378" s="194"/>
      <c r="W378" s="194"/>
    </row>
    <row r="379" ht="14.25" customHeight="1">
      <c r="A379" s="31"/>
      <c r="B379" s="268"/>
      <c r="C379" s="269"/>
      <c r="D379" s="270"/>
      <c r="E379" s="271"/>
      <c r="F379" s="272"/>
      <c r="G379" s="273"/>
      <c r="H379" s="204"/>
      <c r="I379" s="204"/>
      <c r="J379" s="196"/>
      <c r="K379" s="202"/>
      <c r="L379" s="192" t="str">
        <f>IFERROR(__xludf.DUMMYFUNCTION("IF(
  AND(D379=""Saída"", J379=""Sangria""),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198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94" t="str">
        <f>IFERROR(__xludf.DUMMYFUNCTION("ifna(VALUE(REGEXEXTRACT(E379,""[0-9.]+[,]+[0-9]+"")))"),"")</f>
        <v/>
      </c>
      <c r="O379" s="194"/>
      <c r="P379" s="194"/>
      <c r="Q379" s="194"/>
      <c r="R379" s="194"/>
      <c r="S379" s="194"/>
      <c r="T379" s="194"/>
      <c r="U379" s="194"/>
      <c r="V379" s="194"/>
      <c r="W379" s="194"/>
    </row>
    <row r="380" ht="14.25" customHeight="1">
      <c r="A380" s="31"/>
      <c r="B380" s="285"/>
      <c r="C380" s="212"/>
      <c r="D380" s="270"/>
      <c r="E380" s="271"/>
      <c r="F380" s="272"/>
      <c r="G380" s="273"/>
      <c r="H380" s="204"/>
      <c r="I380" s="204"/>
      <c r="J380" s="196"/>
      <c r="K380" s="196"/>
      <c r="L380" s="192" t="str">
        <f>IFERROR(__xludf.DUMMYFUNCTION("IF(
  AND(D380=""Saída"", J380=""Sangria""),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197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94" t="str">
        <f>IFERROR(__xludf.DUMMYFUNCTION("ifna(VALUE(REGEXEXTRACT(E380,""[0-9.]+[,]+[0-9]+"")))"),"")</f>
        <v/>
      </c>
      <c r="O380" s="194"/>
      <c r="P380" s="194"/>
      <c r="Q380" s="194"/>
      <c r="R380" s="194"/>
      <c r="S380" s="194"/>
      <c r="T380" s="194"/>
      <c r="U380" s="194"/>
      <c r="V380" s="194"/>
      <c r="W380" s="194"/>
    </row>
    <row r="381" ht="14.25" customHeight="1">
      <c r="A381" s="31"/>
      <c r="B381" s="268"/>
      <c r="C381" s="212"/>
      <c r="D381" s="270"/>
      <c r="E381" s="271"/>
      <c r="F381" s="272"/>
      <c r="G381" s="273"/>
      <c r="H381" s="204"/>
      <c r="I381" s="204"/>
      <c r="J381" s="196"/>
      <c r="K381" s="202"/>
      <c r="L381" s="192" t="str">
        <f>IFERROR(__xludf.DUMMYFUNCTION("IF(
  AND(D381=""Saída"", J381=""Sangria""),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198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94" t="str">
        <f>IFERROR(__xludf.DUMMYFUNCTION("ifna(VALUE(REGEXEXTRACT(E381,""[0-9.]+[,]+[0-9]+"")))"),"")</f>
        <v/>
      </c>
      <c r="O381" s="194"/>
      <c r="P381" s="194"/>
      <c r="Q381" s="194"/>
      <c r="R381" s="194"/>
      <c r="S381" s="194"/>
      <c r="T381" s="194"/>
      <c r="U381" s="194"/>
      <c r="V381" s="194"/>
      <c r="W381" s="194"/>
    </row>
    <row r="382" ht="14.25" customHeight="1">
      <c r="A382" s="31"/>
      <c r="B382" s="268"/>
      <c r="C382" s="269"/>
      <c r="D382" s="270"/>
      <c r="E382" s="271"/>
      <c r="F382" s="276"/>
      <c r="G382" s="273"/>
      <c r="H382" s="204"/>
      <c r="I382" s="204"/>
      <c r="J382" s="196"/>
      <c r="K382" s="202"/>
      <c r="L382" s="192" t="str">
        <f>IFERROR(__xludf.DUMMYFUNCTION("IF(
  AND(D382=""Saída"", J382=""Sangria""),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197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94" t="str">
        <f>IFERROR(__xludf.DUMMYFUNCTION("ifna(VALUE(REGEXEXTRACT(E382,""[0-9.]+[,]+[0-9]+"")))"),"")</f>
        <v/>
      </c>
      <c r="O382" s="194"/>
      <c r="P382" s="194"/>
      <c r="Q382" s="194"/>
      <c r="R382" s="194"/>
      <c r="S382" s="194"/>
      <c r="T382" s="194"/>
      <c r="U382" s="194"/>
      <c r="V382" s="194"/>
      <c r="W382" s="194"/>
    </row>
    <row r="383" ht="14.25" customHeight="1">
      <c r="A383" s="31"/>
      <c r="B383" s="268"/>
      <c r="C383" s="212"/>
      <c r="D383" s="270"/>
      <c r="E383" s="271"/>
      <c r="F383" s="272"/>
      <c r="G383" s="273"/>
      <c r="H383" s="204"/>
      <c r="I383" s="204"/>
      <c r="J383" s="196"/>
      <c r="K383" s="196"/>
      <c r="L383" s="192" t="str">
        <f>IFERROR(__xludf.DUMMYFUNCTION("IF(
  AND(D383=""Saída"", J383=""Sangria""),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198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94" t="str">
        <f>IFERROR(__xludf.DUMMYFUNCTION("ifna(VALUE(REGEXEXTRACT(E383,""[0-9.]+[,]+[0-9]+"")))"),"")</f>
        <v/>
      </c>
      <c r="O383" s="194"/>
      <c r="P383" s="194"/>
      <c r="Q383" s="194"/>
      <c r="R383" s="194"/>
      <c r="S383" s="194"/>
      <c r="T383" s="194"/>
      <c r="U383" s="194"/>
      <c r="V383" s="194"/>
      <c r="W383" s="194"/>
    </row>
    <row r="384" ht="14.25" customHeight="1">
      <c r="A384" s="31"/>
      <c r="B384" s="268"/>
      <c r="C384" s="269"/>
      <c r="D384" s="270"/>
      <c r="E384" s="271"/>
      <c r="F384" s="276"/>
      <c r="G384" s="273"/>
      <c r="H384" s="204"/>
      <c r="I384" s="204"/>
      <c r="J384" s="196"/>
      <c r="K384" s="196"/>
      <c r="L384" s="192" t="str">
        <f>IFERROR(__xludf.DUMMYFUNCTION("IF(
  AND(D384=""Saída"", J384=""Sangria""),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197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94" t="str">
        <f>IFERROR(__xludf.DUMMYFUNCTION("ifna(VALUE(REGEXEXTRACT(E384,""[0-9.]+[,]+[0-9]+"")))"),"")</f>
        <v/>
      </c>
      <c r="O384" s="194"/>
      <c r="P384" s="194"/>
      <c r="Q384" s="194"/>
      <c r="R384" s="194"/>
      <c r="S384" s="194"/>
      <c r="T384" s="194"/>
      <c r="U384" s="194"/>
      <c r="V384" s="194"/>
      <c r="W384" s="194"/>
    </row>
    <row r="385" ht="14.25" customHeight="1">
      <c r="A385" s="31"/>
      <c r="B385" s="268"/>
      <c r="C385" s="269"/>
      <c r="D385" s="270"/>
      <c r="E385" s="271"/>
      <c r="F385" s="276"/>
      <c r="G385" s="273"/>
      <c r="H385" s="204"/>
      <c r="I385" s="204"/>
      <c r="J385" s="196"/>
      <c r="K385" s="202"/>
      <c r="L385" s="192" t="str">
        <f>IFERROR(__xludf.DUMMYFUNCTION("IF(
  AND(D385=""Saída"", J385=""Sangria""),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198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94" t="str">
        <f>IFERROR(__xludf.DUMMYFUNCTION("ifna(VALUE(REGEXEXTRACT(E385,""[0-9.]+[,]+[0-9]+"")))"),"")</f>
        <v/>
      </c>
      <c r="O385" s="194"/>
      <c r="P385" s="194"/>
      <c r="Q385" s="194"/>
      <c r="R385" s="194"/>
      <c r="S385" s="194"/>
      <c r="T385" s="194"/>
      <c r="U385" s="194"/>
      <c r="V385" s="194"/>
      <c r="W385" s="194"/>
    </row>
    <row r="386" ht="14.25" customHeight="1">
      <c r="A386" s="31"/>
      <c r="B386" s="268"/>
      <c r="C386" s="269"/>
      <c r="D386" s="270"/>
      <c r="E386" s="271"/>
      <c r="F386" s="276"/>
      <c r="G386" s="273"/>
      <c r="H386" s="204"/>
      <c r="I386" s="204"/>
      <c r="J386" s="196"/>
      <c r="K386" s="202"/>
      <c r="L386" s="192" t="str">
        <f>IFERROR(__xludf.DUMMYFUNCTION("IF(
  AND(D386=""Saída"", J386=""Sangria""),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197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94" t="str">
        <f>IFERROR(__xludf.DUMMYFUNCTION("ifna(VALUE(REGEXEXTRACT(E386,""[0-9.]+[,]+[0-9]+"")))"),"")</f>
        <v/>
      </c>
      <c r="O386" s="194"/>
      <c r="P386" s="194"/>
      <c r="Q386" s="194"/>
      <c r="R386" s="194"/>
      <c r="S386" s="194"/>
      <c r="T386" s="194"/>
      <c r="U386" s="194"/>
      <c r="V386" s="194"/>
      <c r="W386" s="194"/>
    </row>
    <row r="387" ht="14.25" customHeight="1">
      <c r="A387" s="31"/>
      <c r="B387" s="268"/>
      <c r="C387" s="269"/>
      <c r="D387" s="270"/>
      <c r="E387" s="271"/>
      <c r="F387" s="276"/>
      <c r="G387" s="273"/>
      <c r="H387" s="204"/>
      <c r="I387" s="204"/>
      <c r="J387" s="196"/>
      <c r="K387" s="202"/>
      <c r="L387" s="192" t="str">
        <f>IFERROR(__xludf.DUMMYFUNCTION("IF(
  AND(D387=""Saída"", J387=""Sangria""),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198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94" t="str">
        <f>IFERROR(__xludf.DUMMYFUNCTION("ifna(VALUE(REGEXEXTRACT(E387,""[0-9.]+[,]+[0-9]+"")))"),"")</f>
        <v/>
      </c>
      <c r="O387" s="194"/>
      <c r="P387" s="194"/>
      <c r="Q387" s="194"/>
      <c r="R387" s="194"/>
      <c r="S387" s="194"/>
      <c r="T387" s="194"/>
      <c r="U387" s="194"/>
      <c r="V387" s="194"/>
      <c r="W387" s="194"/>
    </row>
    <row r="388" ht="14.25" customHeight="1">
      <c r="A388" s="31"/>
      <c r="B388" s="268"/>
      <c r="C388" s="269"/>
      <c r="D388" s="270"/>
      <c r="E388" s="271"/>
      <c r="F388" s="276"/>
      <c r="G388" s="273"/>
      <c r="H388" s="204"/>
      <c r="I388" s="204"/>
      <c r="J388" s="196"/>
      <c r="K388" s="202"/>
      <c r="L388" s="192" t="str">
        <f>IFERROR(__xludf.DUMMYFUNCTION("IF(
  AND(D388=""Saída"", J388=""Sangria""),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197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94" t="str">
        <f>IFERROR(__xludf.DUMMYFUNCTION("ifna(VALUE(REGEXEXTRACT(E388,""[0-9.]+[,]+[0-9]+"")))"),"")</f>
        <v/>
      </c>
      <c r="O388" s="194"/>
      <c r="P388" s="194"/>
      <c r="Q388" s="194"/>
      <c r="R388" s="194"/>
      <c r="S388" s="194"/>
      <c r="T388" s="194"/>
      <c r="U388" s="194"/>
      <c r="V388" s="194"/>
      <c r="W388" s="194"/>
    </row>
    <row r="389" ht="14.25" customHeight="1">
      <c r="A389" s="31"/>
      <c r="B389" s="268"/>
      <c r="C389" s="269"/>
      <c r="D389" s="270"/>
      <c r="E389" s="271"/>
      <c r="F389" s="276"/>
      <c r="G389" s="273"/>
      <c r="H389" s="204"/>
      <c r="I389" s="204"/>
      <c r="J389" s="212"/>
      <c r="K389" s="202"/>
      <c r="L389" s="192" t="str">
        <f>IFERROR(__xludf.DUMMYFUNCTION("IF(
  AND(D389=""Saída"", J389=""Sangria""),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198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94" t="str">
        <f>IFERROR(__xludf.DUMMYFUNCTION("ifna(VALUE(REGEXEXTRACT(E389,""[0-9.]+[,]+[0-9]+"")))"),"")</f>
        <v/>
      </c>
      <c r="O389" s="194"/>
      <c r="P389" s="194"/>
      <c r="Q389" s="194"/>
      <c r="R389" s="194"/>
      <c r="S389" s="194"/>
      <c r="T389" s="194"/>
      <c r="U389" s="194"/>
      <c r="V389" s="194"/>
      <c r="W389" s="194"/>
    </row>
    <row r="390" ht="14.25" customHeight="1">
      <c r="A390" s="31"/>
      <c r="B390" s="268"/>
      <c r="C390" s="269"/>
      <c r="D390" s="270"/>
      <c r="E390" s="271"/>
      <c r="F390" s="276"/>
      <c r="G390" s="273"/>
      <c r="H390" s="204"/>
      <c r="I390" s="204"/>
      <c r="J390" s="196"/>
      <c r="K390" s="196"/>
      <c r="L390" s="192" t="str">
        <f>IFERROR(__xludf.DUMMYFUNCTION("IF(
  AND(D390=""Saída"", J390=""Sangria""),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197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94" t="str">
        <f>IFERROR(__xludf.DUMMYFUNCTION("ifna(VALUE(REGEXEXTRACT(E390,""[0-9.]+[,]+[0-9]+"")))"),"")</f>
        <v/>
      </c>
      <c r="O390" s="194"/>
      <c r="P390" s="194"/>
      <c r="Q390" s="194"/>
      <c r="R390" s="194"/>
      <c r="S390" s="194"/>
      <c r="T390" s="194"/>
      <c r="U390" s="194"/>
      <c r="V390" s="194"/>
      <c r="W390" s="194"/>
    </row>
    <row r="391" ht="14.25" customHeight="1">
      <c r="A391" s="31"/>
      <c r="B391" s="268"/>
      <c r="C391" s="269"/>
      <c r="D391" s="270"/>
      <c r="E391" s="271"/>
      <c r="F391" s="276"/>
      <c r="G391" s="273"/>
      <c r="H391" s="204"/>
      <c r="I391" s="204"/>
      <c r="J391" s="196"/>
      <c r="K391" s="202"/>
      <c r="L391" s="192" t="str">
        <f>IFERROR(__xludf.DUMMYFUNCTION("IF(
  AND(D391=""Saída"", J391=""Sangria""),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198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94" t="str">
        <f>IFERROR(__xludf.DUMMYFUNCTION("ifna(VALUE(REGEXEXTRACT(E391,""[0-9.]+[,]+[0-9]+"")))"),"")</f>
        <v/>
      </c>
      <c r="O391" s="194"/>
      <c r="P391" s="194"/>
      <c r="Q391" s="194"/>
      <c r="R391" s="194"/>
      <c r="S391" s="194"/>
      <c r="T391" s="194"/>
      <c r="U391" s="194"/>
      <c r="V391" s="194"/>
      <c r="W391" s="194"/>
    </row>
    <row r="392" ht="14.25" customHeight="1">
      <c r="A392" s="31"/>
      <c r="B392" s="268"/>
      <c r="C392" s="269"/>
      <c r="D392" s="270"/>
      <c r="E392" s="271"/>
      <c r="F392" s="276"/>
      <c r="G392" s="273"/>
      <c r="H392" s="204"/>
      <c r="I392" s="204"/>
      <c r="J392" s="196"/>
      <c r="K392" s="196"/>
      <c r="L392" s="192" t="str">
        <f>IFERROR(__xludf.DUMMYFUNCTION("IF(
  AND(D392=""Saída"", J392=""Sangria""),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197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94" t="str">
        <f>IFERROR(__xludf.DUMMYFUNCTION("ifna(VALUE(REGEXEXTRACT(E392,""[0-9.]+[,]+[0-9]+"")))"),"")</f>
        <v/>
      </c>
      <c r="O392" s="194"/>
      <c r="P392" s="194"/>
      <c r="Q392" s="194"/>
      <c r="R392" s="194"/>
      <c r="S392" s="194"/>
      <c r="T392" s="194"/>
      <c r="U392" s="194"/>
      <c r="V392" s="194"/>
      <c r="W392" s="194"/>
    </row>
    <row r="393" ht="14.25" customHeight="1">
      <c r="A393" s="31"/>
      <c r="B393" s="268"/>
      <c r="C393" s="269"/>
      <c r="D393" s="270"/>
      <c r="E393" s="271"/>
      <c r="F393" s="276"/>
      <c r="G393" s="273"/>
      <c r="H393" s="204"/>
      <c r="I393" s="204"/>
      <c r="J393" s="196"/>
      <c r="K393" s="196"/>
      <c r="L393" s="192" t="str">
        <f>IFERROR(__xludf.DUMMYFUNCTION("IF(
  AND(D393=""Saída"", J393=""Sangria""),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198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94" t="str">
        <f>IFERROR(__xludf.DUMMYFUNCTION("ifna(VALUE(REGEXEXTRACT(E393,""[0-9.]+[,]+[0-9]+"")))"),"")</f>
        <v/>
      </c>
      <c r="O393" s="194"/>
      <c r="P393" s="194"/>
      <c r="Q393" s="194"/>
      <c r="R393" s="194"/>
      <c r="S393" s="194"/>
      <c r="T393" s="194"/>
      <c r="U393" s="194"/>
      <c r="V393" s="194"/>
      <c r="W393" s="194"/>
    </row>
    <row r="394" ht="14.25" customHeight="1">
      <c r="A394" s="31"/>
      <c r="B394" s="268"/>
      <c r="C394" s="286"/>
      <c r="D394" s="270"/>
      <c r="E394" s="271"/>
      <c r="F394" s="204"/>
      <c r="G394" s="273"/>
      <c r="H394" s="204"/>
      <c r="I394" s="204"/>
      <c r="J394" s="202"/>
      <c r="K394" s="202"/>
      <c r="L394" s="192" t="str">
        <f>IFERROR(__xludf.DUMMYFUNCTION("IF(
  AND(D394=""Saída"", J394=""Sangria""),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197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94" t="str">
        <f>IFERROR(__xludf.DUMMYFUNCTION("ifna(VALUE(REGEXEXTRACT(E394,""[0-9.]+[,]+[0-9]+"")))"),"")</f>
        <v/>
      </c>
      <c r="O394" s="194"/>
      <c r="P394" s="194"/>
      <c r="Q394" s="194"/>
      <c r="R394" s="194"/>
      <c r="S394" s="194"/>
      <c r="T394" s="194"/>
      <c r="U394" s="194"/>
      <c r="V394" s="194"/>
      <c r="W394" s="194"/>
    </row>
    <row r="395" ht="14.25" customHeight="1">
      <c r="A395" s="31"/>
      <c r="B395" s="287"/>
      <c r="C395" s="286"/>
      <c r="D395" s="270"/>
      <c r="E395" s="271"/>
      <c r="F395" s="204"/>
      <c r="G395" s="273"/>
      <c r="H395" s="204"/>
      <c r="I395" s="204"/>
      <c r="J395" s="202"/>
      <c r="K395" s="202"/>
      <c r="L395" s="192" t="str">
        <f>IFERROR(__xludf.DUMMYFUNCTION("IF(
  AND(D395=""Saída"", J395=""Sangria""),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198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94" t="str">
        <f>IFERROR(__xludf.DUMMYFUNCTION("ifna(VALUE(REGEXEXTRACT(E395,""[0-9.]+[,]+[0-9]+"")))"),"")</f>
        <v/>
      </c>
      <c r="O395" s="194"/>
      <c r="P395" s="194"/>
      <c r="Q395" s="194"/>
      <c r="R395" s="194"/>
      <c r="S395" s="194"/>
      <c r="T395" s="194"/>
      <c r="U395" s="194"/>
      <c r="V395" s="194"/>
      <c r="W395" s="194"/>
    </row>
    <row r="396" ht="14.25" customHeight="1">
      <c r="A396" s="31"/>
      <c r="B396" s="287"/>
      <c r="C396" s="286"/>
      <c r="D396" s="270"/>
      <c r="E396" s="271"/>
      <c r="F396" s="204"/>
      <c r="G396" s="273"/>
      <c r="H396" s="204"/>
      <c r="I396" s="204"/>
      <c r="J396" s="202"/>
      <c r="K396" s="202"/>
      <c r="L396" s="192" t="str">
        <f>IFERROR(__xludf.DUMMYFUNCTION("IF(
  AND(D396=""Saída"", J396=""Sangria""),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197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94" t="str">
        <f>IFERROR(__xludf.DUMMYFUNCTION("ifna(VALUE(REGEXEXTRACT(E396,""[0-9.]+[,]+[0-9]+"")))"),"")</f>
        <v/>
      </c>
      <c r="O396" s="194"/>
      <c r="P396" s="194"/>
      <c r="Q396" s="194"/>
      <c r="R396" s="194"/>
      <c r="S396" s="194"/>
      <c r="T396" s="194"/>
      <c r="U396" s="194"/>
      <c r="V396" s="194"/>
      <c r="W396" s="194"/>
    </row>
    <row r="397" ht="14.25" customHeight="1">
      <c r="A397" s="31"/>
      <c r="B397" s="287"/>
      <c r="C397" s="286"/>
      <c r="D397" s="270"/>
      <c r="E397" s="271"/>
      <c r="F397" s="204"/>
      <c r="G397" s="273"/>
      <c r="H397" s="204"/>
      <c r="I397" s="204"/>
      <c r="J397" s="202"/>
      <c r="K397" s="202"/>
      <c r="L397" s="192" t="str">
        <f>IFERROR(__xludf.DUMMYFUNCTION("IF(
  AND(D397=""Saída"", J397=""Sangria""),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198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94" t="str">
        <f>IFERROR(__xludf.DUMMYFUNCTION("ifna(VALUE(REGEXEXTRACT(E397,""[0-9.]+[,]+[0-9]+"")))"),"")</f>
        <v/>
      </c>
      <c r="O397" s="194"/>
      <c r="P397" s="194"/>
      <c r="Q397" s="194"/>
      <c r="R397" s="194"/>
      <c r="S397" s="194"/>
      <c r="T397" s="194"/>
      <c r="U397" s="194"/>
      <c r="V397" s="194"/>
      <c r="W397" s="194"/>
    </row>
    <row r="398" ht="14.25" customHeight="1">
      <c r="A398" s="31"/>
      <c r="B398" s="287"/>
      <c r="C398" s="286"/>
      <c r="D398" s="270"/>
      <c r="E398" s="271"/>
      <c r="F398" s="204"/>
      <c r="G398" s="273"/>
      <c r="H398" s="204"/>
      <c r="I398" s="204"/>
      <c r="J398" s="202"/>
      <c r="K398" s="202"/>
      <c r="L398" s="192" t="str">
        <f>IFERROR(__xludf.DUMMYFUNCTION("IF(
  AND(D398=""Saída"", J398=""Sangria""),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197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94" t="str">
        <f>IFERROR(__xludf.DUMMYFUNCTION("ifna(VALUE(REGEXEXTRACT(E398,""[0-9.]+[,]+[0-9]+"")))"),"")</f>
        <v/>
      </c>
      <c r="O398" s="194"/>
      <c r="P398" s="194"/>
      <c r="Q398" s="194"/>
      <c r="R398" s="194"/>
      <c r="S398" s="194"/>
      <c r="T398" s="194"/>
      <c r="U398" s="194"/>
      <c r="V398" s="194"/>
      <c r="W398" s="194"/>
    </row>
    <row r="399" ht="14.25" customHeight="1">
      <c r="A399" s="31"/>
      <c r="B399" s="287"/>
      <c r="C399" s="286"/>
      <c r="D399" s="270"/>
      <c r="E399" s="271"/>
      <c r="F399" s="204"/>
      <c r="G399" s="273"/>
      <c r="H399" s="204"/>
      <c r="I399" s="204"/>
      <c r="J399" s="202"/>
      <c r="K399" s="202"/>
      <c r="L399" s="192" t="str">
        <f>IFERROR(__xludf.DUMMYFUNCTION("IF(
  AND(D399=""Saída"", J399=""Sangria""),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198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94" t="str">
        <f>IFERROR(__xludf.DUMMYFUNCTION("ifna(VALUE(REGEXEXTRACT(E399,""[0-9.]+[,]+[0-9]+"")))"),"")</f>
        <v/>
      </c>
      <c r="O399" s="194"/>
      <c r="P399" s="194"/>
      <c r="Q399" s="194"/>
      <c r="R399" s="194"/>
      <c r="S399" s="194"/>
      <c r="T399" s="194"/>
      <c r="U399" s="194"/>
      <c r="V399" s="194"/>
      <c r="W399" s="194"/>
    </row>
    <row r="400" ht="14.25" customHeight="1">
      <c r="A400" s="31"/>
      <c r="B400" s="287"/>
      <c r="C400" s="286"/>
      <c r="D400" s="270"/>
      <c r="E400" s="271"/>
      <c r="F400" s="204"/>
      <c r="G400" s="273"/>
      <c r="H400" s="204"/>
      <c r="I400" s="204"/>
      <c r="J400" s="202"/>
      <c r="K400" s="202"/>
      <c r="L400" s="192" t="str">
        <f>IFERROR(__xludf.DUMMYFUNCTION("IF(
  AND(D400=""Saída"", J400=""Sangria""),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197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94" t="str">
        <f>IFERROR(__xludf.DUMMYFUNCTION("ifna(VALUE(REGEXEXTRACT(E400,""[0-9.]+[,]+[0-9]+"")))"),"")</f>
        <v/>
      </c>
      <c r="O400" s="194"/>
      <c r="P400" s="194"/>
      <c r="Q400" s="194"/>
      <c r="R400" s="194"/>
      <c r="S400" s="194"/>
      <c r="T400" s="194"/>
      <c r="U400" s="194"/>
      <c r="V400" s="194"/>
      <c r="W400" s="194"/>
    </row>
    <row r="401" ht="14.25" customHeight="1">
      <c r="A401" s="31"/>
      <c r="B401" s="287"/>
      <c r="C401" s="286"/>
      <c r="D401" s="270"/>
      <c r="E401" s="271"/>
      <c r="F401" s="204"/>
      <c r="G401" s="273"/>
      <c r="H401" s="204"/>
      <c r="I401" s="204"/>
      <c r="J401" s="202"/>
      <c r="K401" s="202"/>
      <c r="L401" s="192" t="str">
        <f>IFERROR(__xludf.DUMMYFUNCTION("IF(
  AND(D401=""Saída"", J401=""Sangria""),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198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94" t="str">
        <f>IFERROR(__xludf.DUMMYFUNCTION("ifna(VALUE(REGEXEXTRACT(E401,""[0-9.]+[,]+[0-9]+"")))"),"")</f>
        <v/>
      </c>
      <c r="O401" s="194"/>
      <c r="P401" s="194"/>
      <c r="Q401" s="194"/>
      <c r="R401" s="194"/>
      <c r="S401" s="194"/>
      <c r="T401" s="194"/>
      <c r="U401" s="194"/>
      <c r="V401" s="194"/>
      <c r="W401" s="194"/>
    </row>
    <row r="402" ht="14.25" customHeight="1">
      <c r="A402" s="31"/>
      <c r="B402" s="287"/>
      <c r="C402" s="286"/>
      <c r="D402" s="270"/>
      <c r="E402" s="271"/>
      <c r="F402" s="204"/>
      <c r="G402" s="273"/>
      <c r="H402" s="204"/>
      <c r="I402" s="204"/>
      <c r="J402" s="202"/>
      <c r="K402" s="202"/>
      <c r="L402" s="192" t="str">
        <f>IFERROR(__xludf.DUMMYFUNCTION("IF(
  AND(D402=""Saída"", J402=""Sangria""),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197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94" t="str">
        <f>IFERROR(__xludf.DUMMYFUNCTION("ifna(VALUE(REGEXEXTRACT(E402,""[0-9.]+[,]+[0-9]+"")))"),"")</f>
        <v/>
      </c>
      <c r="O402" s="194"/>
      <c r="P402" s="194"/>
      <c r="Q402" s="194"/>
      <c r="R402" s="194"/>
      <c r="S402" s="194"/>
      <c r="T402" s="194"/>
      <c r="U402" s="194"/>
      <c r="V402" s="194"/>
      <c r="W402" s="194"/>
    </row>
    <row r="403" ht="14.25" customHeight="1">
      <c r="A403" s="31"/>
      <c r="B403" s="287"/>
      <c r="C403" s="286"/>
      <c r="D403" s="270"/>
      <c r="E403" s="271"/>
      <c r="F403" s="204"/>
      <c r="G403" s="273"/>
      <c r="H403" s="204"/>
      <c r="I403" s="204"/>
      <c r="J403" s="202"/>
      <c r="K403" s="202"/>
      <c r="L403" s="192" t="str">
        <f>IFERROR(__xludf.DUMMYFUNCTION("IF(
  AND(D403=""Saída"", J403=""Sangria""),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198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94" t="str">
        <f>IFERROR(__xludf.DUMMYFUNCTION("ifna(VALUE(REGEXEXTRACT(E403,""[0-9.]+[,]+[0-9]+"")))"),"")</f>
        <v/>
      </c>
      <c r="O403" s="194"/>
      <c r="P403" s="194"/>
      <c r="Q403" s="194"/>
      <c r="R403" s="194"/>
      <c r="S403" s="194"/>
      <c r="T403" s="194"/>
      <c r="U403" s="194"/>
      <c r="V403" s="194"/>
      <c r="W403" s="194"/>
    </row>
    <row r="404" ht="14.25" customHeight="1">
      <c r="A404" s="31"/>
      <c r="B404" s="287"/>
      <c r="C404" s="286"/>
      <c r="D404" s="270"/>
      <c r="E404" s="271"/>
      <c r="F404" s="204"/>
      <c r="G404" s="273"/>
      <c r="H404" s="204"/>
      <c r="I404" s="204"/>
      <c r="J404" s="202"/>
      <c r="K404" s="202"/>
      <c r="L404" s="192" t="str">
        <f>IFERROR(__xludf.DUMMYFUNCTION("IF(
  AND(D404=""Saída"", J404=""Sangria""),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197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94" t="str">
        <f>IFERROR(__xludf.DUMMYFUNCTION("ifna(VALUE(REGEXEXTRACT(E404,""[0-9.]+[,]+[0-9]+"")))"),"")</f>
        <v/>
      </c>
      <c r="O404" s="194"/>
      <c r="P404" s="194"/>
      <c r="Q404" s="194"/>
      <c r="R404" s="194"/>
      <c r="S404" s="194"/>
      <c r="T404" s="194"/>
      <c r="U404" s="194"/>
      <c r="V404" s="194"/>
      <c r="W404" s="194"/>
    </row>
    <row r="405" ht="14.25" customHeight="1">
      <c r="A405" s="31"/>
      <c r="B405" s="287"/>
      <c r="C405" s="286"/>
      <c r="D405" s="270"/>
      <c r="E405" s="271"/>
      <c r="F405" s="204"/>
      <c r="G405" s="273"/>
      <c r="H405" s="204"/>
      <c r="I405" s="204"/>
      <c r="J405" s="202"/>
      <c r="K405" s="202"/>
      <c r="L405" s="192" t="str">
        <f>IFERROR(__xludf.DUMMYFUNCTION("IF(
  AND(D405=""Saída"", J405=""Sangria""),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198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94" t="str">
        <f>IFERROR(__xludf.DUMMYFUNCTION("ifna(VALUE(REGEXEXTRACT(E405,""[0-9.]+[,]+[0-9]+"")))"),"")</f>
        <v/>
      </c>
      <c r="O405" s="194"/>
      <c r="P405" s="194"/>
      <c r="Q405" s="194"/>
      <c r="R405" s="194"/>
      <c r="S405" s="194"/>
      <c r="T405" s="194"/>
      <c r="U405" s="194"/>
      <c r="V405" s="194"/>
      <c r="W405" s="194"/>
    </row>
    <row r="406" ht="14.25" customHeight="1">
      <c r="A406" s="31"/>
      <c r="B406" s="287"/>
      <c r="C406" s="286"/>
      <c r="D406" s="270"/>
      <c r="E406" s="288"/>
      <c r="F406" s="204"/>
      <c r="G406" s="273"/>
      <c r="H406" s="204"/>
      <c r="I406" s="204"/>
      <c r="J406" s="202"/>
      <c r="K406" s="202"/>
      <c r="L406" s="192" t="str">
        <f>IFERROR(__xludf.DUMMYFUNCTION("IF(
  AND(D406=""Saída"", J406=""Sangria""),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197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94" t="str">
        <f>IFERROR(__xludf.DUMMYFUNCTION("ifna(VALUE(REGEXEXTRACT(E406,""[0-9.]+[,]+[0-9]+"")))"),"")</f>
        <v/>
      </c>
      <c r="O406" s="194"/>
      <c r="P406" s="194"/>
      <c r="Q406" s="194"/>
      <c r="R406" s="194"/>
      <c r="S406" s="194"/>
      <c r="T406" s="194"/>
      <c r="U406" s="194"/>
      <c r="V406" s="194"/>
      <c r="W406" s="194"/>
    </row>
    <row r="407" ht="14.25" customHeight="1">
      <c r="A407" s="31"/>
      <c r="B407" s="287"/>
      <c r="C407" s="286"/>
      <c r="D407" s="270"/>
      <c r="E407" s="288"/>
      <c r="F407" s="204"/>
      <c r="G407" s="289"/>
      <c r="H407" s="204"/>
      <c r="I407" s="204"/>
      <c r="J407" s="202"/>
      <c r="K407" s="202"/>
      <c r="L407" s="192" t="str">
        <f>IFERROR(__xludf.DUMMYFUNCTION("IF(
  AND(D407=""Saída"", J407=""Sangria""),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198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94" t="str">
        <f>IFERROR(__xludf.DUMMYFUNCTION("ifna(VALUE(REGEXEXTRACT(E407,""[0-9.]+[,]+[0-9]+"")))"),"")</f>
        <v/>
      </c>
      <c r="O407" s="194"/>
      <c r="P407" s="194"/>
      <c r="Q407" s="194"/>
      <c r="R407" s="194"/>
      <c r="S407" s="194"/>
      <c r="T407" s="194"/>
      <c r="U407" s="194"/>
      <c r="V407" s="194"/>
      <c r="W407" s="194"/>
    </row>
    <row r="408" ht="14.25" customHeight="1">
      <c r="A408" s="31"/>
      <c r="B408" s="287"/>
      <c r="C408" s="286"/>
      <c r="D408" s="270"/>
      <c r="E408" s="288"/>
      <c r="F408" s="204"/>
      <c r="G408" s="289"/>
      <c r="H408" s="204"/>
      <c r="I408" s="204"/>
      <c r="J408" s="202"/>
      <c r="K408" s="202"/>
      <c r="L408" s="192" t="str">
        <f>IFERROR(__xludf.DUMMYFUNCTION("IF(
  AND(D408=""Saída"", J408=""Sangria""),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197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94" t="str">
        <f>IFERROR(__xludf.DUMMYFUNCTION("ifna(VALUE(REGEXEXTRACT(E408,""[0-9.]+[,]+[0-9]+"")))"),"")</f>
        <v/>
      </c>
      <c r="O408" s="194"/>
      <c r="P408" s="194"/>
      <c r="Q408" s="194"/>
      <c r="R408" s="194"/>
      <c r="S408" s="194"/>
      <c r="T408" s="194"/>
      <c r="U408" s="194"/>
      <c r="V408" s="194"/>
      <c r="W408" s="194"/>
    </row>
    <row r="409" ht="14.25" customHeight="1">
      <c r="A409" s="31"/>
      <c r="B409" s="287"/>
      <c r="C409" s="286"/>
      <c r="D409" s="270"/>
      <c r="E409" s="288"/>
      <c r="F409" s="204"/>
      <c r="G409" s="289"/>
      <c r="H409" s="204"/>
      <c r="I409" s="204"/>
      <c r="J409" s="202"/>
      <c r="K409" s="202"/>
      <c r="L409" s="192" t="str">
        <f>IFERROR(__xludf.DUMMYFUNCTION("IF(
  AND(D409=""Saída"", J409=""Sangria""),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198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94" t="str">
        <f>IFERROR(__xludf.DUMMYFUNCTION("ifna(VALUE(REGEXEXTRACT(E409,""[0-9.]+[,]+[0-9]+"")))"),"")</f>
        <v/>
      </c>
      <c r="O409" s="194"/>
      <c r="P409" s="194"/>
      <c r="Q409" s="194"/>
      <c r="R409" s="194"/>
      <c r="S409" s="194"/>
      <c r="T409" s="194"/>
      <c r="U409" s="194"/>
      <c r="V409" s="194"/>
      <c r="W409" s="194"/>
    </row>
    <row r="410" ht="14.25" customHeight="1">
      <c r="A410" s="31"/>
      <c r="B410" s="287"/>
      <c r="C410" s="286"/>
      <c r="D410" s="270"/>
      <c r="E410" s="288"/>
      <c r="F410" s="204"/>
      <c r="G410" s="289"/>
      <c r="H410" s="204"/>
      <c r="I410" s="204"/>
      <c r="J410" s="202"/>
      <c r="K410" s="202"/>
      <c r="L410" s="192" t="str">
        <f>IFERROR(__xludf.DUMMYFUNCTION("IF(
  AND(D410=""Saída"", J410=""Sangria""),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197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94" t="str">
        <f>IFERROR(__xludf.DUMMYFUNCTION("ifna(VALUE(REGEXEXTRACT(E410,""[0-9.]+[,]+[0-9]+"")))"),"")</f>
        <v/>
      </c>
      <c r="O410" s="194"/>
      <c r="P410" s="194"/>
      <c r="Q410" s="194"/>
      <c r="R410" s="194"/>
      <c r="S410" s="194"/>
      <c r="T410" s="194"/>
      <c r="U410" s="194"/>
      <c r="V410" s="194"/>
      <c r="W410" s="194"/>
    </row>
    <row r="411" ht="14.25" customHeight="1">
      <c r="A411" s="31"/>
      <c r="B411" s="287"/>
      <c r="C411" s="286"/>
      <c r="D411" s="204"/>
      <c r="E411" s="288"/>
      <c r="F411" s="204"/>
      <c r="G411" s="289"/>
      <c r="H411" s="204"/>
      <c r="I411" s="204"/>
      <c r="J411" s="202"/>
      <c r="K411" s="202"/>
      <c r="L411" s="192" t="str">
        <f>IFERROR(__xludf.DUMMYFUNCTION("IF(
  AND(D411=""Saída"", J411=""Sangria""),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198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94" t="str">
        <f>IFERROR(__xludf.DUMMYFUNCTION("ifna(VALUE(REGEXEXTRACT(E411,""[0-9.]+[,]+[0-9]+"")))"),"")</f>
        <v/>
      </c>
      <c r="O411" s="194"/>
      <c r="P411" s="194"/>
      <c r="Q411" s="194"/>
      <c r="R411" s="194"/>
      <c r="S411" s="194"/>
      <c r="T411" s="194"/>
      <c r="U411" s="194"/>
      <c r="V411" s="194"/>
      <c r="W411" s="194"/>
    </row>
    <row r="412" ht="14.25" customHeight="1">
      <c r="A412" s="31"/>
      <c r="B412" s="287"/>
      <c r="C412" s="286"/>
      <c r="D412" s="204"/>
      <c r="E412" s="288"/>
      <c r="F412" s="204"/>
      <c r="G412" s="289"/>
      <c r="H412" s="204"/>
      <c r="I412" s="204"/>
      <c r="J412" s="202"/>
      <c r="K412" s="202"/>
      <c r="L412" s="192" t="str">
        <f>IFERROR(__xludf.DUMMYFUNCTION("IF(
  AND(D412=""Saída"", J412=""Sangria""),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197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94" t="str">
        <f>IFERROR(__xludf.DUMMYFUNCTION("ifna(VALUE(REGEXEXTRACT(E412,""[0-9.]+[,]+[0-9]+"")))"),"")</f>
        <v/>
      </c>
      <c r="O412" s="194"/>
      <c r="P412" s="194"/>
      <c r="Q412" s="194"/>
      <c r="R412" s="194"/>
      <c r="S412" s="194"/>
      <c r="T412" s="194"/>
      <c r="U412" s="194"/>
      <c r="V412" s="194"/>
      <c r="W412" s="194"/>
    </row>
    <row r="413" ht="14.25" customHeight="1">
      <c r="A413" s="31"/>
      <c r="B413" s="287"/>
      <c r="C413" s="286"/>
      <c r="D413" s="204"/>
      <c r="E413" s="288"/>
      <c r="F413" s="204"/>
      <c r="G413" s="289"/>
      <c r="H413" s="204"/>
      <c r="I413" s="204"/>
      <c r="J413" s="202"/>
      <c r="K413" s="202"/>
      <c r="L413" s="192" t="str">
        <f>IFERROR(__xludf.DUMMYFUNCTION("IF(
  AND(D413=""Saída"", J413=""Sangria""),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198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94" t="str">
        <f>IFERROR(__xludf.DUMMYFUNCTION("ifna(VALUE(REGEXEXTRACT(E413,""[0-9.]+[,]+[0-9]+"")))"),"")</f>
        <v/>
      </c>
      <c r="O413" s="194"/>
      <c r="P413" s="194"/>
      <c r="Q413" s="194"/>
      <c r="R413" s="194"/>
      <c r="S413" s="194"/>
      <c r="T413" s="194"/>
      <c r="U413" s="194"/>
      <c r="V413" s="194"/>
      <c r="W413" s="194"/>
    </row>
    <row r="414" ht="14.25" customHeight="1">
      <c r="A414" s="31"/>
      <c r="B414" s="287"/>
      <c r="C414" s="286"/>
      <c r="D414" s="204"/>
      <c r="E414" s="288"/>
      <c r="F414" s="204"/>
      <c r="G414" s="289"/>
      <c r="H414" s="204"/>
      <c r="I414" s="204"/>
      <c r="J414" s="202"/>
      <c r="K414" s="202"/>
      <c r="L414" s="192" t="str">
        <f>IFERROR(__xludf.DUMMYFUNCTION("IF(
  AND(D414=""Saída"", J414=""Sangria""),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197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94" t="str">
        <f>IFERROR(__xludf.DUMMYFUNCTION("ifna(VALUE(REGEXEXTRACT(E414,""[0-9.]+[,]+[0-9]+"")))"),"")</f>
        <v/>
      </c>
      <c r="O414" s="194"/>
      <c r="P414" s="194"/>
      <c r="Q414" s="194"/>
      <c r="R414" s="194"/>
      <c r="S414" s="194"/>
      <c r="T414" s="194"/>
      <c r="U414" s="194"/>
      <c r="V414" s="194"/>
      <c r="W414" s="194"/>
    </row>
    <row r="415" ht="14.25" customHeight="1">
      <c r="A415" s="31"/>
      <c r="B415" s="287"/>
      <c r="C415" s="286"/>
      <c r="D415" s="204"/>
      <c r="E415" s="288"/>
      <c r="F415" s="204"/>
      <c r="G415" s="289"/>
      <c r="H415" s="204"/>
      <c r="I415" s="204"/>
      <c r="J415" s="202"/>
      <c r="K415" s="202"/>
      <c r="L415" s="192" t="str">
        <f>IFERROR(__xludf.DUMMYFUNCTION("IF(
  AND(D415=""Saída"", J415=""Sangria""),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198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94" t="str">
        <f>IFERROR(__xludf.DUMMYFUNCTION("ifna(VALUE(REGEXEXTRACT(E415,""[0-9.]+[,]+[0-9]+"")))"),"")</f>
        <v/>
      </c>
      <c r="O415" s="194"/>
      <c r="P415" s="194"/>
      <c r="Q415" s="194"/>
      <c r="R415" s="194"/>
      <c r="S415" s="194"/>
      <c r="T415" s="194"/>
      <c r="U415" s="194"/>
      <c r="V415" s="194"/>
      <c r="W415" s="194"/>
    </row>
    <row r="416" ht="14.25" customHeight="1">
      <c r="A416" s="31"/>
      <c r="B416" s="287"/>
      <c r="C416" s="286"/>
      <c r="D416" s="204"/>
      <c r="E416" s="288"/>
      <c r="F416" s="204"/>
      <c r="G416" s="289"/>
      <c r="H416" s="204"/>
      <c r="I416" s="204"/>
      <c r="J416" s="202"/>
      <c r="K416" s="202"/>
      <c r="L416" s="192" t="str">
        <f>IFERROR(__xludf.DUMMYFUNCTION("IF(
  AND(D416=""Saída"", J416=""Sangria""),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197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94" t="str">
        <f>IFERROR(__xludf.DUMMYFUNCTION("ifna(VALUE(REGEXEXTRACT(E416,""[0-9.]+[,]+[0-9]+"")))"),"")</f>
        <v/>
      </c>
      <c r="O416" s="194"/>
      <c r="P416" s="194"/>
      <c r="Q416" s="194"/>
      <c r="R416" s="194"/>
      <c r="S416" s="194"/>
      <c r="T416" s="194"/>
      <c r="U416" s="194"/>
      <c r="V416" s="194"/>
      <c r="W416" s="194"/>
    </row>
    <row r="417" ht="14.25" customHeight="1">
      <c r="A417" s="31"/>
      <c r="B417" s="287"/>
      <c r="C417" s="286"/>
      <c r="D417" s="204"/>
      <c r="E417" s="288"/>
      <c r="F417" s="204"/>
      <c r="G417" s="289"/>
      <c r="H417" s="204"/>
      <c r="I417" s="204"/>
      <c r="J417" s="202"/>
      <c r="K417" s="202"/>
      <c r="L417" s="192" t="str">
        <f>IFERROR(__xludf.DUMMYFUNCTION("IF(
  AND(D417=""Saída"", J417=""Sangria""),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198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94" t="str">
        <f>IFERROR(__xludf.DUMMYFUNCTION("ifna(VALUE(REGEXEXTRACT(E417,""[0-9.]+[,]+[0-9]+"")))"),"")</f>
        <v/>
      </c>
      <c r="O417" s="194"/>
      <c r="P417" s="194"/>
      <c r="Q417" s="194"/>
      <c r="R417" s="194"/>
      <c r="S417" s="194"/>
      <c r="T417" s="194"/>
      <c r="U417" s="194"/>
      <c r="V417" s="194"/>
      <c r="W417" s="194"/>
    </row>
    <row r="418" ht="14.25" customHeight="1">
      <c r="A418" s="31"/>
      <c r="B418" s="287"/>
      <c r="C418" s="286"/>
      <c r="D418" s="204"/>
      <c r="E418" s="288"/>
      <c r="F418" s="204"/>
      <c r="G418" s="289"/>
      <c r="H418" s="204"/>
      <c r="I418" s="204"/>
      <c r="J418" s="202"/>
      <c r="K418" s="202"/>
      <c r="L418" s="192" t="str">
        <f>IFERROR(__xludf.DUMMYFUNCTION("IF(
  AND(D418=""Saída"", J418=""Sangria""),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197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94" t="str">
        <f>IFERROR(__xludf.DUMMYFUNCTION("ifna(VALUE(REGEXEXTRACT(E418,""[0-9.]+[,]+[0-9]+"")))"),"")</f>
        <v/>
      </c>
      <c r="O418" s="194"/>
      <c r="P418" s="194"/>
      <c r="Q418" s="194"/>
      <c r="R418" s="194"/>
      <c r="S418" s="194"/>
      <c r="T418" s="194"/>
      <c r="U418" s="194"/>
      <c r="V418" s="194"/>
      <c r="W418" s="194"/>
    </row>
    <row r="419" ht="14.25" customHeight="1">
      <c r="A419" s="31"/>
      <c r="B419" s="287"/>
      <c r="C419" s="286"/>
      <c r="D419" s="204"/>
      <c r="E419" s="288"/>
      <c r="F419" s="204"/>
      <c r="G419" s="289"/>
      <c r="H419" s="204"/>
      <c r="I419" s="204"/>
      <c r="J419" s="202"/>
      <c r="K419" s="202"/>
      <c r="L419" s="192" t="str">
        <f>IFERROR(__xludf.DUMMYFUNCTION("IF(
  AND(D419=""Saída"", J419=""Sangria""),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198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94" t="str">
        <f>IFERROR(__xludf.DUMMYFUNCTION("ifna(VALUE(REGEXEXTRACT(E419,""[0-9.]+[,]+[0-9]+"")))"),"")</f>
        <v/>
      </c>
      <c r="O419" s="194"/>
      <c r="P419" s="194"/>
      <c r="Q419" s="194"/>
      <c r="R419" s="194"/>
      <c r="S419" s="194"/>
      <c r="T419" s="194"/>
      <c r="U419" s="194"/>
      <c r="V419" s="194"/>
      <c r="W419" s="194"/>
    </row>
    <row r="420" ht="14.25" customHeight="1">
      <c r="A420" s="31"/>
      <c r="B420" s="287"/>
      <c r="C420" s="286"/>
      <c r="D420" s="204"/>
      <c r="E420" s="288"/>
      <c r="F420" s="204"/>
      <c r="G420" s="289"/>
      <c r="H420" s="204"/>
      <c r="I420" s="204"/>
      <c r="J420" s="202"/>
      <c r="K420" s="202"/>
      <c r="L420" s="192" t="str">
        <f>IFERROR(__xludf.DUMMYFUNCTION("IF(
  AND(D420=""Saída"", J420=""Sangria""),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197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94" t="str">
        <f>IFERROR(__xludf.DUMMYFUNCTION("ifna(VALUE(REGEXEXTRACT(E420,""[0-9.]+[,]+[0-9]+"")))"),"")</f>
        <v/>
      </c>
      <c r="O420" s="194"/>
      <c r="P420" s="194"/>
      <c r="Q420" s="194"/>
      <c r="R420" s="194"/>
      <c r="S420" s="194"/>
      <c r="T420" s="194"/>
      <c r="U420" s="194"/>
      <c r="V420" s="194"/>
      <c r="W420" s="194"/>
    </row>
    <row r="421" ht="14.25" customHeight="1">
      <c r="A421" s="31"/>
      <c r="B421" s="287"/>
      <c r="C421" s="286"/>
      <c r="D421" s="204"/>
      <c r="E421" s="288"/>
      <c r="F421" s="204"/>
      <c r="G421" s="289"/>
      <c r="H421" s="204"/>
      <c r="I421" s="204"/>
      <c r="J421" s="202"/>
      <c r="K421" s="202"/>
      <c r="L421" s="192" t="str">
        <f>IFERROR(__xludf.DUMMYFUNCTION("IF(
  AND(D421=""Saída"", J421=""Sangria""),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198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94" t="str">
        <f>IFERROR(__xludf.DUMMYFUNCTION("ifna(VALUE(REGEXEXTRACT(E421,""[0-9.]+[,]+[0-9]+"")))"),"")</f>
        <v/>
      </c>
      <c r="O421" s="194"/>
      <c r="P421" s="194"/>
      <c r="Q421" s="194"/>
      <c r="R421" s="194"/>
      <c r="S421" s="194"/>
      <c r="T421" s="194"/>
      <c r="U421" s="194"/>
      <c r="V421" s="194"/>
      <c r="W421" s="194"/>
    </row>
    <row r="422" ht="14.25" customHeight="1">
      <c r="A422" s="31"/>
      <c r="B422" s="287"/>
      <c r="C422" s="286"/>
      <c r="D422" s="204"/>
      <c r="E422" s="288"/>
      <c r="F422" s="204"/>
      <c r="G422" s="289"/>
      <c r="H422" s="204"/>
      <c r="I422" s="204"/>
      <c r="J422" s="202"/>
      <c r="K422" s="202"/>
      <c r="L422" s="192" t="str">
        <f>IFERROR(__xludf.DUMMYFUNCTION("IF(
  AND(D422=""Saída"", J422=""Sangria""),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197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94" t="str">
        <f>IFERROR(__xludf.DUMMYFUNCTION("ifna(VALUE(REGEXEXTRACT(E422,""[0-9.]+[,]+[0-9]+"")))"),"")</f>
        <v/>
      </c>
      <c r="O422" s="194"/>
      <c r="P422" s="194"/>
      <c r="Q422" s="194"/>
      <c r="R422" s="194"/>
      <c r="S422" s="194"/>
      <c r="T422" s="194"/>
      <c r="U422" s="194"/>
      <c r="V422" s="194"/>
      <c r="W422" s="194"/>
    </row>
    <row r="423" ht="14.25" customHeight="1">
      <c r="A423" s="31"/>
      <c r="B423" s="287"/>
      <c r="C423" s="286"/>
      <c r="D423" s="204"/>
      <c r="E423" s="288"/>
      <c r="F423" s="204"/>
      <c r="G423" s="289"/>
      <c r="H423" s="204"/>
      <c r="I423" s="204"/>
      <c r="J423" s="202"/>
      <c r="K423" s="202"/>
      <c r="L423" s="192" t="str">
        <f>IFERROR(__xludf.DUMMYFUNCTION("IF(
  AND(D423=""Saída"", J423=""Sangria""),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198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94" t="str">
        <f>IFERROR(__xludf.DUMMYFUNCTION("ifna(VALUE(REGEXEXTRACT(E423,""[0-9.]+[,]+[0-9]+"")))"),"")</f>
        <v/>
      </c>
      <c r="O423" s="194"/>
      <c r="P423" s="194"/>
      <c r="Q423" s="194"/>
      <c r="R423" s="194"/>
      <c r="S423" s="194"/>
      <c r="T423" s="194"/>
      <c r="U423" s="194"/>
      <c r="V423" s="194"/>
      <c r="W423" s="194"/>
    </row>
    <row r="424" ht="14.25" customHeight="1">
      <c r="A424" s="31"/>
      <c r="B424" s="287"/>
      <c r="C424" s="286"/>
      <c r="D424" s="204"/>
      <c r="E424" s="288"/>
      <c r="F424" s="204"/>
      <c r="G424" s="289"/>
      <c r="H424" s="204"/>
      <c r="I424" s="204"/>
      <c r="J424" s="202"/>
      <c r="K424" s="202"/>
      <c r="L424" s="192" t="str">
        <f>IFERROR(__xludf.DUMMYFUNCTION("IF(
  AND(D424=""Saída"", J424=""Sangria""),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197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94" t="str">
        <f>IFERROR(__xludf.DUMMYFUNCTION("ifna(VALUE(REGEXEXTRACT(E424,""[0-9.]+[,]+[0-9]+"")))"),"")</f>
        <v/>
      </c>
      <c r="O424" s="194"/>
      <c r="P424" s="194"/>
      <c r="Q424" s="194"/>
      <c r="R424" s="194"/>
      <c r="S424" s="194"/>
      <c r="T424" s="194"/>
      <c r="U424" s="194"/>
      <c r="V424" s="194"/>
      <c r="W424" s="194"/>
    </row>
    <row r="425" ht="14.25" customHeight="1">
      <c r="A425" s="31"/>
      <c r="B425" s="287"/>
      <c r="C425" s="286"/>
      <c r="D425" s="204"/>
      <c r="E425" s="288"/>
      <c r="F425" s="204"/>
      <c r="G425" s="289"/>
      <c r="H425" s="204"/>
      <c r="I425" s="204"/>
      <c r="J425" s="202"/>
      <c r="K425" s="202"/>
      <c r="L425" s="192" t="str">
        <f>IFERROR(__xludf.DUMMYFUNCTION("IF(
  AND(D425=""Saída"", J425=""Sangria""),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198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94" t="str">
        <f>IFERROR(__xludf.DUMMYFUNCTION("ifna(VALUE(REGEXEXTRACT(E425,""[0-9.]+[,]+[0-9]+"")))"),"")</f>
        <v/>
      </c>
      <c r="O425" s="194"/>
      <c r="P425" s="194"/>
      <c r="Q425" s="194"/>
      <c r="R425" s="194"/>
      <c r="S425" s="194"/>
      <c r="T425" s="194"/>
      <c r="U425" s="194"/>
      <c r="V425" s="194"/>
      <c r="W425" s="194"/>
    </row>
    <row r="426" ht="14.25" customHeight="1">
      <c r="A426" s="31"/>
      <c r="B426" s="287"/>
      <c r="C426" s="286"/>
      <c r="D426" s="204"/>
      <c r="E426" s="288"/>
      <c r="F426" s="204"/>
      <c r="G426" s="289"/>
      <c r="H426" s="204"/>
      <c r="I426" s="204"/>
      <c r="J426" s="202"/>
      <c r="K426" s="202"/>
      <c r="L426" s="192" t="str">
        <f>IFERROR(__xludf.DUMMYFUNCTION("IF(
  AND(D426=""Saída"", J426=""Sangria""),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197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94" t="str">
        <f>IFERROR(__xludf.DUMMYFUNCTION("ifna(VALUE(REGEXEXTRACT(E426,""[0-9.]+[,]+[0-9]+"")))"),"")</f>
        <v/>
      </c>
      <c r="O426" s="194"/>
      <c r="P426" s="194"/>
      <c r="Q426" s="194"/>
      <c r="R426" s="194"/>
      <c r="S426" s="194"/>
      <c r="T426" s="194"/>
      <c r="U426" s="194"/>
      <c r="V426" s="194"/>
      <c r="W426" s="194"/>
    </row>
    <row r="427" ht="14.25" customHeight="1">
      <c r="A427" s="31"/>
      <c r="B427" s="287"/>
      <c r="C427" s="286"/>
      <c r="D427" s="204"/>
      <c r="E427" s="288"/>
      <c r="F427" s="204"/>
      <c r="G427" s="289"/>
      <c r="H427" s="204"/>
      <c r="I427" s="204"/>
      <c r="J427" s="202"/>
      <c r="K427" s="202"/>
      <c r="L427" s="192" t="str">
        <f>IFERROR(__xludf.DUMMYFUNCTION("IF(
  AND(D427=""Saída"", J427=""Sangria""),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198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94" t="str">
        <f>IFERROR(__xludf.DUMMYFUNCTION("ifna(VALUE(REGEXEXTRACT(E427,""[0-9.]+[,]+[0-9]+"")))"),"")</f>
        <v/>
      </c>
      <c r="O427" s="194"/>
      <c r="P427" s="194"/>
      <c r="Q427" s="194"/>
      <c r="R427" s="194"/>
      <c r="S427" s="194"/>
      <c r="T427" s="194"/>
      <c r="U427" s="194"/>
      <c r="V427" s="194"/>
      <c r="W427" s="194"/>
    </row>
    <row r="428" ht="14.25" customHeight="1">
      <c r="A428" s="31"/>
      <c r="B428" s="287"/>
      <c r="C428" s="286"/>
      <c r="D428" s="204"/>
      <c r="E428" s="288"/>
      <c r="F428" s="204"/>
      <c r="G428" s="289"/>
      <c r="H428" s="204"/>
      <c r="I428" s="204"/>
      <c r="J428" s="202"/>
      <c r="K428" s="202"/>
      <c r="L428" s="192" t="str">
        <f>IFERROR(__xludf.DUMMYFUNCTION("IF(
  AND(D428=""Saída"", J428=""Sangria""),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197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94" t="str">
        <f>IFERROR(__xludf.DUMMYFUNCTION("ifna(VALUE(REGEXEXTRACT(E428,""[0-9.]+[,]+[0-9]+"")))"),"")</f>
        <v/>
      </c>
      <c r="O428" s="194"/>
      <c r="P428" s="194"/>
      <c r="Q428" s="194"/>
      <c r="R428" s="194"/>
      <c r="S428" s="194"/>
      <c r="T428" s="194"/>
      <c r="U428" s="194"/>
      <c r="V428" s="194"/>
      <c r="W428" s="194"/>
    </row>
    <row r="429" ht="14.25" customHeight="1">
      <c r="A429" s="31"/>
      <c r="B429" s="287"/>
      <c r="C429" s="286"/>
      <c r="D429" s="204"/>
      <c r="E429" s="288"/>
      <c r="F429" s="204"/>
      <c r="G429" s="289"/>
      <c r="H429" s="204"/>
      <c r="I429" s="204"/>
      <c r="J429" s="202"/>
      <c r="K429" s="202"/>
      <c r="L429" s="192" t="str">
        <f>IFERROR(__xludf.DUMMYFUNCTION("IF(
  AND(D429=""Saída"", J429=""Sangria""),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198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94" t="str">
        <f>IFERROR(__xludf.DUMMYFUNCTION("ifna(VALUE(REGEXEXTRACT(E429,""[0-9.]+[,]+[0-9]+"")))"),"")</f>
        <v/>
      </c>
      <c r="O429" s="194"/>
      <c r="P429" s="194"/>
      <c r="Q429" s="194"/>
      <c r="R429" s="194"/>
      <c r="S429" s="194"/>
      <c r="T429" s="194"/>
      <c r="U429" s="194"/>
      <c r="V429" s="194"/>
      <c r="W429" s="194"/>
    </row>
    <row r="430" ht="14.25" customHeight="1">
      <c r="A430" s="31"/>
      <c r="B430" s="287"/>
      <c r="C430" s="286"/>
      <c r="D430" s="204"/>
      <c r="E430" s="288"/>
      <c r="F430" s="204"/>
      <c r="G430" s="289"/>
      <c r="H430" s="204"/>
      <c r="I430" s="204"/>
      <c r="J430" s="202"/>
      <c r="K430" s="202"/>
      <c r="L430" s="192" t="str">
        <f>IFERROR(__xludf.DUMMYFUNCTION("IF(
  AND(D430=""Saída"", J430=""Sangria""),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197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94" t="str">
        <f>IFERROR(__xludf.DUMMYFUNCTION("ifna(VALUE(REGEXEXTRACT(E430,""[0-9.]+[,]+[0-9]+"")))"),"")</f>
        <v/>
      </c>
      <c r="O430" s="194"/>
      <c r="P430" s="194"/>
      <c r="Q430" s="194"/>
      <c r="R430" s="194"/>
      <c r="S430" s="194"/>
      <c r="T430" s="194"/>
      <c r="U430" s="194"/>
      <c r="V430" s="194"/>
      <c r="W430" s="194"/>
    </row>
    <row r="431" ht="14.25" customHeight="1">
      <c r="A431" s="31"/>
      <c r="B431" s="287"/>
      <c r="C431" s="286"/>
      <c r="D431" s="204"/>
      <c r="E431" s="288"/>
      <c r="F431" s="204"/>
      <c r="G431" s="289"/>
      <c r="H431" s="204"/>
      <c r="I431" s="204"/>
      <c r="J431" s="202"/>
      <c r="K431" s="202"/>
      <c r="L431" s="192" t="str">
        <f>IFERROR(__xludf.DUMMYFUNCTION("IF(
  AND(D431=""Saída"", J431=""Sangria""),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198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94" t="str">
        <f>IFERROR(__xludf.DUMMYFUNCTION("ifna(VALUE(REGEXEXTRACT(E431,""[0-9.]+[,]+[0-9]+"")))"),"")</f>
        <v/>
      </c>
      <c r="O431" s="194"/>
      <c r="P431" s="194"/>
      <c r="Q431" s="194"/>
      <c r="R431" s="194"/>
      <c r="S431" s="194"/>
      <c r="T431" s="194"/>
      <c r="U431" s="194"/>
      <c r="V431" s="194"/>
      <c r="W431" s="194"/>
    </row>
    <row r="432" ht="14.25" customHeight="1">
      <c r="A432" s="31"/>
      <c r="B432" s="287"/>
      <c r="C432" s="286"/>
      <c r="D432" s="204"/>
      <c r="E432" s="288"/>
      <c r="F432" s="204"/>
      <c r="G432" s="289"/>
      <c r="H432" s="204"/>
      <c r="I432" s="204"/>
      <c r="J432" s="202"/>
      <c r="K432" s="202"/>
      <c r="L432" s="192" t="str">
        <f>IFERROR(__xludf.DUMMYFUNCTION("IF(
  AND(D432=""Saída"", J432=""Sangria""),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197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94" t="str">
        <f>IFERROR(__xludf.DUMMYFUNCTION("ifna(VALUE(REGEXEXTRACT(E432,""[0-9.]+[,]+[0-9]+"")))"),"")</f>
        <v/>
      </c>
      <c r="O432" s="194"/>
      <c r="P432" s="194"/>
      <c r="Q432" s="194"/>
      <c r="R432" s="194"/>
      <c r="S432" s="194"/>
      <c r="T432" s="194"/>
      <c r="U432" s="194"/>
      <c r="V432" s="194"/>
      <c r="W432" s="194"/>
    </row>
    <row r="433" ht="14.25" customHeight="1">
      <c r="A433" s="31"/>
      <c r="B433" s="287"/>
      <c r="C433" s="286"/>
      <c r="D433" s="204"/>
      <c r="E433" s="288"/>
      <c r="F433" s="204"/>
      <c r="G433" s="289"/>
      <c r="H433" s="204"/>
      <c r="I433" s="204"/>
      <c r="J433" s="202"/>
      <c r="K433" s="202"/>
      <c r="L433" s="192" t="str">
        <f>IFERROR(__xludf.DUMMYFUNCTION("IF(
  AND(D433=""Saída"", J433=""Sangria""),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198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94" t="str">
        <f>IFERROR(__xludf.DUMMYFUNCTION("ifna(VALUE(REGEXEXTRACT(E433,""[0-9.]+[,]+[0-9]+"")))"),"")</f>
        <v/>
      </c>
      <c r="O433" s="194"/>
      <c r="P433" s="194"/>
      <c r="Q433" s="194"/>
      <c r="R433" s="194"/>
      <c r="S433" s="194"/>
      <c r="T433" s="194"/>
      <c r="U433" s="194"/>
      <c r="V433" s="194"/>
      <c r="W433" s="194"/>
    </row>
    <row r="434" ht="14.25" customHeight="1">
      <c r="A434" s="31"/>
      <c r="B434" s="287"/>
      <c r="C434" s="286"/>
      <c r="D434" s="204"/>
      <c r="E434" s="288"/>
      <c r="F434" s="204"/>
      <c r="G434" s="289"/>
      <c r="H434" s="204"/>
      <c r="I434" s="204"/>
      <c r="J434" s="202"/>
      <c r="K434" s="202"/>
      <c r="L434" s="192" t="str">
        <f>IFERROR(__xludf.DUMMYFUNCTION("IF(
  AND(D434=""Saída"", J434=""Sangria""),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197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94" t="str">
        <f>IFERROR(__xludf.DUMMYFUNCTION("ifna(VALUE(REGEXEXTRACT(E434,""[0-9.]+[,]+[0-9]+"")))"),"")</f>
        <v/>
      </c>
      <c r="O434" s="194"/>
      <c r="P434" s="194"/>
      <c r="Q434" s="194"/>
      <c r="R434" s="194"/>
      <c r="S434" s="194"/>
      <c r="T434" s="194"/>
      <c r="U434" s="194"/>
      <c r="V434" s="194"/>
      <c r="W434" s="194"/>
    </row>
    <row r="435" ht="14.25" customHeight="1">
      <c r="A435" s="31"/>
      <c r="B435" s="287"/>
      <c r="C435" s="286"/>
      <c r="D435" s="204"/>
      <c r="E435" s="288"/>
      <c r="F435" s="204"/>
      <c r="G435" s="289"/>
      <c r="H435" s="204"/>
      <c r="I435" s="204"/>
      <c r="J435" s="202"/>
      <c r="K435" s="202"/>
      <c r="L435" s="192" t="str">
        <f>IFERROR(__xludf.DUMMYFUNCTION("IF(
  AND(D435=""Saída"", J435=""Sangria""),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198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94" t="str">
        <f>IFERROR(__xludf.DUMMYFUNCTION("ifna(VALUE(REGEXEXTRACT(E435,""[0-9.]+[,]+[0-9]+"")))"),"")</f>
        <v/>
      </c>
      <c r="O435" s="194"/>
      <c r="P435" s="194"/>
      <c r="Q435" s="194"/>
      <c r="R435" s="194"/>
      <c r="S435" s="194"/>
      <c r="T435" s="194"/>
      <c r="U435" s="194"/>
      <c r="V435" s="194"/>
      <c r="W435" s="194"/>
    </row>
    <row r="436" ht="14.25" customHeight="1">
      <c r="A436" s="31"/>
      <c r="B436" s="287"/>
      <c r="C436" s="286"/>
      <c r="D436" s="204"/>
      <c r="E436" s="288"/>
      <c r="F436" s="204"/>
      <c r="G436" s="289"/>
      <c r="H436" s="204"/>
      <c r="I436" s="204"/>
      <c r="J436" s="202"/>
      <c r="K436" s="202"/>
      <c r="L436" s="192" t="str">
        <f>IFERROR(__xludf.DUMMYFUNCTION("IF(
  AND(D436=""Saída"", J436=""Sangria""),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197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94" t="str">
        <f>IFERROR(__xludf.DUMMYFUNCTION("ifna(VALUE(REGEXEXTRACT(E436,""[0-9.]+[,]+[0-9]+"")))"),"")</f>
        <v/>
      </c>
      <c r="O436" s="194"/>
      <c r="P436" s="194"/>
      <c r="Q436" s="194"/>
      <c r="R436" s="194"/>
      <c r="S436" s="194"/>
      <c r="T436" s="194"/>
      <c r="U436" s="194"/>
      <c r="V436" s="194"/>
      <c r="W436" s="194"/>
    </row>
    <row r="437" ht="14.25" customHeight="1">
      <c r="A437" s="31"/>
      <c r="B437" s="287"/>
      <c r="C437" s="286"/>
      <c r="D437" s="204"/>
      <c r="E437" s="288"/>
      <c r="F437" s="204"/>
      <c r="G437" s="289"/>
      <c r="H437" s="204"/>
      <c r="I437" s="204"/>
      <c r="J437" s="202"/>
      <c r="K437" s="202"/>
      <c r="L437" s="192" t="str">
        <f>IFERROR(__xludf.DUMMYFUNCTION("IF(
  AND(D437=""Saída"", J437=""Sangria""),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198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94" t="str">
        <f>IFERROR(__xludf.DUMMYFUNCTION("ifna(VALUE(REGEXEXTRACT(E437,""[0-9.]+[,]+[0-9]+"")))"),"")</f>
        <v/>
      </c>
      <c r="O437" s="194"/>
      <c r="P437" s="194"/>
      <c r="Q437" s="194"/>
      <c r="R437" s="194"/>
      <c r="S437" s="194"/>
      <c r="T437" s="194"/>
      <c r="U437" s="194"/>
      <c r="V437" s="194"/>
      <c r="W437" s="194"/>
    </row>
    <row r="438" ht="14.25" customHeight="1">
      <c r="A438" s="31"/>
      <c r="B438" s="287"/>
      <c r="C438" s="286"/>
      <c r="D438" s="204"/>
      <c r="E438" s="288"/>
      <c r="F438" s="204"/>
      <c r="G438" s="289"/>
      <c r="H438" s="204"/>
      <c r="I438" s="204"/>
      <c r="J438" s="202"/>
      <c r="K438" s="202"/>
      <c r="L438" s="192" t="str">
        <f>IFERROR(__xludf.DUMMYFUNCTION("IF(
  AND(D438=""Saída"", J438=""Sangria""),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197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94" t="str">
        <f>IFERROR(__xludf.DUMMYFUNCTION("ifna(VALUE(REGEXEXTRACT(E438,""[0-9.]+[,]+[0-9]+"")))"),"")</f>
        <v/>
      </c>
      <c r="O438" s="194"/>
      <c r="P438" s="194"/>
      <c r="Q438" s="194"/>
      <c r="R438" s="194"/>
      <c r="S438" s="194"/>
      <c r="T438" s="194"/>
      <c r="U438" s="194"/>
      <c r="V438" s="194"/>
      <c r="W438" s="194"/>
    </row>
    <row r="439" ht="14.25" customHeight="1">
      <c r="A439" s="31"/>
      <c r="B439" s="287"/>
      <c r="C439" s="286"/>
      <c r="D439" s="204"/>
      <c r="E439" s="288"/>
      <c r="F439" s="204"/>
      <c r="G439" s="289"/>
      <c r="H439" s="204"/>
      <c r="I439" s="204"/>
      <c r="J439" s="202"/>
      <c r="K439" s="202"/>
      <c r="L439" s="192" t="str">
        <f>IFERROR(__xludf.DUMMYFUNCTION("IF(
  AND(D439=""Saída"", J439=""Sangria""),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198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94" t="str">
        <f>IFERROR(__xludf.DUMMYFUNCTION("ifna(VALUE(REGEXEXTRACT(E439,""[0-9.]+[,]+[0-9]+"")))"),"")</f>
        <v/>
      </c>
      <c r="O439" s="194"/>
      <c r="P439" s="194"/>
      <c r="Q439" s="194"/>
      <c r="R439" s="194"/>
      <c r="S439" s="194"/>
      <c r="T439" s="194"/>
      <c r="U439" s="194"/>
      <c r="V439" s="194"/>
      <c r="W439" s="194"/>
    </row>
    <row r="440" ht="14.25" customHeight="1">
      <c r="A440" s="31"/>
      <c r="B440" s="287"/>
      <c r="C440" s="286"/>
      <c r="D440" s="204"/>
      <c r="E440" s="288"/>
      <c r="F440" s="204"/>
      <c r="G440" s="289"/>
      <c r="H440" s="204"/>
      <c r="I440" s="204"/>
      <c r="J440" s="202"/>
      <c r="K440" s="202"/>
      <c r="L440" s="192" t="str">
        <f>IFERROR(__xludf.DUMMYFUNCTION("IF(
  AND(D440=""Saída"", J440=""Sangria""),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197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94" t="str">
        <f>IFERROR(__xludf.DUMMYFUNCTION("ifna(VALUE(REGEXEXTRACT(E440,""[0-9.]+[,]+[0-9]+"")))"),"")</f>
        <v/>
      </c>
      <c r="O440" s="194"/>
      <c r="P440" s="194"/>
      <c r="Q440" s="194"/>
      <c r="R440" s="194"/>
      <c r="S440" s="194"/>
      <c r="T440" s="194"/>
      <c r="U440" s="194"/>
      <c r="V440" s="194"/>
      <c r="W440" s="194"/>
    </row>
    <row r="441" ht="14.25" customHeight="1">
      <c r="A441" s="31"/>
      <c r="B441" s="287"/>
      <c r="C441" s="286"/>
      <c r="D441" s="204"/>
      <c r="E441" s="288"/>
      <c r="F441" s="204"/>
      <c r="G441" s="289"/>
      <c r="H441" s="204"/>
      <c r="I441" s="204"/>
      <c r="J441" s="202"/>
      <c r="K441" s="202"/>
      <c r="L441" s="192" t="str">
        <f>IFERROR(__xludf.DUMMYFUNCTION("IF(
  AND(D441=""Saída"", J441=""Sangria""),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198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94" t="str">
        <f>IFERROR(__xludf.DUMMYFUNCTION("ifna(VALUE(REGEXEXTRACT(E441,""[0-9.]+[,]+[0-9]+"")))"),"")</f>
        <v/>
      </c>
      <c r="O441" s="194"/>
      <c r="P441" s="194"/>
      <c r="Q441" s="194"/>
      <c r="R441" s="194"/>
      <c r="S441" s="194"/>
      <c r="T441" s="194"/>
      <c r="U441" s="194"/>
      <c r="V441" s="194"/>
      <c r="W441" s="194"/>
    </row>
    <row r="442" ht="14.25" customHeight="1">
      <c r="A442" s="31"/>
      <c r="B442" s="287"/>
      <c r="C442" s="286"/>
      <c r="D442" s="204"/>
      <c r="E442" s="288"/>
      <c r="F442" s="204"/>
      <c r="G442" s="289"/>
      <c r="H442" s="204"/>
      <c r="I442" s="204"/>
      <c r="J442" s="202"/>
      <c r="K442" s="202"/>
      <c r="L442" s="192" t="str">
        <f>IFERROR(__xludf.DUMMYFUNCTION("IF(
  AND(D442=""Saída"", J442=""Sangria""),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197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94" t="str">
        <f>IFERROR(__xludf.DUMMYFUNCTION("ifna(VALUE(REGEXEXTRACT(E442,""[0-9.]+[,]+[0-9]+"")))"),"")</f>
        <v/>
      </c>
      <c r="O442" s="194"/>
      <c r="P442" s="194"/>
      <c r="Q442" s="194"/>
      <c r="R442" s="194"/>
      <c r="S442" s="194"/>
      <c r="T442" s="194"/>
      <c r="U442" s="194"/>
      <c r="V442" s="194"/>
      <c r="W442" s="194"/>
    </row>
    <row r="443" ht="14.25" customHeight="1">
      <c r="A443" s="31"/>
      <c r="B443" s="287"/>
      <c r="C443" s="286"/>
      <c r="D443" s="204"/>
      <c r="E443" s="288"/>
      <c r="F443" s="204"/>
      <c r="G443" s="289"/>
      <c r="H443" s="204"/>
      <c r="I443" s="204"/>
      <c r="J443" s="202"/>
      <c r="K443" s="202"/>
      <c r="L443" s="192" t="str">
        <f>IFERROR(__xludf.DUMMYFUNCTION("IF(
  AND(D443=""Saída"", J443=""Sangria""),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198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94" t="str">
        <f>IFERROR(__xludf.DUMMYFUNCTION("ifna(VALUE(REGEXEXTRACT(E443,""[0-9.]+[,]+[0-9]+"")))"),"")</f>
        <v/>
      </c>
      <c r="O443" s="194"/>
      <c r="P443" s="194"/>
      <c r="Q443" s="194"/>
      <c r="R443" s="194"/>
      <c r="S443" s="194"/>
      <c r="T443" s="194"/>
      <c r="U443" s="194"/>
      <c r="V443" s="194"/>
      <c r="W443" s="194"/>
    </row>
    <row r="444" ht="14.25" customHeight="1">
      <c r="A444" s="31"/>
      <c r="B444" s="287"/>
      <c r="C444" s="286"/>
      <c r="D444" s="204"/>
      <c r="E444" s="288"/>
      <c r="F444" s="204"/>
      <c r="G444" s="289"/>
      <c r="H444" s="204"/>
      <c r="I444" s="204"/>
      <c r="J444" s="202"/>
      <c r="K444" s="202"/>
      <c r="L444" s="192" t="str">
        <f>IFERROR(__xludf.DUMMYFUNCTION("IF(
  AND(D444=""Saída"", J444=""Sangria""),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197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94" t="str">
        <f>IFERROR(__xludf.DUMMYFUNCTION("ifna(VALUE(REGEXEXTRACT(E444,""[0-9.]+[,]+[0-9]+"")))"),"")</f>
        <v/>
      </c>
      <c r="O444" s="194"/>
      <c r="P444" s="194"/>
      <c r="Q444" s="194"/>
      <c r="R444" s="194"/>
      <c r="S444" s="194"/>
      <c r="T444" s="194"/>
      <c r="U444" s="194"/>
      <c r="V444" s="194"/>
      <c r="W444" s="194"/>
    </row>
    <row r="445" ht="14.25" customHeight="1">
      <c r="A445" s="31"/>
      <c r="B445" s="287"/>
      <c r="C445" s="286"/>
      <c r="D445" s="204"/>
      <c r="E445" s="288"/>
      <c r="F445" s="204"/>
      <c r="G445" s="289"/>
      <c r="H445" s="204"/>
      <c r="I445" s="204"/>
      <c r="J445" s="202"/>
      <c r="K445" s="202"/>
      <c r="L445" s="192" t="str">
        <f>IFERROR(__xludf.DUMMYFUNCTION("IF(
  AND(D445=""Saída"", J445=""Sangria""),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198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94" t="str">
        <f>IFERROR(__xludf.DUMMYFUNCTION("ifna(VALUE(REGEXEXTRACT(E445,""[0-9.]+[,]+[0-9]+"")))"),"")</f>
        <v/>
      </c>
      <c r="O445" s="194"/>
      <c r="P445" s="194"/>
      <c r="Q445" s="194"/>
      <c r="R445" s="194"/>
      <c r="S445" s="194"/>
      <c r="T445" s="194"/>
      <c r="U445" s="194"/>
      <c r="V445" s="194"/>
      <c r="W445" s="194"/>
    </row>
    <row r="446" ht="14.25" customHeight="1">
      <c r="A446" s="31"/>
      <c r="B446" s="287"/>
      <c r="C446" s="286"/>
      <c r="D446" s="204"/>
      <c r="E446" s="288"/>
      <c r="F446" s="204"/>
      <c r="G446" s="289"/>
      <c r="H446" s="204"/>
      <c r="I446" s="204"/>
      <c r="J446" s="202"/>
      <c r="K446" s="202"/>
      <c r="L446" s="192" t="str">
        <f>IFERROR(__xludf.DUMMYFUNCTION("IF(
  AND(D446=""Saída"", J446=""Sangria""),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197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94" t="str">
        <f>IFERROR(__xludf.DUMMYFUNCTION("ifna(VALUE(REGEXEXTRACT(E446,""[0-9.]+[,]+[0-9]+"")))"),"")</f>
        <v/>
      </c>
      <c r="O446" s="194"/>
      <c r="P446" s="194"/>
      <c r="Q446" s="194"/>
      <c r="R446" s="194"/>
      <c r="S446" s="194"/>
      <c r="T446" s="194"/>
      <c r="U446" s="194"/>
      <c r="V446" s="194"/>
      <c r="W446" s="194"/>
    </row>
    <row r="447" ht="14.25" customHeight="1">
      <c r="A447" s="31"/>
      <c r="B447" s="287"/>
      <c r="C447" s="286"/>
      <c r="D447" s="204"/>
      <c r="E447" s="288"/>
      <c r="F447" s="204"/>
      <c r="G447" s="289"/>
      <c r="H447" s="204"/>
      <c r="I447" s="204"/>
      <c r="J447" s="202"/>
      <c r="K447" s="202"/>
      <c r="L447" s="192" t="str">
        <f>IFERROR(__xludf.DUMMYFUNCTION("IF(
  AND(D447=""Saída"", J447=""Sangria""),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198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94" t="str">
        <f>IFERROR(__xludf.DUMMYFUNCTION("ifna(VALUE(REGEXEXTRACT(E447,""[0-9.]+[,]+[0-9]+"")))"),"")</f>
        <v/>
      </c>
      <c r="O447" s="194"/>
      <c r="P447" s="194"/>
      <c r="Q447" s="194"/>
      <c r="R447" s="194"/>
      <c r="S447" s="194"/>
      <c r="T447" s="194"/>
      <c r="U447" s="194"/>
      <c r="V447" s="194"/>
      <c r="W447" s="194"/>
    </row>
    <row r="448" ht="14.25" customHeight="1">
      <c r="A448" s="31"/>
      <c r="B448" s="287"/>
      <c r="C448" s="286"/>
      <c r="D448" s="204"/>
      <c r="E448" s="288"/>
      <c r="F448" s="204"/>
      <c r="G448" s="289"/>
      <c r="H448" s="204"/>
      <c r="I448" s="204"/>
      <c r="J448" s="202"/>
      <c r="K448" s="202"/>
      <c r="L448" s="192" t="str">
        <f>IFERROR(__xludf.DUMMYFUNCTION("IF(
  AND(D448=""Saída"", J448=""Sangria""),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197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94" t="str">
        <f>IFERROR(__xludf.DUMMYFUNCTION("ifna(VALUE(REGEXEXTRACT(E448,""[0-9.]+[,]+[0-9]+"")))"),"")</f>
        <v/>
      </c>
      <c r="O448" s="194"/>
      <c r="P448" s="194"/>
      <c r="Q448" s="194"/>
      <c r="R448" s="194"/>
      <c r="S448" s="194"/>
      <c r="T448" s="194"/>
      <c r="U448" s="194"/>
      <c r="V448" s="194"/>
      <c r="W448" s="194"/>
    </row>
    <row r="449" ht="14.25" customHeight="1">
      <c r="A449" s="31"/>
      <c r="B449" s="287"/>
      <c r="C449" s="286"/>
      <c r="D449" s="204"/>
      <c r="E449" s="288"/>
      <c r="F449" s="204"/>
      <c r="G449" s="289"/>
      <c r="H449" s="204"/>
      <c r="I449" s="204"/>
      <c r="J449" s="202"/>
      <c r="K449" s="202"/>
      <c r="L449" s="192" t="str">
        <f>IFERROR(__xludf.DUMMYFUNCTION("IF(
  AND(D449=""Saída"", J449=""Sangria""),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198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94" t="str">
        <f>IFERROR(__xludf.DUMMYFUNCTION("ifna(VALUE(REGEXEXTRACT(E449,""[0-9.]+[,]+[0-9]+"")))"),"")</f>
        <v/>
      </c>
      <c r="O449" s="194"/>
      <c r="P449" s="194"/>
      <c r="Q449" s="194"/>
      <c r="R449" s="194"/>
      <c r="S449" s="194"/>
      <c r="T449" s="194"/>
      <c r="U449" s="194"/>
      <c r="V449" s="194"/>
      <c r="W449" s="194"/>
    </row>
    <row r="450" ht="14.25" customHeight="1">
      <c r="A450" s="31"/>
      <c r="B450" s="287"/>
      <c r="C450" s="286"/>
      <c r="D450" s="204"/>
      <c r="E450" s="288"/>
      <c r="F450" s="204"/>
      <c r="G450" s="289"/>
      <c r="H450" s="204"/>
      <c r="I450" s="204"/>
      <c r="J450" s="202"/>
      <c r="K450" s="202"/>
      <c r="L450" s="192" t="str">
        <f>IFERROR(__xludf.DUMMYFUNCTION("IF(
  AND(D450=""Saída"", J450=""Sangria""),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197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94" t="str">
        <f>IFERROR(__xludf.DUMMYFUNCTION("ifna(VALUE(REGEXEXTRACT(E450,""[0-9.]+[,]+[0-9]+"")))"),"")</f>
        <v/>
      </c>
      <c r="O450" s="194"/>
      <c r="P450" s="194"/>
      <c r="Q450" s="194"/>
      <c r="R450" s="194"/>
      <c r="S450" s="194"/>
      <c r="T450" s="194"/>
      <c r="U450" s="194"/>
      <c r="V450" s="194"/>
      <c r="W450" s="194"/>
    </row>
    <row r="451" ht="14.25" customHeight="1">
      <c r="A451" s="31"/>
      <c r="B451" s="287"/>
      <c r="C451" s="286"/>
      <c r="D451" s="204"/>
      <c r="E451" s="288"/>
      <c r="F451" s="204"/>
      <c r="G451" s="289"/>
      <c r="H451" s="204"/>
      <c r="I451" s="204"/>
      <c r="J451" s="202"/>
      <c r="K451" s="202"/>
      <c r="L451" s="192" t="str">
        <f>IFERROR(__xludf.DUMMYFUNCTION("IF(
  AND(D451=""Saída"", J451=""Sangria""),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198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94" t="str">
        <f>IFERROR(__xludf.DUMMYFUNCTION("ifna(VALUE(REGEXEXTRACT(E451,""[0-9.]+[,]+[0-9]+"")))"),"")</f>
        <v/>
      </c>
      <c r="O451" s="194"/>
      <c r="P451" s="194"/>
      <c r="Q451" s="194"/>
      <c r="R451" s="194"/>
      <c r="S451" s="194"/>
      <c r="T451" s="194"/>
      <c r="U451" s="194"/>
      <c r="V451" s="194"/>
      <c r="W451" s="194"/>
    </row>
    <row r="452" ht="14.25" customHeight="1">
      <c r="A452" s="31"/>
      <c r="B452" s="287"/>
      <c r="C452" s="286"/>
      <c r="D452" s="204"/>
      <c r="E452" s="288"/>
      <c r="F452" s="204"/>
      <c r="G452" s="289"/>
      <c r="H452" s="204"/>
      <c r="I452" s="204"/>
      <c r="J452" s="202"/>
      <c r="K452" s="202"/>
      <c r="L452" s="192" t="str">
        <f>IFERROR(__xludf.DUMMYFUNCTION("IF(
  AND(D452=""Saída"", J452=""Sangria""),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197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94" t="str">
        <f>IFERROR(__xludf.DUMMYFUNCTION("ifna(VALUE(REGEXEXTRACT(E452,""[0-9.]+[,]+[0-9]+"")))"),"")</f>
        <v/>
      </c>
      <c r="O452" s="194"/>
      <c r="P452" s="194"/>
      <c r="Q452" s="194"/>
      <c r="R452" s="194"/>
      <c r="S452" s="194"/>
      <c r="T452" s="194"/>
      <c r="U452" s="194"/>
      <c r="V452" s="194"/>
      <c r="W452" s="194"/>
    </row>
    <row r="453" ht="14.25" customHeight="1">
      <c r="A453" s="31"/>
      <c r="B453" s="287"/>
      <c r="C453" s="286"/>
      <c r="D453" s="204"/>
      <c r="E453" s="288"/>
      <c r="F453" s="204"/>
      <c r="G453" s="289"/>
      <c r="H453" s="204"/>
      <c r="I453" s="204"/>
      <c r="J453" s="202"/>
      <c r="K453" s="202"/>
      <c r="L453" s="192" t="str">
        <f>IFERROR(__xludf.DUMMYFUNCTION("IF(
  AND(D453=""Saída"", J453=""Sangria""),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198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94" t="str">
        <f>IFERROR(__xludf.DUMMYFUNCTION("ifna(VALUE(REGEXEXTRACT(E453,""[0-9.]+[,]+[0-9]+"")))"),"")</f>
        <v/>
      </c>
      <c r="O453" s="194"/>
      <c r="P453" s="194"/>
      <c r="Q453" s="194"/>
      <c r="R453" s="194"/>
      <c r="S453" s="194"/>
      <c r="T453" s="194"/>
      <c r="U453" s="194"/>
      <c r="V453" s="194"/>
      <c r="W453" s="194"/>
    </row>
    <row r="454" ht="14.25" customHeight="1">
      <c r="A454" s="31"/>
      <c r="B454" s="287"/>
      <c r="C454" s="286"/>
      <c r="D454" s="204"/>
      <c r="E454" s="288"/>
      <c r="F454" s="204"/>
      <c r="G454" s="289"/>
      <c r="H454" s="204"/>
      <c r="I454" s="204"/>
      <c r="J454" s="202"/>
      <c r="K454" s="202"/>
      <c r="L454" s="192" t="str">
        <f>IFERROR(__xludf.DUMMYFUNCTION("IF(
  AND(D454=""Saída"", J454=""Sangria""),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197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94" t="str">
        <f>IFERROR(__xludf.DUMMYFUNCTION("ifna(VALUE(REGEXEXTRACT(E454,""[0-9.]+[,]+[0-9]+"")))"),"")</f>
        <v/>
      </c>
      <c r="O454" s="194"/>
      <c r="P454" s="194"/>
      <c r="Q454" s="194"/>
      <c r="R454" s="194"/>
      <c r="S454" s="194"/>
      <c r="T454" s="194"/>
      <c r="U454" s="194"/>
      <c r="V454" s="194"/>
      <c r="W454" s="194"/>
    </row>
    <row r="455" ht="14.25" customHeight="1">
      <c r="A455" s="31"/>
      <c r="B455" s="287"/>
      <c r="C455" s="286"/>
      <c r="D455" s="204"/>
      <c r="E455" s="288"/>
      <c r="F455" s="204"/>
      <c r="G455" s="289"/>
      <c r="H455" s="204"/>
      <c r="I455" s="204"/>
      <c r="J455" s="202"/>
      <c r="K455" s="202"/>
      <c r="L455" s="192" t="str">
        <f>IFERROR(__xludf.DUMMYFUNCTION("IF(
  AND(D455=""Saída"", J455=""Sangria""),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198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94" t="str">
        <f>IFERROR(__xludf.DUMMYFUNCTION("ifna(VALUE(REGEXEXTRACT(E455,""[0-9.]+[,]+[0-9]+"")))"),"")</f>
        <v/>
      </c>
      <c r="O455" s="194"/>
      <c r="P455" s="194"/>
      <c r="Q455" s="194"/>
      <c r="R455" s="194"/>
      <c r="S455" s="194"/>
      <c r="T455" s="194"/>
      <c r="U455" s="194"/>
      <c r="V455" s="194"/>
      <c r="W455" s="194"/>
    </row>
    <row r="456" ht="14.25" customHeight="1">
      <c r="A456" s="31"/>
      <c r="B456" s="287"/>
      <c r="C456" s="286"/>
      <c r="D456" s="204"/>
      <c r="E456" s="288"/>
      <c r="F456" s="204"/>
      <c r="G456" s="289"/>
      <c r="H456" s="204"/>
      <c r="I456" s="204"/>
      <c r="J456" s="202"/>
      <c r="K456" s="202"/>
      <c r="L456" s="192" t="str">
        <f>IFERROR(__xludf.DUMMYFUNCTION("IF(
  AND(D456=""Saída"", J456=""Sangria""),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197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94" t="str">
        <f>IFERROR(__xludf.DUMMYFUNCTION("ifna(VALUE(REGEXEXTRACT(E456,""[0-9.]+[,]+[0-9]+"")))"),"")</f>
        <v/>
      </c>
      <c r="O456" s="194"/>
      <c r="P456" s="194"/>
      <c r="Q456" s="194"/>
      <c r="R456" s="194"/>
      <c r="S456" s="194"/>
      <c r="T456" s="194"/>
      <c r="U456" s="194"/>
      <c r="V456" s="194"/>
      <c r="W456" s="194"/>
    </row>
    <row r="457" ht="14.25" customHeight="1">
      <c r="A457" s="31"/>
      <c r="B457" s="287"/>
      <c r="C457" s="286"/>
      <c r="D457" s="204"/>
      <c r="E457" s="288"/>
      <c r="F457" s="204"/>
      <c r="G457" s="289"/>
      <c r="H457" s="204"/>
      <c r="I457" s="204"/>
      <c r="J457" s="202"/>
      <c r="K457" s="202"/>
      <c r="L457" s="192" t="str">
        <f>IFERROR(__xludf.DUMMYFUNCTION("IF(
  AND(D457=""Saída"", J457=""Sangria""),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198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94" t="str">
        <f>IFERROR(__xludf.DUMMYFUNCTION("ifna(VALUE(REGEXEXTRACT(E457,""[0-9.]+[,]+[0-9]+"")))"),"")</f>
        <v/>
      </c>
      <c r="O457" s="194"/>
      <c r="P457" s="194"/>
      <c r="Q457" s="194"/>
      <c r="R457" s="194"/>
      <c r="S457" s="194"/>
      <c r="T457" s="194"/>
      <c r="U457" s="194"/>
      <c r="V457" s="194"/>
      <c r="W457" s="194"/>
    </row>
    <row r="458" ht="14.25" customHeight="1">
      <c r="A458" s="31"/>
      <c r="B458" s="287"/>
      <c r="C458" s="286"/>
      <c r="D458" s="204"/>
      <c r="E458" s="288"/>
      <c r="F458" s="204"/>
      <c r="G458" s="289"/>
      <c r="H458" s="204"/>
      <c r="I458" s="204"/>
      <c r="J458" s="202"/>
      <c r="K458" s="202"/>
      <c r="L458" s="192" t="str">
        <f>IFERROR(__xludf.DUMMYFUNCTION("IF(
  AND(D458=""Saída"", J458=""Sangria""),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197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94" t="str">
        <f>IFERROR(__xludf.DUMMYFUNCTION("ifna(VALUE(REGEXEXTRACT(E458,""[0-9.]+[,]+[0-9]+"")))"),"")</f>
        <v/>
      </c>
      <c r="O458" s="194"/>
      <c r="P458" s="194"/>
      <c r="Q458" s="194"/>
      <c r="R458" s="194"/>
      <c r="S458" s="194"/>
      <c r="T458" s="194"/>
      <c r="U458" s="194"/>
      <c r="V458" s="194"/>
      <c r="W458" s="194"/>
    </row>
    <row r="459" ht="14.25" customHeight="1">
      <c r="A459" s="31"/>
      <c r="B459" s="287"/>
      <c r="C459" s="286"/>
      <c r="D459" s="204"/>
      <c r="E459" s="288"/>
      <c r="F459" s="204"/>
      <c r="G459" s="289"/>
      <c r="H459" s="204"/>
      <c r="I459" s="204"/>
      <c r="J459" s="202"/>
      <c r="K459" s="202"/>
      <c r="L459" s="192" t="str">
        <f>IFERROR(__xludf.DUMMYFUNCTION("IF(
  AND(D459=""Saída"", J459=""Sangria""),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198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94" t="str">
        <f>IFERROR(__xludf.DUMMYFUNCTION("ifna(VALUE(REGEXEXTRACT(E459,""[0-9.]+[,]+[0-9]+"")))"),"")</f>
        <v/>
      </c>
      <c r="O459" s="194"/>
      <c r="P459" s="194"/>
      <c r="Q459" s="194"/>
      <c r="R459" s="194"/>
      <c r="S459" s="194"/>
      <c r="T459" s="194"/>
      <c r="U459" s="194"/>
      <c r="V459" s="194"/>
      <c r="W459" s="194"/>
    </row>
    <row r="460" ht="14.25" customHeight="1">
      <c r="A460" s="31"/>
      <c r="B460" s="287"/>
      <c r="C460" s="286"/>
      <c r="D460" s="204"/>
      <c r="E460" s="288"/>
      <c r="F460" s="204"/>
      <c r="G460" s="289"/>
      <c r="H460" s="204"/>
      <c r="I460" s="204"/>
      <c r="J460" s="202"/>
      <c r="K460" s="202"/>
      <c r="L460" s="192" t="str">
        <f>IFERROR(__xludf.DUMMYFUNCTION("IF(
  AND(D460=""Saída"", J460=""Sangria""),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197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94" t="str">
        <f>IFERROR(__xludf.DUMMYFUNCTION("ifna(VALUE(REGEXEXTRACT(E460,""[0-9.]+[,]+[0-9]+"")))"),"")</f>
        <v/>
      </c>
      <c r="O460" s="194"/>
      <c r="P460" s="194"/>
      <c r="Q460" s="194"/>
      <c r="R460" s="194"/>
      <c r="S460" s="194"/>
      <c r="T460" s="194"/>
      <c r="U460" s="194"/>
      <c r="V460" s="194"/>
      <c r="W460" s="194"/>
    </row>
    <row r="461" ht="14.25" customHeight="1">
      <c r="A461" s="31"/>
      <c r="B461" s="287"/>
      <c r="C461" s="286"/>
      <c r="D461" s="204"/>
      <c r="E461" s="288"/>
      <c r="F461" s="204"/>
      <c r="G461" s="289"/>
      <c r="H461" s="204"/>
      <c r="I461" s="204"/>
      <c r="J461" s="202"/>
      <c r="K461" s="202"/>
      <c r="L461" s="192" t="str">
        <f>IFERROR(__xludf.DUMMYFUNCTION("IF(
  AND(D461=""Saída"", J461=""Sangria""),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198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94" t="str">
        <f>IFERROR(__xludf.DUMMYFUNCTION("ifna(VALUE(REGEXEXTRACT(E461,""[0-9.]+[,]+[0-9]+"")))"),"")</f>
        <v/>
      </c>
      <c r="O461" s="194"/>
      <c r="P461" s="194"/>
      <c r="Q461" s="194"/>
      <c r="R461" s="194"/>
      <c r="S461" s="194"/>
      <c r="T461" s="194"/>
      <c r="U461" s="194"/>
      <c r="V461" s="194"/>
      <c r="W461" s="194"/>
    </row>
    <row r="462" ht="14.25" customHeight="1">
      <c r="A462" s="31"/>
      <c r="B462" s="287"/>
      <c r="C462" s="286"/>
      <c r="D462" s="204"/>
      <c r="E462" s="288"/>
      <c r="F462" s="204"/>
      <c r="G462" s="289"/>
      <c r="H462" s="204"/>
      <c r="I462" s="204"/>
      <c r="J462" s="202"/>
      <c r="K462" s="202"/>
      <c r="L462" s="192" t="str">
        <f>IFERROR(__xludf.DUMMYFUNCTION("IF(
  AND(D462=""Saída"", J462=""Sangria""),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197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94" t="str">
        <f>IFERROR(__xludf.DUMMYFUNCTION("ifna(VALUE(REGEXEXTRACT(E462,""[0-9.]+[,]+[0-9]+"")))"),"")</f>
        <v/>
      </c>
      <c r="O462" s="194"/>
      <c r="P462" s="194"/>
      <c r="Q462" s="194"/>
      <c r="R462" s="194"/>
      <c r="S462" s="194"/>
      <c r="T462" s="194"/>
      <c r="U462" s="194"/>
      <c r="V462" s="194"/>
      <c r="W462" s="194"/>
    </row>
    <row r="463" ht="14.25" customHeight="1">
      <c r="A463" s="31"/>
      <c r="B463" s="287"/>
      <c r="C463" s="286"/>
      <c r="D463" s="204"/>
      <c r="E463" s="288"/>
      <c r="F463" s="204"/>
      <c r="G463" s="289"/>
      <c r="H463" s="204"/>
      <c r="I463" s="204"/>
      <c r="J463" s="202"/>
      <c r="K463" s="202"/>
      <c r="L463" s="192" t="str">
        <f>IFERROR(__xludf.DUMMYFUNCTION("IF(
  AND(D463=""Saída"", J463=""Sangria""),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198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94" t="str">
        <f>IFERROR(__xludf.DUMMYFUNCTION("ifna(VALUE(REGEXEXTRACT(E463,""[0-9.]+[,]+[0-9]+"")))"),"")</f>
        <v/>
      </c>
      <c r="O463" s="194"/>
      <c r="P463" s="194"/>
      <c r="Q463" s="194"/>
      <c r="R463" s="194"/>
      <c r="S463" s="194"/>
      <c r="T463" s="194"/>
      <c r="U463" s="194"/>
      <c r="V463" s="194"/>
      <c r="W463" s="194"/>
    </row>
    <row r="464" ht="14.25" customHeight="1">
      <c r="A464" s="31"/>
      <c r="B464" s="287"/>
      <c r="C464" s="286"/>
      <c r="D464" s="204"/>
      <c r="E464" s="288"/>
      <c r="F464" s="204"/>
      <c r="G464" s="289"/>
      <c r="H464" s="204"/>
      <c r="I464" s="204"/>
      <c r="J464" s="202"/>
      <c r="K464" s="202"/>
      <c r="L464" s="192" t="str">
        <f>IFERROR(__xludf.DUMMYFUNCTION("IF(
  AND(D464=""Saída"", J464=""Sangria""),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197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94" t="str">
        <f>IFERROR(__xludf.DUMMYFUNCTION("ifna(VALUE(REGEXEXTRACT(E464,""[0-9.]+[,]+[0-9]+"")))"),"")</f>
        <v/>
      </c>
      <c r="O464" s="194"/>
      <c r="P464" s="194"/>
      <c r="Q464" s="194"/>
      <c r="R464" s="194"/>
      <c r="S464" s="194"/>
      <c r="T464" s="194"/>
      <c r="U464" s="194"/>
      <c r="V464" s="194"/>
      <c r="W464" s="194"/>
    </row>
    <row r="465" ht="14.25" customHeight="1">
      <c r="A465" s="31"/>
      <c r="B465" s="287"/>
      <c r="C465" s="286"/>
      <c r="D465" s="204"/>
      <c r="E465" s="288"/>
      <c r="F465" s="204"/>
      <c r="G465" s="289"/>
      <c r="H465" s="204"/>
      <c r="I465" s="204"/>
      <c r="J465" s="202"/>
      <c r="K465" s="202"/>
      <c r="L465" s="192" t="str">
        <f>IFERROR(__xludf.DUMMYFUNCTION("IF(
  AND(D465=""Saída"", J465=""Sangria""),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198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94" t="str">
        <f>IFERROR(__xludf.DUMMYFUNCTION("ifna(VALUE(REGEXEXTRACT(E465,""[0-9.]+[,]+[0-9]+"")))"),"")</f>
        <v/>
      </c>
      <c r="O465" s="194"/>
      <c r="P465" s="194"/>
      <c r="Q465" s="194"/>
      <c r="R465" s="194"/>
      <c r="S465" s="194"/>
      <c r="T465" s="194"/>
      <c r="U465" s="194"/>
      <c r="V465" s="194"/>
      <c r="W465" s="194"/>
    </row>
    <row r="466" ht="14.25" customHeight="1">
      <c r="A466" s="31"/>
      <c r="B466" s="287"/>
      <c r="C466" s="286"/>
      <c r="D466" s="204"/>
      <c r="E466" s="288"/>
      <c r="F466" s="204"/>
      <c r="G466" s="289"/>
      <c r="H466" s="204"/>
      <c r="I466" s="204"/>
      <c r="J466" s="202"/>
      <c r="K466" s="202"/>
      <c r="L466" s="192" t="str">
        <f>IFERROR(__xludf.DUMMYFUNCTION("IF(
  AND(D466=""Saída"", J466=""Sangria""),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197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94" t="str">
        <f>IFERROR(__xludf.DUMMYFUNCTION("ifna(VALUE(REGEXEXTRACT(E466,""[0-9.]+[,]+[0-9]+"")))"),"")</f>
        <v/>
      </c>
      <c r="O466" s="194"/>
      <c r="P466" s="194"/>
      <c r="Q466" s="194"/>
      <c r="R466" s="194"/>
      <c r="S466" s="194"/>
      <c r="T466" s="194"/>
      <c r="U466" s="194"/>
      <c r="V466" s="194"/>
      <c r="W466" s="194"/>
    </row>
    <row r="467" ht="14.25" customHeight="1">
      <c r="A467" s="31"/>
      <c r="B467" s="287"/>
      <c r="C467" s="286"/>
      <c r="D467" s="204"/>
      <c r="E467" s="288"/>
      <c r="F467" s="204"/>
      <c r="G467" s="289"/>
      <c r="H467" s="204"/>
      <c r="I467" s="204"/>
      <c r="J467" s="202"/>
      <c r="K467" s="202"/>
      <c r="L467" s="192" t="str">
        <f>IFERROR(__xludf.DUMMYFUNCTION("IF(
  AND(D467=""Saída"", J467=""Sangria""),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198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94" t="str">
        <f>IFERROR(__xludf.DUMMYFUNCTION("ifna(VALUE(REGEXEXTRACT(E467,""[0-9.]+[,]+[0-9]+"")))"),"")</f>
        <v/>
      </c>
      <c r="O467" s="194"/>
      <c r="P467" s="194"/>
      <c r="Q467" s="194"/>
      <c r="R467" s="194"/>
      <c r="S467" s="194"/>
      <c r="T467" s="194"/>
      <c r="U467" s="194"/>
      <c r="V467" s="194"/>
      <c r="W467" s="194"/>
    </row>
    <row r="468" ht="14.25" customHeight="1">
      <c r="A468" s="31"/>
      <c r="B468" s="287"/>
      <c r="C468" s="286"/>
      <c r="D468" s="204"/>
      <c r="E468" s="288"/>
      <c r="F468" s="204"/>
      <c r="G468" s="289"/>
      <c r="H468" s="204"/>
      <c r="I468" s="204"/>
      <c r="J468" s="202"/>
      <c r="K468" s="202"/>
      <c r="L468" s="192" t="str">
        <f>IFERROR(__xludf.DUMMYFUNCTION("IF(
  AND(D468=""Saída"", J468=""Sangria""),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197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94" t="str">
        <f>IFERROR(__xludf.DUMMYFUNCTION("ifna(VALUE(REGEXEXTRACT(E468,""[0-9.]+[,]+[0-9]+"")))"),"")</f>
        <v/>
      </c>
      <c r="O468" s="194"/>
      <c r="P468" s="194"/>
      <c r="Q468" s="194"/>
      <c r="R468" s="194"/>
      <c r="S468" s="194"/>
      <c r="T468" s="194"/>
      <c r="U468" s="194"/>
      <c r="V468" s="194"/>
      <c r="W468" s="194"/>
    </row>
    <row r="469" ht="14.25" customHeight="1">
      <c r="A469" s="31"/>
      <c r="B469" s="287"/>
      <c r="C469" s="286"/>
      <c r="D469" s="204"/>
      <c r="E469" s="288"/>
      <c r="F469" s="204"/>
      <c r="G469" s="289"/>
      <c r="H469" s="204"/>
      <c r="I469" s="204"/>
      <c r="J469" s="202"/>
      <c r="K469" s="202"/>
      <c r="L469" s="192" t="str">
        <f>IFERROR(__xludf.DUMMYFUNCTION("IF(
  AND(D469=""Saída"", J469=""Sangria""),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198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94" t="str">
        <f>IFERROR(__xludf.DUMMYFUNCTION("ifna(VALUE(REGEXEXTRACT(E469,""[0-9.]+[,]+[0-9]+"")))"),"")</f>
        <v/>
      </c>
      <c r="O469" s="194"/>
      <c r="P469" s="194"/>
      <c r="Q469" s="194"/>
      <c r="R469" s="194"/>
      <c r="S469" s="194"/>
      <c r="T469" s="194"/>
      <c r="U469" s="194"/>
      <c r="V469" s="194"/>
      <c r="W469" s="194"/>
    </row>
    <row r="470" ht="14.25" customHeight="1">
      <c r="A470" s="31"/>
      <c r="B470" s="287"/>
      <c r="C470" s="286"/>
      <c r="D470" s="204"/>
      <c r="E470" s="288"/>
      <c r="F470" s="204"/>
      <c r="G470" s="289"/>
      <c r="H470" s="204"/>
      <c r="I470" s="204"/>
      <c r="J470" s="202"/>
      <c r="K470" s="202"/>
      <c r="L470" s="192" t="str">
        <f>IFERROR(__xludf.DUMMYFUNCTION("IF(
  AND(D470=""Saída"", J470=""Sangria""),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197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94" t="str">
        <f>IFERROR(__xludf.DUMMYFUNCTION("ifna(VALUE(REGEXEXTRACT(E470,""[0-9.]+[,]+[0-9]+"")))"),"")</f>
        <v/>
      </c>
      <c r="O470" s="194"/>
      <c r="P470" s="194"/>
      <c r="Q470" s="194"/>
      <c r="R470" s="194"/>
      <c r="S470" s="194"/>
      <c r="T470" s="194"/>
      <c r="U470" s="194"/>
      <c r="V470" s="194"/>
      <c r="W470" s="194"/>
    </row>
    <row r="471" ht="14.25" customHeight="1">
      <c r="A471" s="31"/>
      <c r="B471" s="287"/>
      <c r="C471" s="286"/>
      <c r="D471" s="204"/>
      <c r="E471" s="288"/>
      <c r="F471" s="204"/>
      <c r="G471" s="289"/>
      <c r="H471" s="204"/>
      <c r="I471" s="204"/>
      <c r="J471" s="202"/>
      <c r="K471" s="202"/>
      <c r="L471" s="192" t="str">
        <f>IFERROR(__xludf.DUMMYFUNCTION("IF(
  AND(D471=""Saída"", J471=""Sangria""),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198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94" t="str">
        <f>IFERROR(__xludf.DUMMYFUNCTION("ifna(VALUE(REGEXEXTRACT(E471,""[0-9.]+[,]+[0-9]+"")))"),"")</f>
        <v/>
      </c>
      <c r="O471" s="194"/>
      <c r="P471" s="194"/>
      <c r="Q471" s="194"/>
      <c r="R471" s="194"/>
      <c r="S471" s="194"/>
      <c r="T471" s="194"/>
      <c r="U471" s="194"/>
      <c r="V471" s="194"/>
      <c r="W471" s="194"/>
    </row>
    <row r="472" ht="14.25" customHeight="1">
      <c r="A472" s="31"/>
      <c r="B472" s="287"/>
      <c r="C472" s="286"/>
      <c r="D472" s="204"/>
      <c r="E472" s="288"/>
      <c r="F472" s="204"/>
      <c r="G472" s="289"/>
      <c r="H472" s="204"/>
      <c r="I472" s="204"/>
      <c r="J472" s="202"/>
      <c r="K472" s="202"/>
      <c r="L472" s="192" t="str">
        <f>IFERROR(__xludf.DUMMYFUNCTION("IF(
  AND(D472=""Saída"", J472=""Sangria""),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197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94" t="str">
        <f>IFERROR(__xludf.DUMMYFUNCTION("ifna(VALUE(REGEXEXTRACT(E472,""[0-9.]+[,]+[0-9]+"")))"),"")</f>
        <v/>
      </c>
      <c r="O472" s="194"/>
      <c r="P472" s="194"/>
      <c r="Q472" s="194"/>
      <c r="R472" s="194"/>
      <c r="S472" s="194"/>
      <c r="T472" s="194"/>
      <c r="U472" s="194"/>
      <c r="V472" s="194"/>
      <c r="W472" s="194"/>
    </row>
    <row r="473" ht="14.25" customHeight="1">
      <c r="A473" s="31"/>
      <c r="B473" s="287"/>
      <c r="C473" s="286"/>
      <c r="D473" s="204"/>
      <c r="E473" s="288"/>
      <c r="F473" s="204"/>
      <c r="G473" s="289"/>
      <c r="H473" s="204"/>
      <c r="I473" s="204"/>
      <c r="J473" s="202"/>
      <c r="K473" s="202"/>
      <c r="L473" s="192" t="str">
        <f>IFERROR(__xludf.DUMMYFUNCTION("IF(
  AND(D473=""Saída"", J473=""Sangria""),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198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94" t="str">
        <f>IFERROR(__xludf.DUMMYFUNCTION("ifna(VALUE(REGEXEXTRACT(E473,""[0-9.]+[,]+[0-9]+"")))"),"")</f>
        <v/>
      </c>
      <c r="O473" s="194"/>
      <c r="P473" s="194"/>
      <c r="Q473" s="194"/>
      <c r="R473" s="194"/>
      <c r="S473" s="194"/>
      <c r="T473" s="194"/>
      <c r="U473" s="194"/>
      <c r="V473" s="194"/>
      <c r="W473" s="194"/>
    </row>
    <row r="474" ht="14.25" customHeight="1">
      <c r="A474" s="31"/>
      <c r="B474" s="287"/>
      <c r="C474" s="286"/>
      <c r="D474" s="204"/>
      <c r="E474" s="288"/>
      <c r="F474" s="204"/>
      <c r="G474" s="289"/>
      <c r="H474" s="204"/>
      <c r="I474" s="204"/>
      <c r="J474" s="202"/>
      <c r="K474" s="202"/>
      <c r="L474" s="192" t="str">
        <f>IFERROR(__xludf.DUMMYFUNCTION("IF(
  AND(D474=""Saída"", J474=""Sangria""),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197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94" t="str">
        <f>IFERROR(__xludf.DUMMYFUNCTION("ifna(VALUE(REGEXEXTRACT(E474,""[0-9.]+[,]+[0-9]+"")))"),"")</f>
        <v/>
      </c>
      <c r="O474" s="194"/>
      <c r="P474" s="194"/>
      <c r="Q474" s="194"/>
      <c r="R474" s="194"/>
      <c r="S474" s="194"/>
      <c r="T474" s="194"/>
      <c r="U474" s="194"/>
      <c r="V474" s="194"/>
      <c r="W474" s="194"/>
    </row>
    <row r="475" ht="14.25" customHeight="1">
      <c r="A475" s="31"/>
      <c r="B475" s="287"/>
      <c r="C475" s="286"/>
      <c r="D475" s="204"/>
      <c r="E475" s="288"/>
      <c r="F475" s="204"/>
      <c r="G475" s="289"/>
      <c r="H475" s="204"/>
      <c r="I475" s="204"/>
      <c r="J475" s="202"/>
      <c r="K475" s="202"/>
      <c r="L475" s="192" t="str">
        <f>IFERROR(__xludf.DUMMYFUNCTION("IF(
  AND(D475=""Saída"", J475=""Sangria""),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198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94" t="str">
        <f>IFERROR(__xludf.DUMMYFUNCTION("ifna(VALUE(REGEXEXTRACT(E475,""[0-9.]+[,]+[0-9]+"")))"),"")</f>
        <v/>
      </c>
      <c r="O475" s="194"/>
      <c r="P475" s="194"/>
      <c r="Q475" s="194"/>
      <c r="R475" s="194"/>
      <c r="S475" s="194"/>
      <c r="T475" s="194"/>
      <c r="U475" s="194"/>
      <c r="V475" s="194"/>
      <c r="W475" s="194"/>
    </row>
    <row r="476" ht="14.25" customHeight="1">
      <c r="A476" s="31"/>
      <c r="B476" s="287"/>
      <c r="C476" s="286"/>
      <c r="D476" s="204"/>
      <c r="E476" s="288"/>
      <c r="F476" s="204"/>
      <c r="G476" s="289"/>
      <c r="H476" s="204"/>
      <c r="I476" s="204"/>
      <c r="J476" s="202"/>
      <c r="K476" s="202"/>
      <c r="L476" s="192" t="str">
        <f>IFERROR(__xludf.DUMMYFUNCTION("IF(
  AND(D476=""Saída"", J476=""Sangria""),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197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94" t="str">
        <f>IFERROR(__xludf.DUMMYFUNCTION("ifna(VALUE(REGEXEXTRACT(E476,""[0-9.]+[,]+[0-9]+"")))"),"")</f>
        <v/>
      </c>
      <c r="O476" s="194"/>
      <c r="P476" s="194"/>
      <c r="Q476" s="194"/>
      <c r="R476" s="194"/>
      <c r="S476" s="194"/>
      <c r="T476" s="194"/>
      <c r="U476" s="194"/>
      <c r="V476" s="194"/>
      <c r="W476" s="194"/>
    </row>
    <row r="477" ht="14.25" customHeight="1">
      <c r="A477" s="31"/>
      <c r="B477" s="287"/>
      <c r="C477" s="286"/>
      <c r="D477" s="204"/>
      <c r="E477" s="288"/>
      <c r="F477" s="204"/>
      <c r="G477" s="289"/>
      <c r="H477" s="204"/>
      <c r="I477" s="204"/>
      <c r="J477" s="202"/>
      <c r="K477" s="202"/>
      <c r="L477" s="192" t="str">
        <f>IFERROR(__xludf.DUMMYFUNCTION("IF(
  AND(D477=""Saída"", J477=""Sangria""),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198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94" t="str">
        <f>IFERROR(__xludf.DUMMYFUNCTION("ifna(VALUE(REGEXEXTRACT(E477,""[0-9.]+[,]+[0-9]+"")))"),"")</f>
        <v/>
      </c>
      <c r="O477" s="194"/>
      <c r="P477" s="194"/>
      <c r="Q477" s="194"/>
      <c r="R477" s="194"/>
      <c r="S477" s="194"/>
      <c r="T477" s="194"/>
      <c r="U477" s="194"/>
      <c r="V477" s="194"/>
      <c r="W477" s="194"/>
    </row>
    <row r="478" ht="14.25" customHeight="1">
      <c r="A478" s="31"/>
      <c r="B478" s="287"/>
      <c r="C478" s="286"/>
      <c r="D478" s="204"/>
      <c r="E478" s="288"/>
      <c r="F478" s="204"/>
      <c r="G478" s="289"/>
      <c r="H478" s="204"/>
      <c r="I478" s="204"/>
      <c r="J478" s="202"/>
      <c r="K478" s="202"/>
      <c r="L478" s="192" t="str">
        <f>IFERROR(__xludf.DUMMYFUNCTION("IF(
  AND(D478=""Saída"", J478=""Sangria""),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197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94" t="str">
        <f>IFERROR(__xludf.DUMMYFUNCTION("ifna(VALUE(REGEXEXTRACT(E478,""[0-9.]+[,]+[0-9]+"")))"),"")</f>
        <v/>
      </c>
      <c r="O478" s="194"/>
      <c r="P478" s="194"/>
      <c r="Q478" s="194"/>
      <c r="R478" s="194"/>
      <c r="S478" s="194"/>
      <c r="T478" s="194"/>
      <c r="U478" s="194"/>
      <c r="V478" s="194"/>
      <c r="W478" s="194"/>
    </row>
    <row r="479" ht="14.25" customHeight="1">
      <c r="A479" s="31"/>
      <c r="B479" s="287"/>
      <c r="C479" s="286"/>
      <c r="D479" s="204"/>
      <c r="E479" s="288"/>
      <c r="F479" s="204"/>
      <c r="G479" s="289"/>
      <c r="H479" s="204"/>
      <c r="I479" s="204"/>
      <c r="J479" s="202"/>
      <c r="K479" s="202"/>
      <c r="L479" s="192" t="str">
        <f>IFERROR(__xludf.DUMMYFUNCTION("IF(
  AND(D479=""Saída"", J479=""Sangria""),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198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94" t="str">
        <f>IFERROR(__xludf.DUMMYFUNCTION("ifna(VALUE(REGEXEXTRACT(E479,""[0-9.]+[,]+[0-9]+"")))"),"")</f>
        <v/>
      </c>
      <c r="O479" s="194"/>
      <c r="P479" s="194"/>
      <c r="Q479" s="194"/>
      <c r="R479" s="194"/>
      <c r="S479" s="194"/>
      <c r="T479" s="194"/>
      <c r="U479" s="194"/>
      <c r="V479" s="194"/>
      <c r="W479" s="194"/>
    </row>
    <row r="480" ht="14.25" customHeight="1">
      <c r="A480" s="31"/>
      <c r="B480" s="287"/>
      <c r="C480" s="286"/>
      <c r="D480" s="204"/>
      <c r="E480" s="288"/>
      <c r="F480" s="204"/>
      <c r="G480" s="289"/>
      <c r="H480" s="204"/>
      <c r="I480" s="204"/>
      <c r="J480" s="202"/>
      <c r="K480" s="202"/>
      <c r="L480" s="192" t="str">
        <f>IFERROR(__xludf.DUMMYFUNCTION("IF(
  AND(D480=""Saída"", J480=""Sangria""),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197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94" t="str">
        <f>IFERROR(__xludf.DUMMYFUNCTION("ifna(VALUE(REGEXEXTRACT(E480,""[0-9.]+[,]+[0-9]+"")))"),"")</f>
        <v/>
      </c>
      <c r="O480" s="194"/>
      <c r="P480" s="194"/>
      <c r="Q480" s="194"/>
      <c r="R480" s="194"/>
      <c r="S480" s="194"/>
      <c r="T480" s="194"/>
      <c r="U480" s="194"/>
      <c r="V480" s="194"/>
      <c r="W480" s="194"/>
    </row>
    <row r="481" ht="14.25" customHeight="1">
      <c r="A481" s="31"/>
      <c r="B481" s="287"/>
      <c r="C481" s="286"/>
      <c r="D481" s="204"/>
      <c r="E481" s="288"/>
      <c r="F481" s="204"/>
      <c r="G481" s="289"/>
      <c r="H481" s="204"/>
      <c r="I481" s="204"/>
      <c r="J481" s="202"/>
      <c r="K481" s="202"/>
      <c r="L481" s="192" t="str">
        <f>IFERROR(__xludf.DUMMYFUNCTION("IF(
  AND(D481=""Saída"", J481=""Sangria""),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198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94" t="str">
        <f>IFERROR(__xludf.DUMMYFUNCTION("ifna(VALUE(REGEXEXTRACT(E481,""[0-9.]+[,]+[0-9]+"")))"),"")</f>
        <v/>
      </c>
      <c r="O481" s="194"/>
      <c r="P481" s="194"/>
      <c r="Q481" s="194"/>
      <c r="R481" s="194"/>
      <c r="S481" s="194"/>
      <c r="T481" s="194"/>
      <c r="U481" s="194"/>
      <c r="V481" s="194"/>
      <c r="W481" s="194"/>
    </row>
    <row r="482" ht="14.25" customHeight="1">
      <c r="A482" s="31"/>
      <c r="B482" s="287"/>
      <c r="C482" s="286"/>
      <c r="D482" s="204"/>
      <c r="E482" s="288"/>
      <c r="F482" s="204"/>
      <c r="G482" s="289"/>
      <c r="H482" s="204"/>
      <c r="I482" s="204"/>
      <c r="J482" s="202"/>
      <c r="K482" s="202"/>
      <c r="L482" s="192" t="str">
        <f>IFERROR(__xludf.DUMMYFUNCTION("IF(
  AND(D482=""Saída"", J482=""Sangria""),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197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94" t="str">
        <f>IFERROR(__xludf.DUMMYFUNCTION("ifna(VALUE(REGEXEXTRACT(E482,""[0-9.]+[,]+[0-9]+"")))"),"")</f>
        <v/>
      </c>
      <c r="O482" s="194"/>
      <c r="P482" s="194"/>
      <c r="Q482" s="194"/>
      <c r="R482" s="194"/>
      <c r="S482" s="194"/>
      <c r="T482" s="194"/>
      <c r="U482" s="194"/>
      <c r="V482" s="194"/>
      <c r="W482" s="194"/>
    </row>
    <row r="483" ht="14.25" customHeight="1">
      <c r="A483" s="31"/>
      <c r="B483" s="287"/>
      <c r="C483" s="286"/>
      <c r="D483" s="204"/>
      <c r="E483" s="288"/>
      <c r="F483" s="204"/>
      <c r="G483" s="289"/>
      <c r="H483" s="204"/>
      <c r="I483" s="204"/>
      <c r="J483" s="202"/>
      <c r="K483" s="202"/>
      <c r="L483" s="192" t="str">
        <f>IFERROR(__xludf.DUMMYFUNCTION("IF(
  AND(D483=""Saída"", J483=""Sangria""),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198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94" t="str">
        <f>IFERROR(__xludf.DUMMYFUNCTION("ifna(VALUE(REGEXEXTRACT(E483,""[0-9.]+[,]+[0-9]+"")))"),"")</f>
        <v/>
      </c>
      <c r="O483" s="194"/>
      <c r="P483" s="194"/>
      <c r="Q483" s="194"/>
      <c r="R483" s="194"/>
      <c r="S483" s="194"/>
      <c r="T483" s="194"/>
      <c r="U483" s="194"/>
      <c r="V483" s="194"/>
      <c r="W483" s="194"/>
    </row>
    <row r="484" ht="14.25" customHeight="1">
      <c r="A484" s="31"/>
      <c r="B484" s="287"/>
      <c r="C484" s="286"/>
      <c r="D484" s="204"/>
      <c r="E484" s="288"/>
      <c r="F484" s="204"/>
      <c r="G484" s="289"/>
      <c r="H484" s="204"/>
      <c r="I484" s="204"/>
      <c r="J484" s="202"/>
      <c r="K484" s="202"/>
      <c r="L484" s="192" t="str">
        <f>IFERROR(__xludf.DUMMYFUNCTION("IF(
  AND(D484=""Saída"", J484=""Sangria""),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197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94" t="str">
        <f>IFERROR(__xludf.DUMMYFUNCTION("ifna(VALUE(REGEXEXTRACT(E484,""[0-9.]+[,]+[0-9]+"")))"),"")</f>
        <v/>
      </c>
      <c r="O484" s="194"/>
      <c r="P484" s="194"/>
      <c r="Q484" s="194"/>
      <c r="R484" s="194"/>
      <c r="S484" s="194"/>
      <c r="T484" s="194"/>
      <c r="U484" s="194"/>
      <c r="V484" s="194"/>
      <c r="W484" s="194"/>
    </row>
    <row r="485" ht="14.25" customHeight="1">
      <c r="A485" s="31"/>
      <c r="B485" s="287"/>
      <c r="C485" s="286"/>
      <c r="D485" s="204"/>
      <c r="E485" s="288"/>
      <c r="F485" s="204"/>
      <c r="G485" s="289"/>
      <c r="H485" s="204"/>
      <c r="I485" s="204"/>
      <c r="J485" s="202"/>
      <c r="K485" s="202"/>
      <c r="L485" s="192" t="str">
        <f>IFERROR(__xludf.DUMMYFUNCTION("IF(
  AND(D485=""Saída"", J485=""Sangria""),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198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94" t="str">
        <f>IFERROR(__xludf.DUMMYFUNCTION("ifna(VALUE(REGEXEXTRACT(E485,""[0-9.]+[,]+[0-9]+"")))"),"")</f>
        <v/>
      </c>
      <c r="O485" s="194"/>
      <c r="P485" s="194"/>
      <c r="Q485" s="194"/>
      <c r="R485" s="194"/>
      <c r="S485" s="194"/>
      <c r="T485" s="194"/>
      <c r="U485" s="194"/>
      <c r="V485" s="194"/>
      <c r="W485" s="194"/>
    </row>
    <row r="486" ht="14.25" customHeight="1">
      <c r="A486" s="31"/>
      <c r="B486" s="287"/>
      <c r="C486" s="286"/>
      <c r="D486" s="204"/>
      <c r="E486" s="288"/>
      <c r="F486" s="204"/>
      <c r="G486" s="289"/>
      <c r="H486" s="204"/>
      <c r="I486" s="204"/>
      <c r="J486" s="202"/>
      <c r="K486" s="202"/>
      <c r="L486" s="192" t="str">
        <f>IFERROR(__xludf.DUMMYFUNCTION("IF(
  AND(D486=""Saída"", J486=""Sangria""),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197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94" t="str">
        <f>IFERROR(__xludf.DUMMYFUNCTION("ifna(VALUE(REGEXEXTRACT(E486,""[0-9.]+[,]+[0-9]+"")))"),"")</f>
        <v/>
      </c>
      <c r="O486" s="194"/>
      <c r="P486" s="194"/>
      <c r="Q486" s="194"/>
      <c r="R486" s="194"/>
      <c r="S486" s="194"/>
      <c r="T486" s="194"/>
      <c r="U486" s="194"/>
      <c r="V486" s="194"/>
      <c r="W486" s="194"/>
    </row>
    <row r="487" ht="14.25" customHeight="1">
      <c r="A487" s="31"/>
      <c r="B487" s="287"/>
      <c r="C487" s="286"/>
      <c r="D487" s="204"/>
      <c r="E487" s="288"/>
      <c r="F487" s="204"/>
      <c r="G487" s="289"/>
      <c r="H487" s="204"/>
      <c r="I487" s="204"/>
      <c r="J487" s="202"/>
      <c r="K487" s="202"/>
      <c r="L487" s="192" t="str">
        <f>IFERROR(__xludf.DUMMYFUNCTION("IF(
  AND(D487=""Saída"", J487=""Sangria""),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198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94" t="str">
        <f>IFERROR(__xludf.DUMMYFUNCTION("ifna(VALUE(REGEXEXTRACT(E487,""[0-9.]+[,]+[0-9]+"")))"),"")</f>
        <v/>
      </c>
      <c r="O487" s="194"/>
      <c r="P487" s="194"/>
      <c r="Q487" s="194"/>
      <c r="R487" s="194"/>
      <c r="S487" s="194"/>
      <c r="T487" s="194"/>
      <c r="U487" s="194"/>
      <c r="V487" s="194"/>
      <c r="W487" s="194"/>
    </row>
    <row r="488" ht="14.25" customHeight="1">
      <c r="A488" s="31"/>
      <c r="B488" s="287"/>
      <c r="C488" s="286"/>
      <c r="D488" s="204"/>
      <c r="E488" s="288"/>
      <c r="F488" s="204"/>
      <c r="G488" s="289"/>
      <c r="H488" s="204"/>
      <c r="I488" s="204"/>
      <c r="J488" s="202"/>
      <c r="K488" s="202"/>
      <c r="L488" s="192" t="str">
        <f>IFERROR(__xludf.DUMMYFUNCTION("IF(
  AND(D488=""Saída"", J488=""Sangria""),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197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94" t="str">
        <f>IFERROR(__xludf.DUMMYFUNCTION("ifna(VALUE(REGEXEXTRACT(E488,""[0-9.]+[,]+[0-9]+"")))"),"")</f>
        <v/>
      </c>
      <c r="O488" s="194"/>
      <c r="P488" s="194"/>
      <c r="Q488" s="194"/>
      <c r="R488" s="194"/>
      <c r="S488" s="194"/>
      <c r="T488" s="194"/>
      <c r="U488" s="194"/>
      <c r="V488" s="194"/>
      <c r="W488" s="194"/>
    </row>
    <row r="489" ht="14.25" customHeight="1">
      <c r="A489" s="31"/>
      <c r="B489" s="287"/>
      <c r="C489" s="286"/>
      <c r="D489" s="204"/>
      <c r="E489" s="288"/>
      <c r="F489" s="204"/>
      <c r="G489" s="289"/>
      <c r="H489" s="204"/>
      <c r="I489" s="204"/>
      <c r="J489" s="202"/>
      <c r="K489" s="202"/>
      <c r="L489" s="192" t="str">
        <f>IFERROR(__xludf.DUMMYFUNCTION("IF(
  AND(D489=""Saída"", J489=""Sangria""),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198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94" t="str">
        <f>IFERROR(__xludf.DUMMYFUNCTION("ifna(VALUE(REGEXEXTRACT(E489,""[0-9.]+[,]+[0-9]+"")))"),"")</f>
        <v/>
      </c>
      <c r="O489" s="194"/>
      <c r="P489" s="194"/>
      <c r="Q489" s="194"/>
      <c r="R489" s="194"/>
      <c r="S489" s="194"/>
      <c r="T489" s="194"/>
      <c r="U489" s="194"/>
      <c r="V489" s="194"/>
      <c r="W489" s="194"/>
    </row>
    <row r="490" ht="14.25" customHeight="1">
      <c r="A490" s="31"/>
      <c r="B490" s="287"/>
      <c r="C490" s="286"/>
      <c r="D490" s="204"/>
      <c r="E490" s="288"/>
      <c r="F490" s="204"/>
      <c r="G490" s="289"/>
      <c r="H490" s="204"/>
      <c r="I490" s="204"/>
      <c r="J490" s="202"/>
      <c r="K490" s="202"/>
      <c r="L490" s="192" t="str">
        <f>IFERROR(__xludf.DUMMYFUNCTION("IF(
  AND(D490=""Saída"", J490=""Sangria""),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197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94" t="str">
        <f>IFERROR(__xludf.DUMMYFUNCTION("ifna(VALUE(REGEXEXTRACT(E490,""[0-9.]+[,]+[0-9]+"")))"),"")</f>
        <v/>
      </c>
      <c r="O490" s="194"/>
      <c r="P490" s="194"/>
      <c r="Q490" s="194"/>
      <c r="R490" s="194"/>
      <c r="S490" s="194"/>
      <c r="T490" s="194"/>
      <c r="U490" s="194"/>
      <c r="V490" s="194"/>
      <c r="W490" s="194"/>
    </row>
    <row r="491" ht="14.25" customHeight="1">
      <c r="A491" s="31"/>
      <c r="B491" s="287"/>
      <c r="C491" s="286"/>
      <c r="D491" s="204"/>
      <c r="E491" s="288"/>
      <c r="F491" s="204"/>
      <c r="G491" s="289"/>
      <c r="H491" s="204"/>
      <c r="I491" s="204"/>
      <c r="J491" s="202"/>
      <c r="K491" s="202"/>
      <c r="L491" s="192" t="str">
        <f>IFERROR(__xludf.DUMMYFUNCTION("IF(
  AND(D491=""Saída"", J491=""Sangria""),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198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94" t="str">
        <f>IFERROR(__xludf.DUMMYFUNCTION("ifna(VALUE(REGEXEXTRACT(E491,""[0-9.]+[,]+[0-9]+"")))"),"")</f>
        <v/>
      </c>
      <c r="O491" s="194"/>
      <c r="P491" s="194"/>
      <c r="Q491" s="194"/>
      <c r="R491" s="194"/>
      <c r="S491" s="194"/>
      <c r="T491" s="194"/>
      <c r="U491" s="194"/>
      <c r="V491" s="194"/>
      <c r="W491" s="194"/>
    </row>
    <row r="492" ht="14.25" customHeight="1">
      <c r="A492" s="31"/>
      <c r="B492" s="287"/>
      <c r="C492" s="286"/>
      <c r="D492" s="204"/>
      <c r="E492" s="288"/>
      <c r="F492" s="204"/>
      <c r="G492" s="289"/>
      <c r="H492" s="204"/>
      <c r="I492" s="204"/>
      <c r="J492" s="202"/>
      <c r="K492" s="202"/>
      <c r="L492" s="192" t="str">
        <f>IFERROR(__xludf.DUMMYFUNCTION("IF(
  AND(D492=""Saída"", J492=""Sangria""),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197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94" t="str">
        <f>IFERROR(__xludf.DUMMYFUNCTION("ifna(VALUE(REGEXEXTRACT(E492,""[0-9.]+[,]+[0-9]+"")))"),"")</f>
        <v/>
      </c>
      <c r="O492" s="194"/>
      <c r="P492" s="194"/>
      <c r="Q492" s="194"/>
      <c r="R492" s="194"/>
      <c r="S492" s="194"/>
      <c r="T492" s="194"/>
      <c r="U492" s="194"/>
      <c r="V492" s="194"/>
      <c r="W492" s="194"/>
    </row>
    <row r="493" ht="14.25" customHeight="1">
      <c r="A493" s="31"/>
      <c r="B493" s="287"/>
      <c r="C493" s="286"/>
      <c r="D493" s="204"/>
      <c r="E493" s="288"/>
      <c r="F493" s="204"/>
      <c r="G493" s="289"/>
      <c r="H493" s="204"/>
      <c r="I493" s="204"/>
      <c r="J493" s="202"/>
      <c r="K493" s="202"/>
      <c r="L493" s="192" t="str">
        <f>IFERROR(__xludf.DUMMYFUNCTION("IF(
  AND(D493=""Saída"", J493=""Sangria""),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198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94" t="str">
        <f>IFERROR(__xludf.DUMMYFUNCTION("ifna(VALUE(REGEXEXTRACT(E493,""[0-9.]+[,]+[0-9]+"")))"),"")</f>
        <v/>
      </c>
      <c r="O493" s="194"/>
      <c r="P493" s="194"/>
      <c r="Q493" s="194"/>
      <c r="R493" s="194"/>
      <c r="S493" s="194"/>
      <c r="T493" s="194"/>
      <c r="U493" s="194"/>
      <c r="V493" s="194"/>
      <c r="W493" s="194"/>
    </row>
    <row r="494" ht="14.25" customHeight="1">
      <c r="A494" s="31"/>
      <c r="B494" s="287"/>
      <c r="C494" s="286"/>
      <c r="D494" s="204"/>
      <c r="E494" s="288"/>
      <c r="F494" s="204"/>
      <c r="G494" s="289"/>
      <c r="H494" s="204"/>
      <c r="I494" s="204"/>
      <c r="J494" s="202"/>
      <c r="K494" s="202"/>
      <c r="L494" s="192" t="str">
        <f>IFERROR(__xludf.DUMMYFUNCTION("IF(
  AND(D494=""Saída"", J494=""Sangria""),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197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94" t="str">
        <f>IFERROR(__xludf.DUMMYFUNCTION("ifna(VALUE(REGEXEXTRACT(E494,""[0-9.]+[,]+[0-9]+"")))"),"")</f>
        <v/>
      </c>
      <c r="O494" s="194"/>
      <c r="P494" s="194"/>
      <c r="Q494" s="194"/>
      <c r="R494" s="194"/>
      <c r="S494" s="194"/>
      <c r="T494" s="194"/>
      <c r="U494" s="194"/>
      <c r="V494" s="194"/>
      <c r="W494" s="194"/>
    </row>
    <row r="495" ht="14.25" customHeight="1">
      <c r="A495" s="31"/>
      <c r="B495" s="287"/>
      <c r="C495" s="286"/>
      <c r="D495" s="204"/>
      <c r="E495" s="288"/>
      <c r="F495" s="204"/>
      <c r="G495" s="289"/>
      <c r="H495" s="204"/>
      <c r="I495" s="204"/>
      <c r="J495" s="202"/>
      <c r="K495" s="202"/>
      <c r="L495" s="192" t="str">
        <f>IFERROR(__xludf.DUMMYFUNCTION("IF(
  AND(D495=""Saída"", J495=""Sangria""),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198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94" t="str">
        <f>IFERROR(__xludf.DUMMYFUNCTION("ifna(VALUE(REGEXEXTRACT(E495,""[0-9.]+[,]+[0-9]+"")))"),"")</f>
        <v/>
      </c>
      <c r="O495" s="194"/>
      <c r="P495" s="194"/>
      <c r="Q495" s="194"/>
      <c r="R495" s="194"/>
      <c r="S495" s="194"/>
      <c r="T495" s="194"/>
      <c r="U495" s="194"/>
      <c r="V495" s="194"/>
      <c r="W495" s="194"/>
    </row>
    <row r="496" ht="14.25" customHeight="1">
      <c r="A496" s="31"/>
      <c r="B496" s="287"/>
      <c r="C496" s="286"/>
      <c r="D496" s="204"/>
      <c r="E496" s="288"/>
      <c r="F496" s="204"/>
      <c r="G496" s="289"/>
      <c r="H496" s="204"/>
      <c r="I496" s="204"/>
      <c r="J496" s="202"/>
      <c r="K496" s="202"/>
      <c r="L496" s="192" t="str">
        <f>IFERROR(__xludf.DUMMYFUNCTION("IF(
  AND(D496=""Saída"", J496=""Sangria""),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197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94" t="str">
        <f>IFERROR(__xludf.DUMMYFUNCTION("ifna(VALUE(REGEXEXTRACT(E496,""[0-9.]+[,]+[0-9]+"")))"),"")</f>
        <v/>
      </c>
      <c r="O496" s="194"/>
      <c r="P496" s="194"/>
      <c r="Q496" s="194"/>
      <c r="R496" s="194"/>
      <c r="S496" s="194"/>
      <c r="T496" s="194"/>
      <c r="U496" s="194"/>
      <c r="V496" s="194"/>
      <c r="W496" s="194"/>
    </row>
    <row r="497" ht="14.25" customHeight="1">
      <c r="A497" s="31"/>
      <c r="B497" s="287"/>
      <c r="C497" s="286"/>
      <c r="D497" s="204"/>
      <c r="E497" s="288"/>
      <c r="F497" s="204"/>
      <c r="G497" s="289"/>
      <c r="H497" s="204"/>
      <c r="I497" s="204"/>
      <c r="J497" s="202"/>
      <c r="K497" s="202"/>
      <c r="L497" s="192" t="str">
        <f>IFERROR(__xludf.DUMMYFUNCTION("IF(
  AND(D497=""Saída"", J497=""Sangria""),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198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94" t="str">
        <f>IFERROR(__xludf.DUMMYFUNCTION("ifna(VALUE(REGEXEXTRACT(E497,""[0-9.]+[,]+[0-9]+"")))"),"")</f>
        <v/>
      </c>
      <c r="O497" s="194"/>
      <c r="P497" s="194"/>
      <c r="Q497" s="194"/>
      <c r="R497" s="194"/>
      <c r="S497" s="194"/>
      <c r="T497" s="194"/>
      <c r="U497" s="194"/>
      <c r="V497" s="194"/>
      <c r="W497" s="194"/>
    </row>
    <row r="498" ht="14.25" customHeight="1">
      <c r="A498" s="31"/>
      <c r="B498" s="287"/>
      <c r="C498" s="286"/>
      <c r="D498" s="204"/>
      <c r="E498" s="288"/>
      <c r="F498" s="204"/>
      <c r="G498" s="289"/>
      <c r="H498" s="204"/>
      <c r="I498" s="204"/>
      <c r="J498" s="202"/>
      <c r="K498" s="202"/>
      <c r="L498" s="192" t="str">
        <f>IFERROR(__xludf.DUMMYFUNCTION("IF(
  AND(D498=""Saída"", J498=""Sangria""),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197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94" t="str">
        <f>IFERROR(__xludf.DUMMYFUNCTION("ifna(VALUE(REGEXEXTRACT(E498,""[0-9.]+[,]+[0-9]+"")))"),"")</f>
        <v/>
      </c>
      <c r="O498" s="194"/>
      <c r="P498" s="194"/>
      <c r="Q498" s="194"/>
      <c r="R498" s="194"/>
      <c r="S498" s="194"/>
      <c r="T498" s="194"/>
      <c r="U498" s="194"/>
      <c r="V498" s="194"/>
      <c r="W498" s="194"/>
    </row>
    <row r="499" ht="14.25" customHeight="1">
      <c r="A499" s="31"/>
      <c r="B499" s="287"/>
      <c r="C499" s="286"/>
      <c r="D499" s="204"/>
      <c r="E499" s="288"/>
      <c r="F499" s="204"/>
      <c r="G499" s="289"/>
      <c r="H499" s="204"/>
      <c r="I499" s="204"/>
      <c r="J499" s="202"/>
      <c r="K499" s="202"/>
      <c r="L499" s="192" t="str">
        <f>IFERROR(__xludf.DUMMYFUNCTION("IF(
  AND(D499=""Saída"", J499=""Sangria""),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198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94" t="str">
        <f>IFERROR(__xludf.DUMMYFUNCTION("ifna(VALUE(REGEXEXTRACT(E499,""[0-9.]+[,]+[0-9]+"")))"),"")</f>
        <v/>
      </c>
      <c r="O499" s="194"/>
      <c r="P499" s="194"/>
      <c r="Q499" s="194"/>
      <c r="R499" s="194"/>
      <c r="S499" s="194"/>
      <c r="T499" s="194"/>
      <c r="U499" s="194"/>
      <c r="V499" s="194"/>
      <c r="W499" s="194"/>
    </row>
    <row r="500" ht="14.25" customHeight="1">
      <c r="A500" s="31"/>
      <c r="B500" s="287"/>
      <c r="C500" s="286"/>
      <c r="D500" s="204"/>
      <c r="E500" s="288"/>
      <c r="F500" s="204"/>
      <c r="G500" s="289"/>
      <c r="H500" s="204"/>
      <c r="I500" s="204"/>
      <c r="J500" s="202"/>
      <c r="K500" s="202"/>
      <c r="L500" s="192" t="str">
        <f>IFERROR(__xludf.DUMMYFUNCTION("IF(
  AND(D500=""Saída"", J500=""Sangria""),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197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94" t="str">
        <f>IFERROR(__xludf.DUMMYFUNCTION("ifna(VALUE(REGEXEXTRACT(E500,""[0-9.]+[,]+[0-9]+"")))"),"")</f>
        <v/>
      </c>
      <c r="O500" s="194"/>
      <c r="P500" s="194"/>
      <c r="Q500" s="194"/>
      <c r="R500" s="194"/>
      <c r="S500" s="194"/>
      <c r="T500" s="194"/>
      <c r="U500" s="194"/>
      <c r="V500" s="194"/>
      <c r="W500" s="194"/>
    </row>
    <row r="501" ht="14.25" customHeight="1">
      <c r="A501" s="31"/>
      <c r="B501" s="287"/>
      <c r="C501" s="286"/>
      <c r="D501" s="204"/>
      <c r="E501" s="288"/>
      <c r="F501" s="204"/>
      <c r="G501" s="289"/>
      <c r="H501" s="204"/>
      <c r="I501" s="204"/>
      <c r="J501" s="202"/>
      <c r="K501" s="202"/>
      <c r="L501" s="192" t="str">
        <f>IFERROR(__xludf.DUMMYFUNCTION("IF(
  AND(D501=""Saída"", J501=""Sangria""),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198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94" t="str">
        <f>IFERROR(__xludf.DUMMYFUNCTION("ifna(VALUE(REGEXEXTRACT(E501,""[0-9.]+[,]+[0-9]+"")))"),"")</f>
        <v/>
      </c>
      <c r="O501" s="194"/>
      <c r="P501" s="194"/>
      <c r="Q501" s="194"/>
      <c r="R501" s="194"/>
      <c r="S501" s="194"/>
      <c r="T501" s="194"/>
      <c r="U501" s="194"/>
      <c r="V501" s="194"/>
      <c r="W501" s="194"/>
    </row>
    <row r="502" ht="14.25" customHeight="1">
      <c r="A502" s="31"/>
      <c r="B502" s="287"/>
      <c r="C502" s="286"/>
      <c r="D502" s="204"/>
      <c r="E502" s="288"/>
      <c r="F502" s="204"/>
      <c r="G502" s="289"/>
      <c r="H502" s="204"/>
      <c r="I502" s="204"/>
      <c r="J502" s="202"/>
      <c r="K502" s="202"/>
      <c r="L502" s="192" t="str">
        <f>IFERROR(__xludf.DUMMYFUNCTION("IF(
  AND(D502=""Saída"", J502=""Sangria""),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197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94" t="str">
        <f>IFERROR(__xludf.DUMMYFUNCTION("ifna(VALUE(REGEXEXTRACT(E502,""[0-9.]+[,]+[0-9]+"")))"),"")</f>
        <v/>
      </c>
      <c r="O502" s="194"/>
      <c r="P502" s="194"/>
      <c r="Q502" s="194"/>
      <c r="R502" s="194"/>
      <c r="S502" s="194"/>
      <c r="T502" s="194"/>
      <c r="U502" s="194"/>
      <c r="V502" s="194"/>
      <c r="W502" s="194"/>
    </row>
    <row r="503" ht="14.25" customHeight="1">
      <c r="A503" s="31"/>
      <c r="B503" s="287"/>
      <c r="C503" s="286"/>
      <c r="D503" s="204"/>
      <c r="E503" s="288"/>
      <c r="F503" s="204"/>
      <c r="G503" s="289"/>
      <c r="H503" s="204"/>
      <c r="I503" s="204"/>
      <c r="J503" s="202"/>
      <c r="K503" s="202"/>
      <c r="L503" s="192" t="str">
        <f>IFERROR(__xludf.DUMMYFUNCTION("IF(
  AND(D503=""Saída"", J503=""Sangria""),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198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94" t="str">
        <f>IFERROR(__xludf.DUMMYFUNCTION("ifna(VALUE(REGEXEXTRACT(E503,""[0-9.]+[,]+[0-9]+"")))"),"")</f>
        <v/>
      </c>
      <c r="O503" s="194"/>
      <c r="P503" s="194"/>
      <c r="Q503" s="194"/>
      <c r="R503" s="194"/>
      <c r="S503" s="194"/>
      <c r="T503" s="194"/>
      <c r="U503" s="194"/>
      <c r="V503" s="194"/>
      <c r="W503" s="194"/>
    </row>
    <row r="504" ht="14.25" customHeight="1">
      <c r="A504" s="31"/>
      <c r="B504" s="293"/>
      <c r="C504" s="294"/>
      <c r="D504" s="295"/>
      <c r="E504" s="296"/>
      <c r="F504" s="295"/>
      <c r="G504" s="297"/>
      <c r="H504" s="295"/>
      <c r="I504" s="295"/>
      <c r="J504" s="298"/>
      <c r="K504" s="298"/>
      <c r="L504" s="192" t="str">
        <f>IFERROR(__xludf.DUMMYFUNCTION("IF(
  AND(D504=""Saída"", J504=""Sangria""),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197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94" t="str">
        <f>IFERROR(__xludf.DUMMYFUNCTION("ifna(VALUE(REGEXEXTRACT(E504,""[0-9.]+[,]+[0-9]+"")))"),"")</f>
        <v/>
      </c>
      <c r="O504" s="194"/>
      <c r="P504" s="194"/>
      <c r="Q504" s="194"/>
      <c r="R504" s="194"/>
      <c r="S504" s="194"/>
      <c r="T504" s="194"/>
      <c r="U504" s="194"/>
      <c r="V504" s="194"/>
      <c r="W504" s="194"/>
    </row>
    <row r="505" ht="14.25" customHeight="1">
      <c r="A505" s="31"/>
      <c r="B505" s="299"/>
      <c r="C505" s="286"/>
      <c r="D505" s="204"/>
      <c r="E505" s="288"/>
      <c r="F505" s="204"/>
      <c r="G505" s="289"/>
      <c r="H505" s="204"/>
      <c r="I505" s="204"/>
      <c r="J505" s="202"/>
      <c r="K505" s="202"/>
      <c r="L505" s="192" t="str">
        <f>IFERROR(__xludf.DUMMYFUNCTION("IF(
  AND(D505=""Saída"", J505=""Sangria""),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198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</row>
    <row r="506" ht="14.25" customHeight="1">
      <c r="A506" s="31"/>
      <c r="B506" s="299"/>
      <c r="C506" s="286"/>
      <c r="D506" s="204"/>
      <c r="E506" s="288"/>
      <c r="F506" s="204"/>
      <c r="G506" s="289"/>
      <c r="H506" s="204"/>
      <c r="I506" s="204"/>
      <c r="J506" s="202"/>
      <c r="K506" s="202"/>
      <c r="L506" s="192" t="str">
        <f>IFERROR(__xludf.DUMMYFUNCTION("IF(
  AND(D506=""Saída"", J506=""Sangria""),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197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</row>
    <row r="507" ht="14.25" customHeight="1">
      <c r="A507" s="31"/>
      <c r="B507" s="299"/>
      <c r="C507" s="286"/>
      <c r="D507" s="204"/>
      <c r="E507" s="288"/>
      <c r="F507" s="204"/>
      <c r="G507" s="289"/>
      <c r="H507" s="204"/>
      <c r="I507" s="204"/>
      <c r="J507" s="202"/>
      <c r="K507" s="202"/>
      <c r="L507" s="192" t="str">
        <f>IFERROR(__xludf.DUMMYFUNCTION("IF(
  AND(D507=""Saída"", J507=""Sangria""),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198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</row>
  </sheetData>
  <mergeCells count="100">
    <mergeCell ref="O93:T94"/>
    <mergeCell ref="S95:T95"/>
    <mergeCell ref="O140:V140"/>
    <mergeCell ref="S141:U141"/>
    <mergeCell ref="S142:U142"/>
    <mergeCell ref="S143:U143"/>
    <mergeCell ref="S144:U144"/>
    <mergeCell ref="S145:U145"/>
    <mergeCell ref="S146:U146"/>
    <mergeCell ref="S147:U147"/>
    <mergeCell ref="S148:U148"/>
    <mergeCell ref="S149:U149"/>
    <mergeCell ref="S150:U150"/>
    <mergeCell ref="S151:U151"/>
    <mergeCell ref="S152:U152"/>
    <mergeCell ref="S153:U153"/>
    <mergeCell ref="S154:U154"/>
    <mergeCell ref="S155:U155"/>
    <mergeCell ref="S156:U156"/>
    <mergeCell ref="S157:U157"/>
    <mergeCell ref="S158:U158"/>
    <mergeCell ref="S159:U159"/>
    <mergeCell ref="S160:U160"/>
    <mergeCell ref="S161:U161"/>
    <mergeCell ref="S162:U162"/>
    <mergeCell ref="S163:U163"/>
    <mergeCell ref="S164:U164"/>
    <mergeCell ref="S165:U165"/>
    <mergeCell ref="S166:U166"/>
    <mergeCell ref="S167:U167"/>
    <mergeCell ref="S168:U168"/>
    <mergeCell ref="S169:U169"/>
    <mergeCell ref="S170:U170"/>
    <mergeCell ref="S171:U171"/>
    <mergeCell ref="S172:U172"/>
    <mergeCell ref="S173:U173"/>
    <mergeCell ref="S174:U174"/>
    <mergeCell ref="S175:U175"/>
    <mergeCell ref="S176:U176"/>
    <mergeCell ref="S177:U177"/>
    <mergeCell ref="S178:U178"/>
    <mergeCell ref="S179:U179"/>
    <mergeCell ref="S187:U187"/>
    <mergeCell ref="S188:U188"/>
    <mergeCell ref="S189:U189"/>
    <mergeCell ref="S190:U190"/>
    <mergeCell ref="S191:U191"/>
    <mergeCell ref="S192:U192"/>
    <mergeCell ref="S180:U180"/>
    <mergeCell ref="S181:U181"/>
    <mergeCell ref="S182:U182"/>
    <mergeCell ref="S183:U183"/>
    <mergeCell ref="S184:U184"/>
    <mergeCell ref="S185:U185"/>
    <mergeCell ref="S186:U186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C19:D19"/>
    <mergeCell ref="C23:D23"/>
    <mergeCell ref="E23:F23"/>
    <mergeCell ref="G23:H23"/>
    <mergeCell ref="I23:J23"/>
    <mergeCell ref="I24:J24"/>
    <mergeCell ref="I25:J25"/>
    <mergeCell ref="B27:M27"/>
    <mergeCell ref="G14:H14"/>
    <mergeCell ref="I14:J14"/>
    <mergeCell ref="C18:D18"/>
    <mergeCell ref="E18:H18"/>
    <mergeCell ref="I18:J18"/>
    <mergeCell ref="E19:F19"/>
    <mergeCell ref="I22:J22"/>
    <mergeCell ref="K18:L18"/>
    <mergeCell ref="K19:L19"/>
    <mergeCell ref="T19:W19"/>
    <mergeCell ref="O48:R48"/>
    <mergeCell ref="T48:W48"/>
    <mergeCell ref="O68:R68"/>
    <mergeCell ref="T68:W68"/>
  </mergeCells>
  <conditionalFormatting sqref="M29:M507">
    <cfRule type="cellIs" dxfId="5" priority="1" operator="equal">
      <formula>"Não Encontrada"</formula>
    </cfRule>
  </conditionalFormatting>
  <conditionalFormatting sqref="E29:E198">
    <cfRule type="expression" dxfId="6" priority="2">
      <formula>and($J$22:$J$497="Sangria",$D$22:$D$497="Saída")</formula>
    </cfRule>
  </conditionalFormatting>
  <conditionalFormatting sqref="D4 D11">
    <cfRule type="cellIs" dxfId="7" priority="3" operator="greaterThanOrEqual">
      <formula>500</formula>
    </cfRule>
  </conditionalFormatting>
  <conditionalFormatting sqref="D4 D11">
    <cfRule type="cellIs" dxfId="8" priority="4" operator="between">
      <formula>400</formula>
      <formula>500</formula>
    </cfRule>
  </conditionalFormatting>
  <conditionalFormatting sqref="F4 F11">
    <cfRule type="cellIs" dxfId="7" priority="5" operator="greaterThanOrEqual">
      <formula>500</formula>
    </cfRule>
  </conditionalFormatting>
  <conditionalFormatting sqref="F4 F11">
    <cfRule type="cellIs" dxfId="5" priority="6" operator="between">
      <formula>400</formula>
      <formula>500</formula>
    </cfRule>
  </conditionalFormatting>
  <conditionalFormatting sqref="H4 H11">
    <cfRule type="cellIs" dxfId="7" priority="7" operator="greaterThanOrEqual">
      <formula>500</formula>
    </cfRule>
  </conditionalFormatting>
  <conditionalFormatting sqref="H4 H11">
    <cfRule type="cellIs" dxfId="5" priority="8" operator="between">
      <formula>400</formula>
      <formula>500</formula>
    </cfRule>
  </conditionalFormatting>
  <conditionalFormatting sqref="J4 J11">
    <cfRule type="cellIs" dxfId="7" priority="9" operator="greaterThanOrEqual">
      <formula>500</formula>
    </cfRule>
  </conditionalFormatting>
  <conditionalFormatting sqref="J4 J11">
    <cfRule type="cellIs" dxfId="8" priority="10" operator="between">
      <formula>400</formula>
      <formula>500</formula>
    </cfRule>
  </conditionalFormatting>
  <conditionalFormatting sqref="L4:W4 L11 D20 S20:W20 O49:W49 O69:W69">
    <cfRule type="cellIs" dxfId="7" priority="11" operator="greaterThanOrEqual">
      <formula>500</formula>
    </cfRule>
  </conditionalFormatting>
  <conditionalFormatting sqref="L4:W4 L11 D20 S20:W20 O49:W49 O69:W69">
    <cfRule type="cellIs" dxfId="8" priority="12" operator="between">
      <formula>400</formula>
      <formula>500</formula>
    </cfRule>
  </conditionalFormatting>
  <conditionalFormatting sqref="E29:E507">
    <cfRule type="containsText" dxfId="9" priority="13" operator="containsText" text="R$">
      <formula>NOT(ISERROR(SEARCH(("R$"),(E29))))</formula>
    </cfRule>
  </conditionalFormatting>
  <conditionalFormatting sqref="B29:K507">
    <cfRule type="expression" dxfId="6" priority="14">
      <formula>and($J$29:$J$504="Sangria",$D$29:$D$504="Saída")</formula>
    </cfRule>
  </conditionalFormatting>
  <conditionalFormatting sqref="K29:K507">
    <cfRule type="expression" dxfId="10" priority="15">
      <formula>or($J$29:$J$218="Compra Moedas",$J$29:$J$218="Cortesias",$J$29:$J$218="Troco")</formula>
    </cfRule>
  </conditionalFormatting>
  <conditionalFormatting sqref="K29:K507">
    <cfRule type="expression" dxfId="11" priority="16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7">
    <cfRule type="expression" dxfId="5" priority="17">
      <formula>and(SEARCH("Vale",G29),or(J29="Consumo",J29="Sangria",J29="Compra Moedas",J29="Cortesia",J29="Troco",J29="Estorno Cliente",J29="Outros Pagamentos",J29="Inadimplência"))</formula>
    </cfRule>
  </conditionalFormatting>
  <conditionalFormatting sqref="I29:I507">
    <cfRule type="expression" dxfId="5" priority="18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9">
      <formula>LEN(TRIM(I43))&gt;0</formula>
    </cfRule>
  </conditionalFormatting>
  <conditionalFormatting sqref="I29:I507">
    <cfRule type="expression" dxfId="5" priority="20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7">
    <cfRule type="expression" dxfId="5" priority="21">
      <formula>and(SEARCH("Cortesia",G29),or(J29="Consumo",J29="Sangria",J29="Adiantamento",J29="Troco",J29="Estorno Cliente",J29="Outros Pagamentos",J29="Inadimplência"))</formula>
    </cfRule>
  </conditionalFormatting>
  <conditionalFormatting sqref="C29:C507">
    <cfRule type="expression" dxfId="11" priority="22">
      <formula>and($C$29:$C$218="",or($D$29:$D$218="Entrada",$D$29:$D$218="Saída"))</formula>
    </cfRule>
  </conditionalFormatting>
  <conditionalFormatting sqref="I29:I507">
    <cfRule type="expression" dxfId="5" priority="23">
      <formula>and(K29 = "",or(J29="Consumo",J29="Adiantamento"))</formula>
    </cfRule>
  </conditionalFormatting>
  <conditionalFormatting sqref="L29:L507">
    <cfRule type="cellIs" dxfId="5" priority="24" operator="equal">
      <formula>"Caixa Sangria"</formula>
    </cfRule>
  </conditionalFormatting>
  <dataValidations>
    <dataValidation type="list" allowBlank="1" showErrorMessage="1" sqref="K29:K507">
      <formula1>'JANEIRO 2026'!$B$4:$B$16</formula1>
    </dataValidation>
    <dataValidation type="list" allowBlank="1" showErrorMessage="1" sqref="J29:J176 J178:J179 J181:J190 J192:J195 J197:J208 J210:J267 J269:J286 J288:J303 J306:J308 J310:J376 J378:J388 J390:J507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4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5.75"/>
    <col customWidth="1" min="14" max="14" width="3.88"/>
    <col customWidth="1" min="15" max="15" width="10.13"/>
    <col customWidth="1" min="16" max="16" width="12.0"/>
    <col customWidth="1" min="17" max="17" width="12.75"/>
    <col customWidth="1" min="18" max="18" width="12.38"/>
    <col customWidth="1" min="19" max="19" width="0.63"/>
    <col customWidth="1" min="20" max="20" width="10.13"/>
    <col customWidth="1" min="21" max="21" width="21.13"/>
    <col customWidth="1" min="22" max="22" width="12.5"/>
    <col customWidth="1" min="23" max="23" width="13.63"/>
  </cols>
  <sheetData>
    <row r="1" ht="8.25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1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>
      <c r="A2" s="33" t="s">
        <v>5940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5"/>
      <c r="M2" s="32"/>
      <c r="N2" s="32"/>
      <c r="O2" s="36" t="s">
        <v>5945</v>
      </c>
      <c r="P2" s="34"/>
      <c r="Q2" s="34"/>
      <c r="R2" s="34"/>
      <c r="S2" s="34"/>
      <c r="T2" s="34"/>
      <c r="U2" s="34"/>
      <c r="V2" s="34"/>
      <c r="W2" s="35"/>
    </row>
    <row r="3">
      <c r="A3" s="37" t="s">
        <v>5950</v>
      </c>
      <c r="B3" s="38"/>
      <c r="C3" s="39" t="str">
        <f>B4</f>
        <v>Mariselma</v>
      </c>
      <c r="D3" s="38"/>
      <c r="E3" s="40" t="str">
        <f>B5</f>
        <v>Jeniffer</v>
      </c>
      <c r="F3" s="38"/>
      <c r="G3" s="40" t="str">
        <f>B6</f>
        <v>Sabrina</v>
      </c>
      <c r="H3" s="38"/>
      <c r="I3" s="40" t="str">
        <f>B7</f>
        <v>Renata</v>
      </c>
      <c r="J3" s="38"/>
      <c r="K3" s="40" t="str">
        <f>B8</f>
        <v>Joice</v>
      </c>
      <c r="L3" s="41"/>
      <c r="M3" s="42"/>
      <c r="N3" s="42"/>
      <c r="O3" s="43" t="str">
        <f>B4</f>
        <v>Mariselma</v>
      </c>
      <c r="P3" s="34"/>
      <c r="Q3" s="34"/>
      <c r="R3" s="35"/>
      <c r="S3" s="44"/>
      <c r="T3" s="45" t="str">
        <f>B5</f>
        <v>Jeniffer</v>
      </c>
      <c r="U3" s="34"/>
      <c r="V3" s="34"/>
      <c r="W3" s="35"/>
    </row>
    <row r="4" ht="15.75" customHeight="1">
      <c r="A4" s="46" t="s">
        <v>225</v>
      </c>
      <c r="B4" s="47" t="s">
        <v>5991</v>
      </c>
      <c r="C4" s="48" t="s">
        <v>783</v>
      </c>
      <c r="D4" s="49">
        <f>SUMIFS(N29:N504,J29:J504,C4,K29:K504,C3)+SUMIF(Q96:Q138,A4,R96:R138)+D9</f>
        <v>275</v>
      </c>
      <c r="E4" s="50" t="s">
        <v>783</v>
      </c>
      <c r="F4" s="49">
        <f>SUMIFS(N29:N504,J29:J504,E4,K29:K504,E3)+SUMIF(Q96:Q138,A5,R96:R138)+F9</f>
        <v>0</v>
      </c>
      <c r="G4" s="50" t="s">
        <v>783</v>
      </c>
      <c r="H4" s="49">
        <f>SUMIFS(N29:N504,J29:J504,C4,K29:K504,G3)+SUMIF(Q96:Q138,A6,R96:R138)+H9</f>
        <v>1000</v>
      </c>
      <c r="I4" s="50" t="s">
        <v>783</v>
      </c>
      <c r="J4" s="49">
        <f>SUMIFS(N29:N504,J29:J504,C4,K29:K504,I3)+SUMIF(Q96:Q138,A7,R96:R138)+J9</f>
        <v>500</v>
      </c>
      <c r="K4" s="50" t="s">
        <v>783</v>
      </c>
      <c r="L4" s="51">
        <f>SUMIFS(N29:N504,J29:J504,C4,K29:K504,K3)+SUMIF(Q96:Q138,A8,R96:R138)+L9</f>
        <v>0</v>
      </c>
      <c r="M4" s="32"/>
      <c r="N4" s="32"/>
      <c r="O4" s="52" t="str">
        <f>IFERROR(__xludf.DUMMYFUNCTION("query(C28:L507,""select Col1,Col3,Col8,Col9 where (Col8 = 'Adiantamento' or Col8 = 'Consumo') and Col9 = '""&amp;B4&amp;""'"",1)"),"Data")</f>
        <v>Data</v>
      </c>
      <c r="P4" s="53" t="str">
        <f>IFERROR(__xludf.DUMMYFUNCTION("""COMPUTED_VALUE"""),"Valor ")</f>
        <v>Valor </v>
      </c>
      <c r="Q4" s="53" t="str">
        <f>IFERROR(__xludf.DUMMYFUNCTION("""COMPUTED_VALUE"""),"Tipo")</f>
        <v>Tipo</v>
      </c>
      <c r="R4" s="54" t="str">
        <f>IFERROR(__xludf.DUMMYFUNCTION("""COMPUTED_VALUE"""),"Funcionário")</f>
        <v>Funcionário</v>
      </c>
      <c r="S4" s="55"/>
      <c r="T4" s="56" t="str">
        <f>IFERROR(__xludf.DUMMYFUNCTION("query(C28:L507,""select Col1,Col3,Col8,Col9 where (Col8 = 'Adiantamento' or Col8 = 'Consumo') and Col9 = '""&amp;B5&amp;""'"",1)"),"Data")</f>
        <v>Data</v>
      </c>
      <c r="U4" s="56" t="str">
        <f>IFERROR(__xludf.DUMMYFUNCTION("""COMPUTED_VALUE"""),"Valor ")</f>
        <v>Valor </v>
      </c>
      <c r="V4" s="56" t="str">
        <f>IFERROR(__xludf.DUMMYFUNCTION("""COMPUTED_VALUE"""),"Tipo")</f>
        <v>Tipo</v>
      </c>
      <c r="W4" s="57" t="str">
        <f>IFERROR(__xludf.DUMMYFUNCTION("""COMPUTED_VALUE"""),"Funcionário")</f>
        <v>Funcionário</v>
      </c>
    </row>
    <row r="5" ht="15.0" customHeight="1">
      <c r="A5" s="46" t="s">
        <v>145</v>
      </c>
      <c r="B5" s="47" t="s">
        <v>6198</v>
      </c>
      <c r="C5" s="48" t="s">
        <v>6080</v>
      </c>
      <c r="D5" s="49">
        <f>SUMIFS(N29:N504,J29:J504,C5,K29:K504,C3)</f>
        <v>66.92</v>
      </c>
      <c r="E5" s="50" t="s">
        <v>6080</v>
      </c>
      <c r="F5" s="49">
        <f>SUMIFS(N29:N504,J29:J504,C5,K29:K504,E3)</f>
        <v>0</v>
      </c>
      <c r="G5" s="50" t="s">
        <v>6080</v>
      </c>
      <c r="H5" s="49">
        <f>SUMIFS(N29:N504,J29:J504,C5,K29:K504,G3)</f>
        <v>270.12</v>
      </c>
      <c r="I5" s="50" t="s">
        <v>6080</v>
      </c>
      <c r="J5" s="49">
        <f>SUMIFS(N29:N504,J29:J504,C5,K29:K504,I3)</f>
        <v>0</v>
      </c>
      <c r="K5" s="50" t="s">
        <v>6080</v>
      </c>
      <c r="L5" s="51">
        <f>SUMIFS(N29:N504,J29:J504,C5,K29:K504,K3)</f>
        <v>0</v>
      </c>
      <c r="M5" s="32"/>
      <c r="N5" s="32"/>
      <c r="O5" s="58">
        <f>IFERROR(__xludf.DUMMYFUNCTION("""COMPUTED_VALUE"""),46054.75770833333)</f>
        <v>46054.75771</v>
      </c>
      <c r="P5" s="59" t="str">
        <f>IFERROR(__xludf.DUMMYFUNCTION("""COMPUTED_VALUE"""),"R$ 44,78")</f>
        <v>R$ 44,78</v>
      </c>
      <c r="Q5" s="59" t="str">
        <f>IFERROR(__xludf.DUMMYFUNCTION("""COMPUTED_VALUE"""),"Consumo")</f>
        <v>Consumo</v>
      </c>
      <c r="R5" s="60" t="str">
        <f>IFERROR(__xludf.DUMMYFUNCTION("""COMPUTED_VALUE"""),"Mariselma")</f>
        <v>Mariselma</v>
      </c>
      <c r="S5" s="61"/>
      <c r="T5" s="59"/>
      <c r="U5" s="59"/>
      <c r="V5" s="59"/>
      <c r="W5" s="60"/>
    </row>
    <row r="6" ht="16.5" customHeight="1">
      <c r="A6" s="46" t="s">
        <v>126</v>
      </c>
      <c r="B6" s="47" t="s">
        <v>6111</v>
      </c>
      <c r="C6" s="48" t="s">
        <v>6112</v>
      </c>
      <c r="D6" s="49">
        <f>D5*0.8</f>
        <v>53.536</v>
      </c>
      <c r="E6" s="50" t="s">
        <v>6112</v>
      </c>
      <c r="F6" s="49">
        <f>F5*0.8</f>
        <v>0</v>
      </c>
      <c r="G6" s="50" t="s">
        <v>6112</v>
      </c>
      <c r="H6" s="49">
        <f>H5*0.8</f>
        <v>216.096</v>
      </c>
      <c r="I6" s="50" t="s">
        <v>6112</v>
      </c>
      <c r="J6" s="49">
        <f>J5*0.8</f>
        <v>0</v>
      </c>
      <c r="K6" s="62" t="s">
        <v>6112</v>
      </c>
      <c r="L6" s="51">
        <f>L5*0.8</f>
        <v>0</v>
      </c>
      <c r="M6" s="32"/>
      <c r="N6" s="32"/>
      <c r="O6" s="58">
        <f>IFERROR(__xludf.DUMMYFUNCTION("""COMPUTED_VALUE"""),46054.76074074074)</f>
        <v>46054.76074</v>
      </c>
      <c r="P6" s="59" t="str">
        <f>IFERROR(__xludf.DUMMYFUNCTION("""COMPUTED_VALUE"""),"R$ 22,14")</f>
        <v>R$ 22,14</v>
      </c>
      <c r="Q6" s="59" t="str">
        <f>IFERROR(__xludf.DUMMYFUNCTION("""COMPUTED_VALUE"""),"Consumo")</f>
        <v>Consumo</v>
      </c>
      <c r="R6" s="60" t="str">
        <f>IFERROR(__xludf.DUMMYFUNCTION("""COMPUTED_VALUE"""),"Mariselma")</f>
        <v>Mariselma</v>
      </c>
      <c r="S6" s="61"/>
      <c r="T6" s="59"/>
      <c r="U6" s="59"/>
      <c r="V6" s="59"/>
      <c r="W6" s="60"/>
    </row>
    <row r="7" ht="14.25" customHeight="1">
      <c r="A7" s="46" t="s">
        <v>113</v>
      </c>
      <c r="B7" s="47" t="s">
        <v>6159</v>
      </c>
      <c r="C7" s="63" t="s">
        <v>6160</v>
      </c>
      <c r="D7" s="64"/>
      <c r="E7" s="65" t="s">
        <v>6160</v>
      </c>
      <c r="F7" s="64"/>
      <c r="G7" s="65" t="s">
        <v>6160</v>
      </c>
      <c r="H7" s="64"/>
      <c r="I7" s="65" t="s">
        <v>6160</v>
      </c>
      <c r="J7" s="64"/>
      <c r="K7" s="65" t="s">
        <v>6160</v>
      </c>
      <c r="L7" s="67"/>
      <c r="M7" s="68"/>
      <c r="N7" s="68"/>
      <c r="O7" s="58"/>
      <c r="P7" s="59"/>
      <c r="Q7" s="59"/>
      <c r="R7" s="60"/>
      <c r="S7" s="61"/>
      <c r="T7" s="59"/>
      <c r="U7" s="59"/>
      <c r="V7" s="59"/>
      <c r="W7" s="60"/>
    </row>
    <row r="8" ht="14.25" customHeight="1">
      <c r="A8" s="11" t="s">
        <v>877</v>
      </c>
      <c r="B8" s="47" t="s">
        <v>6180</v>
      </c>
      <c r="C8" s="69" t="s">
        <v>6182</v>
      </c>
      <c r="D8" s="73">
        <v>46114.0</v>
      </c>
      <c r="E8" s="71" t="s">
        <v>6182</v>
      </c>
      <c r="F8" s="72"/>
      <c r="G8" s="71" t="s">
        <v>6182</v>
      </c>
      <c r="H8" s="70"/>
      <c r="I8" s="71" t="s">
        <v>6182</v>
      </c>
      <c r="J8" s="73"/>
      <c r="K8" s="71" t="s">
        <v>6182</v>
      </c>
      <c r="L8" s="74"/>
      <c r="M8" s="75"/>
      <c r="N8" s="75"/>
      <c r="O8" s="58"/>
      <c r="P8" s="59"/>
      <c r="Q8" s="59"/>
      <c r="R8" s="60"/>
      <c r="S8" s="61"/>
      <c r="T8" s="59"/>
      <c r="U8" s="59"/>
      <c r="V8" s="59"/>
      <c r="W8" s="60"/>
    </row>
    <row r="9">
      <c r="A9" s="46" t="s">
        <v>3739</v>
      </c>
      <c r="B9" s="47" t="s">
        <v>6197</v>
      </c>
      <c r="C9" s="76" t="s">
        <v>51</v>
      </c>
      <c r="D9" s="77">
        <v>275.0</v>
      </c>
      <c r="E9" s="78" t="s">
        <v>51</v>
      </c>
      <c r="F9" s="79"/>
      <c r="G9" s="78" t="s">
        <v>51</v>
      </c>
      <c r="H9" s="77"/>
      <c r="I9" s="78" t="s">
        <v>51</v>
      </c>
      <c r="J9" s="77"/>
      <c r="K9" s="78" t="s">
        <v>51</v>
      </c>
      <c r="L9" s="80"/>
      <c r="M9" s="75"/>
      <c r="N9" s="75"/>
      <c r="O9" s="58"/>
      <c r="P9" s="59"/>
      <c r="Q9" s="59"/>
      <c r="R9" s="60"/>
      <c r="S9" s="61"/>
      <c r="T9" s="59"/>
      <c r="U9" s="59"/>
      <c r="V9" s="59"/>
      <c r="W9" s="60"/>
    </row>
    <row r="10" ht="21.75" customHeight="1">
      <c r="A10" s="46"/>
      <c r="B10" s="47"/>
      <c r="C10" s="81" t="str">
        <f>B9</f>
        <v>Fernando</v>
      </c>
      <c r="D10" s="82"/>
      <c r="E10" s="83" t="str">
        <f>B10</f>
        <v/>
      </c>
      <c r="F10" s="82"/>
      <c r="G10" s="83" t="str">
        <f>B11</f>
        <v/>
      </c>
      <c r="H10" s="82"/>
      <c r="I10" s="83" t="str">
        <f>B12</f>
        <v/>
      </c>
      <c r="J10" s="82"/>
      <c r="K10" s="83" t="str">
        <f>B13</f>
        <v/>
      </c>
      <c r="L10" s="84"/>
      <c r="M10" s="31"/>
      <c r="N10" s="31"/>
      <c r="O10" s="58"/>
      <c r="P10" s="85"/>
      <c r="Q10" s="85"/>
      <c r="R10" s="86"/>
      <c r="S10" s="87"/>
      <c r="T10" s="85"/>
      <c r="U10" s="85"/>
      <c r="V10" s="85"/>
      <c r="W10" s="86"/>
    </row>
    <row r="11">
      <c r="A11" s="88"/>
      <c r="B11" s="89"/>
      <c r="C11" s="90" t="s">
        <v>783</v>
      </c>
      <c r="D11" s="91">
        <f>SUMIFS(N29:N514,J29:J514,C11,K29:K514,C10)+SUMIF(Q96:Q138,A9,R96:R138)+D16</f>
        <v>0</v>
      </c>
      <c r="E11" s="92" t="s">
        <v>783</v>
      </c>
      <c r="F11" s="91">
        <f>SUMIFS(N29:N514,J29:J514,E11,K29:K514,E10)+SUMIF(Q96:Q138,A10,R96:R138)+F16</f>
        <v>0</v>
      </c>
      <c r="G11" s="92" t="s">
        <v>783</v>
      </c>
      <c r="H11" s="91">
        <f>SUMIFS(N29:N514,J29:J514,C11,K29:K514,G10)+SUMIF(Q96:Q138,A11,R96:R138)+H16</f>
        <v>0</v>
      </c>
      <c r="I11" s="92" t="s">
        <v>783</v>
      </c>
      <c r="J11" s="91">
        <f>SUMIFS(N29:N514,J29:J514,C11,K29:K514,I10)+SUMIF(Q96:Q138,A11,R96:R138)+J16</f>
        <v>0</v>
      </c>
      <c r="K11" s="92" t="s">
        <v>783</v>
      </c>
      <c r="L11" s="93">
        <f>SUMIFS(N29:N514,J29:J514,C11,K29:K514,K10)+SUMIF(Q96:Q138,A13,R96:R138)+L16</f>
        <v>0</v>
      </c>
      <c r="M11" s="31"/>
      <c r="N11" s="31"/>
      <c r="O11" s="94"/>
      <c r="P11" s="95"/>
      <c r="Q11" s="95"/>
      <c r="R11" s="96"/>
      <c r="S11" s="97"/>
      <c r="T11" s="95"/>
      <c r="U11" s="95"/>
      <c r="V11" s="95"/>
      <c r="W11" s="96"/>
    </row>
    <row r="12">
      <c r="A12" s="88"/>
      <c r="B12" s="89"/>
      <c r="C12" s="90" t="s">
        <v>6080</v>
      </c>
      <c r="D12" s="91">
        <f>SUMIFS(N36:N514,J36:J514,C12,K36:K514,C10)</f>
        <v>138.33</v>
      </c>
      <c r="E12" s="92" t="s">
        <v>6080</v>
      </c>
      <c r="F12" s="91">
        <f>SUMIFS(N29:N514,J29:J514,C12,K29:K514,E10)</f>
        <v>0</v>
      </c>
      <c r="G12" s="92" t="s">
        <v>6080</v>
      </c>
      <c r="H12" s="91">
        <f>SUMIFS(N36:N514,J36:J514,C12,K36:K514,G10)</f>
        <v>0</v>
      </c>
      <c r="I12" s="92" t="s">
        <v>6080</v>
      </c>
      <c r="J12" s="91">
        <f>SUMIFS(N29:N514,J29:J514,C12,K29:K514,I10)</f>
        <v>0</v>
      </c>
      <c r="K12" s="92" t="s">
        <v>6080</v>
      </c>
      <c r="L12" s="93">
        <f>SUMIFS(N29:N514,J29:J514,C12,K29:K514,K10)</f>
        <v>0</v>
      </c>
      <c r="M12" s="31"/>
      <c r="N12" s="31"/>
      <c r="O12" s="94"/>
      <c r="P12" s="95"/>
      <c r="Q12" s="95"/>
      <c r="R12" s="96"/>
      <c r="S12" s="97"/>
      <c r="T12" s="95"/>
      <c r="U12" s="95"/>
      <c r="V12" s="95"/>
      <c r="W12" s="96"/>
    </row>
    <row r="13">
      <c r="A13" s="98"/>
      <c r="B13" s="99"/>
      <c r="C13" s="90" t="s">
        <v>6112</v>
      </c>
      <c r="D13" s="91">
        <f>D12*0.8</f>
        <v>110.664</v>
      </c>
      <c r="E13" s="92" t="s">
        <v>6112</v>
      </c>
      <c r="F13" s="91">
        <f>F12*0.8</f>
        <v>0</v>
      </c>
      <c r="G13" s="92" t="s">
        <v>6112</v>
      </c>
      <c r="H13" s="91">
        <f>H12*0.8</f>
        <v>0</v>
      </c>
      <c r="I13" s="92" t="s">
        <v>6112</v>
      </c>
      <c r="J13" s="91">
        <f>J12*0.8</f>
        <v>0</v>
      </c>
      <c r="K13" s="100" t="s">
        <v>6112</v>
      </c>
      <c r="L13" s="93">
        <f>L12*0.8</f>
        <v>0</v>
      </c>
      <c r="M13" s="31"/>
      <c r="N13" s="31"/>
      <c r="O13" s="94"/>
      <c r="P13" s="95"/>
      <c r="Q13" s="95"/>
      <c r="R13" s="96"/>
      <c r="S13" s="97"/>
      <c r="T13" s="95"/>
      <c r="U13" s="95"/>
      <c r="V13" s="95"/>
      <c r="W13" s="96"/>
    </row>
    <row r="14">
      <c r="A14" s="98"/>
      <c r="B14" s="99"/>
      <c r="C14" s="63" t="s">
        <v>6160</v>
      </c>
      <c r="D14" s="64"/>
      <c r="E14" s="65" t="s">
        <v>6160</v>
      </c>
      <c r="F14" s="64"/>
      <c r="G14" s="65" t="s">
        <v>6160</v>
      </c>
      <c r="H14" s="64"/>
      <c r="I14" s="65" t="s">
        <v>6160</v>
      </c>
      <c r="J14" s="64"/>
      <c r="K14" s="65" t="s">
        <v>6160</v>
      </c>
      <c r="L14" s="67"/>
      <c r="M14" s="31"/>
      <c r="N14" s="31"/>
      <c r="O14" s="94"/>
      <c r="P14" s="95"/>
      <c r="Q14" s="95"/>
      <c r="R14" s="96"/>
      <c r="S14" s="97"/>
      <c r="T14" s="95"/>
      <c r="U14" s="95"/>
      <c r="V14" s="95"/>
      <c r="W14" s="96"/>
    </row>
    <row r="15">
      <c r="A15" s="98"/>
      <c r="B15" s="99"/>
      <c r="C15" s="69" t="s">
        <v>6182</v>
      </c>
      <c r="D15" s="70"/>
      <c r="E15" s="71" t="s">
        <v>6182</v>
      </c>
      <c r="F15" s="72"/>
      <c r="G15" s="71" t="s">
        <v>6182</v>
      </c>
      <c r="H15" s="73"/>
      <c r="I15" s="71" t="s">
        <v>6182</v>
      </c>
      <c r="J15" s="73"/>
      <c r="K15" s="71" t="s">
        <v>6182</v>
      </c>
      <c r="L15" s="74"/>
      <c r="M15" s="31"/>
      <c r="N15" s="31"/>
      <c r="O15" s="94"/>
      <c r="P15" s="95"/>
      <c r="Q15" s="95"/>
      <c r="R15" s="96"/>
      <c r="S15" s="97"/>
      <c r="T15" s="95"/>
      <c r="U15" s="95"/>
      <c r="V15" s="95"/>
      <c r="W15" s="96"/>
    </row>
    <row r="16">
      <c r="A16" s="101"/>
      <c r="B16" s="102"/>
      <c r="C16" s="103" t="s">
        <v>51</v>
      </c>
      <c r="D16" s="104"/>
      <c r="E16" s="105" t="s">
        <v>51</v>
      </c>
      <c r="F16" s="106"/>
      <c r="G16" s="105" t="s">
        <v>51</v>
      </c>
      <c r="H16" s="104"/>
      <c r="I16" s="105" t="s">
        <v>51</v>
      </c>
      <c r="J16" s="104"/>
      <c r="K16" s="105" t="s">
        <v>51</v>
      </c>
      <c r="L16" s="107"/>
      <c r="M16" s="31"/>
      <c r="N16" s="31"/>
      <c r="O16" s="94"/>
      <c r="P16" s="95"/>
      <c r="Q16" s="95"/>
      <c r="R16" s="96"/>
      <c r="S16" s="97"/>
      <c r="T16" s="95"/>
      <c r="U16" s="95"/>
      <c r="V16" s="95"/>
      <c r="W16" s="96"/>
    </row>
    <row r="17">
      <c r="A17" s="87"/>
      <c r="B17" s="87"/>
      <c r="C17" s="31"/>
      <c r="D17" s="31"/>
      <c r="E17" s="108"/>
      <c r="F17" s="108"/>
      <c r="G17" s="108"/>
      <c r="H17" s="108"/>
      <c r="I17" s="108"/>
      <c r="J17" s="108"/>
      <c r="K17" s="108"/>
      <c r="L17" s="108"/>
      <c r="M17" s="31"/>
      <c r="N17" s="31"/>
      <c r="O17" s="94"/>
      <c r="P17" s="95"/>
      <c r="Q17" s="95"/>
      <c r="R17" s="96"/>
      <c r="S17" s="97"/>
      <c r="T17" s="95"/>
      <c r="U17" s="95"/>
      <c r="V17" s="95"/>
      <c r="W17" s="96"/>
    </row>
    <row r="18">
      <c r="A18" s="87"/>
      <c r="B18" s="87"/>
      <c r="C18" s="109"/>
      <c r="D18" s="110"/>
      <c r="E18" s="111" t="s">
        <v>6285</v>
      </c>
      <c r="F18" s="112"/>
      <c r="G18" s="112"/>
      <c r="H18" s="113"/>
      <c r="I18" s="111" t="s">
        <v>6287</v>
      </c>
      <c r="J18" s="113"/>
      <c r="K18" s="111" t="s">
        <v>6290</v>
      </c>
      <c r="L18" s="113"/>
      <c r="M18" s="31"/>
      <c r="N18" s="31"/>
      <c r="O18" s="114"/>
      <c r="P18" s="115"/>
      <c r="Q18" s="115"/>
      <c r="R18" s="115"/>
      <c r="S18" s="116"/>
      <c r="T18" s="115"/>
      <c r="U18" s="115"/>
      <c r="V18" s="115"/>
      <c r="W18" s="117"/>
    </row>
    <row r="19">
      <c r="A19" s="30"/>
      <c r="B19" s="30"/>
      <c r="C19" s="118"/>
      <c r="D19" s="119"/>
      <c r="E19" s="118"/>
      <c r="F19" s="120"/>
      <c r="G19" s="121" t="s">
        <v>6299</v>
      </c>
      <c r="H19" s="122">
        <f>SUMIF(L29:L499,G19,N29:N499)</f>
        <v>0</v>
      </c>
      <c r="I19" s="123" t="s">
        <v>6300</v>
      </c>
      <c r="J19" s="124" t="s">
        <v>6302</v>
      </c>
      <c r="K19" s="125" t="s">
        <v>6304</v>
      </c>
      <c r="L19" s="119"/>
      <c r="M19" s="31"/>
      <c r="N19" s="31"/>
      <c r="O19" s="126"/>
      <c r="P19" s="127"/>
      <c r="Q19" s="127"/>
      <c r="R19" s="127"/>
      <c r="S19" s="128"/>
      <c r="T19" s="129" t="str">
        <f>B7</f>
        <v>Renata</v>
      </c>
      <c r="U19" s="112"/>
      <c r="V19" s="112"/>
      <c r="W19" s="130"/>
    </row>
    <row r="20">
      <c r="A20" s="131"/>
      <c r="B20" s="131"/>
      <c r="C20" s="132" t="s">
        <v>783</v>
      </c>
      <c r="D20" s="133">
        <f>SUMIFS(N29:N504,J29:J504,C20,K29:K504,C19)+SUMIF(Q102:Q138,A9,R102:R138)+D25</f>
        <v>0</v>
      </c>
      <c r="E20" s="132" t="s">
        <v>783</v>
      </c>
      <c r="F20" s="134">
        <f>SUMIFS(N29:N504,J29:J504,C20,K29:K504,E19)+SUMIF(Q102:Q138,A10,R102:R138)+F25</f>
        <v>0</v>
      </c>
      <c r="G20" s="135" t="s">
        <v>6328</v>
      </c>
      <c r="H20" s="136">
        <v>0.0</v>
      </c>
      <c r="I20" s="137">
        <f>SUMIF(J29:J504,I19,N29:N504)</f>
        <v>0</v>
      </c>
      <c r="J20" s="138">
        <f>SUMIF(J29:J504,J19,N29:N504)</f>
        <v>70.07</v>
      </c>
      <c r="K20" s="139" t="s">
        <v>6335</v>
      </c>
      <c r="L20" s="140"/>
      <c r="M20" s="31"/>
      <c r="N20" s="31"/>
      <c r="O20" s="141"/>
      <c r="P20" s="142"/>
      <c r="Q20" s="142"/>
      <c r="R20" s="142"/>
      <c r="S20" s="55"/>
      <c r="T20" s="56" t="str">
        <f>IFERROR(__xludf.DUMMYFUNCTION("query(C28:L507,""select Col1,Col3,Col8,Col9 where (Col8 = 'Adiantamento' or Col8 = 'Consumo') and Col9 = '""&amp;B7&amp;""'"",1)"),"Data")</f>
        <v>Data</v>
      </c>
      <c r="U20" s="56" t="str">
        <f>IFERROR(__xludf.DUMMYFUNCTION("""COMPUTED_VALUE"""),"Valor ")</f>
        <v>Valor </v>
      </c>
      <c r="V20" s="56" t="str">
        <f>IFERROR(__xludf.DUMMYFUNCTION("""COMPUTED_VALUE"""),"Tipo")</f>
        <v>Tipo</v>
      </c>
      <c r="W20" s="57" t="str">
        <f>IFERROR(__xludf.DUMMYFUNCTION("""COMPUTED_VALUE"""),"Funcionário")</f>
        <v>Funcionário</v>
      </c>
    </row>
    <row r="21" ht="19.5" customHeight="1">
      <c r="A21" s="143"/>
      <c r="B21" s="143"/>
      <c r="C21" s="132" t="s">
        <v>6080</v>
      </c>
      <c r="D21" s="133">
        <f>SUMIFS(N29:N504,J29:J504,C21,K29:K504,C19)</f>
        <v>0</v>
      </c>
      <c r="E21" s="132" t="s">
        <v>6080</v>
      </c>
      <c r="F21" s="134">
        <f>SUMIFS(N29:N504,J29:J504,E21,K29:K504,E19)</f>
        <v>0</v>
      </c>
      <c r="G21" s="92" t="s">
        <v>6354</v>
      </c>
      <c r="H21" s="133">
        <f>SUMIFS(N29:N504,D29:D504,"Saída",J29:J504,"Sangria")</f>
        <v>11400</v>
      </c>
      <c r="I21" s="144"/>
      <c r="J21" s="145"/>
      <c r="K21" s="139" t="s">
        <v>6364</v>
      </c>
      <c r="L21" s="140"/>
      <c r="M21" s="31"/>
      <c r="N21" s="31"/>
      <c r="O21" s="114"/>
      <c r="P21" s="59"/>
      <c r="Q21" s="59"/>
      <c r="R21" s="60"/>
      <c r="S21" s="61"/>
      <c r="T21" s="59"/>
      <c r="U21" s="59"/>
      <c r="V21" s="59"/>
      <c r="W21" s="60"/>
    </row>
    <row r="22">
      <c r="A22" s="143"/>
      <c r="B22" s="143"/>
      <c r="C22" s="146" t="s">
        <v>6112</v>
      </c>
      <c r="D22" s="133">
        <f>D21*0.8</f>
        <v>0</v>
      </c>
      <c r="E22" s="146" t="s">
        <v>6112</v>
      </c>
      <c r="F22" s="147">
        <f>F21*0.8</f>
        <v>0</v>
      </c>
      <c r="G22" s="148" t="s">
        <v>6369</v>
      </c>
      <c r="H22" s="149">
        <f>SUMIFS(N29:N504,D29:D504,"Entrada",J29:J504,"Sangria")</f>
        <v>0</v>
      </c>
      <c r="I22" s="150" t="s">
        <v>6370</v>
      </c>
      <c r="J22" s="151"/>
      <c r="K22" s="139" t="s">
        <v>6372</v>
      </c>
      <c r="L22" s="140"/>
      <c r="M22" s="31"/>
      <c r="N22" s="31"/>
      <c r="O22" s="58"/>
      <c r="P22" s="59"/>
      <c r="Q22" s="59"/>
      <c r="R22" s="60"/>
      <c r="S22" s="61"/>
      <c r="T22" s="59"/>
      <c r="U22" s="59"/>
      <c r="V22" s="59"/>
      <c r="W22" s="60"/>
    </row>
    <row r="23">
      <c r="A23" s="152"/>
      <c r="B23" s="152"/>
      <c r="C23" s="153" t="s">
        <v>6160</v>
      </c>
      <c r="D23" s="154"/>
      <c r="E23" s="153" t="s">
        <v>6160</v>
      </c>
      <c r="F23" s="154"/>
      <c r="G23" s="155" t="s">
        <v>6380</v>
      </c>
      <c r="H23" s="156"/>
      <c r="I23" s="157">
        <f>SUMIF(J29:J504,I22,N29:N504)</f>
        <v>0</v>
      </c>
      <c r="J23" s="158"/>
      <c r="K23" s="139" t="s">
        <v>6389</v>
      </c>
      <c r="L23" s="140"/>
      <c r="M23" s="31"/>
      <c r="N23" s="31"/>
      <c r="O23" s="58"/>
      <c r="P23" s="59"/>
      <c r="Q23" s="59"/>
      <c r="R23" s="60"/>
      <c r="S23" s="61"/>
      <c r="T23" s="59"/>
      <c r="U23" s="59"/>
      <c r="V23" s="59"/>
      <c r="W23" s="60"/>
    </row>
    <row r="24">
      <c r="A24" s="159"/>
      <c r="B24" s="159"/>
      <c r="C24" s="160" t="s">
        <v>6182</v>
      </c>
      <c r="D24" s="161"/>
      <c r="E24" s="160" t="s">
        <v>6182</v>
      </c>
      <c r="F24" s="161"/>
      <c r="G24" s="92" t="s">
        <v>6398</v>
      </c>
      <c r="H24" s="163">
        <f>SUMIF(L29:L504,G24,N29:N504)</f>
        <v>0</v>
      </c>
      <c r="I24" s="164" t="s">
        <v>6404</v>
      </c>
      <c r="J24" s="156"/>
      <c r="K24" s="139" t="s">
        <v>6407</v>
      </c>
      <c r="L24" s="140"/>
      <c r="M24" s="31"/>
      <c r="N24" s="31"/>
      <c r="O24" s="58"/>
      <c r="P24" s="59"/>
      <c r="Q24" s="59"/>
      <c r="R24" s="60"/>
      <c r="S24" s="61"/>
      <c r="T24" s="59"/>
      <c r="U24" s="59"/>
      <c r="V24" s="59"/>
      <c r="W24" s="60"/>
    </row>
    <row r="25" ht="14.25" customHeight="1">
      <c r="A25" s="159"/>
      <c r="B25" s="159"/>
      <c r="C25" s="165" t="s">
        <v>51</v>
      </c>
      <c r="D25" s="166"/>
      <c r="E25" s="165" t="s">
        <v>51</v>
      </c>
      <c r="F25" s="166"/>
      <c r="G25" s="167" t="s">
        <v>6416</v>
      </c>
      <c r="H25" s="168">
        <f>SUMIF(L29:L504,G25,N29:N504)</f>
        <v>0</v>
      </c>
      <c r="I25" s="157">
        <f>SUMIF(J29:J504,I24,N29:N504)</f>
        <v>0</v>
      </c>
      <c r="J25" s="158"/>
      <c r="K25" s="169"/>
      <c r="L25" s="170"/>
      <c r="M25" s="32"/>
      <c r="N25" s="32"/>
      <c r="O25" s="58"/>
      <c r="P25" s="59"/>
      <c r="Q25" s="59"/>
      <c r="R25" s="60"/>
      <c r="S25" s="61"/>
      <c r="T25" s="59"/>
      <c r="U25" s="59"/>
      <c r="V25" s="59"/>
      <c r="W25" s="60"/>
    </row>
    <row r="26" ht="14.25" customHeight="1">
      <c r="A26" s="171"/>
      <c r="B26" s="171"/>
      <c r="C26" s="171"/>
      <c r="D26" s="171"/>
      <c r="E26" s="171"/>
      <c r="F26" s="171"/>
      <c r="G26" s="172"/>
      <c r="H26" s="171"/>
      <c r="I26" s="171"/>
      <c r="J26" s="173"/>
      <c r="K26" s="173"/>
      <c r="L26" s="173"/>
      <c r="M26" s="174"/>
      <c r="N26" s="174"/>
      <c r="O26" s="58"/>
      <c r="P26" s="85"/>
      <c r="Q26" s="85"/>
      <c r="R26" s="86"/>
      <c r="S26" s="87"/>
      <c r="T26" s="85"/>
      <c r="U26" s="85"/>
      <c r="V26" s="85"/>
      <c r="W26" s="86"/>
    </row>
    <row r="27">
      <c r="A27" s="175"/>
      <c r="B27" s="176" t="s">
        <v>6426</v>
      </c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10"/>
      <c r="N27" s="174"/>
      <c r="O27" s="94"/>
      <c r="P27" s="95"/>
      <c r="Q27" s="95"/>
      <c r="R27" s="96"/>
      <c r="S27" s="97"/>
      <c r="T27" s="95"/>
      <c r="U27" s="95"/>
      <c r="V27" s="95"/>
      <c r="W27" s="96"/>
    </row>
    <row r="28">
      <c r="A28" s="178"/>
      <c r="B28" s="179" t="s">
        <v>0</v>
      </c>
      <c r="C28" s="180" t="s">
        <v>10</v>
      </c>
      <c r="D28" s="181" t="s">
        <v>18</v>
      </c>
      <c r="E28" s="180" t="s">
        <v>21</v>
      </c>
      <c r="F28" s="181"/>
      <c r="G28" s="181" t="s">
        <v>6</v>
      </c>
      <c r="H28" s="182"/>
      <c r="I28" s="183" t="s">
        <v>47</v>
      </c>
      <c r="J28" s="181" t="s">
        <v>52</v>
      </c>
      <c r="K28" s="180" t="s">
        <v>38</v>
      </c>
      <c r="L28" s="184" t="s">
        <v>6443</v>
      </c>
      <c r="M28" s="185" t="s">
        <v>5</v>
      </c>
      <c r="N28" s="174"/>
      <c r="O28" s="94"/>
      <c r="P28" s="95"/>
      <c r="Q28" s="95"/>
      <c r="R28" s="96"/>
      <c r="S28" s="97"/>
      <c r="T28" s="95"/>
      <c r="U28" s="95"/>
      <c r="V28" s="95"/>
      <c r="W28" s="96"/>
    </row>
    <row r="29">
      <c r="A29" s="186"/>
      <c r="B29" s="13">
        <v>1957780.0</v>
      </c>
      <c r="C29" s="14">
        <v>46048.70038194444</v>
      </c>
      <c r="D29" s="187" t="s">
        <v>97</v>
      </c>
      <c r="E29" s="188" t="s">
        <v>8279</v>
      </c>
      <c r="F29" s="189"/>
      <c r="G29" s="187" t="s">
        <v>6584</v>
      </c>
      <c r="H29" s="190"/>
      <c r="I29" s="190"/>
      <c r="J29" s="191" t="s">
        <v>6080</v>
      </c>
      <c r="K29" s="191" t="s">
        <v>6197</v>
      </c>
      <c r="L29" s="192" t="str">
        <f>IFERROR(__xludf.DUMMYFUNCTION("IF(
  AND(D29=""Saída"", J29=""Sangria""),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193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94">
        <f>IFERROR(__xludf.DUMMYFUNCTION("ifna(VALUE(REGEXEXTRACT(E29,""[0-9.]+[,]+[0-9]+"")))"),33.46)</f>
        <v>33.46</v>
      </c>
      <c r="O29" s="94"/>
      <c r="P29" s="95"/>
      <c r="Q29" s="95"/>
      <c r="R29" s="96"/>
      <c r="S29" s="97"/>
      <c r="T29" s="95"/>
      <c r="U29" s="95"/>
      <c r="V29" s="95"/>
      <c r="W29" s="96"/>
    </row>
    <row r="30" ht="14.25" customHeight="1">
      <c r="A30" s="186"/>
      <c r="B30" s="13">
        <v>1958021.0</v>
      </c>
      <c r="C30" s="14">
        <v>46048.7515162037</v>
      </c>
      <c r="D30" s="187" t="s">
        <v>97</v>
      </c>
      <c r="E30" s="188" t="s">
        <v>7283</v>
      </c>
      <c r="F30" s="189"/>
      <c r="G30" s="187" t="s">
        <v>8283</v>
      </c>
      <c r="H30" s="195"/>
      <c r="I30" s="195"/>
      <c r="J30" s="196" t="s">
        <v>6469</v>
      </c>
      <c r="K30" s="196"/>
      <c r="L30" s="192" t="str">
        <f>IFERROR(__xludf.DUMMYFUNCTION("IF(
  AND(D30=""Saída"", J30=""Sangria""),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197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94">
        <f>IFERROR(__xludf.DUMMYFUNCTION("ifna(VALUE(REGEXEXTRACT(E30,""[0-9.]+[,]+[0-9]+"")))"),71.0)</f>
        <v>71</v>
      </c>
      <c r="O30" s="94"/>
      <c r="P30" s="95"/>
      <c r="Q30" s="95"/>
      <c r="R30" s="96"/>
      <c r="S30" s="97"/>
      <c r="T30" s="95"/>
      <c r="U30" s="95"/>
      <c r="V30" s="95"/>
      <c r="W30" s="96"/>
    </row>
    <row r="31" ht="14.25" customHeight="1">
      <c r="A31" s="186"/>
      <c r="B31" s="13">
        <v>1958198.0</v>
      </c>
      <c r="C31" s="14">
        <v>46048.79840277778</v>
      </c>
      <c r="D31" s="187" t="s">
        <v>97</v>
      </c>
      <c r="E31" s="188" t="s">
        <v>8285</v>
      </c>
      <c r="F31" s="189"/>
      <c r="G31" s="187" t="s">
        <v>282</v>
      </c>
      <c r="H31" s="195"/>
      <c r="I31" s="195"/>
      <c r="J31" s="196" t="s">
        <v>6080</v>
      </c>
      <c r="K31" s="196" t="s">
        <v>6111</v>
      </c>
      <c r="L31" s="192" t="str">
        <f>IFERROR(__xludf.DUMMYFUNCTION("IF(
  AND(D31=""Saída"", J31=""Sangria""),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198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94">
        <f>IFERROR(__xludf.DUMMYFUNCTION("ifna(VALUE(REGEXEXTRACT(E31,""[0-9.]+[,]+[0-9]+"")))"),11.7)</f>
        <v>11.7</v>
      </c>
      <c r="O31" s="94"/>
      <c r="P31" s="95"/>
      <c r="Q31" s="95"/>
      <c r="R31" s="96"/>
      <c r="S31" s="97"/>
      <c r="T31" s="95"/>
      <c r="U31" s="95"/>
      <c r="V31" s="95"/>
      <c r="W31" s="96"/>
    </row>
    <row r="32" ht="14.25" customHeight="1">
      <c r="A32" s="186"/>
      <c r="B32" s="13">
        <v>1958595.0</v>
      </c>
      <c r="C32" s="14">
        <v>46048.903495370374</v>
      </c>
      <c r="D32" s="187" t="s">
        <v>97</v>
      </c>
      <c r="E32" s="188" t="s">
        <v>8288</v>
      </c>
      <c r="F32" s="189"/>
      <c r="G32" s="187" t="s">
        <v>8289</v>
      </c>
      <c r="H32" s="195"/>
      <c r="I32" s="195"/>
      <c r="J32" s="196" t="s">
        <v>6446</v>
      </c>
      <c r="K32" s="196"/>
      <c r="L32" s="192" t="str">
        <f>IFERROR(__xludf.DUMMYFUNCTION("IF(
  AND(D32=""Saída"", J32=""Sangria""),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199" t="str">
        <f>IFERROR(__xludf.DUMMYFUNCTION("IF(J32=""Compra de Mercadorias"",
   IF(
      COUNTIF(ARRAYFORMULA(TRIM(CLEAN(TO_TEXT(Notas!BS:BS)))), TRIM(CLEAN(TO_TEXT(B32)))) &gt; 0,
      ""Encontrada"",
      ""Não Encontrada""
   ),
"""")"),"Encontrada")</f>
        <v>Encontrada</v>
      </c>
      <c r="N32" s="194">
        <f>IFERROR(__xludf.DUMMYFUNCTION("ifna(VALUE(REGEXEXTRACT(E32,""[0-9.]+[,]+[0-9]+"")))"),207.39)</f>
        <v>207.39</v>
      </c>
      <c r="O32" s="94"/>
      <c r="P32" s="95"/>
      <c r="Q32" s="95"/>
      <c r="R32" s="96"/>
      <c r="S32" s="97"/>
      <c r="T32" s="95"/>
      <c r="U32" s="95"/>
      <c r="V32" s="95"/>
      <c r="W32" s="96"/>
    </row>
    <row r="33" ht="14.25" customHeight="1">
      <c r="A33" s="186"/>
      <c r="B33" s="13">
        <v>1958677.0</v>
      </c>
      <c r="C33" s="14">
        <v>46048.914826388886</v>
      </c>
      <c r="D33" s="187" t="s">
        <v>97</v>
      </c>
      <c r="E33" s="188" t="s">
        <v>1090</v>
      </c>
      <c r="F33" s="189"/>
      <c r="G33" s="187" t="s">
        <v>6474</v>
      </c>
      <c r="H33" s="195"/>
      <c r="I33" s="195"/>
      <c r="J33" s="196" t="s">
        <v>6080</v>
      </c>
      <c r="K33" s="196" t="s">
        <v>6111</v>
      </c>
      <c r="L33" s="192" t="str">
        <f>IFERROR(__xludf.DUMMYFUNCTION("IF(
  AND(D33=""Saída"", J33=""Sangria""),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198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94">
        <f>IFERROR(__xludf.DUMMYFUNCTION("ifna(VALUE(REGEXEXTRACT(E33,""[0-9.]+[,]+[0-9]+"")))"),10.0)</f>
        <v>10</v>
      </c>
      <c r="O33" s="94"/>
      <c r="P33" s="95"/>
      <c r="Q33" s="95"/>
      <c r="R33" s="96"/>
      <c r="S33" s="97"/>
      <c r="T33" s="95"/>
      <c r="U33" s="95"/>
      <c r="V33" s="95"/>
      <c r="W33" s="96"/>
    </row>
    <row r="34" ht="14.25" customHeight="1">
      <c r="A34" s="186"/>
      <c r="B34" s="13">
        <v>1958690.0</v>
      </c>
      <c r="C34" s="14">
        <v>46048.91572916666</v>
      </c>
      <c r="D34" s="187" t="s">
        <v>97</v>
      </c>
      <c r="E34" s="188" t="s">
        <v>163</v>
      </c>
      <c r="F34" s="200"/>
      <c r="G34" s="187" t="s">
        <v>8294</v>
      </c>
      <c r="H34" s="195"/>
      <c r="I34" s="195"/>
      <c r="J34" s="196"/>
      <c r="K34" s="196"/>
      <c r="L34" s="192" t="str">
        <f>IFERROR(__xludf.DUMMYFUNCTION("IF(
  AND(D34=""Saída"", J34=""Sangria""),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197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94">
        <f>IFERROR(__xludf.DUMMYFUNCTION("ifna(VALUE(REGEXEXTRACT(E34,""[0-9.]+[,]+[0-9]+"")))"),0.01)</f>
        <v>0.01</v>
      </c>
      <c r="O34" s="114"/>
      <c r="P34" s="115"/>
      <c r="Q34" s="115"/>
      <c r="R34" s="115"/>
      <c r="S34" s="116"/>
      <c r="T34" s="115"/>
      <c r="U34" s="115"/>
      <c r="V34" s="115"/>
      <c r="W34" s="117"/>
    </row>
    <row r="35" ht="18.75" customHeight="1">
      <c r="A35" s="186"/>
      <c r="B35" s="13">
        <v>1959318.0</v>
      </c>
      <c r="C35" s="14">
        <v>46049.555613425924</v>
      </c>
      <c r="D35" s="187" t="s">
        <v>97</v>
      </c>
      <c r="E35" s="188" t="s">
        <v>8296</v>
      </c>
      <c r="F35" s="189"/>
      <c r="G35" s="187" t="s">
        <v>8297</v>
      </c>
      <c r="H35" s="195"/>
      <c r="I35" s="195"/>
      <c r="J35" s="196" t="s">
        <v>6446</v>
      </c>
      <c r="K35" s="196"/>
      <c r="L35" s="192" t="str">
        <f>IFERROR(__xludf.DUMMYFUNCTION("IF(
  AND(D35=""Saída"", J35=""Sangria""),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198" t="str">
        <f>IFERROR(__xludf.DUMMYFUNCTION("IF(J35=""Compra de Mercadorias"",
   IF(
      COUNTIF(ARRAYFORMULA(TRIM(CLEAN(TO_TEXT(Notas!BS:BS)))), TRIM(CLEAN(TO_TEXT(B35)))) &gt; 0,
      ""Encontrada"",
      ""Não Encontrada""
   ),
"""")"),"Encontrada")</f>
        <v>Encontrada</v>
      </c>
      <c r="N35" s="194">
        <f>IFERROR(__xludf.DUMMYFUNCTION("ifna(VALUE(REGEXEXTRACT(E35,""[0-9.]+[,]+[0-9]+"")))"),133.0)</f>
        <v>133</v>
      </c>
      <c r="O35" s="31"/>
      <c r="P35" s="31"/>
      <c r="Q35" s="31"/>
      <c r="R35" s="31"/>
      <c r="S35" s="31"/>
      <c r="T35" s="31"/>
      <c r="U35" s="31"/>
      <c r="V35" s="31"/>
      <c r="W35" s="31"/>
    </row>
    <row r="36" ht="14.25" customHeight="1">
      <c r="A36" s="186"/>
      <c r="B36" s="13">
        <v>1959771.0</v>
      </c>
      <c r="C36" s="14">
        <v>46049.69792824074</v>
      </c>
      <c r="D36" s="187" t="s">
        <v>97</v>
      </c>
      <c r="E36" s="188" t="s">
        <v>233</v>
      </c>
      <c r="F36" s="189"/>
      <c r="G36" s="187" t="s">
        <v>151</v>
      </c>
      <c r="H36" s="195"/>
      <c r="I36" s="195"/>
      <c r="J36" s="196" t="s">
        <v>6080</v>
      </c>
      <c r="K36" s="196" t="s">
        <v>6111</v>
      </c>
      <c r="L36" s="192" t="str">
        <f>IFERROR(__xludf.DUMMYFUNCTION("IF(
  AND(D36=""Saída"", J36=""Sangria""),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197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94">
        <f>IFERROR(__xludf.DUMMYFUNCTION("ifna(VALUE(REGEXEXTRACT(E36,""[0-9.]+[,]+[0-9]+"")))"),19.0)</f>
        <v>19</v>
      </c>
      <c r="O36" s="31"/>
      <c r="P36" s="31"/>
      <c r="Q36" s="31"/>
      <c r="R36" s="31"/>
      <c r="S36" s="31"/>
      <c r="T36" s="31"/>
      <c r="U36" s="31"/>
      <c r="V36" s="31"/>
      <c r="W36" s="31"/>
    </row>
    <row r="37" ht="14.25" customHeight="1">
      <c r="A37" s="186"/>
      <c r="B37" s="13">
        <v>1959849.0</v>
      </c>
      <c r="C37" s="14">
        <v>46049.715266203704</v>
      </c>
      <c r="D37" s="187" t="s">
        <v>97</v>
      </c>
      <c r="E37" s="188" t="s">
        <v>7283</v>
      </c>
      <c r="F37" s="189"/>
      <c r="G37" s="187" t="s">
        <v>8299</v>
      </c>
      <c r="H37" s="195"/>
      <c r="I37" s="195"/>
      <c r="J37" s="196" t="s">
        <v>6469</v>
      </c>
      <c r="K37" s="196"/>
      <c r="L37" s="192" t="str">
        <f>IFERROR(__xludf.DUMMYFUNCTION("IF(
  AND(D37=""Saída"", J37=""Sangria""),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01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94">
        <f>IFERROR(__xludf.DUMMYFUNCTION("ifna(VALUE(REGEXEXTRACT(E37,""[0-9.]+[,]+[0-9]+"")))"),71.0)</f>
        <v>71</v>
      </c>
      <c r="O37" s="31"/>
      <c r="P37" s="31"/>
      <c r="Q37" s="31"/>
      <c r="R37" s="31"/>
      <c r="S37" s="31"/>
      <c r="T37" s="31"/>
      <c r="U37" s="31"/>
      <c r="V37" s="31"/>
      <c r="W37" s="31"/>
    </row>
    <row r="38" ht="14.25" customHeight="1">
      <c r="A38" s="186"/>
      <c r="B38" s="13">
        <v>1960197.0</v>
      </c>
      <c r="C38" s="14">
        <v>46049.79542824074</v>
      </c>
      <c r="D38" s="187" t="s">
        <v>97</v>
      </c>
      <c r="E38" s="188" t="s">
        <v>8302</v>
      </c>
      <c r="F38" s="200"/>
      <c r="G38" s="187" t="s">
        <v>282</v>
      </c>
      <c r="H38" s="195"/>
      <c r="I38" s="195"/>
      <c r="J38" s="196" t="s">
        <v>6080</v>
      </c>
      <c r="K38" s="196" t="s">
        <v>6111</v>
      </c>
      <c r="L38" s="192" t="str">
        <f>IFERROR(__xludf.DUMMYFUNCTION("IF(
  AND(D38=""Saída"", J38=""Sangria""),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197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94">
        <f>IFERROR(__xludf.DUMMYFUNCTION("ifna(VALUE(REGEXEXTRACT(E38,""[0-9.]+[,]+[0-9]+"")))"),12.33)</f>
        <v>12.33</v>
      </c>
      <c r="O38" s="31"/>
      <c r="P38" s="31"/>
      <c r="Q38" s="31"/>
      <c r="R38" s="31"/>
      <c r="S38" s="31"/>
      <c r="T38" s="31"/>
      <c r="U38" s="31"/>
      <c r="V38" s="31"/>
      <c r="W38" s="31"/>
    </row>
    <row r="39" ht="21.75" customHeight="1">
      <c r="A39" s="186"/>
      <c r="B39" s="13">
        <v>1960331.0</v>
      </c>
      <c r="C39" s="14">
        <v>46049.84756944444</v>
      </c>
      <c r="D39" s="187" t="s">
        <v>97</v>
      </c>
      <c r="E39" s="188" t="s">
        <v>281</v>
      </c>
      <c r="F39" s="189"/>
      <c r="G39" s="187" t="s">
        <v>6501</v>
      </c>
      <c r="H39" s="195"/>
      <c r="I39" s="195"/>
      <c r="J39" s="196" t="s">
        <v>6080</v>
      </c>
      <c r="K39" s="196" t="s">
        <v>6197</v>
      </c>
      <c r="L39" s="192" t="str">
        <f>IFERROR(__xludf.DUMMYFUNCTION("IF(
  AND(D39=""Saída"", J39=""Sangria""),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198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94">
        <f>IFERROR(__xludf.DUMMYFUNCTION("ifna(VALUE(REGEXEXTRACT(E39,""[0-9.]+[,]+[0-9]+"")))"),19.9)</f>
        <v>19.9</v>
      </c>
      <c r="O39" s="31"/>
      <c r="P39" s="31"/>
      <c r="Q39" s="31"/>
      <c r="R39" s="31"/>
      <c r="S39" s="31"/>
      <c r="T39" s="31"/>
      <c r="U39" s="31"/>
      <c r="V39" s="31"/>
      <c r="W39" s="31"/>
    </row>
    <row r="40" ht="14.25" customHeight="1">
      <c r="A40" s="186"/>
      <c r="B40" s="277">
        <v>1961314.0</v>
      </c>
      <c r="C40" s="278">
        <v>46050.49170138889</v>
      </c>
      <c r="D40" s="279" t="s">
        <v>97</v>
      </c>
      <c r="E40" s="280" t="s">
        <v>8305</v>
      </c>
      <c r="F40" s="200"/>
      <c r="G40" s="279" t="s">
        <v>1042</v>
      </c>
      <c r="H40" s="195"/>
      <c r="I40" s="195"/>
      <c r="J40" s="196" t="s">
        <v>6080</v>
      </c>
      <c r="K40" s="196" t="s">
        <v>6111</v>
      </c>
      <c r="L40" s="192" t="str">
        <f>IFERROR(__xludf.DUMMYFUNCTION("IF(
  AND(D40=""Saída"", J40=""Sangria""),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197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94">
        <f>IFERROR(__xludf.DUMMYFUNCTION("ifna(VALUE(REGEXEXTRACT(E40,""[0-9.]+[,]+[0-9]+"")))"),34.34)</f>
        <v>34.34</v>
      </c>
      <c r="O40" s="31"/>
      <c r="P40" s="31"/>
      <c r="Q40" s="31"/>
      <c r="R40" s="31"/>
      <c r="S40" s="31"/>
      <c r="T40" s="31"/>
      <c r="U40" s="31"/>
      <c r="V40" s="31"/>
      <c r="W40" s="31"/>
    </row>
    <row r="41" ht="14.25" customHeight="1">
      <c r="A41" s="186"/>
      <c r="B41" s="277"/>
      <c r="C41" s="278"/>
      <c r="D41" s="279"/>
      <c r="E41" s="280"/>
      <c r="F41" s="200"/>
      <c r="G41" s="281"/>
      <c r="H41" s="195"/>
      <c r="I41" s="195"/>
      <c r="J41" s="196"/>
      <c r="K41" s="196"/>
      <c r="L41" s="192" t="str">
        <f>IFERROR(__xludf.DUMMYFUNCTION("IF(
  AND(D41=""Saída"", J41=""Sangria""),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201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94" t="str">
        <f>IFERROR(__xludf.DUMMYFUNCTION("ifna(VALUE(REGEXEXTRACT(E41,""[0-9.]+[,]+[0-9]+"")))"),"")</f>
        <v/>
      </c>
      <c r="O41" s="31"/>
      <c r="P41" s="31"/>
      <c r="Q41" s="31"/>
      <c r="R41" s="31"/>
      <c r="S41" s="31"/>
      <c r="T41" s="31"/>
      <c r="U41" s="31"/>
      <c r="V41" s="31"/>
      <c r="W41" s="31"/>
    </row>
    <row r="42" ht="14.25" customHeight="1">
      <c r="A42" s="186"/>
      <c r="B42" s="13">
        <v>1961312.0</v>
      </c>
      <c r="C42" s="14">
        <v>46050.49170138889</v>
      </c>
      <c r="D42" s="187" t="s">
        <v>97</v>
      </c>
      <c r="E42" s="188" t="s">
        <v>8308</v>
      </c>
      <c r="F42" s="189"/>
      <c r="G42" s="282" t="s">
        <v>282</v>
      </c>
      <c r="H42" s="195"/>
      <c r="I42" s="195"/>
      <c r="J42" s="196"/>
      <c r="K42" s="196"/>
      <c r="L42" s="192" t="str">
        <f>IFERROR(__xludf.DUMMYFUNCTION("IF(
  AND(D42=""Saída"", J42=""Sangria""),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197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94">
        <f>IFERROR(__xludf.DUMMYFUNCTION("ifna(VALUE(REGEXEXTRACT(E42,""[0-9.]+[,]+[0-9]+"")))"),31.95)</f>
        <v>31.95</v>
      </c>
      <c r="O42" s="31"/>
      <c r="P42" s="31"/>
      <c r="Q42" s="31"/>
      <c r="R42" s="31"/>
      <c r="S42" s="31"/>
      <c r="T42" s="31"/>
      <c r="U42" s="31"/>
      <c r="V42" s="31"/>
      <c r="W42" s="31"/>
    </row>
    <row r="43" ht="14.25" customHeight="1">
      <c r="A43" s="186"/>
      <c r="B43" s="13">
        <v>1961313.0</v>
      </c>
      <c r="C43" s="14">
        <v>46050.49170138889</v>
      </c>
      <c r="D43" s="187" t="s">
        <v>97</v>
      </c>
      <c r="E43" s="188" t="s">
        <v>8311</v>
      </c>
      <c r="F43" s="189"/>
      <c r="G43" s="283" t="s">
        <v>157</v>
      </c>
      <c r="H43" s="202"/>
      <c r="I43" s="202"/>
      <c r="J43" s="196"/>
      <c r="K43" s="196"/>
      <c r="L43" s="192" t="str">
        <f>IFERROR(__xludf.DUMMYFUNCTION("IF(
  AND(D43=""Saída"", J43=""Sangria""),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03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94">
        <f>IFERROR(__xludf.DUMMYFUNCTION("ifna(VALUE(REGEXEXTRACT(E43,""[0-9.]+[,]+[0-9]+"")))"),2.39)</f>
        <v>2.39</v>
      </c>
      <c r="O43" s="31"/>
      <c r="P43" s="31"/>
      <c r="Q43" s="31"/>
      <c r="R43" s="31"/>
      <c r="S43" s="31"/>
      <c r="T43" s="31"/>
      <c r="U43" s="31"/>
      <c r="V43" s="31"/>
      <c r="W43" s="31"/>
    </row>
    <row r="44" ht="14.25" customHeight="1">
      <c r="A44" s="186"/>
      <c r="B44" s="13">
        <v>1961314.0</v>
      </c>
      <c r="C44" s="14">
        <v>46050.49170138889</v>
      </c>
      <c r="D44" s="187" t="s">
        <v>97</v>
      </c>
      <c r="E44" s="188" t="s">
        <v>8305</v>
      </c>
      <c r="F44" s="200"/>
      <c r="G44" s="283" t="s">
        <v>8314</v>
      </c>
      <c r="H44" s="202"/>
      <c r="I44" s="202"/>
      <c r="J44" s="196"/>
      <c r="K44" s="196"/>
      <c r="L44" s="192" t="str">
        <f>IFERROR(__xludf.DUMMYFUNCTION("IF(
  AND(D44=""Saída"", J44=""Sangria""),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197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94">
        <f>IFERROR(__xludf.DUMMYFUNCTION("ifna(VALUE(REGEXEXTRACT(E44,""[0-9.]+[,]+[0-9]+"")))"),34.34)</f>
        <v>34.34</v>
      </c>
      <c r="O44" s="31"/>
      <c r="P44" s="31"/>
      <c r="Q44" s="31"/>
      <c r="R44" s="31"/>
      <c r="S44" s="31"/>
      <c r="T44" s="31"/>
      <c r="U44" s="31"/>
      <c r="V44" s="31"/>
      <c r="W44" s="31"/>
    </row>
    <row r="45" ht="14.25" customHeight="1">
      <c r="A45" s="186"/>
      <c r="B45" s="13">
        <v>1961315.0</v>
      </c>
      <c r="C45" s="14">
        <v>46050.49170138889</v>
      </c>
      <c r="D45" s="187" t="s">
        <v>97</v>
      </c>
      <c r="E45" s="188" t="s">
        <v>8311</v>
      </c>
      <c r="F45" s="189"/>
      <c r="G45" s="282" t="s">
        <v>282</v>
      </c>
      <c r="H45" s="204"/>
      <c r="I45" s="204"/>
      <c r="J45" s="196"/>
      <c r="K45" s="196"/>
      <c r="L45" s="192" t="str">
        <f>IFERROR(__xludf.DUMMYFUNCTION("IF(
  AND(D45=""Saída"", J45=""Sangria""),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198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94">
        <f>IFERROR(__xludf.DUMMYFUNCTION("ifna(VALUE(REGEXEXTRACT(E45,""[0-9.]+[,]+[0-9]+"")))"),2.39)</f>
        <v>2.39</v>
      </c>
      <c r="O45" s="31"/>
      <c r="P45" s="31"/>
      <c r="Q45" s="31"/>
      <c r="R45" s="31"/>
      <c r="S45" s="31"/>
      <c r="T45" s="31"/>
      <c r="U45" s="31"/>
      <c r="V45" s="31"/>
      <c r="W45" s="31"/>
    </row>
    <row r="46" ht="18.75" customHeight="1">
      <c r="A46" s="186"/>
      <c r="B46" s="13">
        <v>1962321.0</v>
      </c>
      <c r="C46" s="14">
        <v>46050.653125</v>
      </c>
      <c r="D46" s="187" t="s">
        <v>97</v>
      </c>
      <c r="E46" s="188" t="s">
        <v>8318</v>
      </c>
      <c r="F46" s="189"/>
      <c r="G46" s="187" t="s">
        <v>8319</v>
      </c>
      <c r="H46" s="204"/>
      <c r="I46" s="204"/>
      <c r="J46" s="196" t="s">
        <v>6446</v>
      </c>
      <c r="K46" s="196"/>
      <c r="L46" s="192" t="str">
        <f>IFERROR(__xludf.DUMMYFUNCTION("IF(
  AND(D46=""Saída"", J46=""Sangria""),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197" t="str">
        <f>IFERROR(__xludf.DUMMYFUNCTION("IF(J46=""Compra de Mercadorias"",
   IF(
      COUNTIF(ARRAYFORMULA(TRIM(CLEAN(TO_TEXT(Notas!BS:BS)))), TRIM(CLEAN(TO_TEXT(B46)))) &gt; 0,
      ""Encontrada"",
      ""Não Encontrada""
   ),
"""")"),"Encontrada")</f>
        <v>Encontrada</v>
      </c>
      <c r="N46" s="194">
        <f>IFERROR(__xludf.DUMMYFUNCTION("ifna(VALUE(REGEXEXTRACT(E46,""[0-9.]+[,]+[0-9]+"")))"),33.0)</f>
        <v>33</v>
      </c>
      <c r="O46" s="31"/>
      <c r="P46" s="31"/>
      <c r="Q46" s="31"/>
      <c r="R46" s="31"/>
      <c r="S46" s="31"/>
      <c r="T46" s="31"/>
      <c r="U46" s="31"/>
      <c r="V46" s="31"/>
      <c r="W46" s="31"/>
    </row>
    <row r="47" ht="14.25" customHeight="1">
      <c r="A47" s="186"/>
      <c r="B47" s="13">
        <v>1962324.0</v>
      </c>
      <c r="C47" s="14">
        <v>46050.65526620371</v>
      </c>
      <c r="D47" s="187" t="s">
        <v>97</v>
      </c>
      <c r="E47" s="188" t="s">
        <v>8321</v>
      </c>
      <c r="F47" s="189"/>
      <c r="G47" s="187" t="s">
        <v>8322</v>
      </c>
      <c r="H47" s="204"/>
      <c r="I47" s="204"/>
      <c r="J47" s="196" t="s">
        <v>6446</v>
      </c>
      <c r="K47" s="196"/>
      <c r="L47" s="192" t="str">
        <f>IFERROR(__xludf.DUMMYFUNCTION("IF(
  AND(D47=""Saída"", J47=""Sangria""),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198" t="str">
        <f>IFERROR(__xludf.DUMMYFUNCTION("IF(J47=""Compra de Mercadorias"",
   IF(
      COUNTIF(ARRAYFORMULA(TRIM(CLEAN(TO_TEXT(Notas!BS:BS)))), TRIM(CLEAN(TO_TEXT(B47)))) &gt; 0,
      ""Encontrada"",
      ""Não Encontrada""
   ),
"""")"),"Encontrada")</f>
        <v>Encontrada</v>
      </c>
      <c r="N47" s="194">
        <f>IFERROR(__xludf.DUMMYFUNCTION("ifna(VALUE(REGEXEXTRACT(E47,""[0-9.]+[,]+[0-9]+"")))"),19.6)</f>
        <v>19.6</v>
      </c>
      <c r="O47" s="31"/>
      <c r="P47" s="31"/>
      <c r="Q47" s="31"/>
      <c r="R47" s="31"/>
      <c r="S47" s="31"/>
      <c r="T47" s="31"/>
      <c r="U47" s="31"/>
      <c r="V47" s="31"/>
      <c r="W47" s="31"/>
    </row>
    <row r="48">
      <c r="A48" s="186"/>
      <c r="B48" s="13">
        <v>1962532.0</v>
      </c>
      <c r="C48" s="14">
        <v>46050.69862268519</v>
      </c>
      <c r="D48" s="187" t="s">
        <v>97</v>
      </c>
      <c r="E48" s="188" t="s">
        <v>7544</v>
      </c>
      <c r="F48" s="189"/>
      <c r="G48" s="187" t="s">
        <v>6501</v>
      </c>
      <c r="H48" s="204"/>
      <c r="I48" s="204"/>
      <c r="J48" s="196" t="s">
        <v>6080</v>
      </c>
      <c r="K48" s="196" t="s">
        <v>6197</v>
      </c>
      <c r="L48" s="192" t="str">
        <f>IFERROR(__xludf.DUMMYFUNCTION("IF(
  AND(D48=""Saída"", J48=""Sangria""),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197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94">
        <f>IFERROR(__xludf.DUMMYFUNCTION("ifna(VALUE(REGEXEXTRACT(E48,""[0-9.]+[,]+[0-9]+"")))"),13.0)</f>
        <v>13</v>
      </c>
      <c r="O48" s="205" t="str">
        <f>B8</f>
        <v>Joice</v>
      </c>
      <c r="P48" s="112"/>
      <c r="Q48" s="112"/>
      <c r="R48" s="112"/>
      <c r="S48" s="128"/>
      <c r="T48" s="129" t="str">
        <f>B9</f>
        <v>Fernando</v>
      </c>
      <c r="U48" s="112"/>
      <c r="V48" s="112"/>
      <c r="W48" s="130"/>
    </row>
    <row r="49" ht="14.25" customHeight="1">
      <c r="A49" s="186"/>
      <c r="B49" s="13">
        <v>1962607.0</v>
      </c>
      <c r="C49" s="14">
        <v>46050.71471064815</v>
      </c>
      <c r="D49" s="187" t="s">
        <v>97</v>
      </c>
      <c r="E49" s="188" t="s">
        <v>7689</v>
      </c>
      <c r="F49" s="189"/>
      <c r="G49" s="187" t="s">
        <v>8327</v>
      </c>
      <c r="H49" s="204"/>
      <c r="I49" s="204"/>
      <c r="J49" s="196" t="s">
        <v>6469</v>
      </c>
      <c r="K49" s="196"/>
      <c r="L49" s="192" t="str">
        <f>IFERROR(__xludf.DUMMYFUNCTION("IF(
  AND(D49=""Saída"", J49=""Sangria""),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198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94">
        <f>IFERROR(__xludf.DUMMYFUNCTION("ifna(VALUE(REGEXEXTRACT(E49,""[0-9.]+[,]+[0-9]+"")))"),52.0)</f>
        <v>52</v>
      </c>
      <c r="O49" s="52" t="str">
        <f>IFERROR(__xludf.DUMMYFUNCTION("query(C28:L507,""select Col1,Col3,Col8,Col9 where (Col8 = 'Adiantamento' or Col8 = 'Consumo') and Col9 = '""&amp;B8&amp;""'"",1)"),"Data")</f>
        <v>Data</v>
      </c>
      <c r="P49" s="53" t="str">
        <f>IFERROR(__xludf.DUMMYFUNCTION("""COMPUTED_VALUE"""),"Valor ")</f>
        <v>Valor </v>
      </c>
      <c r="Q49" s="53" t="str">
        <f>IFERROR(__xludf.DUMMYFUNCTION("""COMPUTED_VALUE"""),"Tipo")</f>
        <v>Tipo</v>
      </c>
      <c r="R49" s="53" t="str">
        <f>IFERROR(__xludf.DUMMYFUNCTION("""COMPUTED_VALUE"""),"Funcionário")</f>
        <v>Funcionário</v>
      </c>
      <c r="S49" s="55"/>
      <c r="T49" s="56" t="str">
        <f>IFERROR(__xludf.DUMMYFUNCTION("query(C28:L507,""select Col1,Col3,Col8,Col9 where (Col8 = 'Adiantamento' or Col8 = 'Consumo') and Col9 = '""&amp;B9&amp;""'"",1)"),"Data")</f>
        <v>Data</v>
      </c>
      <c r="U49" s="56" t="str">
        <f>IFERROR(__xludf.DUMMYFUNCTION("""COMPUTED_VALUE"""),"Valor ")</f>
        <v>Valor </v>
      </c>
      <c r="V49" s="56" t="str">
        <f>IFERROR(__xludf.DUMMYFUNCTION("""COMPUTED_VALUE"""),"Tipo")</f>
        <v>Tipo</v>
      </c>
      <c r="W49" s="57" t="str">
        <f>IFERROR(__xludf.DUMMYFUNCTION("""COMPUTED_VALUE"""),"Funcionário")</f>
        <v>Funcionário</v>
      </c>
    </row>
    <row r="50" ht="14.25" customHeight="1">
      <c r="A50" s="186"/>
      <c r="B50" s="13">
        <v>1962624.0</v>
      </c>
      <c r="C50" s="14">
        <v>46050.71806712963</v>
      </c>
      <c r="D50" s="187" t="s">
        <v>97</v>
      </c>
      <c r="E50" s="188" t="s">
        <v>623</v>
      </c>
      <c r="F50" s="189"/>
      <c r="G50" s="187" t="s">
        <v>8332</v>
      </c>
      <c r="H50" s="204"/>
      <c r="I50" s="204"/>
      <c r="J50" s="196" t="s">
        <v>6544</v>
      </c>
      <c r="K50" s="196" t="s">
        <v>5991</v>
      </c>
      <c r="L50" s="192" t="str">
        <f>IFERROR(__xludf.DUMMYFUNCTION("IF(
  AND(D50=""Saída"", J50=""Sangria""),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"),"Confirmada")</f>
        <v>Confirmada</v>
      </c>
      <c r="M50" s="201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94">
        <f>IFERROR(__xludf.DUMMYFUNCTION("ifna(VALUE(REGEXEXTRACT(E50,""[0-9.]+[,]+[0-9]+"")))"),900.0)</f>
        <v>900</v>
      </c>
      <c r="O50" s="58"/>
      <c r="P50" s="59"/>
      <c r="Q50" s="59"/>
      <c r="R50" s="59"/>
      <c r="S50" s="61"/>
      <c r="T50" s="162">
        <f>IFERROR(__xludf.DUMMYFUNCTION("""COMPUTED_VALUE"""),46048.70038194444)</f>
        <v>46048.70038</v>
      </c>
      <c r="U50" s="59" t="str">
        <f>IFERROR(__xludf.DUMMYFUNCTION("""COMPUTED_VALUE"""),"R$ 33,46")</f>
        <v>R$ 33,46</v>
      </c>
      <c r="V50" s="59" t="str">
        <f>IFERROR(__xludf.DUMMYFUNCTION("""COMPUTED_VALUE"""),"Consumo")</f>
        <v>Consumo</v>
      </c>
      <c r="W50" s="60" t="str">
        <f>IFERROR(__xludf.DUMMYFUNCTION("""COMPUTED_VALUE"""),"Fernando")</f>
        <v>Fernando</v>
      </c>
    </row>
    <row r="51" ht="19.5" customHeight="1">
      <c r="A51" s="186"/>
      <c r="B51" s="13">
        <v>1962711.0</v>
      </c>
      <c r="C51" s="14">
        <v>46050.73601851852</v>
      </c>
      <c r="D51" s="187" t="s">
        <v>97</v>
      </c>
      <c r="E51" s="188" t="s">
        <v>8336</v>
      </c>
      <c r="F51" s="200"/>
      <c r="G51" s="187" t="s">
        <v>8337</v>
      </c>
      <c r="H51" s="204"/>
      <c r="I51" s="204"/>
      <c r="J51" s="196" t="s">
        <v>6446</v>
      </c>
      <c r="K51" s="196"/>
      <c r="L51" s="192" t="str">
        <f>IFERROR(__xludf.DUMMYFUNCTION("IF(
  AND(D51=""Saída"", J51=""Sangria""),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198" t="str">
        <f>IFERROR(__xludf.DUMMYFUNCTION("IF(J51=""Compra de Mercadorias"",
   IF(
      COUNTIF(ARRAYFORMULA(TRIM(CLEAN(TO_TEXT(Notas!BS:BS)))), TRIM(CLEAN(TO_TEXT(B51)))) &gt; 0,
      ""Encontrada"",
      ""Não Encontrada""
   ),
"""")"),"Encontrada")</f>
        <v>Encontrada</v>
      </c>
      <c r="N51" s="194">
        <f>IFERROR(__xludf.DUMMYFUNCTION("ifna(VALUE(REGEXEXTRACT(E51,""[0-9.]+[,]+[0-9]+"")))"),44.97)</f>
        <v>44.97</v>
      </c>
      <c r="O51" s="58"/>
      <c r="P51" s="59"/>
      <c r="Q51" s="59"/>
      <c r="R51" s="59"/>
      <c r="S51" s="61"/>
      <c r="T51" s="162">
        <f>IFERROR(__xludf.DUMMYFUNCTION("""COMPUTED_VALUE"""),46049.84756944445)</f>
        <v>46049.84757</v>
      </c>
      <c r="U51" s="59" t="str">
        <f>IFERROR(__xludf.DUMMYFUNCTION("""COMPUTED_VALUE"""),"R$ 19,90")</f>
        <v>R$ 19,90</v>
      </c>
      <c r="V51" s="59" t="str">
        <f>IFERROR(__xludf.DUMMYFUNCTION("""COMPUTED_VALUE"""),"Consumo")</f>
        <v>Consumo</v>
      </c>
      <c r="W51" s="60" t="str">
        <f>IFERROR(__xludf.DUMMYFUNCTION("""COMPUTED_VALUE"""),"Fernando")</f>
        <v>Fernando</v>
      </c>
    </row>
    <row r="52" ht="14.25" customHeight="1">
      <c r="A52" s="186"/>
      <c r="B52" s="13">
        <v>1963006.0</v>
      </c>
      <c r="C52" s="14">
        <v>46050.81921296296</v>
      </c>
      <c r="D52" s="187" t="s">
        <v>97</v>
      </c>
      <c r="E52" s="188" t="s">
        <v>1780</v>
      </c>
      <c r="F52" s="189"/>
      <c r="G52" s="187" t="s">
        <v>282</v>
      </c>
      <c r="H52" s="204"/>
      <c r="I52" s="204"/>
      <c r="J52" s="196" t="s">
        <v>6080</v>
      </c>
      <c r="K52" s="196" t="s">
        <v>6111</v>
      </c>
      <c r="L52" s="192" t="str">
        <f>IFERROR(__xludf.DUMMYFUNCTION("IF(
  AND(D52=""Saída"", J52=""Sangria""),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197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94">
        <f>IFERROR(__xludf.DUMMYFUNCTION("ifna(VALUE(REGEXEXTRACT(E52,""[0-9.]+[,]+[0-9]+"")))"),5.0)</f>
        <v>5</v>
      </c>
      <c r="O52" s="58"/>
      <c r="P52" s="59"/>
      <c r="Q52" s="59"/>
      <c r="R52" s="59"/>
      <c r="S52" s="61"/>
      <c r="T52" s="162">
        <f>IFERROR(__xludf.DUMMYFUNCTION("""COMPUTED_VALUE"""),46050.69862268519)</f>
        <v>46050.69862</v>
      </c>
      <c r="U52" s="59" t="str">
        <f>IFERROR(__xludf.DUMMYFUNCTION("""COMPUTED_VALUE"""),"R$ 13,00")</f>
        <v>R$ 13,00</v>
      </c>
      <c r="V52" s="59" t="str">
        <f>IFERROR(__xludf.DUMMYFUNCTION("""COMPUTED_VALUE"""),"Consumo")</f>
        <v>Consumo</v>
      </c>
      <c r="W52" s="60" t="str">
        <f>IFERROR(__xludf.DUMMYFUNCTION("""COMPUTED_VALUE"""),"Fernando")</f>
        <v>Fernando</v>
      </c>
    </row>
    <row r="53" ht="14.25" customHeight="1">
      <c r="A53" s="186"/>
      <c r="B53" s="13">
        <v>1964641.0</v>
      </c>
      <c r="C53" s="14">
        <v>46051.71569444444</v>
      </c>
      <c r="D53" s="187" t="s">
        <v>97</v>
      </c>
      <c r="E53" s="188" t="s">
        <v>8340</v>
      </c>
      <c r="F53" s="189"/>
      <c r="G53" s="187" t="s">
        <v>6923</v>
      </c>
      <c r="H53" s="204"/>
      <c r="I53" s="204"/>
      <c r="J53" s="196" t="s">
        <v>6446</v>
      </c>
      <c r="K53" s="196"/>
      <c r="L53" s="192" t="str">
        <f>IFERROR(__xludf.DUMMYFUNCTION("IF(
  AND(D53=""Saída"", J53=""Sangria""),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198" t="str">
        <f>IFERROR(__xludf.DUMMYFUNCTION("IF(J53=""Compra de Mercadorias"",
   IF(
      COUNTIF(ARRAYFORMULA(TRIM(CLEAN(TO_TEXT(Notas!BS:BS)))), TRIM(CLEAN(TO_TEXT(B53)))) &gt; 0,
      ""Encontrada"",
      ""Não Encontrada""
   ),
"""")"),"Encontrada")</f>
        <v>Encontrada</v>
      </c>
      <c r="N53" s="194">
        <f>IFERROR(__xludf.DUMMYFUNCTION("ifna(VALUE(REGEXEXTRACT(E53,""[0-9.]+[,]+[0-9]+"")))"),325.0)</f>
        <v>325</v>
      </c>
      <c r="O53" s="58"/>
      <c r="P53" s="59"/>
      <c r="Q53" s="59"/>
      <c r="R53" s="59"/>
      <c r="S53" s="61"/>
      <c r="T53" s="162">
        <f>IFERROR(__xludf.DUMMYFUNCTION("""COMPUTED_VALUE"""),46051.731458333335)</f>
        <v>46051.73146</v>
      </c>
      <c r="U53" s="59" t="str">
        <f>IFERROR(__xludf.DUMMYFUNCTION("""COMPUTED_VALUE"""),"R$ 5,00")</f>
        <v>R$ 5,00</v>
      </c>
      <c r="V53" s="59" t="str">
        <f>IFERROR(__xludf.DUMMYFUNCTION("""COMPUTED_VALUE"""),"Consumo")</f>
        <v>Consumo</v>
      </c>
      <c r="W53" s="60" t="str">
        <f>IFERROR(__xludf.DUMMYFUNCTION("""COMPUTED_VALUE"""),"Fernando")</f>
        <v>Fernando</v>
      </c>
    </row>
    <row r="54" ht="14.25" customHeight="1">
      <c r="A54" s="186"/>
      <c r="B54" s="13">
        <v>1964720.0</v>
      </c>
      <c r="C54" s="14">
        <v>46051.731458333335</v>
      </c>
      <c r="D54" s="187" t="s">
        <v>97</v>
      </c>
      <c r="E54" s="188" t="s">
        <v>1780</v>
      </c>
      <c r="F54" s="189"/>
      <c r="G54" s="187" t="s">
        <v>8344</v>
      </c>
      <c r="H54" s="204"/>
      <c r="I54" s="204"/>
      <c r="J54" s="196" t="s">
        <v>6080</v>
      </c>
      <c r="K54" s="196" t="s">
        <v>6197</v>
      </c>
      <c r="L54" s="192" t="str">
        <f>IFERROR(__xludf.DUMMYFUNCTION("IF(
  AND(D54=""Saída"", J54=""Sangria""),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197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94">
        <f>IFERROR(__xludf.DUMMYFUNCTION("ifna(VALUE(REGEXEXTRACT(E54,""[0-9.]+[,]+[0-9]+"")))"),5.0)</f>
        <v>5</v>
      </c>
      <c r="O54" s="58"/>
      <c r="P54" s="59"/>
      <c r="Q54" s="59"/>
      <c r="R54" s="59"/>
      <c r="S54" s="61"/>
      <c r="T54" s="162">
        <f>IFERROR(__xludf.DUMMYFUNCTION("""COMPUTED_VALUE"""),46052.70178240741)</f>
        <v>46052.70178</v>
      </c>
      <c r="U54" s="59" t="str">
        <f>IFERROR(__xludf.DUMMYFUNCTION("""COMPUTED_VALUE"""),"R$ 33,34")</f>
        <v>R$ 33,34</v>
      </c>
      <c r="V54" s="59" t="str">
        <f>IFERROR(__xludf.DUMMYFUNCTION("""COMPUTED_VALUE"""),"Consumo")</f>
        <v>Consumo</v>
      </c>
      <c r="W54" s="60" t="str">
        <f>IFERROR(__xludf.DUMMYFUNCTION("""COMPUTED_VALUE"""),"Fernando")</f>
        <v>Fernando</v>
      </c>
    </row>
    <row r="55" ht="14.25" customHeight="1">
      <c r="A55" s="186"/>
      <c r="B55" s="13">
        <v>1965191.0</v>
      </c>
      <c r="C55" s="14">
        <v>46051.88875</v>
      </c>
      <c r="D55" s="187" t="s">
        <v>97</v>
      </c>
      <c r="E55" s="188" t="s">
        <v>281</v>
      </c>
      <c r="F55" s="189"/>
      <c r="G55" s="187" t="s">
        <v>1042</v>
      </c>
      <c r="H55" s="204"/>
      <c r="I55" s="204"/>
      <c r="J55" s="196" t="s">
        <v>6080</v>
      </c>
      <c r="K55" s="196" t="s">
        <v>6111</v>
      </c>
      <c r="L55" s="192" t="str">
        <f>IFERROR(__xludf.DUMMYFUNCTION("IF(
  AND(D55=""Saída"", J55=""Sangria""),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01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94">
        <f>IFERROR(__xludf.DUMMYFUNCTION("ifna(VALUE(REGEXEXTRACT(E55,""[0-9.]+[,]+[0-9]+"")))"),19.9)</f>
        <v>19.9</v>
      </c>
      <c r="O55" s="58"/>
      <c r="P55" s="85"/>
      <c r="Q55" s="85"/>
      <c r="R55" s="85"/>
      <c r="S55" s="87"/>
      <c r="T55" s="162">
        <f>IFERROR(__xludf.DUMMYFUNCTION("""COMPUTED_VALUE"""),46062.70819444444)</f>
        <v>46062.70819</v>
      </c>
      <c r="U55" s="85" t="str">
        <f>IFERROR(__xludf.DUMMYFUNCTION("""COMPUTED_VALUE"""),"R$ 29,19")</f>
        <v>R$ 29,19</v>
      </c>
      <c r="V55" s="85" t="str">
        <f>IFERROR(__xludf.DUMMYFUNCTION("""COMPUTED_VALUE"""),"Consumo")</f>
        <v>Consumo</v>
      </c>
      <c r="W55" s="86" t="str">
        <f>IFERROR(__xludf.DUMMYFUNCTION("""COMPUTED_VALUE"""),"Fernando")</f>
        <v>Fernando</v>
      </c>
    </row>
    <row r="56" ht="14.25" customHeight="1">
      <c r="A56" s="186"/>
      <c r="B56" s="13">
        <v>1966468.0</v>
      </c>
      <c r="C56" s="14">
        <v>46052.70178240741</v>
      </c>
      <c r="D56" s="187" t="s">
        <v>97</v>
      </c>
      <c r="E56" s="188" t="s">
        <v>8349</v>
      </c>
      <c r="F56" s="189"/>
      <c r="G56" s="187" t="s">
        <v>6501</v>
      </c>
      <c r="H56" s="204"/>
      <c r="I56" s="204"/>
      <c r="J56" s="196" t="s">
        <v>6080</v>
      </c>
      <c r="K56" s="196" t="s">
        <v>6197</v>
      </c>
      <c r="L56" s="192" t="str">
        <f>IFERROR(__xludf.DUMMYFUNCTION("IF(
  AND(D56=""Saída"", J56=""Sangria""),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197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94">
        <f>IFERROR(__xludf.DUMMYFUNCTION("ifna(VALUE(REGEXEXTRACT(E56,""[0-9.]+[,]+[0-9]+"")))"),33.34)</f>
        <v>33.34</v>
      </c>
      <c r="O56" s="94"/>
      <c r="P56" s="95"/>
      <c r="Q56" s="95"/>
      <c r="R56" s="95"/>
      <c r="S56" s="97"/>
      <c r="T56" s="206">
        <f>IFERROR(__xludf.DUMMYFUNCTION("""COMPUTED_VALUE"""),46062.88401620371)</f>
        <v>46062.88402</v>
      </c>
      <c r="U56" s="95" t="str">
        <f>IFERROR(__xludf.DUMMYFUNCTION("""COMPUTED_VALUE"""),"R$ 19,90")</f>
        <v>R$ 19,90</v>
      </c>
      <c r="V56" s="95" t="str">
        <f>IFERROR(__xludf.DUMMYFUNCTION("""COMPUTED_VALUE"""),"Consumo")</f>
        <v>Consumo</v>
      </c>
      <c r="W56" s="96" t="str">
        <f>IFERROR(__xludf.DUMMYFUNCTION("""COMPUTED_VALUE"""),"Fernando")</f>
        <v>Fernando</v>
      </c>
    </row>
    <row r="57" ht="17.25" customHeight="1">
      <c r="A57" s="186"/>
      <c r="B57" s="13">
        <v>1966862.0</v>
      </c>
      <c r="C57" s="14">
        <v>46052.79001157408</v>
      </c>
      <c r="D57" s="187" t="s">
        <v>97</v>
      </c>
      <c r="E57" s="188" t="s">
        <v>281</v>
      </c>
      <c r="F57" s="200"/>
      <c r="G57" s="187" t="s">
        <v>8314</v>
      </c>
      <c r="H57" s="204"/>
      <c r="I57" s="204"/>
      <c r="J57" s="196" t="s">
        <v>6080</v>
      </c>
      <c r="K57" s="196" t="s">
        <v>6111</v>
      </c>
      <c r="L57" s="192" t="str">
        <f>IFERROR(__xludf.DUMMYFUNCTION("IF(
  AND(D57=""Saída"", J57=""Sangria""),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198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94">
        <f>IFERROR(__xludf.DUMMYFUNCTION("ifna(VALUE(REGEXEXTRACT(E57,""[0-9.]+[,]+[0-9]+"")))"),19.9)</f>
        <v>19.9</v>
      </c>
      <c r="O57" s="94"/>
      <c r="P57" s="95"/>
      <c r="Q57" s="95"/>
      <c r="R57" s="95"/>
      <c r="S57" s="97"/>
      <c r="T57" s="206">
        <f>IFERROR(__xludf.DUMMYFUNCTION("""COMPUTED_VALUE"""),46063.68064814815)</f>
        <v>46063.68065</v>
      </c>
      <c r="U57" s="95" t="str">
        <f>IFERROR(__xludf.DUMMYFUNCTION("""COMPUTED_VALUE"""),"R$ 13,00")</f>
        <v>R$ 13,00</v>
      </c>
      <c r="V57" s="95" t="str">
        <f>IFERROR(__xludf.DUMMYFUNCTION("""COMPUTED_VALUE"""),"Consumo")</f>
        <v>Consumo</v>
      </c>
      <c r="W57" s="96" t="str">
        <f>IFERROR(__xludf.DUMMYFUNCTION("""COMPUTED_VALUE"""),"Fernando")</f>
        <v>Fernando</v>
      </c>
    </row>
    <row r="58" ht="14.25" customHeight="1">
      <c r="A58" s="186"/>
      <c r="B58" s="13">
        <v>1967093.0</v>
      </c>
      <c r="C58" s="14">
        <v>46052.862962962965</v>
      </c>
      <c r="D58" s="187" t="s">
        <v>97</v>
      </c>
      <c r="E58" s="188" t="s">
        <v>8352</v>
      </c>
      <c r="F58" s="189"/>
      <c r="G58" s="187" t="s">
        <v>1042</v>
      </c>
      <c r="H58" s="204"/>
      <c r="I58" s="204"/>
      <c r="J58" s="196" t="s">
        <v>6080</v>
      </c>
      <c r="K58" s="196" t="s">
        <v>6111</v>
      </c>
      <c r="L58" s="192" t="str">
        <f>IFERROR(__xludf.DUMMYFUNCTION("IF(
  AND(D58=""Saída"", J58=""Sangria""),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197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94">
        <f>IFERROR(__xludf.DUMMYFUNCTION("ifna(VALUE(REGEXEXTRACT(E58,""[0-9.]+[,]+[0-9]+"")))"),44.41)</f>
        <v>44.41</v>
      </c>
      <c r="O58" s="94"/>
      <c r="P58" s="95"/>
      <c r="Q58" s="95"/>
      <c r="R58" s="95"/>
      <c r="S58" s="97"/>
      <c r="T58" s="206">
        <f>IFERROR(__xludf.DUMMYFUNCTION("""COMPUTED_VALUE"""),46066.74711805556)</f>
        <v>46066.74712</v>
      </c>
      <c r="U58" s="95" t="str">
        <f>IFERROR(__xludf.DUMMYFUNCTION("""COMPUTED_VALUE"""),"R$ 5,00")</f>
        <v>R$ 5,00</v>
      </c>
      <c r="V58" s="95" t="str">
        <f>IFERROR(__xludf.DUMMYFUNCTION("""COMPUTED_VALUE"""),"Consumo")</f>
        <v>Consumo</v>
      </c>
      <c r="W58" s="96" t="str">
        <f>IFERROR(__xludf.DUMMYFUNCTION("""COMPUTED_VALUE"""),"Fernando")</f>
        <v>Fernando</v>
      </c>
    </row>
    <row r="59" ht="14.25" customHeight="1">
      <c r="A59" s="186"/>
      <c r="B59" s="13">
        <v>1968106.0</v>
      </c>
      <c r="C59" s="14">
        <v>46053.56296296296</v>
      </c>
      <c r="D59" s="187" t="s">
        <v>97</v>
      </c>
      <c r="E59" s="188" t="s">
        <v>8356</v>
      </c>
      <c r="F59" s="189"/>
      <c r="G59" s="187" t="s">
        <v>8357</v>
      </c>
      <c r="H59" s="204"/>
      <c r="I59" s="204"/>
      <c r="J59" s="196" t="s">
        <v>6446</v>
      </c>
      <c r="K59" s="196"/>
      <c r="L59" s="192" t="str">
        <f>IFERROR(__xludf.DUMMYFUNCTION("IF(
  AND(D59=""Saída"", J59=""Sangria""),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198" t="str">
        <f>IFERROR(__xludf.DUMMYFUNCTION("IF(J59=""Compra de Mercadorias"",
   IF(
      COUNTIF(ARRAYFORMULA(TRIM(CLEAN(TO_TEXT(Notas!BS:BS)))), TRIM(CLEAN(TO_TEXT(B59)))) &gt; 0,
      ""Encontrada"",
      ""Não Encontrada""
   ),
"""")"),"Encontrada")</f>
        <v>Encontrada</v>
      </c>
      <c r="N59" s="194">
        <f>IFERROR(__xludf.DUMMYFUNCTION("ifna(VALUE(REGEXEXTRACT(E59,""[0-9.]+[,]+[0-9]+"")))"),65.31)</f>
        <v>65.31</v>
      </c>
      <c r="O59" s="94"/>
      <c r="P59" s="95"/>
      <c r="Q59" s="95"/>
      <c r="R59" s="95"/>
      <c r="S59" s="97"/>
      <c r="T59" s="95"/>
      <c r="U59" s="95"/>
      <c r="V59" s="95"/>
      <c r="W59" s="96"/>
    </row>
    <row r="60" ht="14.25" customHeight="1">
      <c r="A60" s="186"/>
      <c r="B60" s="13">
        <v>1968635.0</v>
      </c>
      <c r="C60" s="14">
        <v>46053.72001157407</v>
      </c>
      <c r="D60" s="187" t="s">
        <v>97</v>
      </c>
      <c r="E60" s="188" t="s">
        <v>8360</v>
      </c>
      <c r="F60" s="189"/>
      <c r="G60" s="187" t="s">
        <v>8361</v>
      </c>
      <c r="H60" s="204"/>
      <c r="I60" s="204"/>
      <c r="J60" s="196" t="s">
        <v>6446</v>
      </c>
      <c r="K60" s="196"/>
      <c r="L60" s="192" t="str">
        <f>IFERROR(__xludf.DUMMYFUNCTION("IF(
  AND(D60=""Saída"", J60=""Sangria""),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197" t="str">
        <f>IFERROR(__xludf.DUMMYFUNCTION("IF(J60=""Compra de Mercadorias"",
   IF(
      COUNTIF(ARRAYFORMULA(TRIM(CLEAN(TO_TEXT(Notas!BS:BS)))), TRIM(CLEAN(TO_TEXT(B60)))) &gt; 0,
      ""Encontrada"",
      ""Não Encontrada""
   ),
"""")"),"Encontrada")</f>
        <v>Encontrada</v>
      </c>
      <c r="N60" s="194">
        <f>IFERROR(__xludf.DUMMYFUNCTION("ifna(VALUE(REGEXEXTRACT(E60,""[0-9.]+[,]+[0-9]+"")))"),143.54)</f>
        <v>143.54</v>
      </c>
      <c r="O60" s="207"/>
      <c r="P60" s="208"/>
      <c r="Q60" s="209"/>
      <c r="R60" s="210"/>
      <c r="S60" s="97"/>
      <c r="T60" s="95"/>
      <c r="U60" s="95"/>
      <c r="V60" s="95"/>
      <c r="W60" s="96"/>
    </row>
    <row r="61" ht="14.25" customHeight="1">
      <c r="A61" s="186"/>
      <c r="B61" s="13">
        <v>1969333.0</v>
      </c>
      <c r="C61" s="14">
        <v>46053.864699074074</v>
      </c>
      <c r="D61" s="187" t="s">
        <v>97</v>
      </c>
      <c r="E61" s="188" t="s">
        <v>1071</v>
      </c>
      <c r="F61" s="189"/>
      <c r="G61" s="187" t="s">
        <v>8365</v>
      </c>
      <c r="H61" s="204"/>
      <c r="I61" s="204"/>
      <c r="J61" s="196" t="s">
        <v>6469</v>
      </c>
      <c r="K61" s="196"/>
      <c r="L61" s="192" t="str">
        <f>IFERROR(__xludf.DUMMYFUNCTION("IF(
  AND(D61=""Saída"", J61=""Sangria""),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198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94">
        <f>IFERROR(__xludf.DUMMYFUNCTION("ifna(VALUE(REGEXEXTRACT(E61,""[0-9.]+[,]+[0-9]+"")))"),110.0)</f>
        <v>110</v>
      </c>
      <c r="O61" s="94"/>
      <c r="P61" s="95"/>
      <c r="Q61" s="95"/>
      <c r="R61" s="95"/>
      <c r="S61" s="97"/>
      <c r="T61" s="95"/>
      <c r="U61" s="95"/>
      <c r="V61" s="95"/>
      <c r="W61" s="96"/>
    </row>
    <row r="62" ht="14.25" customHeight="1">
      <c r="A62" s="186"/>
      <c r="B62" s="13">
        <v>1969339.0</v>
      </c>
      <c r="C62" s="14">
        <v>46053.865208333336</v>
      </c>
      <c r="D62" s="187" t="s">
        <v>97</v>
      </c>
      <c r="E62" s="188" t="s">
        <v>6561</v>
      </c>
      <c r="F62" s="189"/>
      <c r="G62" s="187" t="s">
        <v>7295</v>
      </c>
      <c r="H62" s="204"/>
      <c r="I62" s="204"/>
      <c r="J62" s="196" t="s">
        <v>6469</v>
      </c>
      <c r="K62" s="196"/>
      <c r="L62" s="192" t="str">
        <f>IFERROR(__xludf.DUMMYFUNCTION("IF(
  AND(D62=""Saída"", J62=""Sangria""),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197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94">
        <f>IFERROR(__xludf.DUMMYFUNCTION("ifna(VALUE(REGEXEXTRACT(E62,""[0-9.]+[,]+[0-9]+"")))"),123.0)</f>
        <v>123</v>
      </c>
      <c r="O62" s="94"/>
      <c r="P62" s="95"/>
      <c r="Q62" s="95"/>
      <c r="R62" s="95"/>
      <c r="S62" s="97"/>
      <c r="T62" s="95"/>
      <c r="U62" s="95"/>
      <c r="V62" s="95"/>
      <c r="W62" s="96"/>
    </row>
    <row r="63" ht="14.25" customHeight="1">
      <c r="A63" s="186"/>
      <c r="B63" s="13">
        <v>1969358.0</v>
      </c>
      <c r="C63" s="14">
        <v>46053.86921296296</v>
      </c>
      <c r="D63" s="187" t="s">
        <v>97</v>
      </c>
      <c r="E63" s="188" t="s">
        <v>6903</v>
      </c>
      <c r="F63" s="189"/>
      <c r="G63" s="187" t="s">
        <v>858</v>
      </c>
      <c r="H63" s="204"/>
      <c r="I63" s="204"/>
      <c r="J63" s="196" t="s">
        <v>6544</v>
      </c>
      <c r="K63" s="196" t="s">
        <v>5991</v>
      </c>
      <c r="L63" s="192" t="str">
        <f>IFERROR(__xludf.DUMMYFUNCTION("IF(
  AND(D63=""Saída"", J63=""Sangria""),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"),"Confirmada")</f>
        <v>Confirmada</v>
      </c>
      <c r="M63" s="198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94">
        <f>IFERROR(__xludf.DUMMYFUNCTION("ifna(VALUE(REGEXEXTRACT(E63,""[0-9.]+[,]+[0-9]+"")))"),1200.0)</f>
        <v>1200</v>
      </c>
      <c r="O63" s="114"/>
      <c r="P63" s="115"/>
      <c r="Q63" s="115"/>
      <c r="R63" s="115"/>
      <c r="S63" s="116"/>
      <c r="T63" s="115"/>
      <c r="U63" s="115"/>
      <c r="V63" s="115"/>
      <c r="W63" s="117"/>
    </row>
    <row r="64" ht="35.25" customHeight="1">
      <c r="A64" s="186"/>
      <c r="B64" s="13">
        <v>1970881.0</v>
      </c>
      <c r="C64" s="14">
        <v>46054.665868055556</v>
      </c>
      <c r="D64" s="187" t="s">
        <v>97</v>
      </c>
      <c r="E64" s="188" t="s">
        <v>8370</v>
      </c>
      <c r="F64" s="189"/>
      <c r="G64" s="187" t="s">
        <v>8371</v>
      </c>
      <c r="H64" s="204"/>
      <c r="I64" s="204"/>
      <c r="J64" s="196" t="s">
        <v>6302</v>
      </c>
      <c r="K64" s="196"/>
      <c r="L64" s="192" t="str">
        <f>IFERROR(__xludf.DUMMYFUNCTION("IF(
  AND(D64=""Saída"", J64=""Sangria""),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197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94">
        <f>IFERROR(__xludf.DUMMYFUNCTION("ifna(VALUE(REGEXEXTRACT(E64,""[0-9.]+[,]+[0-9]+"")))"),70.07)</f>
        <v>70.07</v>
      </c>
      <c r="S64" s="31"/>
    </row>
    <row r="65" ht="14.25" customHeight="1">
      <c r="A65" s="186"/>
      <c r="B65" s="13">
        <v>1971325.0</v>
      </c>
      <c r="C65" s="14">
        <v>46054.75770833333</v>
      </c>
      <c r="D65" s="187" t="s">
        <v>97</v>
      </c>
      <c r="E65" s="188" t="s">
        <v>8373</v>
      </c>
      <c r="F65" s="189"/>
      <c r="G65" s="187" t="s">
        <v>8374</v>
      </c>
      <c r="H65" s="204"/>
      <c r="I65" s="204"/>
      <c r="J65" s="196" t="s">
        <v>6080</v>
      </c>
      <c r="K65" s="196" t="s">
        <v>5991</v>
      </c>
      <c r="L65" s="192" t="str">
        <f>IFERROR(__xludf.DUMMYFUNCTION("IF(
  AND(D65=""Saída"", J65=""Sangria""),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198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94">
        <f>IFERROR(__xludf.DUMMYFUNCTION("ifna(VALUE(REGEXEXTRACT(E65,""[0-9.]+[,]+[0-9]+"")))"),44.78)</f>
        <v>44.78</v>
      </c>
      <c r="S65" s="31"/>
    </row>
    <row r="66" ht="14.25" customHeight="1">
      <c r="A66" s="186"/>
      <c r="B66" s="13">
        <v>1971345.0</v>
      </c>
      <c r="C66" s="14">
        <v>46054.76074074074</v>
      </c>
      <c r="D66" s="187" t="s">
        <v>97</v>
      </c>
      <c r="E66" s="188" t="s">
        <v>8376</v>
      </c>
      <c r="F66" s="189"/>
      <c r="G66" s="187" t="s">
        <v>8374</v>
      </c>
      <c r="H66" s="204"/>
      <c r="I66" s="204"/>
      <c r="J66" s="196" t="s">
        <v>6080</v>
      </c>
      <c r="K66" s="196" t="s">
        <v>5991</v>
      </c>
      <c r="L66" s="192" t="str">
        <f>IFERROR(__xludf.DUMMYFUNCTION("IF(
  AND(D66=""Saída"", J66=""Sangria""),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197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94">
        <f>IFERROR(__xludf.DUMMYFUNCTION("ifna(VALUE(REGEXEXTRACT(E66,""[0-9.]+[,]+[0-9]+"")))"),22.14)</f>
        <v>22.14</v>
      </c>
      <c r="S66" s="31"/>
    </row>
    <row r="67" ht="14.25" customHeight="1">
      <c r="A67" s="186"/>
      <c r="B67" s="13">
        <v>1972477.0</v>
      </c>
      <c r="C67" s="14">
        <v>46054.92030092593</v>
      </c>
      <c r="D67" s="187" t="s">
        <v>97</v>
      </c>
      <c r="E67" s="188" t="s">
        <v>6561</v>
      </c>
      <c r="F67" s="189"/>
      <c r="G67" s="187" t="s">
        <v>8378</v>
      </c>
      <c r="H67" s="204"/>
      <c r="I67" s="204"/>
      <c r="J67" s="196" t="s">
        <v>6469</v>
      </c>
      <c r="K67" s="196"/>
      <c r="L67" s="192" t="str">
        <f>IFERROR(__xludf.DUMMYFUNCTION("IF(
  AND(D67=""Saída"", J67=""Sangria""),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198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94">
        <f>IFERROR(__xludf.DUMMYFUNCTION("ifna(VALUE(REGEXEXTRACT(E67,""[0-9.]+[,]+[0-9]+"")))"),123.0)</f>
        <v>123</v>
      </c>
      <c r="S67" s="31"/>
    </row>
    <row r="68">
      <c r="A68" s="186"/>
      <c r="B68" s="13">
        <v>1972488.0</v>
      </c>
      <c r="C68" s="14">
        <v>46054.92061342593</v>
      </c>
      <c r="D68" s="187" t="s">
        <v>97</v>
      </c>
      <c r="E68" s="188" t="s">
        <v>1071</v>
      </c>
      <c r="F68" s="189"/>
      <c r="G68" s="187" t="s">
        <v>8380</v>
      </c>
      <c r="H68" s="204"/>
      <c r="I68" s="204"/>
      <c r="J68" s="196" t="s">
        <v>6469</v>
      </c>
      <c r="K68" s="196"/>
      <c r="L68" s="192" t="str">
        <f>IFERROR(__xludf.DUMMYFUNCTION("IF(
  AND(D68=""Saída"", J68=""Sangria""),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197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94">
        <f>IFERROR(__xludf.DUMMYFUNCTION("ifna(VALUE(REGEXEXTRACT(E68,""[0-9.]+[,]+[0-9]+"")))"),110.0)</f>
        <v>110</v>
      </c>
      <c r="O68" s="205" t="str">
        <f>B10</f>
        <v/>
      </c>
      <c r="P68" s="112"/>
      <c r="Q68" s="112"/>
      <c r="R68" s="112"/>
      <c r="S68" s="128"/>
      <c r="T68" s="129" t="str">
        <f>B11</f>
        <v/>
      </c>
      <c r="U68" s="112"/>
      <c r="V68" s="112"/>
      <c r="W68" s="130"/>
    </row>
    <row r="69" ht="14.25" customHeight="1">
      <c r="A69" s="186"/>
      <c r="B69" s="13">
        <v>1974123.0</v>
      </c>
      <c r="C69" s="14">
        <v>46055.76956018519</v>
      </c>
      <c r="D69" s="187" t="s">
        <v>97</v>
      </c>
      <c r="E69" s="188" t="s">
        <v>8383</v>
      </c>
      <c r="F69" s="189"/>
      <c r="G69" s="187" t="s">
        <v>8384</v>
      </c>
      <c r="H69" s="204"/>
      <c r="I69" s="204"/>
      <c r="J69" s="196" t="s">
        <v>6551</v>
      </c>
      <c r="K69" s="196"/>
      <c r="L69" s="192" t="str">
        <f>IFERROR(__xludf.DUMMYFUNCTION("IF(
  AND(D69=""Saída"", J69=""Sangria""),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198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94">
        <f>IFERROR(__xludf.DUMMYFUNCTION("ifna(VALUE(REGEXEXTRACT(E69,""[0-9.]+[,]+[0-9]+"")))"),936.0)</f>
        <v>936</v>
      </c>
      <c r="O69" s="52" t="str">
        <f>IFERROR(__xludf.DUMMYFUNCTION("query(C28:L507,""select Col1,Col3,Col8,Col9 where (Col8 = 'Adiantamento' or Col8 = 'Consumo') and Col9 = '""&amp;B10&amp;""'"",1)"),"Data")</f>
        <v>Data</v>
      </c>
      <c r="P69" s="53" t="str">
        <f>IFERROR(__xludf.DUMMYFUNCTION("""COMPUTED_VALUE"""),"Valor ")</f>
        <v>Valor </v>
      </c>
      <c r="Q69" s="53" t="str">
        <f>IFERROR(__xludf.DUMMYFUNCTION("""COMPUTED_VALUE"""),"Tipo")</f>
        <v>Tipo</v>
      </c>
      <c r="R69" s="53" t="str">
        <f>IFERROR(__xludf.DUMMYFUNCTION("""COMPUTED_VALUE"""),"Funcionário")</f>
        <v>Funcionário</v>
      </c>
      <c r="S69" s="55"/>
      <c r="T69" s="56" t="str">
        <f>IFERROR(__xludf.DUMMYFUNCTION("query(C28:L507,""select Col1,Col3,Col8,Col9 where (Col8 = 'Adiantamento' or Col8 = 'Consumo') and Col9 = '""&amp;B11&amp;""'"",1)"),"Data")</f>
        <v>Data</v>
      </c>
      <c r="U69" s="56" t="str">
        <f>IFERROR(__xludf.DUMMYFUNCTION("""COMPUTED_VALUE"""),"Valor ")</f>
        <v>Valor </v>
      </c>
      <c r="V69" s="56" t="str">
        <f>IFERROR(__xludf.DUMMYFUNCTION("""COMPUTED_VALUE"""),"Tipo")</f>
        <v>Tipo</v>
      </c>
      <c r="W69" s="57" t="str">
        <f>IFERROR(__xludf.DUMMYFUNCTION("""COMPUTED_VALUE"""),"Funcionário")</f>
        <v>Funcionário</v>
      </c>
    </row>
    <row r="70" ht="14.25" customHeight="1">
      <c r="A70" s="186"/>
      <c r="B70" s="13">
        <v>1974137.0</v>
      </c>
      <c r="C70" s="14">
        <v>46055.77175925926</v>
      </c>
      <c r="D70" s="187" t="s">
        <v>97</v>
      </c>
      <c r="E70" s="188" t="s">
        <v>6475</v>
      </c>
      <c r="F70" s="189"/>
      <c r="G70" s="187" t="s">
        <v>8388</v>
      </c>
      <c r="H70" s="204"/>
      <c r="I70" s="204"/>
      <c r="J70" s="196" t="s">
        <v>6446</v>
      </c>
      <c r="K70" s="196"/>
      <c r="L70" s="192" t="str">
        <f>IFERROR(__xludf.DUMMYFUNCTION("IF(
  AND(D70=""Saída"", J70=""Sangria""),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197" t="str">
        <f>IFERROR(__xludf.DUMMYFUNCTION("IF(J70=""Compra de Mercadorias"",
   IF(
      COUNTIF(ARRAYFORMULA(TRIM(CLEAN(TO_TEXT(Notas!BS:BS)))), TRIM(CLEAN(TO_TEXT(B70)))) &gt; 0,
      ""Encontrada"",
      ""Não Encontrada""
   ),
"""")"),"Encontrada")</f>
        <v>Encontrada</v>
      </c>
      <c r="N70" s="194">
        <f>IFERROR(__xludf.DUMMYFUNCTION("ifna(VALUE(REGEXEXTRACT(E70,""[0-9.]+[,]+[0-9]+"")))"),250.0)</f>
        <v>250</v>
      </c>
      <c r="O70" s="58"/>
      <c r="P70" s="59"/>
      <c r="Q70" s="59"/>
      <c r="R70" s="59"/>
      <c r="S70" s="61"/>
      <c r="T70" s="59"/>
      <c r="U70" s="59"/>
      <c r="V70" s="59"/>
      <c r="W70" s="60"/>
    </row>
    <row r="71" ht="14.25" customHeight="1">
      <c r="A71" s="186"/>
      <c r="B71" s="13">
        <v>1974140.0</v>
      </c>
      <c r="C71" s="14">
        <v>46055.77217592593</v>
      </c>
      <c r="D71" s="187" t="s">
        <v>97</v>
      </c>
      <c r="E71" s="188" t="s">
        <v>763</v>
      </c>
      <c r="F71" s="189"/>
      <c r="G71" s="187" t="s">
        <v>858</v>
      </c>
      <c r="H71" s="204"/>
      <c r="I71" s="204"/>
      <c r="J71" s="196" t="s">
        <v>6544</v>
      </c>
      <c r="K71" s="196" t="s">
        <v>5991</v>
      </c>
      <c r="L71" s="192" t="str">
        <f>IFERROR(__xludf.DUMMYFUNCTION("IF(
  AND(D71=""Saída"", J71=""Sangria""),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"),"Confirmada")</f>
        <v>Confirmada</v>
      </c>
      <c r="M71" s="198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94">
        <f>IFERROR(__xludf.DUMMYFUNCTION("ifna(VALUE(REGEXEXTRACT(E71,""[0-9.]+[,]+[0-9]+"")))"),1000.0)</f>
        <v>1000</v>
      </c>
      <c r="O71" s="58"/>
      <c r="P71" s="59"/>
      <c r="Q71" s="59"/>
      <c r="R71" s="59"/>
      <c r="S71" s="61"/>
      <c r="T71" s="59"/>
      <c r="U71" s="59"/>
      <c r="V71" s="59"/>
      <c r="W71" s="60"/>
    </row>
    <row r="72" ht="14.25" customHeight="1">
      <c r="A72" s="186"/>
      <c r="B72" s="13">
        <v>1974144.0</v>
      </c>
      <c r="C72" s="14">
        <v>46055.77355324074</v>
      </c>
      <c r="D72" s="187" t="s">
        <v>97</v>
      </c>
      <c r="E72" s="188" t="s">
        <v>8391</v>
      </c>
      <c r="F72" s="189"/>
      <c r="G72" s="187" t="s">
        <v>8392</v>
      </c>
      <c r="H72" s="204"/>
      <c r="I72" s="204"/>
      <c r="J72" s="196" t="s">
        <v>6446</v>
      </c>
      <c r="K72" s="196"/>
      <c r="L72" s="192" t="str">
        <f>IFERROR(__xludf.DUMMYFUNCTION("IF(
  AND(D72=""Saída"", J72=""Sangria""),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197" t="str">
        <f>IFERROR(__xludf.DUMMYFUNCTION("IF(J72=""Compra de Mercadorias"",
   IF(
      COUNTIF(ARRAYFORMULA(TRIM(CLEAN(TO_TEXT(Notas!BS:BS)))), TRIM(CLEAN(TO_TEXT(B72)))) &gt; 0,
      ""Encontrada"",
      ""Não Encontrada""
   ),
"""")"),"Encontrada")</f>
        <v>Encontrada</v>
      </c>
      <c r="N72" s="194">
        <f>IFERROR(__xludf.DUMMYFUNCTION("ifna(VALUE(REGEXEXTRACT(E72,""[0-9.]+[,]+[0-9]+"")))"),187.49)</f>
        <v>187.49</v>
      </c>
      <c r="O72" s="58"/>
      <c r="P72" s="59"/>
      <c r="Q72" s="59"/>
      <c r="R72" s="59"/>
      <c r="S72" s="61"/>
      <c r="T72" s="59"/>
      <c r="U72" s="59"/>
      <c r="V72" s="59"/>
      <c r="W72" s="60"/>
    </row>
    <row r="73" ht="14.25" customHeight="1">
      <c r="A73" s="186"/>
      <c r="B73" s="13">
        <v>1974154.0</v>
      </c>
      <c r="C73" s="14">
        <v>46055.77576388889</v>
      </c>
      <c r="D73" s="187" t="s">
        <v>97</v>
      </c>
      <c r="E73" s="188" t="s">
        <v>650</v>
      </c>
      <c r="F73" s="189"/>
      <c r="G73" s="187" t="s">
        <v>8395</v>
      </c>
      <c r="H73" s="204"/>
      <c r="I73" s="204"/>
      <c r="J73" s="196" t="s">
        <v>6469</v>
      </c>
      <c r="K73" s="196"/>
      <c r="L73" s="192" t="str">
        <f>IFERROR(__xludf.DUMMYFUNCTION("IF(
  AND(D73=""Saída"", J73=""Sangria""),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198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94">
        <f>IFERROR(__xludf.DUMMYFUNCTION("ifna(VALUE(REGEXEXTRACT(E73,""[0-9.]+[,]+[0-9]+"")))"),78.0)</f>
        <v>78</v>
      </c>
      <c r="O73" s="58"/>
      <c r="P73" s="59"/>
      <c r="Q73" s="59"/>
      <c r="R73" s="59"/>
      <c r="S73" s="61"/>
      <c r="T73" s="59"/>
      <c r="U73" s="59"/>
      <c r="V73" s="59"/>
      <c r="W73" s="60"/>
    </row>
    <row r="74" ht="17.25" customHeight="1">
      <c r="A74" s="186"/>
      <c r="B74" s="13">
        <v>1975765.0</v>
      </c>
      <c r="C74" s="14">
        <v>46056.70752314815</v>
      </c>
      <c r="D74" s="187" t="s">
        <v>97</v>
      </c>
      <c r="E74" s="188" t="s">
        <v>532</v>
      </c>
      <c r="F74" s="200"/>
      <c r="G74" s="187" t="s">
        <v>8398</v>
      </c>
      <c r="H74" s="204"/>
      <c r="I74" s="204"/>
      <c r="J74" s="196" t="s">
        <v>6469</v>
      </c>
      <c r="K74" s="196"/>
      <c r="L74" s="192" t="str">
        <f>IFERROR(__xludf.DUMMYFUNCTION("IF(
  AND(D74=""Saída"", J74=""Sangria""),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197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94">
        <f>IFERROR(__xludf.DUMMYFUNCTION("ifna(VALUE(REGEXEXTRACT(E74,""[0-9.]+[,]+[0-9]+"")))"),65.0)</f>
        <v>65</v>
      </c>
      <c r="O74" s="58"/>
      <c r="P74" s="59"/>
      <c r="Q74" s="59"/>
      <c r="R74" s="59"/>
      <c r="S74" s="61"/>
      <c r="T74" s="59"/>
      <c r="U74" s="59"/>
      <c r="V74" s="59"/>
      <c r="W74" s="60"/>
    </row>
    <row r="75">
      <c r="A75" s="186"/>
      <c r="B75" s="13">
        <v>1977816.0</v>
      </c>
      <c r="C75" s="14">
        <v>46057.78790509259</v>
      </c>
      <c r="D75" s="187" t="s">
        <v>97</v>
      </c>
      <c r="E75" s="188" t="s">
        <v>8400</v>
      </c>
      <c r="F75" s="200"/>
      <c r="G75" s="187" t="s">
        <v>151</v>
      </c>
      <c r="H75" s="204"/>
      <c r="I75" s="204"/>
      <c r="J75" s="196" t="s">
        <v>6080</v>
      </c>
      <c r="K75" s="196" t="s">
        <v>6111</v>
      </c>
      <c r="L75" s="192" t="str">
        <f>IFERROR(__xludf.DUMMYFUNCTION("IF(
  AND(D75=""Saída"", J75=""Sangria""),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198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94">
        <f>IFERROR(__xludf.DUMMYFUNCTION("ifna(VALUE(REGEXEXTRACT(E75,""[0-9.]+[,]+[0-9]+"")))"),16.48)</f>
        <v>16.48</v>
      </c>
      <c r="O75" s="58"/>
      <c r="P75" s="85"/>
      <c r="Q75" s="85"/>
      <c r="R75" s="85"/>
      <c r="S75" s="87"/>
      <c r="T75" s="85"/>
      <c r="U75" s="85"/>
      <c r="V75" s="85"/>
      <c r="W75" s="86"/>
    </row>
    <row r="76" ht="28.5" customHeight="1">
      <c r="A76" s="186"/>
      <c r="B76" s="13">
        <v>1979325.0</v>
      </c>
      <c r="C76" s="14">
        <v>46058.70438657407</v>
      </c>
      <c r="D76" s="187" t="s">
        <v>97</v>
      </c>
      <c r="E76" s="188" t="s">
        <v>8404</v>
      </c>
      <c r="F76" s="189"/>
      <c r="G76" s="187" t="s">
        <v>8405</v>
      </c>
      <c r="H76" s="204"/>
      <c r="I76" s="204"/>
      <c r="J76" s="196" t="s">
        <v>6446</v>
      </c>
      <c r="K76" s="196"/>
      <c r="L76" s="192" t="str">
        <f>IFERROR(__xludf.DUMMYFUNCTION("IF(
  AND(D76=""Saída"", J76=""Sangria""),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197" t="str">
        <f>IFERROR(__xludf.DUMMYFUNCTION("IF(J76=""Compra de Mercadorias"",
   IF(
      COUNTIF(ARRAYFORMULA(TRIM(CLEAN(TO_TEXT(Notas!BS:BS)))), TRIM(CLEAN(TO_TEXT(B76)))) &gt; 0,
      ""Encontrada"",
      ""Não Encontrada""
   ),
"""")"),"Encontrada")</f>
        <v>Encontrada</v>
      </c>
      <c r="N76" s="194">
        <f>IFERROR(__xludf.DUMMYFUNCTION("ifna(VALUE(REGEXEXTRACT(E76,""[0-9.]+[,]+[0-9]+"")))"),886.5)</f>
        <v>886.5</v>
      </c>
      <c r="O76" s="94"/>
      <c r="P76" s="95"/>
      <c r="Q76" s="95"/>
      <c r="R76" s="95"/>
      <c r="S76" s="97"/>
      <c r="T76" s="95"/>
      <c r="U76" s="95"/>
      <c r="V76" s="95"/>
      <c r="W76" s="96"/>
    </row>
    <row r="77" ht="14.25" customHeight="1">
      <c r="A77" s="186"/>
      <c r="B77" s="13">
        <v>1979898.0</v>
      </c>
      <c r="C77" s="14">
        <v>46058.870520833334</v>
      </c>
      <c r="D77" s="187" t="s">
        <v>97</v>
      </c>
      <c r="E77" s="188" t="s">
        <v>1780</v>
      </c>
      <c r="F77" s="200"/>
      <c r="G77" s="187" t="s">
        <v>282</v>
      </c>
      <c r="H77" s="204"/>
      <c r="I77" s="204"/>
      <c r="J77" s="196" t="s">
        <v>6080</v>
      </c>
      <c r="K77" s="196" t="s">
        <v>6111</v>
      </c>
      <c r="L77" s="192" t="str">
        <f>IFERROR(__xludf.DUMMYFUNCTION("IF(
  AND(D77=""Saída"", J77=""Sangria""),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198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94">
        <f>IFERROR(__xludf.DUMMYFUNCTION("ifna(VALUE(REGEXEXTRACT(E77,""[0-9.]+[,]+[0-9]+"")))"),5.0)</f>
        <v>5</v>
      </c>
      <c r="O77" s="207"/>
      <c r="P77" s="208"/>
      <c r="Q77" s="209"/>
      <c r="R77" s="210"/>
      <c r="S77" s="97"/>
      <c r="T77" s="95"/>
      <c r="U77" s="95"/>
      <c r="V77" s="95"/>
      <c r="W77" s="96"/>
    </row>
    <row r="78" ht="34.5" customHeight="1">
      <c r="A78" s="186"/>
      <c r="B78" s="13">
        <v>1980970.0</v>
      </c>
      <c r="C78" s="14">
        <v>46059.599699074075</v>
      </c>
      <c r="D78" s="187" t="s">
        <v>97</v>
      </c>
      <c r="E78" s="188" t="s">
        <v>8410</v>
      </c>
      <c r="F78" s="189"/>
      <c r="G78" s="187" t="s">
        <v>8411</v>
      </c>
      <c r="H78" s="204"/>
      <c r="I78" s="204"/>
      <c r="J78" s="196" t="s">
        <v>6446</v>
      </c>
      <c r="K78" s="196"/>
      <c r="L78" s="192" t="str">
        <f>IFERROR(__xludf.DUMMYFUNCTION("IF(
  AND(D78=""Saída"", J78=""Sangria""),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197" t="str">
        <f>IFERROR(__xludf.DUMMYFUNCTION("IF(J78=""Compra de Mercadorias"",
   IF(
      COUNTIF(ARRAYFORMULA(TRIM(CLEAN(TO_TEXT(Notas!BS:BS)))), TRIM(CLEAN(TO_TEXT(B78)))) &gt; 0,
      ""Encontrada"",
      ""Não Encontrada""
   ),
"""")"),"Encontrada")</f>
        <v>Encontrada</v>
      </c>
      <c r="N78" s="194">
        <f>IFERROR(__xludf.DUMMYFUNCTION("ifna(VALUE(REGEXEXTRACT(E78,""[0-9.]+[,]+[0-9]+"")))"),150.0)</f>
        <v>150</v>
      </c>
      <c r="O78" s="207"/>
      <c r="P78" s="208"/>
      <c r="Q78" s="209"/>
      <c r="R78" s="210"/>
      <c r="S78" s="97"/>
      <c r="T78" s="95"/>
      <c r="U78" s="95"/>
      <c r="V78" s="95"/>
      <c r="W78" s="96"/>
    </row>
    <row r="79" ht="14.25" customHeight="1">
      <c r="A79" s="186"/>
      <c r="B79" s="13">
        <v>1981196.0</v>
      </c>
      <c r="C79" s="14">
        <v>46059.652650462966</v>
      </c>
      <c r="D79" s="187" t="s">
        <v>97</v>
      </c>
      <c r="E79" s="188" t="s">
        <v>8413</v>
      </c>
      <c r="F79" s="189"/>
      <c r="G79" s="187" t="s">
        <v>8414</v>
      </c>
      <c r="H79" s="204"/>
      <c r="I79" s="204"/>
      <c r="J79" s="196" t="s">
        <v>6446</v>
      </c>
      <c r="K79" s="196"/>
      <c r="L79" s="192" t="str">
        <f>IFERROR(__xludf.DUMMYFUNCTION("IF(
  AND(D79=""Saída"", J79=""Sangria""),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198" t="str">
        <f>IFERROR(__xludf.DUMMYFUNCTION("IF(J79=""Compra de Mercadorias"",
   IF(
      COUNTIF(ARRAYFORMULA(TRIM(CLEAN(TO_TEXT(Notas!BS:BS)))), TRIM(CLEAN(TO_TEXT(B79)))) &gt; 0,
      ""Encontrada"",
      ""Não Encontrada""
   ),
"""")"),"Encontrada")</f>
        <v>Encontrada</v>
      </c>
      <c r="N79" s="194">
        <f>IFERROR(__xludf.DUMMYFUNCTION("ifna(VALUE(REGEXEXTRACT(E79,""[0-9.]+[,]+[0-9]+"")))"),55.0)</f>
        <v>55</v>
      </c>
      <c r="O79" s="207"/>
      <c r="P79" s="208"/>
      <c r="Q79" s="209"/>
      <c r="R79" s="210"/>
      <c r="S79" s="97"/>
      <c r="T79" s="95"/>
      <c r="U79" s="95"/>
      <c r="V79" s="95"/>
      <c r="W79" s="96"/>
    </row>
    <row r="80" ht="14.25" customHeight="1">
      <c r="A80" s="186"/>
      <c r="B80" s="13">
        <v>1981454.0</v>
      </c>
      <c r="C80" s="14">
        <v>46059.70064814815</v>
      </c>
      <c r="D80" s="187" t="s">
        <v>97</v>
      </c>
      <c r="E80" s="188" t="s">
        <v>6475</v>
      </c>
      <c r="F80" s="189"/>
      <c r="G80" s="187" t="s">
        <v>6865</v>
      </c>
      <c r="H80" s="204"/>
      <c r="I80" s="204"/>
      <c r="J80" s="196" t="s">
        <v>6446</v>
      </c>
      <c r="K80" s="196"/>
      <c r="L80" s="192" t="str">
        <f>IFERROR(__xludf.DUMMYFUNCTION("IF(
  AND(D80=""Saída"", J80=""Sangria""),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197" t="str">
        <f>IFERROR(__xludf.DUMMYFUNCTION("IF(J80=""Compra de Mercadorias"",
   IF(
      COUNTIF(ARRAYFORMULA(TRIM(CLEAN(TO_TEXT(Notas!BS:BS)))), TRIM(CLEAN(TO_TEXT(B80)))) &gt; 0,
      ""Encontrada"",
      ""Não Encontrada""
   ),
"""")"),"Encontrada")</f>
        <v>Encontrada</v>
      </c>
      <c r="N80" s="194">
        <f>IFERROR(__xludf.DUMMYFUNCTION("ifna(VALUE(REGEXEXTRACT(E80,""[0-9.]+[,]+[0-9]+"")))"),250.0)</f>
        <v>250</v>
      </c>
      <c r="O80" s="207"/>
      <c r="P80" s="208"/>
      <c r="Q80" s="209"/>
      <c r="R80" s="210"/>
      <c r="S80" s="97"/>
      <c r="T80" s="95"/>
      <c r="U80" s="95"/>
      <c r="V80" s="95"/>
      <c r="W80" s="96"/>
    </row>
    <row r="81" ht="14.25" customHeight="1">
      <c r="A81" s="186"/>
      <c r="B81" s="13">
        <v>1981470.0</v>
      </c>
      <c r="C81" s="14">
        <v>46059.70416666667</v>
      </c>
      <c r="D81" s="187" t="s">
        <v>97</v>
      </c>
      <c r="E81" s="188" t="s">
        <v>8418</v>
      </c>
      <c r="F81" s="189"/>
      <c r="G81" s="187" t="s">
        <v>8420</v>
      </c>
      <c r="H81" s="204"/>
      <c r="I81" s="204"/>
      <c r="J81" s="196" t="s">
        <v>6446</v>
      </c>
      <c r="K81" s="196"/>
      <c r="L81" s="192" t="str">
        <f>IFERROR(__xludf.DUMMYFUNCTION("IF(
  AND(D81=""Saída"", J81=""Sangria""),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198" t="str">
        <f>IFERROR(__xludf.DUMMYFUNCTION("IF(J81=""Compra de Mercadorias"",
   IF(
      COUNTIF(ARRAYFORMULA(TRIM(CLEAN(TO_TEXT(Notas!BS:BS)))), TRIM(CLEAN(TO_TEXT(B81)))) &gt; 0,
      ""Encontrada"",
      ""Não Encontrada""
   ),
"""")"),"Encontrada")</f>
        <v>Encontrada</v>
      </c>
      <c r="N81" s="194">
        <f>IFERROR(__xludf.DUMMYFUNCTION("ifna(VALUE(REGEXEXTRACT(E81,""[0-9.]+[,]+[0-9]+"")))"),236.12)</f>
        <v>236.12</v>
      </c>
      <c r="O81" s="94"/>
      <c r="P81" s="95"/>
      <c r="Q81" s="95"/>
      <c r="R81" s="95"/>
      <c r="S81" s="97"/>
      <c r="T81" s="95"/>
      <c r="U81" s="95"/>
      <c r="V81" s="95"/>
      <c r="W81" s="96"/>
    </row>
    <row r="82" ht="14.25" customHeight="1">
      <c r="A82" s="186"/>
      <c r="B82" s="13">
        <v>1983341.0</v>
      </c>
      <c r="C82" s="14">
        <v>46060.559016203704</v>
      </c>
      <c r="D82" s="187" t="s">
        <v>97</v>
      </c>
      <c r="E82" s="188" t="s">
        <v>8424</v>
      </c>
      <c r="F82" s="189"/>
      <c r="G82" s="187" t="s">
        <v>8425</v>
      </c>
      <c r="H82" s="204"/>
      <c r="I82" s="204"/>
      <c r="J82" s="196" t="s">
        <v>6446</v>
      </c>
      <c r="K82" s="196"/>
      <c r="L82" s="192" t="str">
        <f>IFERROR(__xludf.DUMMYFUNCTION("IF(
  AND(D82=""Saída"", J82=""Sangria""),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197" t="str">
        <f>IFERROR(__xludf.DUMMYFUNCTION("IF(J82=""Compra de Mercadorias"",
   IF(
      COUNTIF(ARRAYFORMULA(TRIM(CLEAN(TO_TEXT(Notas!BS:BS)))), TRIM(CLEAN(TO_TEXT(B82)))) &gt; 0,
      ""Encontrada"",
      ""Não Encontrada""
   ),
"""")"),"Encontrada")</f>
        <v>Encontrada</v>
      </c>
      <c r="N82" s="194">
        <f>IFERROR(__xludf.DUMMYFUNCTION("ifna(VALUE(REGEXEXTRACT(E82,""[0-9.]+[,]+[0-9]+"")))"),105.7)</f>
        <v>105.7</v>
      </c>
      <c r="O82" s="94"/>
      <c r="P82" s="95"/>
      <c r="Q82" s="95"/>
      <c r="R82" s="95"/>
      <c r="S82" s="97"/>
      <c r="T82" s="95"/>
      <c r="U82" s="95"/>
      <c r="V82" s="95"/>
      <c r="W82" s="96"/>
    </row>
    <row r="83" ht="14.25" customHeight="1">
      <c r="A83" s="186"/>
      <c r="B83" s="13">
        <v>1983894.0</v>
      </c>
      <c r="C83" s="14">
        <v>46060.74003472222</v>
      </c>
      <c r="D83" s="187" t="s">
        <v>97</v>
      </c>
      <c r="E83" s="188" t="s">
        <v>7689</v>
      </c>
      <c r="F83" s="189"/>
      <c r="G83" s="187" t="s">
        <v>8427</v>
      </c>
      <c r="H83" s="204"/>
      <c r="I83" s="204"/>
      <c r="J83" s="196" t="s">
        <v>6469</v>
      </c>
      <c r="K83" s="196"/>
      <c r="L83" s="192" t="str">
        <f>IFERROR(__xludf.DUMMYFUNCTION("IF(
  AND(D83=""Saída"", J83=""Sangria""),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198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94">
        <f>IFERROR(__xludf.DUMMYFUNCTION("ifna(VALUE(REGEXEXTRACT(E83,""[0-9.]+[,]+[0-9]+"")))"),52.0)</f>
        <v>52</v>
      </c>
      <c r="O83" s="114"/>
      <c r="P83" s="115"/>
      <c r="Q83" s="115"/>
      <c r="R83" s="115"/>
      <c r="S83" s="97"/>
      <c r="T83" s="115"/>
      <c r="U83" s="115"/>
      <c r="V83" s="115"/>
      <c r="W83" s="117"/>
    </row>
    <row r="84" ht="14.25" customHeight="1">
      <c r="A84" s="186"/>
      <c r="B84" s="13">
        <v>1983977.0</v>
      </c>
      <c r="C84" s="14">
        <v>46060.755960648145</v>
      </c>
      <c r="D84" s="187" t="s">
        <v>97</v>
      </c>
      <c r="E84" s="188" t="s">
        <v>7689</v>
      </c>
      <c r="F84" s="189"/>
      <c r="G84" s="187" t="s">
        <v>8429</v>
      </c>
      <c r="H84" s="204"/>
      <c r="I84" s="204"/>
      <c r="J84" s="196" t="s">
        <v>6469</v>
      </c>
      <c r="K84" s="196"/>
      <c r="L84" s="192" t="str">
        <f>IFERROR(__xludf.DUMMYFUNCTION("IF(
  AND(D84=""Saída"", J84=""Sangria""),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197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94">
        <f>IFERROR(__xludf.DUMMYFUNCTION("ifna(VALUE(REGEXEXTRACT(E84,""[0-9.]+[,]+[0-9]+"")))"),52.0)</f>
        <v>52</v>
      </c>
      <c r="O84" s="211"/>
      <c r="P84" s="212"/>
      <c r="Q84" s="212"/>
      <c r="R84" s="212"/>
      <c r="S84" s="97"/>
      <c r="T84" s="212"/>
      <c r="U84" s="212"/>
      <c r="V84" s="212"/>
      <c r="W84" s="213"/>
    </row>
    <row r="85" ht="14.25" customHeight="1">
      <c r="A85" s="186"/>
      <c r="B85" s="13">
        <v>1984712.0</v>
      </c>
      <c r="C85" s="14">
        <v>46060.904016203705</v>
      </c>
      <c r="D85" s="187" t="s">
        <v>97</v>
      </c>
      <c r="E85" s="188" t="s">
        <v>6547</v>
      </c>
      <c r="F85" s="189"/>
      <c r="G85" s="187" t="s">
        <v>8430</v>
      </c>
      <c r="H85" s="204"/>
      <c r="I85" s="204"/>
      <c r="J85" s="196" t="s">
        <v>6469</v>
      </c>
      <c r="K85" s="196"/>
      <c r="L85" s="192" t="str">
        <f>IFERROR(__xludf.DUMMYFUNCTION("IF(
  AND(D85=""Saída"", J85=""Sangria""),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198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94">
        <f>IFERROR(__xludf.DUMMYFUNCTION("ifna(VALUE(REGEXEXTRACT(E85,""[0-9.]+[,]+[0-9]+"")))"),117.0)</f>
        <v>117</v>
      </c>
      <c r="O85" s="211"/>
      <c r="P85" s="212"/>
      <c r="Q85" s="212"/>
      <c r="R85" s="212"/>
      <c r="S85" s="97"/>
      <c r="T85" s="212"/>
      <c r="U85" s="212"/>
      <c r="V85" s="212"/>
      <c r="W85" s="213"/>
    </row>
    <row r="86" ht="14.25" customHeight="1">
      <c r="A86" s="186"/>
      <c r="B86" s="13">
        <v>1984723.0</v>
      </c>
      <c r="C86" s="14">
        <v>46060.904861111114</v>
      </c>
      <c r="D86" s="187" t="s">
        <v>97</v>
      </c>
      <c r="E86" s="188" t="s">
        <v>6545</v>
      </c>
      <c r="F86" s="200"/>
      <c r="G86" s="187" t="s">
        <v>8432</v>
      </c>
      <c r="H86" s="204"/>
      <c r="I86" s="204"/>
      <c r="J86" s="196" t="s">
        <v>6544</v>
      </c>
      <c r="K86" s="196" t="s">
        <v>5991</v>
      </c>
      <c r="L86" s="192" t="str">
        <f>IFERROR(__xludf.DUMMYFUNCTION("IF(
  AND(D86=""Saída"", J86=""Sangria""),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"),"Confirmada")</f>
        <v>Confirmada</v>
      </c>
      <c r="M86" s="197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94">
        <f>IFERROR(__xludf.DUMMYFUNCTION("ifna(VALUE(REGEXEXTRACT(E86,""[0-9.]+[,]+[0-9]+"")))"),1500.0)</f>
        <v>1500</v>
      </c>
      <c r="O86" s="211"/>
      <c r="P86" s="212"/>
      <c r="Q86" s="212"/>
      <c r="R86" s="212"/>
      <c r="S86" s="97"/>
      <c r="T86" s="212"/>
      <c r="U86" s="212"/>
      <c r="V86" s="212"/>
      <c r="W86" s="213"/>
    </row>
    <row r="87" ht="14.25" customHeight="1">
      <c r="A87" s="186"/>
      <c r="B87" s="13">
        <v>1987592.0</v>
      </c>
      <c r="C87" s="14">
        <v>46061.91471064815</v>
      </c>
      <c r="D87" s="187" t="s">
        <v>97</v>
      </c>
      <c r="E87" s="188" t="s">
        <v>6547</v>
      </c>
      <c r="F87" s="189"/>
      <c r="G87" s="187" t="s">
        <v>8434</v>
      </c>
      <c r="H87" s="204"/>
      <c r="I87" s="204"/>
      <c r="J87" s="196" t="s">
        <v>6469</v>
      </c>
      <c r="K87" s="196"/>
      <c r="L87" s="192" t="str">
        <f>IFERROR(__xludf.DUMMYFUNCTION("IF(
  AND(D87=""Saída"", J87=""Sangria""),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198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94">
        <f>IFERROR(__xludf.DUMMYFUNCTION("ifna(VALUE(REGEXEXTRACT(E87,""[0-9.]+[,]+[0-9]+"")))"),117.0)</f>
        <v>117</v>
      </c>
      <c r="O87" s="211"/>
      <c r="P87" s="212"/>
      <c r="Q87" s="212"/>
      <c r="R87" s="212"/>
      <c r="S87" s="97"/>
      <c r="T87" s="212"/>
      <c r="U87" s="212"/>
      <c r="V87" s="212"/>
      <c r="W87" s="213"/>
    </row>
    <row r="88" ht="14.25" customHeight="1">
      <c r="A88" s="186"/>
      <c r="B88" s="13">
        <v>1987599.0</v>
      </c>
      <c r="C88" s="14">
        <v>46061.915289351855</v>
      </c>
      <c r="D88" s="187" t="s">
        <v>97</v>
      </c>
      <c r="E88" s="188" t="s">
        <v>1071</v>
      </c>
      <c r="F88" s="189"/>
      <c r="G88" s="187" t="s">
        <v>8435</v>
      </c>
      <c r="H88" s="204"/>
      <c r="I88" s="204"/>
      <c r="J88" s="196" t="s">
        <v>6469</v>
      </c>
      <c r="K88" s="196"/>
      <c r="L88" s="192" t="str">
        <f>IFERROR(__xludf.DUMMYFUNCTION("IF(
  AND(D88=""Saída"", J88=""Sangria""),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197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94">
        <f>IFERROR(__xludf.DUMMYFUNCTION("ifna(VALUE(REGEXEXTRACT(E88,""[0-9.]+[,]+[0-9]+"")))"),110.0)</f>
        <v>110</v>
      </c>
      <c r="O88" s="214"/>
      <c r="P88" s="215"/>
      <c r="Q88" s="215"/>
      <c r="R88" s="215"/>
      <c r="S88" s="216"/>
      <c r="T88" s="215"/>
      <c r="U88" s="215"/>
      <c r="V88" s="215"/>
      <c r="W88" s="217"/>
    </row>
    <row r="89" ht="14.25" customHeight="1">
      <c r="A89" s="186"/>
      <c r="B89" s="13">
        <v>1988946.0</v>
      </c>
      <c r="C89" s="14">
        <v>46062.68274305556</v>
      </c>
      <c r="D89" s="187" t="s">
        <v>97</v>
      </c>
      <c r="E89" s="188" t="s">
        <v>8437</v>
      </c>
      <c r="F89" s="189"/>
      <c r="G89" s="187" t="s">
        <v>8438</v>
      </c>
      <c r="H89" s="204"/>
      <c r="I89" s="204"/>
      <c r="J89" s="196" t="s">
        <v>6446</v>
      </c>
      <c r="K89" s="196"/>
      <c r="L89" s="192" t="str">
        <f>IFERROR(__xludf.DUMMYFUNCTION("IF(
  AND(D89=""Saída"", J89=""Sangria""),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198" t="str">
        <f>IFERROR(__xludf.DUMMYFUNCTION("IF(J89=""Compra de Mercadorias"",
   IF(
      COUNTIF(ARRAYFORMULA(TRIM(CLEAN(TO_TEXT(Notas!BS:BS)))), TRIM(CLEAN(TO_TEXT(B89)))) &gt; 0,
      ""Encontrada"",
      ""Não Encontrada""
   ),
"""")"),"Encontrada")</f>
        <v>Encontrada</v>
      </c>
      <c r="N89" s="194">
        <f>IFERROR(__xludf.DUMMYFUNCTION("ifna(VALUE(REGEXEXTRACT(E89,""[0-9.]+[,]+[0-9]+"")))"),7.0)</f>
        <v>7</v>
      </c>
      <c r="O89" s="31"/>
      <c r="P89" s="31"/>
      <c r="Q89" s="31"/>
      <c r="R89" s="31"/>
      <c r="S89" s="31"/>
      <c r="T89" s="31"/>
      <c r="U89" s="31"/>
      <c r="V89" s="31"/>
      <c r="W89" s="31"/>
    </row>
    <row r="90" ht="14.25" customHeight="1">
      <c r="A90" s="186"/>
      <c r="B90" s="13">
        <v>1989041.0</v>
      </c>
      <c r="C90" s="14">
        <v>46062.70819444444</v>
      </c>
      <c r="D90" s="187" t="s">
        <v>97</v>
      </c>
      <c r="E90" s="188" t="s">
        <v>8440</v>
      </c>
      <c r="F90" s="189"/>
      <c r="G90" s="187" t="s">
        <v>6778</v>
      </c>
      <c r="H90" s="204"/>
      <c r="I90" s="204"/>
      <c r="J90" s="196" t="s">
        <v>6080</v>
      </c>
      <c r="K90" s="196" t="s">
        <v>6197</v>
      </c>
      <c r="L90" s="192" t="str">
        <f>IFERROR(__xludf.DUMMYFUNCTION("IF(
  AND(D90=""Saída"", J90=""Sangria""),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197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94">
        <f>IFERROR(__xludf.DUMMYFUNCTION("ifna(VALUE(REGEXEXTRACT(E90,""[0-9.]+[,]+[0-9]+"")))"),29.19)</f>
        <v>29.19</v>
      </c>
      <c r="O90" s="31"/>
      <c r="P90" s="31"/>
      <c r="Q90" s="31"/>
      <c r="R90" s="31"/>
      <c r="S90" s="31"/>
      <c r="T90" s="31"/>
      <c r="U90" s="31"/>
      <c r="V90" s="31"/>
      <c r="W90" s="31"/>
    </row>
    <row r="91" ht="14.25" customHeight="1">
      <c r="A91" s="186"/>
      <c r="B91" s="13">
        <v>1989212.0</v>
      </c>
      <c r="C91" s="14">
        <v>46062.750081018516</v>
      </c>
      <c r="D91" s="187" t="s">
        <v>97</v>
      </c>
      <c r="E91" s="188" t="s">
        <v>8444</v>
      </c>
      <c r="F91" s="189"/>
      <c r="G91" s="187" t="s">
        <v>8445</v>
      </c>
      <c r="H91" s="204"/>
      <c r="I91" s="204"/>
      <c r="J91" s="196" t="s">
        <v>6551</v>
      </c>
      <c r="K91" s="196"/>
      <c r="L91" s="192" t="str">
        <f>IFERROR(__xludf.DUMMYFUNCTION("IF(
  AND(D91=""Saída"", J91=""Sangria""),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198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94">
        <f>IFERROR(__xludf.DUMMYFUNCTION("ifna(VALUE(REGEXEXTRACT(E91,""[0-9.]+[,]+[0-9]+"")))"),1032.0)</f>
        <v>1032</v>
      </c>
      <c r="O91" s="31"/>
      <c r="P91" s="31"/>
      <c r="Q91" s="31"/>
      <c r="R91" s="31"/>
      <c r="S91" s="31"/>
      <c r="T91" s="31"/>
      <c r="U91" s="31"/>
      <c r="V91" s="31"/>
      <c r="W91" s="31"/>
    </row>
    <row r="92" ht="14.25" customHeight="1">
      <c r="A92" s="186"/>
      <c r="B92" s="13">
        <v>1989217.0</v>
      </c>
      <c r="C92" s="14">
        <v>46062.750925925924</v>
      </c>
      <c r="D92" s="187" t="s">
        <v>97</v>
      </c>
      <c r="E92" s="188" t="s">
        <v>6475</v>
      </c>
      <c r="F92" s="189"/>
      <c r="G92" s="187" t="s">
        <v>8447</v>
      </c>
      <c r="H92" s="204"/>
      <c r="I92" s="204"/>
      <c r="J92" s="196" t="s">
        <v>6446</v>
      </c>
      <c r="K92" s="196"/>
      <c r="L92" s="192" t="str">
        <f>IFERROR(__xludf.DUMMYFUNCTION("IF(
  AND(D92=""Saída"", J92=""Sangria""),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197" t="str">
        <f>IFERROR(__xludf.DUMMYFUNCTION("IF(J92=""Compra de Mercadorias"",
   IF(
      COUNTIF(ARRAYFORMULA(TRIM(CLEAN(TO_TEXT(Notas!BS:BS)))), TRIM(CLEAN(TO_TEXT(B92)))) &gt; 0,
      ""Encontrada"",
      ""Não Encontrada""
   ),
"""")"),"Encontrada")</f>
        <v>Encontrada</v>
      </c>
      <c r="N92" s="194">
        <f>IFERROR(__xludf.DUMMYFUNCTION("ifna(VALUE(REGEXEXTRACT(E92,""[0-9.]+[,]+[0-9]+"")))"),250.0)</f>
        <v>250</v>
      </c>
      <c r="O92" s="31"/>
      <c r="P92" s="31"/>
      <c r="Q92" s="31"/>
      <c r="R92" s="31"/>
      <c r="S92" s="31"/>
      <c r="T92" s="31"/>
      <c r="U92" s="194"/>
      <c r="V92" s="194"/>
      <c r="W92" s="194"/>
    </row>
    <row r="93" ht="14.25" customHeight="1">
      <c r="A93" s="186"/>
      <c r="B93" s="13">
        <v>1989234.0</v>
      </c>
      <c r="C93" s="14">
        <v>46062.75403935185</v>
      </c>
      <c r="D93" s="187" t="s">
        <v>97</v>
      </c>
      <c r="E93" s="188" t="s">
        <v>650</v>
      </c>
      <c r="F93" s="189"/>
      <c r="G93" s="187" t="s">
        <v>8450</v>
      </c>
      <c r="H93" s="204"/>
      <c r="I93" s="204"/>
      <c r="J93" s="196" t="s">
        <v>6469</v>
      </c>
      <c r="K93" s="196"/>
      <c r="L93" s="192" t="str">
        <f>IFERROR(__xludf.DUMMYFUNCTION("IF(
  AND(D93=""Saída"", J93=""Sangria""),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198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94">
        <f>IFERROR(__xludf.DUMMYFUNCTION("ifna(VALUE(REGEXEXTRACT(E93,""[0-9.]+[,]+[0-9]+"")))"),78.0)</f>
        <v>78</v>
      </c>
      <c r="O93" s="218" t="s">
        <v>7094</v>
      </c>
      <c r="P93" s="219"/>
      <c r="Q93" s="219"/>
      <c r="R93" s="219"/>
      <c r="S93" s="219"/>
      <c r="T93" s="64"/>
      <c r="U93" s="194"/>
      <c r="V93" s="194"/>
      <c r="W93" s="194"/>
    </row>
    <row r="94" ht="14.25" customHeight="1">
      <c r="A94" s="186"/>
      <c r="B94" s="13">
        <v>1989677.0</v>
      </c>
      <c r="C94" s="14">
        <v>46062.8840162037</v>
      </c>
      <c r="D94" s="187" t="s">
        <v>97</v>
      </c>
      <c r="E94" s="188" t="s">
        <v>281</v>
      </c>
      <c r="F94" s="200"/>
      <c r="G94" s="187" t="s">
        <v>6584</v>
      </c>
      <c r="H94" s="204"/>
      <c r="I94" s="204"/>
      <c r="J94" s="196" t="s">
        <v>6080</v>
      </c>
      <c r="K94" s="196" t="s">
        <v>6197</v>
      </c>
      <c r="L94" s="192" t="str">
        <f>IFERROR(__xludf.DUMMYFUNCTION("IF(
  AND(D94=""Saída"", J94=""Sangria""),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197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94">
        <f>IFERROR(__xludf.DUMMYFUNCTION("ifna(VALUE(REGEXEXTRACT(E94,""[0-9.]+[,]+[0-9]+"")))"),19.9)</f>
        <v>19.9</v>
      </c>
      <c r="O94" s="220"/>
      <c r="T94" s="221"/>
      <c r="U94" s="194"/>
      <c r="V94" s="194"/>
      <c r="W94" s="194"/>
    </row>
    <row r="95" ht="14.25" customHeight="1">
      <c r="A95" s="186"/>
      <c r="B95" s="13">
        <v>1989815.0</v>
      </c>
      <c r="C95" s="14">
        <v>46062.909583333334</v>
      </c>
      <c r="D95" s="187" t="s">
        <v>97</v>
      </c>
      <c r="E95" s="188" t="s">
        <v>8453</v>
      </c>
      <c r="F95" s="189"/>
      <c r="G95" s="187" t="s">
        <v>151</v>
      </c>
      <c r="H95" s="204"/>
      <c r="I95" s="204"/>
      <c r="J95" s="196" t="s">
        <v>6080</v>
      </c>
      <c r="K95" s="196" t="s">
        <v>6111</v>
      </c>
      <c r="L95" s="192" t="str">
        <f>IFERROR(__xludf.DUMMYFUNCTION("IF(
  AND(D95=""Saída"", J95=""Sangria""),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198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94">
        <f>IFERROR(__xludf.DUMMYFUNCTION("ifna(VALUE(REGEXEXTRACT(E95,""[0-9.]+[,]+[0-9]+"")))"),23.0)</f>
        <v>23</v>
      </c>
      <c r="O95" s="222" t="s">
        <v>0</v>
      </c>
      <c r="P95" s="223" t="s">
        <v>10</v>
      </c>
      <c r="Q95" s="223" t="s">
        <v>7118</v>
      </c>
      <c r="R95" s="223" t="s">
        <v>51</v>
      </c>
      <c r="S95" s="224" t="s">
        <v>38</v>
      </c>
      <c r="T95" s="221"/>
      <c r="U95" s="194"/>
      <c r="V95" s="194"/>
      <c r="W95" s="194"/>
    </row>
    <row r="96" ht="14.25" customHeight="1">
      <c r="A96" s="186"/>
      <c r="B96" s="13">
        <v>1989939.0</v>
      </c>
      <c r="C96" s="14">
        <v>46062.923263888886</v>
      </c>
      <c r="D96" s="187" t="s">
        <v>97</v>
      </c>
      <c r="E96" s="188" t="s">
        <v>8347</v>
      </c>
      <c r="F96" s="189"/>
      <c r="G96" s="187" t="s">
        <v>8455</v>
      </c>
      <c r="H96" s="204"/>
      <c r="I96" s="204"/>
      <c r="J96" s="196" t="s">
        <v>6446</v>
      </c>
      <c r="K96" s="196"/>
      <c r="L96" s="192" t="str">
        <f>IFERROR(__xludf.DUMMYFUNCTION("IF(
  AND(D96=""Saída"", J96=""Sangria""),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197" t="str">
        <f>IFERROR(__xludf.DUMMYFUNCTION("IF(J96=""Compra de Mercadorias"",
   IF(
      COUNTIF(ARRAYFORMULA(TRIM(CLEAN(TO_TEXT(Notas!BS:BS)))), TRIM(CLEAN(TO_TEXT(B96)))) &gt; 0,
      ""Encontrada"",
      ""Não Encontrada""
   ),
"""")"),"Não Encontrada")</f>
        <v>Não Encontrada</v>
      </c>
      <c r="N96" s="194">
        <f>IFERROR(__xludf.DUMMYFUNCTION("ifna(VALUE(REGEXEXTRACT(E96,""[0-9.]+[,]+[0-9]+"")))"),40.0)</f>
        <v>40</v>
      </c>
      <c r="O96" s="225" t="s">
        <v>2598</v>
      </c>
      <c r="P96" s="208">
        <v>46048.0</v>
      </c>
      <c r="Q96" s="209" t="s">
        <v>126</v>
      </c>
      <c r="R96" s="210">
        <v>500.0</v>
      </c>
      <c r="S96" s="226"/>
      <c r="T96" s="227" t="str">
        <f t="shared" ref="T96:T116" si="1">IFERROR(VLOOKUP(Q96, $A$4:$B$11, 2, FALSE), "")</f>
        <v>Sabrina</v>
      </c>
      <c r="U96" s="194"/>
      <c r="V96" s="194"/>
      <c r="W96" s="194"/>
    </row>
    <row r="97" ht="14.25" customHeight="1">
      <c r="A97" s="186"/>
      <c r="B97" s="13">
        <v>1990535.0</v>
      </c>
      <c r="C97" s="14">
        <v>46063.612858796296</v>
      </c>
      <c r="D97" s="187" t="s">
        <v>97</v>
      </c>
      <c r="E97" s="188" t="s">
        <v>8460</v>
      </c>
      <c r="F97" s="189"/>
      <c r="G97" s="187" t="s">
        <v>8461</v>
      </c>
      <c r="H97" s="204"/>
      <c r="I97" s="204"/>
      <c r="J97" s="196" t="s">
        <v>8462</v>
      </c>
      <c r="K97" s="196"/>
      <c r="L97" s="192" t="str">
        <f>IFERROR(__xludf.DUMMYFUNCTION("IF(
  AND(D97=""Saída"", J97=""Sangria""),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198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94">
        <f>IFERROR(__xludf.DUMMYFUNCTION("ifna(VALUE(REGEXEXTRACT(E97,""[0-9.]+[,]+[0-9]+"")))"),18.85)</f>
        <v>18.85</v>
      </c>
      <c r="O97" s="225" t="s">
        <v>2602</v>
      </c>
      <c r="P97" s="208">
        <v>46048.0</v>
      </c>
      <c r="Q97" s="209" t="s">
        <v>113</v>
      </c>
      <c r="R97" s="210">
        <v>500.0</v>
      </c>
      <c r="S97" s="228"/>
      <c r="T97" s="227" t="str">
        <f t="shared" si="1"/>
        <v>Renata</v>
      </c>
      <c r="U97" s="194"/>
      <c r="V97" s="194"/>
      <c r="W97" s="194"/>
    </row>
    <row r="98" ht="14.25" customHeight="1">
      <c r="A98" s="186"/>
      <c r="B98" s="13">
        <v>1990773.0</v>
      </c>
      <c r="C98" s="14">
        <v>46063.68064814815</v>
      </c>
      <c r="D98" s="187" t="s">
        <v>97</v>
      </c>
      <c r="E98" s="188" t="s">
        <v>7544</v>
      </c>
      <c r="F98" s="189"/>
      <c r="G98" s="187" t="s">
        <v>8464</v>
      </c>
      <c r="H98" s="204"/>
      <c r="I98" s="204"/>
      <c r="J98" s="196" t="s">
        <v>6080</v>
      </c>
      <c r="K98" s="196" t="s">
        <v>6197</v>
      </c>
      <c r="L98" s="192" t="str">
        <f>IFERROR(__xludf.DUMMYFUNCTION("IF(
  AND(D98=""Saída"", J98=""Sangria""),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197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94">
        <f>IFERROR(__xludf.DUMMYFUNCTION("ifna(VALUE(REGEXEXTRACT(E98,""[0-9.]+[,]+[0-9]+"")))"),13.0)</f>
        <v>13</v>
      </c>
      <c r="O98" s="225" t="s">
        <v>2752</v>
      </c>
      <c r="P98" s="208">
        <v>46079.0</v>
      </c>
      <c r="Q98" s="209" t="s">
        <v>126</v>
      </c>
      <c r="R98" s="210">
        <v>500.0</v>
      </c>
      <c r="S98" s="229"/>
      <c r="T98" s="227" t="str">
        <f t="shared" si="1"/>
        <v>Sabrina</v>
      </c>
      <c r="U98" s="194"/>
      <c r="V98" s="194"/>
      <c r="W98" s="194"/>
    </row>
    <row r="99" ht="14.25" customHeight="1">
      <c r="A99" s="186"/>
      <c r="B99" s="13">
        <v>1991151.0</v>
      </c>
      <c r="C99" s="14">
        <v>46063.762025462966</v>
      </c>
      <c r="D99" s="187" t="s">
        <v>97</v>
      </c>
      <c r="E99" s="188" t="s">
        <v>650</v>
      </c>
      <c r="F99" s="200"/>
      <c r="G99" s="187" t="s">
        <v>8467</v>
      </c>
      <c r="H99" s="204"/>
      <c r="I99" s="204"/>
      <c r="J99" s="196" t="s">
        <v>6469</v>
      </c>
      <c r="K99" s="196"/>
      <c r="L99" s="192" t="str">
        <f>IFERROR(__xludf.DUMMYFUNCTION("IF(
  AND(D99=""Saída"", J99=""Sangria""),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198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94">
        <f>IFERROR(__xludf.DUMMYFUNCTION("ifna(VALUE(REGEXEXTRACT(E99,""[0-9.]+[,]+[0-9]+"")))"),78.0)</f>
        <v>78</v>
      </c>
      <c r="O99" s="225"/>
      <c r="P99" s="208"/>
      <c r="Q99" s="209"/>
      <c r="R99" s="210"/>
      <c r="S99" s="230"/>
      <c r="T99" s="227" t="str">
        <f t="shared" si="1"/>
        <v/>
      </c>
      <c r="U99" s="194"/>
      <c r="V99" s="194"/>
      <c r="W99" s="194"/>
    </row>
    <row r="100" ht="14.25" customHeight="1">
      <c r="A100" s="186"/>
      <c r="B100" s="13">
        <v>1992997.0</v>
      </c>
      <c r="C100" s="14">
        <v>46064.752916666665</v>
      </c>
      <c r="D100" s="187" t="s">
        <v>97</v>
      </c>
      <c r="E100" s="188" t="s">
        <v>8469</v>
      </c>
      <c r="F100" s="189"/>
      <c r="G100" s="187" t="s">
        <v>858</v>
      </c>
      <c r="H100" s="204"/>
      <c r="I100" s="204"/>
      <c r="J100" s="196" t="s">
        <v>6544</v>
      </c>
      <c r="K100" s="196" t="s">
        <v>5991</v>
      </c>
      <c r="L100" s="192" t="str">
        <f>IFERROR(__xludf.DUMMYFUNCTION("IF(
  AND(D100=""Saída"", J100=""Sangria""),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"),"Confirmada")</f>
        <v>Confirmada</v>
      </c>
      <c r="M100" s="197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94">
        <f>IFERROR(__xludf.DUMMYFUNCTION("ifna(VALUE(REGEXEXTRACT(E100,""[0-9.]+[,]+[0-9]+"")))"),2000.0)</f>
        <v>2000</v>
      </c>
      <c r="O100" s="225"/>
      <c r="P100" s="208"/>
      <c r="Q100" s="209"/>
      <c r="R100" s="210"/>
      <c r="S100" s="229"/>
      <c r="T100" s="227" t="str">
        <f t="shared" si="1"/>
        <v/>
      </c>
      <c r="U100" s="194"/>
      <c r="V100" s="194"/>
      <c r="W100" s="194"/>
    </row>
    <row r="101" ht="14.25" customHeight="1">
      <c r="A101" s="186"/>
      <c r="B101" s="13">
        <v>1993001.0</v>
      </c>
      <c r="C101" s="14">
        <v>46064.75375</v>
      </c>
      <c r="D101" s="187" t="s">
        <v>97</v>
      </c>
      <c r="E101" s="188" t="s">
        <v>8471</v>
      </c>
      <c r="F101" s="189"/>
      <c r="G101" s="187" t="s">
        <v>8472</v>
      </c>
      <c r="H101" s="204"/>
      <c r="I101" s="204"/>
      <c r="J101" s="196" t="s">
        <v>6446</v>
      </c>
      <c r="K101" s="196"/>
      <c r="L101" s="192" t="str">
        <f>IFERROR(__xludf.DUMMYFUNCTION("IF(
  AND(D101=""Saída"", J101=""Sangria""),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198" t="str">
        <f>IFERROR(__xludf.DUMMYFUNCTION("IF(J101=""Compra de Mercadorias"",
   IF(
      COUNTIF(ARRAYFORMULA(TRIM(CLEAN(TO_TEXT(Notas!BS:BS)))), TRIM(CLEAN(TO_TEXT(B101)))) &gt; 0,
      ""Encontrada"",
      ""Não Encontrada""
   ),
"""")"),"Encontrada")</f>
        <v>Encontrada</v>
      </c>
      <c r="N101" s="194">
        <f>IFERROR(__xludf.DUMMYFUNCTION("ifna(VALUE(REGEXEXTRACT(E101,""[0-9.]+[,]+[0-9]+"")))"),308.0)</f>
        <v>308</v>
      </c>
      <c r="O101" s="231"/>
      <c r="P101" s="232"/>
      <c r="Q101" s="233"/>
      <c r="R101" s="234"/>
      <c r="S101" s="230"/>
      <c r="T101" s="227" t="str">
        <f t="shared" si="1"/>
        <v/>
      </c>
      <c r="U101" s="194"/>
      <c r="V101" s="194"/>
      <c r="W101" s="194"/>
    </row>
    <row r="102" ht="14.25" customHeight="1">
      <c r="A102" s="186"/>
      <c r="B102" s="13">
        <v>1993019.0</v>
      </c>
      <c r="C102" s="14">
        <v>46064.75994212963</v>
      </c>
      <c r="D102" s="187" t="s">
        <v>97</v>
      </c>
      <c r="E102" s="188" t="s">
        <v>650</v>
      </c>
      <c r="F102" s="200"/>
      <c r="G102" s="187" t="s">
        <v>8476</v>
      </c>
      <c r="H102" s="204"/>
      <c r="I102" s="204"/>
      <c r="J102" s="196" t="s">
        <v>6469</v>
      </c>
      <c r="K102" s="196"/>
      <c r="L102" s="192" t="str">
        <f>IFERROR(__xludf.DUMMYFUNCTION("IF(
  AND(D102=""Saída"", J102=""Sangria""),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197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94">
        <f>IFERROR(__xludf.DUMMYFUNCTION("ifna(VALUE(REGEXEXTRACT(E102,""[0-9.]+[,]+[0-9]+"")))"),78.0)</f>
        <v>78</v>
      </c>
      <c r="O102" s="235"/>
      <c r="P102" s="236"/>
      <c r="Q102" s="229"/>
      <c r="R102" s="237" t="str">
        <f t="shared" ref="R102:R138" si="2">IFERROR(VLOOKUP(Q102, $B$4:$C$18, 2, FALSE), "")</f>
        <v/>
      </c>
      <c r="S102" s="229" t="str">
        <f t="shared" ref="S102:S138" si="3">IFERROR(VLOOKUP(Q102, $A$4:$B$18, 2, FALSE), "")</f>
        <v/>
      </c>
      <c r="T102" s="227" t="str">
        <f t="shared" si="1"/>
        <v/>
      </c>
      <c r="U102" s="194"/>
      <c r="V102" s="194"/>
      <c r="W102" s="194"/>
    </row>
    <row r="103" ht="14.25" customHeight="1">
      <c r="A103" s="186"/>
      <c r="B103" s="13">
        <v>1993115.0</v>
      </c>
      <c r="C103" s="14">
        <v>46064.79150462963</v>
      </c>
      <c r="D103" s="187" t="s">
        <v>97</v>
      </c>
      <c r="E103" s="188" t="s">
        <v>8400</v>
      </c>
      <c r="F103" s="189"/>
      <c r="G103" s="187" t="s">
        <v>1042</v>
      </c>
      <c r="H103" s="204"/>
      <c r="I103" s="204"/>
      <c r="J103" s="196" t="s">
        <v>6080</v>
      </c>
      <c r="K103" s="196" t="s">
        <v>6111</v>
      </c>
      <c r="L103" s="192" t="str">
        <f>IFERROR(__xludf.DUMMYFUNCTION("IF(
  AND(D103=""Saída"", J103=""Sangria""),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198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94">
        <f>IFERROR(__xludf.DUMMYFUNCTION("ifna(VALUE(REGEXEXTRACT(E103,""[0-9.]+[,]+[0-9]+"")))"),16.48)</f>
        <v>16.48</v>
      </c>
      <c r="O103" s="238"/>
      <c r="P103" s="239"/>
      <c r="Q103" s="230"/>
      <c r="R103" s="240" t="str">
        <f t="shared" si="2"/>
        <v/>
      </c>
      <c r="S103" s="230" t="str">
        <f t="shared" si="3"/>
        <v/>
      </c>
      <c r="T103" s="227" t="str">
        <f t="shared" si="1"/>
        <v/>
      </c>
      <c r="U103" s="194"/>
      <c r="V103" s="194"/>
      <c r="W103" s="194"/>
    </row>
    <row r="104" ht="14.25" customHeight="1">
      <c r="A104" s="186"/>
      <c r="B104" s="13">
        <v>1994679.0</v>
      </c>
      <c r="C104" s="14">
        <v>46065.700891203705</v>
      </c>
      <c r="D104" s="187" t="s">
        <v>204</v>
      </c>
      <c r="E104" s="188" t="s">
        <v>6475</v>
      </c>
      <c r="F104" s="189"/>
      <c r="G104" s="187" t="s">
        <v>8482</v>
      </c>
      <c r="H104" s="204"/>
      <c r="I104" s="204"/>
      <c r="J104" s="196"/>
      <c r="K104" s="196"/>
      <c r="L104" s="192" t="str">
        <f>IFERROR(__xludf.DUMMYFUNCTION("IF(
  AND(D104=""Saída"", J104=""Sangria""),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197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94">
        <f>IFERROR(__xludf.DUMMYFUNCTION("ifna(VALUE(REGEXEXTRACT(E104,""[0-9.]+[,]+[0-9]+"")))"),250.0)</f>
        <v>250</v>
      </c>
      <c r="O104" s="235"/>
      <c r="P104" s="236"/>
      <c r="Q104" s="229"/>
      <c r="R104" s="237" t="str">
        <f t="shared" si="2"/>
        <v/>
      </c>
      <c r="S104" s="229" t="str">
        <f t="shared" si="3"/>
        <v/>
      </c>
      <c r="T104" s="227" t="str">
        <f t="shared" si="1"/>
        <v/>
      </c>
      <c r="U104" s="194"/>
      <c r="V104" s="194"/>
      <c r="W104" s="194"/>
    </row>
    <row r="105" ht="14.25" customHeight="1">
      <c r="A105" s="186"/>
      <c r="B105" s="13">
        <v>1994788.0</v>
      </c>
      <c r="C105" s="14">
        <v>46065.729212962964</v>
      </c>
      <c r="D105" s="187" t="s">
        <v>97</v>
      </c>
      <c r="E105" s="188" t="s">
        <v>8483</v>
      </c>
      <c r="F105" s="189"/>
      <c r="G105" s="187" t="s">
        <v>8484</v>
      </c>
      <c r="H105" s="204"/>
      <c r="I105" s="204"/>
      <c r="J105" s="196" t="s">
        <v>6446</v>
      </c>
      <c r="K105" s="196"/>
      <c r="L105" s="192" t="str">
        <f>IFERROR(__xludf.DUMMYFUNCTION("IF(
  AND(D105=""Saída"", J105=""Sangria""),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198" t="str">
        <f>IFERROR(__xludf.DUMMYFUNCTION("IF(J105=""Compra de Mercadorias"",
   IF(
      COUNTIF(ARRAYFORMULA(TRIM(CLEAN(TO_TEXT(Notas!BS:BS)))), TRIM(CLEAN(TO_TEXT(B105)))) &gt; 0,
      ""Encontrada"",
      ""Não Encontrada""
   ),
"""")"),"Encontrada")</f>
        <v>Encontrada</v>
      </c>
      <c r="N105" s="194">
        <f>IFERROR(__xludf.DUMMYFUNCTION("ifna(VALUE(REGEXEXTRACT(E105,""[0-9.]+[,]+[0-9]+"")))"),22.0)</f>
        <v>22</v>
      </c>
      <c r="O105" s="238"/>
      <c r="P105" s="239"/>
      <c r="Q105" s="230"/>
      <c r="R105" s="240" t="str">
        <f t="shared" si="2"/>
        <v/>
      </c>
      <c r="S105" s="230" t="str">
        <f t="shared" si="3"/>
        <v/>
      </c>
      <c r="T105" s="227" t="str">
        <f t="shared" si="1"/>
        <v/>
      </c>
      <c r="U105" s="194"/>
      <c r="V105" s="194"/>
      <c r="W105" s="194"/>
    </row>
    <row r="106" ht="14.25" customHeight="1">
      <c r="A106" s="186"/>
      <c r="B106" s="13">
        <v>1994800.0</v>
      </c>
      <c r="C106" s="14">
        <v>46065.73079861111</v>
      </c>
      <c r="D106" s="187" t="s">
        <v>97</v>
      </c>
      <c r="E106" s="188" t="s">
        <v>8487</v>
      </c>
      <c r="F106" s="189"/>
      <c r="G106" s="187" t="s">
        <v>8488</v>
      </c>
      <c r="H106" s="204"/>
      <c r="I106" s="204"/>
      <c r="J106" s="196" t="s">
        <v>6446</v>
      </c>
      <c r="K106" s="196"/>
      <c r="L106" s="192" t="str">
        <f>IFERROR(__xludf.DUMMYFUNCTION("IF(
  AND(D106=""Saída"", J106=""Sangria""),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197" t="str">
        <f>IFERROR(__xludf.DUMMYFUNCTION("IF(J106=""Compra de Mercadorias"",
   IF(
      COUNTIF(ARRAYFORMULA(TRIM(CLEAN(TO_TEXT(Notas!BS:BS)))), TRIM(CLEAN(TO_TEXT(B106)))) &gt; 0,
      ""Encontrada"",
      ""Não Encontrada""
   ),
"""")"),"Encontrada")</f>
        <v>Encontrada</v>
      </c>
      <c r="N106" s="194">
        <f>IFERROR(__xludf.DUMMYFUNCTION("ifna(VALUE(REGEXEXTRACT(E106,""[0-9.]+[,]+[0-9]+"")))"),22.5)</f>
        <v>22.5</v>
      </c>
      <c r="O106" s="235"/>
      <c r="P106" s="236"/>
      <c r="Q106" s="229"/>
      <c r="R106" s="237" t="str">
        <f t="shared" si="2"/>
        <v/>
      </c>
      <c r="S106" s="229" t="str">
        <f t="shared" si="3"/>
        <v/>
      </c>
      <c r="T106" s="227" t="str">
        <f t="shared" si="1"/>
        <v/>
      </c>
      <c r="U106" s="194"/>
      <c r="V106" s="194"/>
      <c r="W106" s="194"/>
    </row>
    <row r="107" ht="14.25" customHeight="1">
      <c r="A107" s="186"/>
      <c r="B107" s="13">
        <v>1994992.0</v>
      </c>
      <c r="C107" s="14">
        <v>46065.77674768519</v>
      </c>
      <c r="D107" s="187" t="s">
        <v>97</v>
      </c>
      <c r="E107" s="188" t="s">
        <v>650</v>
      </c>
      <c r="F107" s="200"/>
      <c r="G107" s="187" t="s">
        <v>8490</v>
      </c>
      <c r="H107" s="204"/>
      <c r="I107" s="204"/>
      <c r="J107" s="196" t="s">
        <v>6469</v>
      </c>
      <c r="K107" s="196"/>
      <c r="L107" s="192" t="str">
        <f>IFERROR(__xludf.DUMMYFUNCTION("IF(
  AND(D107=""Saída"", J107=""Sangria""),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198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94">
        <f>IFERROR(__xludf.DUMMYFUNCTION("ifna(VALUE(REGEXEXTRACT(E107,""[0-9.]+[,]+[0-9]+"")))"),78.0)</f>
        <v>78</v>
      </c>
      <c r="O107" s="238"/>
      <c r="P107" s="230"/>
      <c r="Q107" s="230"/>
      <c r="R107" s="240" t="str">
        <f t="shared" si="2"/>
        <v/>
      </c>
      <c r="S107" s="230" t="str">
        <f t="shared" si="3"/>
        <v/>
      </c>
      <c r="T107" s="227" t="str">
        <f t="shared" si="1"/>
        <v/>
      </c>
      <c r="U107" s="194"/>
      <c r="V107" s="194"/>
      <c r="W107" s="194"/>
    </row>
    <row r="108" ht="14.25" customHeight="1">
      <c r="A108" s="186"/>
      <c r="B108" s="13">
        <v>1995570.0</v>
      </c>
      <c r="C108" s="14">
        <v>46065.9196875</v>
      </c>
      <c r="D108" s="187" t="s">
        <v>97</v>
      </c>
      <c r="E108" s="188" t="s">
        <v>6475</v>
      </c>
      <c r="F108" s="189"/>
      <c r="G108" s="187" t="s">
        <v>8492</v>
      </c>
      <c r="H108" s="204"/>
      <c r="I108" s="204"/>
      <c r="J108" s="196" t="s">
        <v>6446</v>
      </c>
      <c r="K108" s="196"/>
      <c r="L108" s="192" t="str">
        <f>IFERROR(__xludf.DUMMYFUNCTION("IF(
  AND(D108=""Saída"", J108=""Sangria""),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197" t="str">
        <f>IFERROR(__xludf.DUMMYFUNCTION("IF(J108=""Compra de Mercadorias"",
   IF(
      COUNTIF(ARRAYFORMULA(TRIM(CLEAN(TO_TEXT(Notas!BS:BS)))), TRIM(CLEAN(TO_TEXT(B108)))) &gt; 0,
      ""Encontrada"",
      ""Não Encontrada""
   ),
"""")"),"Encontrada")</f>
        <v>Encontrada</v>
      </c>
      <c r="N108" s="194">
        <f>IFERROR(__xludf.DUMMYFUNCTION("ifna(VALUE(REGEXEXTRACT(E108,""[0-9.]+[,]+[0-9]+"")))"),250.0)</f>
        <v>250</v>
      </c>
      <c r="O108" s="235"/>
      <c r="P108" s="229"/>
      <c r="Q108" s="229"/>
      <c r="R108" s="237" t="str">
        <f t="shared" si="2"/>
        <v/>
      </c>
      <c r="S108" s="229" t="str">
        <f t="shared" si="3"/>
        <v/>
      </c>
      <c r="T108" s="227" t="str">
        <f t="shared" si="1"/>
        <v/>
      </c>
      <c r="U108" s="194"/>
      <c r="V108" s="194"/>
      <c r="W108" s="194"/>
    </row>
    <row r="109" ht="14.25" customHeight="1">
      <c r="A109" s="186"/>
      <c r="B109" s="13">
        <v>1996932.0</v>
      </c>
      <c r="C109" s="14">
        <v>46066.74711805556</v>
      </c>
      <c r="D109" s="187" t="s">
        <v>97</v>
      </c>
      <c r="E109" s="188" t="s">
        <v>1780</v>
      </c>
      <c r="F109" s="189"/>
      <c r="G109" s="187" t="s">
        <v>6778</v>
      </c>
      <c r="H109" s="204"/>
      <c r="I109" s="204"/>
      <c r="J109" s="196" t="s">
        <v>6080</v>
      </c>
      <c r="K109" s="196" t="s">
        <v>6197</v>
      </c>
      <c r="L109" s="192" t="str">
        <f>IFERROR(__xludf.DUMMYFUNCTION("IF(
  AND(D109=""Saída"", J109=""Sangria""),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198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94">
        <f>IFERROR(__xludf.DUMMYFUNCTION("ifna(VALUE(REGEXEXTRACT(E109,""[0-9.]+[,]+[0-9]+"")))"),5.0)</f>
        <v>5</v>
      </c>
      <c r="O109" s="238"/>
      <c r="P109" s="230"/>
      <c r="Q109" s="230"/>
      <c r="R109" s="240" t="str">
        <f t="shared" si="2"/>
        <v/>
      </c>
      <c r="S109" s="230" t="str">
        <f t="shared" si="3"/>
        <v/>
      </c>
      <c r="T109" s="227" t="str">
        <f t="shared" si="1"/>
        <v/>
      </c>
      <c r="U109" s="194"/>
      <c r="V109" s="194"/>
      <c r="W109" s="194"/>
    </row>
    <row r="110" ht="14.25" customHeight="1">
      <c r="A110" s="186"/>
      <c r="B110" s="13">
        <v>1996977.0</v>
      </c>
      <c r="C110" s="14">
        <v>46066.75894675926</v>
      </c>
      <c r="D110" s="187" t="s">
        <v>97</v>
      </c>
      <c r="E110" s="188" t="s">
        <v>650</v>
      </c>
      <c r="F110" s="189"/>
      <c r="G110" s="187" t="s">
        <v>8497</v>
      </c>
      <c r="H110" s="204"/>
      <c r="I110" s="204"/>
      <c r="J110" s="196" t="s">
        <v>6469</v>
      </c>
      <c r="K110" s="196"/>
      <c r="L110" s="192" t="str">
        <f>IFERROR(__xludf.DUMMYFUNCTION("IF(
  AND(D110=""Saída"", J110=""Sangria""),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197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94">
        <f>IFERROR(__xludf.DUMMYFUNCTION("ifna(VALUE(REGEXEXTRACT(E110,""[0-9.]+[,]+[0-9]+"")))"),78.0)</f>
        <v>78</v>
      </c>
      <c r="O110" s="235"/>
      <c r="P110" s="229"/>
      <c r="Q110" s="229"/>
      <c r="R110" s="237" t="str">
        <f t="shared" si="2"/>
        <v/>
      </c>
      <c r="S110" s="229" t="str">
        <f t="shared" si="3"/>
        <v/>
      </c>
      <c r="T110" s="227" t="str">
        <f t="shared" si="1"/>
        <v/>
      </c>
      <c r="U110" s="194"/>
      <c r="V110" s="194"/>
      <c r="W110" s="194"/>
    </row>
    <row r="111" ht="14.25" customHeight="1">
      <c r="A111" s="186"/>
      <c r="B111" s="13">
        <v>1996982.0</v>
      </c>
      <c r="C111" s="14">
        <v>46066.76137731481</v>
      </c>
      <c r="D111" s="187" t="s">
        <v>97</v>
      </c>
      <c r="E111" s="188" t="s">
        <v>8499</v>
      </c>
      <c r="F111" s="189"/>
      <c r="G111" s="187" t="s">
        <v>8500</v>
      </c>
      <c r="H111" s="204"/>
      <c r="I111" s="204"/>
      <c r="J111" s="196" t="s">
        <v>6446</v>
      </c>
      <c r="K111" s="196"/>
      <c r="L111" s="192" t="str">
        <f>IFERROR(__xludf.DUMMYFUNCTION("IF(
  AND(D111=""Saída"", J111=""Sangria""),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198" t="str">
        <f>IFERROR(__xludf.DUMMYFUNCTION("IF(J111=""Compra de Mercadorias"",
   IF(
      COUNTIF(ARRAYFORMULA(TRIM(CLEAN(TO_TEXT(Notas!BS:BS)))), TRIM(CLEAN(TO_TEXT(B111)))) &gt; 0,
      ""Encontrada"",
      ""Não Encontrada""
   ),
"""")"),"Encontrada")</f>
        <v>Encontrada</v>
      </c>
      <c r="N111" s="194">
        <f>IFERROR(__xludf.DUMMYFUNCTION("ifna(VALUE(REGEXEXTRACT(E111,""[0-9.]+[,]+[0-9]+"")))"),45.04)</f>
        <v>45.04</v>
      </c>
      <c r="O111" s="238"/>
      <c r="P111" s="230"/>
      <c r="Q111" s="230"/>
      <c r="R111" s="240" t="str">
        <f t="shared" si="2"/>
        <v/>
      </c>
      <c r="S111" s="230" t="str">
        <f t="shared" si="3"/>
        <v/>
      </c>
      <c r="T111" s="227" t="str">
        <f t="shared" si="1"/>
        <v/>
      </c>
      <c r="U111" s="194"/>
      <c r="V111" s="194"/>
      <c r="W111" s="194"/>
    </row>
    <row r="112" ht="14.25" customHeight="1">
      <c r="A112" s="186"/>
      <c r="B112" s="13">
        <v>1997023.0</v>
      </c>
      <c r="C112" s="14">
        <v>46066.771215277775</v>
      </c>
      <c r="D112" s="187" t="s">
        <v>97</v>
      </c>
      <c r="E112" s="188" t="s">
        <v>6475</v>
      </c>
      <c r="F112" s="189"/>
      <c r="G112" s="187" t="s">
        <v>5323</v>
      </c>
      <c r="H112" s="204"/>
      <c r="I112" s="204"/>
      <c r="J112" s="196" t="s">
        <v>6446</v>
      </c>
      <c r="K112" s="196"/>
      <c r="L112" s="192" t="str">
        <f>IFERROR(__xludf.DUMMYFUNCTION("IF(
  AND(D112=""Saída"", J112=""Sangria""),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197" t="str">
        <f>IFERROR(__xludf.DUMMYFUNCTION("IF(J112=""Compra de Mercadorias"",
   IF(
      COUNTIF(ARRAYFORMULA(TRIM(CLEAN(TO_TEXT(Notas!BS:BS)))), TRIM(CLEAN(TO_TEXT(B112)))) &gt; 0,
      ""Encontrada"",
      ""Não Encontrada""
   ),
"""")"),"Encontrada")</f>
        <v>Encontrada</v>
      </c>
      <c r="N112" s="194">
        <f>IFERROR(__xludf.DUMMYFUNCTION("ifna(VALUE(REGEXEXTRACT(E112,""[0-9.]+[,]+[0-9]+"")))"),250.0)</f>
        <v>250</v>
      </c>
      <c r="O112" s="235"/>
      <c r="P112" s="229"/>
      <c r="Q112" s="229"/>
      <c r="R112" s="237" t="str">
        <f t="shared" si="2"/>
        <v/>
      </c>
      <c r="S112" s="229" t="str">
        <f t="shared" si="3"/>
        <v/>
      </c>
      <c r="T112" s="227" t="str">
        <f t="shared" si="1"/>
        <v/>
      </c>
      <c r="U112" s="194"/>
      <c r="V112" s="194"/>
      <c r="W112" s="194"/>
    </row>
    <row r="113" ht="14.25" customHeight="1">
      <c r="A113" s="186"/>
      <c r="B113" s="13">
        <v>1997063.0</v>
      </c>
      <c r="C113" s="14">
        <v>46066.78111111111</v>
      </c>
      <c r="D113" s="187" t="s">
        <v>97</v>
      </c>
      <c r="E113" s="188" t="s">
        <v>8502</v>
      </c>
      <c r="F113" s="189"/>
      <c r="G113" s="187" t="s">
        <v>8503</v>
      </c>
      <c r="H113" s="204"/>
      <c r="I113" s="204"/>
      <c r="J113" s="196" t="s">
        <v>6446</v>
      </c>
      <c r="K113" s="196"/>
      <c r="L113" s="192" t="str">
        <f>IFERROR(__xludf.DUMMYFUNCTION("IF(
  AND(D113=""Saída"", J113=""Sangria""),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198" t="str">
        <f>IFERROR(__xludf.DUMMYFUNCTION("IF(J113=""Compra de Mercadorias"",
   IF(
      COUNTIF(ARRAYFORMULA(TRIM(CLEAN(TO_TEXT(Notas!BS:BS)))), TRIM(CLEAN(TO_TEXT(B113)))) &gt; 0,
      ""Encontrada"",
      ""Não Encontrada""
   ),
"""")"),"Encontrada")</f>
        <v>Encontrada</v>
      </c>
      <c r="N113" s="194">
        <f>IFERROR(__xludf.DUMMYFUNCTION("ifna(VALUE(REGEXEXTRACT(E113,""[0-9.]+[,]+[0-9]+"")))"),164.16)</f>
        <v>164.16</v>
      </c>
      <c r="O113" s="238"/>
      <c r="P113" s="230"/>
      <c r="Q113" s="230"/>
      <c r="R113" s="240" t="str">
        <f t="shared" si="2"/>
        <v/>
      </c>
      <c r="S113" s="230" t="str">
        <f t="shared" si="3"/>
        <v/>
      </c>
      <c r="T113" s="227" t="str">
        <f t="shared" si="1"/>
        <v/>
      </c>
      <c r="U113" s="194"/>
      <c r="V113" s="194"/>
      <c r="W113" s="194"/>
    </row>
    <row r="114" ht="14.25" customHeight="1">
      <c r="A114" s="186"/>
      <c r="B114" s="13">
        <v>1999584.0</v>
      </c>
      <c r="C114" s="14">
        <v>46067.87706018519</v>
      </c>
      <c r="D114" s="187" t="s">
        <v>97</v>
      </c>
      <c r="E114" s="188" t="s">
        <v>6561</v>
      </c>
      <c r="F114" s="189"/>
      <c r="G114" s="187" t="s">
        <v>8504</v>
      </c>
      <c r="H114" s="204"/>
      <c r="I114" s="204"/>
      <c r="J114" s="196" t="s">
        <v>6469</v>
      </c>
      <c r="K114" s="196"/>
      <c r="L114" s="192" t="str">
        <f>IFERROR(__xludf.DUMMYFUNCTION("IF(
  AND(D114=""Saída"", J114=""Sangria""),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197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94">
        <f>IFERROR(__xludf.DUMMYFUNCTION("ifna(VALUE(REGEXEXTRACT(E114,""[0-9.]+[,]+[0-9]+"")))"),123.0)</f>
        <v>123</v>
      </c>
      <c r="O114" s="235"/>
      <c r="P114" s="229"/>
      <c r="Q114" s="229"/>
      <c r="R114" s="237" t="str">
        <f t="shared" si="2"/>
        <v/>
      </c>
      <c r="S114" s="229" t="str">
        <f t="shared" si="3"/>
        <v/>
      </c>
      <c r="T114" s="227" t="str">
        <f t="shared" si="1"/>
        <v/>
      </c>
      <c r="U114" s="194"/>
      <c r="V114" s="194"/>
      <c r="W114" s="194"/>
    </row>
    <row r="115" ht="14.25" customHeight="1">
      <c r="A115" s="186"/>
      <c r="B115" s="13">
        <v>1999653.0</v>
      </c>
      <c r="C115" s="14">
        <v>46067.88623842593</v>
      </c>
      <c r="D115" s="187" t="s">
        <v>97</v>
      </c>
      <c r="E115" s="188" t="s">
        <v>8437</v>
      </c>
      <c r="F115" s="189"/>
      <c r="G115" s="187" t="s">
        <v>8505</v>
      </c>
      <c r="H115" s="204"/>
      <c r="I115" s="204"/>
      <c r="J115" s="196" t="s">
        <v>6551</v>
      </c>
      <c r="K115" s="196"/>
      <c r="L115" s="192" t="str">
        <f>IFERROR(__xludf.DUMMYFUNCTION("IF(
  AND(D115=""Saída"", J115=""Sangria""),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198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94">
        <f>IFERROR(__xludf.DUMMYFUNCTION("ifna(VALUE(REGEXEXTRACT(E115,""[0-9.]+[,]+[0-9]+"")))"),7.0)</f>
        <v>7</v>
      </c>
      <c r="O115" s="238"/>
      <c r="P115" s="230"/>
      <c r="Q115" s="230"/>
      <c r="R115" s="240" t="str">
        <f t="shared" si="2"/>
        <v/>
      </c>
      <c r="S115" s="230" t="str">
        <f t="shared" si="3"/>
        <v/>
      </c>
      <c r="T115" s="227" t="str">
        <f t="shared" si="1"/>
        <v/>
      </c>
      <c r="U115" s="194"/>
      <c r="V115" s="194"/>
      <c r="W115" s="194"/>
    </row>
    <row r="116" ht="14.25" customHeight="1">
      <c r="A116" s="186"/>
      <c r="B116" s="13">
        <v>1999676.0</v>
      </c>
      <c r="C116" s="14">
        <v>46067.89115740741</v>
      </c>
      <c r="D116" s="187" t="s">
        <v>97</v>
      </c>
      <c r="E116" s="188" t="s">
        <v>623</v>
      </c>
      <c r="F116" s="189"/>
      <c r="G116" s="187" t="s">
        <v>858</v>
      </c>
      <c r="H116" s="204"/>
      <c r="I116" s="204"/>
      <c r="J116" s="196" t="s">
        <v>6544</v>
      </c>
      <c r="K116" s="196" t="s">
        <v>5991</v>
      </c>
      <c r="L116" s="192" t="str">
        <f>IFERROR(__xludf.DUMMYFUNCTION("IF(
  AND(D116=""Saída"", J116=""Sangria""),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"),"Confirmada")</f>
        <v>Confirmada</v>
      </c>
      <c r="M116" s="197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94">
        <f>IFERROR(__xludf.DUMMYFUNCTION("ifna(VALUE(REGEXEXTRACT(E116,""[0-9.]+[,]+[0-9]+"")))"),900.0)</f>
        <v>900</v>
      </c>
      <c r="O116" s="235"/>
      <c r="P116" s="229"/>
      <c r="Q116" s="229"/>
      <c r="R116" s="237" t="str">
        <f t="shared" si="2"/>
        <v/>
      </c>
      <c r="S116" s="229" t="str">
        <f t="shared" si="3"/>
        <v/>
      </c>
      <c r="T116" s="227" t="str">
        <f t="shared" si="1"/>
        <v/>
      </c>
      <c r="U116" s="194"/>
      <c r="V116" s="194"/>
      <c r="W116" s="194"/>
    </row>
    <row r="117" ht="14.25" customHeight="1">
      <c r="A117" s="186"/>
      <c r="B117" s="13">
        <v>2002280.0</v>
      </c>
      <c r="C117" s="14">
        <v>46068.88068287037</v>
      </c>
      <c r="D117" s="187" t="s">
        <v>97</v>
      </c>
      <c r="E117" s="188" t="s">
        <v>6561</v>
      </c>
      <c r="F117" s="189"/>
      <c r="G117" s="187" t="s">
        <v>8506</v>
      </c>
      <c r="H117" s="204"/>
      <c r="I117" s="204"/>
      <c r="J117" s="196" t="s">
        <v>6469</v>
      </c>
      <c r="K117" s="196"/>
      <c r="L117" s="192" t="str">
        <f>IFERROR(__xludf.DUMMYFUNCTION("IF(
  AND(D117=""Saída"", J117=""Sangria""),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198" t="str">
        <f>IFERROR(__xludf.DUMMYFUNCTION("IF(J117=""Compra de Mercadorias"",
   IF(
      COUNTIF(ARRAYFORMULA(TRIM(CLEAN(TO_TEXT(Notas!BS:BS)))), TRIM(CLEAN(TO_TEXT(#REF!)))) &gt; 0,
      ""Encontrada"",
      ""Não Encontrada""
   ),
"""")"),"")</f>
        <v/>
      </c>
      <c r="N117" s="194">
        <f>IFERROR(__xludf.DUMMYFUNCTION("ifna(VALUE(REGEXEXTRACT(E117,""[0-9.]+[,]+[0-9]+"")))"),123.0)</f>
        <v>123</v>
      </c>
      <c r="O117" s="238"/>
      <c r="P117" s="230"/>
      <c r="Q117" s="230"/>
      <c r="R117" s="240" t="str">
        <f t="shared" si="2"/>
        <v/>
      </c>
      <c r="S117" s="230" t="str">
        <f t="shared" si="3"/>
        <v/>
      </c>
      <c r="T117" s="242" t="str">
        <f t="shared" ref="T117:T138" si="4">IFERROR(VLOOKUP(Q117, $A$4:$B$18, 2, FALSE), "")</f>
        <v/>
      </c>
      <c r="U117" s="194"/>
      <c r="V117" s="194"/>
      <c r="W117" s="194"/>
    </row>
    <row r="118" ht="14.25" customHeight="1">
      <c r="A118" s="186"/>
      <c r="B118" s="13">
        <v>2002306.0</v>
      </c>
      <c r="C118" s="14">
        <v>46068.8834375</v>
      </c>
      <c r="D118" s="187" t="s">
        <v>97</v>
      </c>
      <c r="E118" s="188" t="s">
        <v>763</v>
      </c>
      <c r="F118" s="189"/>
      <c r="G118" s="187" t="s">
        <v>858</v>
      </c>
      <c r="H118" s="204"/>
      <c r="I118" s="204"/>
      <c r="J118" s="196" t="s">
        <v>6544</v>
      </c>
      <c r="K118" s="196" t="s">
        <v>5991</v>
      </c>
      <c r="L118" s="192" t="str">
        <f>IFERROR(__xludf.DUMMYFUNCTION("IF(
  AND(D118=""Saída"", J118=""Sangria""),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"),"Confirmada")</f>
        <v>Confirmada</v>
      </c>
      <c r="M118" s="197" t="str">
        <f>IFERROR(__xludf.DUMMYFUNCTION("IF(J118=""Compra de Mercadorias"",
   IF(
      COUNTIF(ARRAYFORMULA(TRIM(CLEAN(TO_TEXT(Notas!BS:BS)))), TRIM(CLEAN(TO_TEXT(B117)))) &gt; 0,
      ""Encontrada"",
      ""Não Encontrada""
   ),
"""")"),"")</f>
        <v/>
      </c>
      <c r="N118" s="194">
        <f>IFERROR(__xludf.DUMMYFUNCTION("ifna(VALUE(REGEXEXTRACT(E118,""[0-9.]+[,]+[0-9]+"")))"),1000.0)</f>
        <v>1000</v>
      </c>
      <c r="O118" s="235"/>
      <c r="P118" s="229"/>
      <c r="Q118" s="229"/>
      <c r="R118" s="237" t="str">
        <f t="shared" si="2"/>
        <v/>
      </c>
      <c r="S118" s="229" t="str">
        <f t="shared" si="3"/>
        <v/>
      </c>
      <c r="T118" s="242" t="str">
        <f t="shared" si="4"/>
        <v/>
      </c>
      <c r="U118" s="194"/>
      <c r="V118" s="194"/>
      <c r="W118" s="194"/>
    </row>
    <row r="119" ht="14.25" customHeight="1">
      <c r="A119" s="186"/>
      <c r="B119" s="13">
        <v>2002463.0</v>
      </c>
      <c r="C119" s="14">
        <v>46068.89915509259</v>
      </c>
      <c r="D119" s="187" t="s">
        <v>97</v>
      </c>
      <c r="E119" s="188" t="s">
        <v>8507</v>
      </c>
      <c r="F119" s="189"/>
      <c r="G119" s="187" t="s">
        <v>8508</v>
      </c>
      <c r="H119" s="204"/>
      <c r="I119" s="204"/>
      <c r="J119" s="196" t="s">
        <v>6551</v>
      </c>
      <c r="K119" s="196"/>
      <c r="L119" s="192" t="str">
        <f>IFERROR(__xludf.DUMMYFUNCTION("IF(
  AND(D119=""Saída"", J119=""Sangria""),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198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94">
        <f>IFERROR(__xludf.DUMMYFUNCTION("ifna(VALUE(REGEXEXTRACT(E119,""[0-9.]+[,]+[0-9]+"")))"),864.0)</f>
        <v>864</v>
      </c>
      <c r="O119" s="238"/>
      <c r="P119" s="230"/>
      <c r="Q119" s="230"/>
      <c r="R119" s="240" t="str">
        <f t="shared" si="2"/>
        <v/>
      </c>
      <c r="S119" s="230" t="str">
        <f t="shared" si="3"/>
        <v/>
      </c>
      <c r="T119" s="242" t="str">
        <f t="shared" si="4"/>
        <v/>
      </c>
      <c r="U119" s="194"/>
      <c r="V119" s="194"/>
      <c r="W119" s="194"/>
    </row>
    <row r="120" ht="14.25" customHeight="1">
      <c r="A120" s="186"/>
      <c r="B120" s="13">
        <v>2004425.0</v>
      </c>
      <c r="C120" s="14">
        <v>46069.70837962963</v>
      </c>
      <c r="D120" s="187" t="s">
        <v>97</v>
      </c>
      <c r="E120" s="188" t="s">
        <v>8509</v>
      </c>
      <c r="F120" s="189"/>
      <c r="G120" s="187" t="s">
        <v>7054</v>
      </c>
      <c r="H120" s="204"/>
      <c r="I120" s="204"/>
      <c r="J120" s="196" t="s">
        <v>6446</v>
      </c>
      <c r="K120" s="196"/>
      <c r="L120" s="192" t="str">
        <f>IFERROR(__xludf.DUMMYFUNCTION("IF(
  AND(D120=""Saída"", J120=""Sangria""),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197" t="str">
        <f>IFERROR(__xludf.DUMMYFUNCTION("IF(J120=""Compra de Mercadorias"",
   IF(
      COUNTIF(ARRAYFORMULA(TRIM(CLEAN(TO_TEXT(Notas!BS:BS)))), TRIM(CLEAN(TO_TEXT(B120)))) &gt; 0,
      ""Encontrada"",
      ""Não Encontrada""
   ),
"""")"),"Encontrada")</f>
        <v>Encontrada</v>
      </c>
      <c r="N120" s="194">
        <f>IFERROR(__xludf.DUMMYFUNCTION("ifna(VALUE(REGEXEXTRACT(E120,""[0-9.]+[,]+[0-9]+"")))"),28.17)</f>
        <v>28.17</v>
      </c>
      <c r="O120" s="235"/>
      <c r="P120" s="229"/>
      <c r="Q120" s="229"/>
      <c r="R120" s="237" t="str">
        <f t="shared" si="2"/>
        <v/>
      </c>
      <c r="S120" s="229" t="str">
        <f t="shared" si="3"/>
        <v/>
      </c>
      <c r="T120" s="242" t="str">
        <f t="shared" si="4"/>
        <v/>
      </c>
      <c r="U120" s="194"/>
      <c r="V120" s="194"/>
      <c r="W120" s="194"/>
    </row>
    <row r="121" ht="14.25" customHeight="1">
      <c r="A121" s="186"/>
      <c r="B121" s="13">
        <v>2004729.0</v>
      </c>
      <c r="C121" s="14">
        <v>46069.760300925926</v>
      </c>
      <c r="D121" s="187" t="s">
        <v>97</v>
      </c>
      <c r="E121" s="188" t="s">
        <v>6475</v>
      </c>
      <c r="F121" s="200"/>
      <c r="G121" s="187" t="s">
        <v>8510</v>
      </c>
      <c r="H121" s="204"/>
      <c r="I121" s="204"/>
      <c r="J121" s="196" t="s">
        <v>6446</v>
      </c>
      <c r="K121" s="196"/>
      <c r="L121" s="192" t="str">
        <f>IFERROR(__xludf.DUMMYFUNCTION("IF(
  AND(D121=""Saída"", J121=""Sangria""),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198" t="str">
        <f>IFERROR(__xludf.DUMMYFUNCTION("IF(J121=""Compra de Mercadorias"",
   IF(
      COUNTIF(ARRAYFORMULA(TRIM(CLEAN(TO_TEXT(Notas!BS:BS)))), TRIM(CLEAN(TO_TEXT(B121)))) &gt; 0,
      ""Encontrada"",
      ""Não Encontrada""
   ),
"""")"),"Encontrada")</f>
        <v>Encontrada</v>
      </c>
      <c r="N121" s="194">
        <f>IFERROR(__xludf.DUMMYFUNCTION("ifna(VALUE(REGEXEXTRACT(E121,""[0-9.]+[,]+[0-9]+"")))"),250.0)</f>
        <v>250</v>
      </c>
      <c r="O121" s="238"/>
      <c r="P121" s="230"/>
      <c r="Q121" s="230"/>
      <c r="R121" s="240" t="str">
        <f t="shared" si="2"/>
        <v/>
      </c>
      <c r="S121" s="230" t="str">
        <f t="shared" si="3"/>
        <v/>
      </c>
      <c r="T121" s="242" t="str">
        <f t="shared" si="4"/>
        <v/>
      </c>
      <c r="U121" s="194"/>
      <c r="V121" s="194"/>
      <c r="W121" s="194"/>
    </row>
    <row r="122" ht="14.25" customHeight="1">
      <c r="A122" s="186"/>
      <c r="B122" s="13">
        <v>2007782.0</v>
      </c>
      <c r="C122" s="14">
        <v>46070.870462962965</v>
      </c>
      <c r="D122" s="187" t="s">
        <v>97</v>
      </c>
      <c r="E122" s="188" t="s">
        <v>7202</v>
      </c>
      <c r="F122" s="189"/>
      <c r="G122" s="187" t="s">
        <v>858</v>
      </c>
      <c r="H122" s="204"/>
      <c r="I122" s="204"/>
      <c r="J122" s="196" t="s">
        <v>6544</v>
      </c>
      <c r="K122" s="196" t="s">
        <v>5991</v>
      </c>
      <c r="L122" s="192" t="str">
        <f>IFERROR(__xludf.DUMMYFUNCTION("IF(
  AND(D122=""Saída"", J122=""Sangria""),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"),"Confirmada")</f>
        <v>Confirmada</v>
      </c>
      <c r="M122" s="197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94">
        <f>IFERROR(__xludf.DUMMYFUNCTION("ifna(VALUE(REGEXEXTRACT(E122,""[0-9.]+[,]+[0-9]+"")))"),1600.0)</f>
        <v>1600</v>
      </c>
      <c r="O122" s="235"/>
      <c r="P122" s="229"/>
      <c r="Q122" s="229"/>
      <c r="R122" s="237" t="str">
        <f t="shared" si="2"/>
        <v/>
      </c>
      <c r="S122" s="229" t="str">
        <f t="shared" si="3"/>
        <v/>
      </c>
      <c r="T122" s="242" t="str">
        <f t="shared" si="4"/>
        <v/>
      </c>
      <c r="U122" s="194"/>
      <c r="V122" s="194"/>
      <c r="W122" s="194"/>
    </row>
    <row r="123" ht="14.25" customHeight="1">
      <c r="A123" s="186"/>
      <c r="B123" s="13">
        <v>2007852.0</v>
      </c>
      <c r="C123" s="14">
        <v>46070.87993055556</v>
      </c>
      <c r="D123" s="187" t="s">
        <v>97</v>
      </c>
      <c r="E123" s="188" t="s">
        <v>7689</v>
      </c>
      <c r="F123" s="189"/>
      <c r="G123" s="187" t="s">
        <v>8511</v>
      </c>
      <c r="H123" s="204"/>
      <c r="I123" s="204"/>
      <c r="J123" s="196" t="s">
        <v>6469</v>
      </c>
      <c r="K123" s="196"/>
      <c r="L123" s="192" t="str">
        <f>IFERROR(__xludf.DUMMYFUNCTION("IF(
  AND(D123=""Saída"", J123=""Sangria""),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198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94">
        <f>IFERROR(__xludf.DUMMYFUNCTION("ifna(VALUE(REGEXEXTRACT(E123,""[0-9.]+[,]+[0-9]+"")))"),52.0)</f>
        <v>52</v>
      </c>
      <c r="O123" s="238"/>
      <c r="P123" s="230"/>
      <c r="Q123" s="230"/>
      <c r="R123" s="240" t="str">
        <f t="shared" si="2"/>
        <v/>
      </c>
      <c r="S123" s="230" t="str">
        <f t="shared" si="3"/>
        <v/>
      </c>
      <c r="T123" s="242" t="str">
        <f t="shared" si="4"/>
        <v/>
      </c>
      <c r="U123" s="194"/>
      <c r="V123" s="194"/>
      <c r="W123" s="194"/>
    </row>
    <row r="124" ht="14.25" customHeight="1">
      <c r="A124" s="186"/>
      <c r="B124" s="13">
        <v>2011769.0</v>
      </c>
      <c r="C124" s="14">
        <v>46072.77329861111</v>
      </c>
      <c r="D124" s="187" t="s">
        <v>97</v>
      </c>
      <c r="E124" s="188" t="s">
        <v>650</v>
      </c>
      <c r="F124" s="200"/>
      <c r="G124" s="187" t="s">
        <v>8512</v>
      </c>
      <c r="H124" s="204"/>
      <c r="I124" s="204"/>
      <c r="J124" s="196" t="s">
        <v>6469</v>
      </c>
      <c r="K124" s="196"/>
      <c r="L124" s="192" t="str">
        <f>IFERROR(__xludf.DUMMYFUNCTION("IF(
  AND(D124=""Saída"", J124=""Sangria""),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197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94">
        <f>IFERROR(__xludf.DUMMYFUNCTION("ifna(VALUE(REGEXEXTRACT(E124,""[0-9.]+[,]+[0-9]+"")))"),78.0)</f>
        <v>78</v>
      </c>
      <c r="O124" s="235"/>
      <c r="P124" s="229"/>
      <c r="Q124" s="229"/>
      <c r="R124" s="237" t="str">
        <f t="shared" si="2"/>
        <v/>
      </c>
      <c r="S124" s="229" t="str">
        <f t="shared" si="3"/>
        <v/>
      </c>
      <c r="T124" s="242" t="str">
        <f t="shared" si="4"/>
        <v/>
      </c>
      <c r="U124" s="194"/>
      <c r="V124" s="194"/>
      <c r="W124" s="194"/>
    </row>
    <row r="125" ht="14.25" customHeight="1">
      <c r="A125" s="186"/>
      <c r="B125" s="13">
        <v>2011826.0</v>
      </c>
      <c r="C125" s="14">
        <v>46072.79347222222</v>
      </c>
      <c r="D125" s="187" t="s">
        <v>97</v>
      </c>
      <c r="E125" s="188" t="s">
        <v>8513</v>
      </c>
      <c r="F125" s="189"/>
      <c r="G125" s="187" t="s">
        <v>1042</v>
      </c>
      <c r="H125" s="204"/>
      <c r="I125" s="204"/>
      <c r="J125" s="196" t="s">
        <v>6080</v>
      </c>
      <c r="K125" s="196" t="s">
        <v>6111</v>
      </c>
      <c r="L125" s="192" t="str">
        <f>IFERROR(__xludf.DUMMYFUNCTION("IF(
  AND(D125=""Saída"", J125=""Sangria""),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198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94">
        <f>IFERROR(__xludf.DUMMYFUNCTION("ifna(VALUE(REGEXEXTRACT(E125,""[0-9.]+[,]+[0-9]+"")))"),8.18)</f>
        <v>8.18</v>
      </c>
      <c r="O125" s="238"/>
      <c r="P125" s="230"/>
      <c r="Q125" s="230"/>
      <c r="R125" s="240" t="str">
        <f t="shared" si="2"/>
        <v/>
      </c>
      <c r="S125" s="230" t="str">
        <f t="shared" si="3"/>
        <v/>
      </c>
      <c r="T125" s="242" t="str">
        <f t="shared" si="4"/>
        <v/>
      </c>
      <c r="U125" s="194"/>
      <c r="V125" s="194"/>
      <c r="W125" s="194"/>
    </row>
    <row r="126" ht="14.25" customHeight="1">
      <c r="A126" s="186"/>
      <c r="B126" s="13">
        <v>2012038.0</v>
      </c>
      <c r="C126" s="14">
        <v>46072.874756944446</v>
      </c>
      <c r="D126" s="187" t="s">
        <v>97</v>
      </c>
      <c r="E126" s="188" t="s">
        <v>8514</v>
      </c>
      <c r="F126" s="189"/>
      <c r="G126" s="187" t="s">
        <v>124</v>
      </c>
      <c r="H126" s="204"/>
      <c r="I126" s="204"/>
      <c r="J126" s="196" t="s">
        <v>6080</v>
      </c>
      <c r="K126" s="196" t="s">
        <v>6111</v>
      </c>
      <c r="L126" s="192" t="str">
        <f>IFERROR(__xludf.DUMMYFUNCTION("IF(
  AND(D126=""Saída"", J126=""Sangria""),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197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94">
        <f>IFERROR(__xludf.DUMMYFUNCTION("ifna(VALUE(REGEXEXTRACT(E126,""[0-9.]+[,]+[0-9]+"")))"),24.4)</f>
        <v>24.4</v>
      </c>
      <c r="O126" s="235"/>
      <c r="P126" s="229"/>
      <c r="Q126" s="229"/>
      <c r="R126" s="237" t="str">
        <f t="shared" si="2"/>
        <v/>
      </c>
      <c r="S126" s="229" t="str">
        <f t="shared" si="3"/>
        <v/>
      </c>
      <c r="T126" s="242" t="str">
        <f t="shared" si="4"/>
        <v/>
      </c>
      <c r="U126" s="194"/>
      <c r="V126" s="194"/>
      <c r="W126" s="194"/>
    </row>
    <row r="127" ht="14.25" customHeight="1">
      <c r="A127" s="186"/>
      <c r="B127" s="13">
        <v>2013182.0</v>
      </c>
      <c r="C127" s="14">
        <v>46073.64585648148</v>
      </c>
      <c r="D127" s="187" t="s">
        <v>97</v>
      </c>
      <c r="E127" s="188" t="s">
        <v>1143</v>
      </c>
      <c r="F127" s="189"/>
      <c r="G127" s="187" t="s">
        <v>7112</v>
      </c>
      <c r="H127" s="204"/>
      <c r="I127" s="204"/>
      <c r="J127" s="196" t="s">
        <v>6446</v>
      </c>
      <c r="K127" s="196"/>
      <c r="L127" s="192" t="str">
        <f>IFERROR(__xludf.DUMMYFUNCTION("IF(
  AND(D127=""Saída"", J127=""Sangria""),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198" t="str">
        <f>IFERROR(__xludf.DUMMYFUNCTION("IF(J127=""Compra de Mercadorias"",
   IF(
      COUNTIF(ARRAYFORMULA(TRIM(CLEAN(TO_TEXT(Notas!BS:BS)))), TRIM(CLEAN(TO_TEXT(B127)))) &gt; 0,
      ""Encontrada"",
      ""Não Encontrada""
   ),
"""")"),"Encontrada")</f>
        <v>Encontrada</v>
      </c>
      <c r="N127" s="194">
        <f>IFERROR(__xludf.DUMMYFUNCTION("ifna(VALUE(REGEXEXTRACT(E127,""[0-9.]+[,]+[0-9]+"")))"),175.0)</f>
        <v>175</v>
      </c>
      <c r="O127" s="238"/>
      <c r="P127" s="230"/>
      <c r="Q127" s="230"/>
      <c r="R127" s="240" t="str">
        <f t="shared" si="2"/>
        <v/>
      </c>
      <c r="S127" s="230" t="str">
        <f t="shared" si="3"/>
        <v/>
      </c>
      <c r="T127" s="242" t="str">
        <f t="shared" si="4"/>
        <v/>
      </c>
      <c r="U127" s="194"/>
      <c r="V127" s="194"/>
      <c r="W127" s="194"/>
    </row>
    <row r="128" ht="14.25" customHeight="1">
      <c r="A128" s="186"/>
      <c r="B128" s="13">
        <v>2013538.0</v>
      </c>
      <c r="C128" s="14">
        <v>46073.73143518518</v>
      </c>
      <c r="D128" s="187" t="s">
        <v>97</v>
      </c>
      <c r="E128" s="188" t="s">
        <v>8515</v>
      </c>
      <c r="F128" s="189"/>
      <c r="G128" s="187" t="s">
        <v>8516</v>
      </c>
      <c r="H128" s="204"/>
      <c r="I128" s="204"/>
      <c r="J128" s="196" t="s">
        <v>6446</v>
      </c>
      <c r="K128" s="196"/>
      <c r="L128" s="192" t="str">
        <f>IFERROR(__xludf.DUMMYFUNCTION("IF(
  AND(D128=""Saída"", J128=""Sangria""),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197" t="str">
        <f>IFERROR(__xludf.DUMMYFUNCTION("IF(J128=""Compra de Mercadorias"",
   IF(
      COUNTIF(ARRAYFORMULA(TRIM(CLEAN(TO_TEXT(Notas!BS:BS)))), TRIM(CLEAN(TO_TEXT(B128)))) &gt; 0,
      ""Encontrada"",
      ""Não Encontrada""
   ),
"""")"),"Encontrada")</f>
        <v>Encontrada</v>
      </c>
      <c r="N128" s="194">
        <f>IFERROR(__xludf.DUMMYFUNCTION("ifna(VALUE(REGEXEXTRACT(E128,""[0-9.]+[,]+[0-9]+"")))"),392.2)</f>
        <v>392.2</v>
      </c>
      <c r="O128" s="235"/>
      <c r="P128" s="229"/>
      <c r="Q128" s="229"/>
      <c r="R128" s="237" t="str">
        <f t="shared" si="2"/>
        <v/>
      </c>
      <c r="S128" s="229" t="str">
        <f t="shared" si="3"/>
        <v/>
      </c>
      <c r="T128" s="242" t="str">
        <f t="shared" si="4"/>
        <v/>
      </c>
      <c r="U128" s="194"/>
      <c r="V128" s="194"/>
      <c r="W128" s="194"/>
    </row>
    <row r="129" ht="14.25" customHeight="1">
      <c r="A129" s="186"/>
      <c r="B129" s="13">
        <v>2013560.0</v>
      </c>
      <c r="C129" s="14">
        <v>46073.73640046296</v>
      </c>
      <c r="D129" s="187" t="s">
        <v>97</v>
      </c>
      <c r="E129" s="188" t="s">
        <v>8517</v>
      </c>
      <c r="F129" s="189"/>
      <c r="G129" s="187" t="s">
        <v>8518</v>
      </c>
      <c r="H129" s="204"/>
      <c r="I129" s="204"/>
      <c r="J129" s="196" t="s">
        <v>6446</v>
      </c>
      <c r="K129" s="196"/>
      <c r="L129" s="192" t="str">
        <f>IFERROR(__xludf.DUMMYFUNCTION("IF(
  AND(D129=""Saída"", J129=""Sangria""),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198" t="str">
        <f>IFERROR(__xludf.DUMMYFUNCTION("IF(J129=""Compra de Mercadorias"",
   IF(
      COUNTIF(ARRAYFORMULA(TRIM(CLEAN(TO_TEXT(Notas!BS:BS)))), TRIM(CLEAN(TO_TEXT(B129)))) &gt; 0,
      ""Encontrada"",
      ""Não Encontrada""
   ),
"""")"),"Encontrada")</f>
        <v>Encontrada</v>
      </c>
      <c r="N129" s="194">
        <f>IFERROR(__xludf.DUMMYFUNCTION("ifna(VALUE(REGEXEXTRACT(E129,""[0-9.]+[,]+[0-9]+"")))"),35.17)</f>
        <v>35.17</v>
      </c>
      <c r="O129" s="238"/>
      <c r="P129" s="230"/>
      <c r="Q129" s="230"/>
      <c r="R129" s="240" t="str">
        <f t="shared" si="2"/>
        <v/>
      </c>
      <c r="S129" s="230" t="str">
        <f t="shared" si="3"/>
        <v/>
      </c>
      <c r="T129" s="242" t="str">
        <f t="shared" si="4"/>
        <v/>
      </c>
      <c r="U129" s="194"/>
      <c r="V129" s="194"/>
      <c r="W129" s="194"/>
    </row>
    <row r="130" ht="14.25" customHeight="1">
      <c r="A130" s="186"/>
      <c r="B130" s="13">
        <v>2015150.0</v>
      </c>
      <c r="C130" s="14">
        <v>46074.63123842593</v>
      </c>
      <c r="D130" s="187" t="s">
        <v>97</v>
      </c>
      <c r="E130" s="188" t="s">
        <v>8519</v>
      </c>
      <c r="F130" s="189"/>
      <c r="G130" s="187" t="s">
        <v>8520</v>
      </c>
      <c r="H130" s="204"/>
      <c r="I130" s="204"/>
      <c r="J130" s="196" t="s">
        <v>6446</v>
      </c>
      <c r="K130" s="196"/>
      <c r="L130" s="192" t="str">
        <f>IFERROR(__xludf.DUMMYFUNCTION("IF(
  AND(D130=""Saída"", J130=""Sangria""),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197" t="str">
        <f>IFERROR(__xludf.DUMMYFUNCTION("IF(J130=""Compra de Mercadorias"",
   IF(
      COUNTIF(ARRAYFORMULA(TRIM(CLEAN(TO_TEXT(Notas!BS:BS)))), TRIM(CLEAN(TO_TEXT(B130)))) &gt; 0,
      ""Encontrada"",
      ""Não Encontrada""
   ),
"""")"),"Encontrada")</f>
        <v>Encontrada</v>
      </c>
      <c r="N130" s="194">
        <f>IFERROR(__xludf.DUMMYFUNCTION("ifna(VALUE(REGEXEXTRACT(E130,""[0-9.]+[,]+[0-9]+"")))"),145.76)</f>
        <v>145.76</v>
      </c>
      <c r="O130" s="235"/>
      <c r="P130" s="229"/>
      <c r="Q130" s="229"/>
      <c r="R130" s="237" t="str">
        <f t="shared" si="2"/>
        <v/>
      </c>
      <c r="S130" s="229" t="str">
        <f t="shared" si="3"/>
        <v/>
      </c>
      <c r="T130" s="242" t="str">
        <f t="shared" si="4"/>
        <v/>
      </c>
      <c r="U130" s="194"/>
      <c r="V130" s="194"/>
      <c r="W130" s="194"/>
    </row>
    <row r="131" ht="14.25" customHeight="1">
      <c r="A131" s="186"/>
      <c r="B131" s="13">
        <v>2016029.0</v>
      </c>
      <c r="C131" s="14">
        <v>46074.827581018515</v>
      </c>
      <c r="D131" s="187" t="s">
        <v>97</v>
      </c>
      <c r="E131" s="188" t="s">
        <v>6561</v>
      </c>
      <c r="F131" s="189"/>
      <c r="G131" s="187" t="s">
        <v>8521</v>
      </c>
      <c r="H131" s="204"/>
      <c r="I131" s="204"/>
      <c r="J131" s="196" t="s">
        <v>6469</v>
      </c>
      <c r="K131" s="196"/>
      <c r="L131" s="192" t="str">
        <f>IFERROR(__xludf.DUMMYFUNCTION("IF(
  AND(D131=""Saída"", J131=""Sangria""),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198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94">
        <f>IFERROR(__xludf.DUMMYFUNCTION("ifna(VALUE(REGEXEXTRACT(E131,""[0-9.]+[,]+[0-9]+"")))"),123.0)</f>
        <v>123</v>
      </c>
      <c r="O131" s="238"/>
      <c r="P131" s="230"/>
      <c r="Q131" s="230"/>
      <c r="R131" s="240" t="str">
        <f t="shared" si="2"/>
        <v/>
      </c>
      <c r="S131" s="230" t="str">
        <f t="shared" si="3"/>
        <v/>
      </c>
      <c r="T131" s="242" t="str">
        <f t="shared" si="4"/>
        <v/>
      </c>
      <c r="U131" s="194"/>
      <c r="V131" s="194"/>
      <c r="W131" s="194"/>
    </row>
    <row r="132" ht="14.25" customHeight="1">
      <c r="A132" s="186"/>
      <c r="B132" s="13">
        <v>2018927.0</v>
      </c>
      <c r="C132" s="14">
        <v>46075.87278935185</v>
      </c>
      <c r="D132" s="187" t="s">
        <v>97</v>
      </c>
      <c r="E132" s="188" t="s">
        <v>306</v>
      </c>
      <c r="F132" s="189"/>
      <c r="G132" s="187" t="s">
        <v>8522</v>
      </c>
      <c r="H132" s="204"/>
      <c r="I132" s="204"/>
      <c r="J132" s="196" t="s">
        <v>6469</v>
      </c>
      <c r="K132" s="196"/>
      <c r="L132" s="192" t="str">
        <f>IFERROR(__xludf.DUMMYFUNCTION("IF(
  AND(D132=""Saída"", J132=""Sangria""),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197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94">
        <f>IFERROR(__xludf.DUMMYFUNCTION("ifna(VALUE(REGEXEXTRACT(E132,""[0-9.]+[,]+[0-9]+"")))"),56.0)</f>
        <v>56</v>
      </c>
      <c r="O132" s="235"/>
      <c r="P132" s="229"/>
      <c r="Q132" s="229"/>
      <c r="R132" s="237" t="str">
        <f t="shared" si="2"/>
        <v/>
      </c>
      <c r="S132" s="229" t="str">
        <f t="shared" si="3"/>
        <v/>
      </c>
      <c r="T132" s="242" t="str">
        <f t="shared" si="4"/>
        <v/>
      </c>
      <c r="U132" s="194"/>
      <c r="V132" s="194"/>
      <c r="W132" s="194"/>
    </row>
    <row r="133" ht="14.25" customHeight="1">
      <c r="A133" s="186"/>
      <c r="B133" s="13">
        <v>2018930.0</v>
      </c>
      <c r="C133" s="14">
        <v>46075.87358796296</v>
      </c>
      <c r="D133" s="187" t="s">
        <v>97</v>
      </c>
      <c r="E133" s="188" t="s">
        <v>543</v>
      </c>
      <c r="F133" s="189"/>
      <c r="G133" s="187" t="s">
        <v>8523</v>
      </c>
      <c r="H133" s="204"/>
      <c r="I133" s="204"/>
      <c r="J133" s="196" t="s">
        <v>6469</v>
      </c>
      <c r="K133" s="196"/>
      <c r="L133" s="192" t="str">
        <f>IFERROR(__xludf.DUMMYFUNCTION("IF(
  AND(D133=""Saída"", J133=""Sangria""),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198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94">
        <f>IFERROR(__xludf.DUMMYFUNCTION("ifna(VALUE(REGEXEXTRACT(E133,""[0-9.]+[,]+[0-9]+"")))"),95.0)</f>
        <v>95</v>
      </c>
      <c r="O133" s="243"/>
      <c r="P133" s="244"/>
      <c r="Q133" s="244"/>
      <c r="R133" s="245" t="str">
        <f t="shared" si="2"/>
        <v/>
      </c>
      <c r="S133" s="244" t="str">
        <f t="shared" si="3"/>
        <v/>
      </c>
      <c r="T133" s="242" t="str">
        <f t="shared" si="4"/>
        <v/>
      </c>
      <c r="U133" s="194"/>
      <c r="V133" s="194"/>
      <c r="W133" s="194"/>
    </row>
    <row r="134" ht="14.25" customHeight="1">
      <c r="A134" s="186"/>
      <c r="B134" s="13">
        <v>2019139.0</v>
      </c>
      <c r="C134" s="14">
        <v>46075.898877314816</v>
      </c>
      <c r="D134" s="187" t="s">
        <v>97</v>
      </c>
      <c r="E134" s="188" t="s">
        <v>8524</v>
      </c>
      <c r="F134" s="189"/>
      <c r="G134" s="187" t="s">
        <v>8525</v>
      </c>
      <c r="H134" s="204"/>
      <c r="I134" s="204"/>
      <c r="J134" s="196" t="s">
        <v>6551</v>
      </c>
      <c r="K134" s="196"/>
      <c r="L134" s="192" t="str">
        <f>IFERROR(__xludf.DUMMYFUNCTION("IF(
  AND(D134=""Saída"", J134=""Sangria""),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197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94">
        <f>IFERROR(__xludf.DUMMYFUNCTION("ifna(VALUE(REGEXEXTRACT(E134,""[0-9.]+[,]+[0-9]+"")))"),608.0)</f>
        <v>608</v>
      </c>
      <c r="O134" s="243"/>
      <c r="P134" s="244"/>
      <c r="Q134" s="244"/>
      <c r="R134" s="245" t="str">
        <f t="shared" si="2"/>
        <v/>
      </c>
      <c r="S134" s="244" t="str">
        <f t="shared" si="3"/>
        <v/>
      </c>
      <c r="T134" s="242" t="str">
        <f t="shared" si="4"/>
        <v/>
      </c>
      <c r="U134" s="194"/>
      <c r="V134" s="194"/>
      <c r="W134" s="194"/>
    </row>
    <row r="135" ht="14.25" customHeight="1">
      <c r="A135" s="186"/>
      <c r="B135" s="13">
        <v>2019186.0</v>
      </c>
      <c r="C135" s="14">
        <v>46075.90467592593</v>
      </c>
      <c r="D135" s="187" t="s">
        <v>97</v>
      </c>
      <c r="E135" s="188" t="s">
        <v>390</v>
      </c>
      <c r="F135" s="189"/>
      <c r="G135" s="187" t="s">
        <v>858</v>
      </c>
      <c r="H135" s="204"/>
      <c r="I135" s="204"/>
      <c r="J135" s="196" t="s">
        <v>6544</v>
      </c>
      <c r="K135" s="196" t="s">
        <v>5991</v>
      </c>
      <c r="L135" s="192" t="str">
        <f>IFERROR(__xludf.DUMMYFUNCTION("IF(
  AND(D135=""Saída"", J135=""Sangria""),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"),"Confirmada")</f>
        <v>Confirmada</v>
      </c>
      <c r="M135" s="198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94">
        <f>IFERROR(__xludf.DUMMYFUNCTION("ifna(VALUE(REGEXEXTRACT(E135,""[0-9.]+[,]+[0-9]+"")))"),1300.0)</f>
        <v>1300</v>
      </c>
      <c r="O135" s="243"/>
      <c r="P135" s="244"/>
      <c r="Q135" s="244"/>
      <c r="R135" s="245" t="str">
        <f t="shared" si="2"/>
        <v/>
      </c>
      <c r="S135" s="244" t="str">
        <f t="shared" si="3"/>
        <v/>
      </c>
      <c r="T135" s="242" t="str">
        <f t="shared" si="4"/>
        <v/>
      </c>
      <c r="U135" s="194"/>
      <c r="V135" s="194"/>
      <c r="W135" s="194"/>
    </row>
    <row r="136" ht="14.25" customHeight="1">
      <c r="A136" s="186"/>
      <c r="B136" s="13">
        <v>2020944.0</v>
      </c>
      <c r="C136" s="14">
        <v>46076.772673611114</v>
      </c>
      <c r="D136" s="187" t="s">
        <v>97</v>
      </c>
      <c r="E136" s="188" t="s">
        <v>650</v>
      </c>
      <c r="F136" s="200"/>
      <c r="G136" s="187" t="s">
        <v>8439</v>
      </c>
      <c r="H136" s="204"/>
      <c r="I136" s="204"/>
      <c r="J136" s="196" t="s">
        <v>6469</v>
      </c>
      <c r="K136" s="196"/>
      <c r="L136" s="192" t="str">
        <f>IFERROR(__xludf.DUMMYFUNCTION("IF(
  AND(D136=""Saída"", J136=""Sangria""),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197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94">
        <f>IFERROR(__xludf.DUMMYFUNCTION("ifna(VALUE(REGEXEXTRACT(E136,""[0-9.]+[,]+[0-9]+"")))"),78.0)</f>
        <v>78</v>
      </c>
      <c r="O136" s="243"/>
      <c r="P136" s="244"/>
      <c r="Q136" s="244"/>
      <c r="R136" s="245" t="str">
        <f t="shared" si="2"/>
        <v/>
      </c>
      <c r="S136" s="244" t="str">
        <f t="shared" si="3"/>
        <v/>
      </c>
      <c r="T136" s="242" t="str">
        <f t="shared" si="4"/>
        <v/>
      </c>
      <c r="U136" s="194"/>
      <c r="V136" s="194"/>
      <c r="W136" s="194"/>
    </row>
    <row r="137" ht="14.25" customHeight="1">
      <c r="A137" s="186"/>
      <c r="B137" s="13">
        <v>2022409.0</v>
      </c>
      <c r="C137" s="14">
        <v>46077.72597222222</v>
      </c>
      <c r="D137" s="187" t="s">
        <v>97</v>
      </c>
      <c r="E137" s="188" t="s">
        <v>7689</v>
      </c>
      <c r="F137" s="189"/>
      <c r="G137" s="187" t="s">
        <v>8526</v>
      </c>
      <c r="H137" s="204"/>
      <c r="I137" s="204"/>
      <c r="J137" s="196" t="s">
        <v>6469</v>
      </c>
      <c r="K137" s="196"/>
      <c r="L137" s="192" t="str">
        <f>IFERROR(__xludf.DUMMYFUNCTION("IF(
  AND(D137=""Saída"", J137=""Sangria""),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198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94">
        <f>IFERROR(__xludf.DUMMYFUNCTION("ifna(VALUE(REGEXEXTRACT(E137,""[0-9.]+[,]+[0-9]+"")))"),52.0)</f>
        <v>52</v>
      </c>
      <c r="O137" s="243"/>
      <c r="P137" s="244"/>
      <c r="Q137" s="244"/>
      <c r="R137" s="245" t="str">
        <f t="shared" si="2"/>
        <v/>
      </c>
      <c r="S137" s="244" t="str">
        <f t="shared" si="3"/>
        <v/>
      </c>
      <c r="T137" s="242" t="str">
        <f t="shared" si="4"/>
        <v/>
      </c>
      <c r="U137" s="194"/>
      <c r="V137" s="194"/>
      <c r="W137" s="194"/>
    </row>
    <row r="138" ht="14.25" customHeight="1">
      <c r="A138" s="186"/>
      <c r="B138" s="13">
        <v>2023880.0</v>
      </c>
      <c r="C138" s="14">
        <v>46078.68002314815</v>
      </c>
      <c r="D138" s="187" t="s">
        <v>97</v>
      </c>
      <c r="E138" s="188" t="s">
        <v>8527</v>
      </c>
      <c r="F138" s="189"/>
      <c r="G138" s="187" t="s">
        <v>7070</v>
      </c>
      <c r="H138" s="204"/>
      <c r="I138" s="204"/>
      <c r="J138" s="196" t="s">
        <v>6446</v>
      </c>
      <c r="K138" s="196"/>
      <c r="L138" s="192" t="str">
        <f>IFERROR(__xludf.DUMMYFUNCTION("IF(
  AND(D138=""Saída"", J138=""Sangria""),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197" t="str">
        <f>IFERROR(__xludf.DUMMYFUNCTION("IF(J138=""Compra de Mercadorias"",
   IF(
      COUNTIF(ARRAYFORMULA(TRIM(CLEAN(TO_TEXT(Notas!BS:BS)))), TRIM(CLEAN(TO_TEXT(B138)))) &gt; 0,
      ""Encontrada"",
      ""Não Encontrada""
   ),
"""")"),"Encontrada")</f>
        <v>Encontrada</v>
      </c>
      <c r="N138" s="194">
        <f>IFERROR(__xludf.DUMMYFUNCTION("ifna(VALUE(REGEXEXTRACT(E138,""[0-9.]+[,]+[0-9]+"")))"),155.5)</f>
        <v>155.5</v>
      </c>
      <c r="O138" s="246"/>
      <c r="P138" s="247"/>
      <c r="Q138" s="247"/>
      <c r="R138" s="248" t="str">
        <f t="shared" si="2"/>
        <v/>
      </c>
      <c r="S138" s="247" t="str">
        <f t="shared" si="3"/>
        <v/>
      </c>
      <c r="T138" s="249" t="str">
        <f t="shared" si="4"/>
        <v/>
      </c>
      <c r="U138" s="194"/>
      <c r="V138" s="194"/>
      <c r="W138" s="194"/>
    </row>
    <row r="139" ht="14.25" customHeight="1">
      <c r="A139" s="186"/>
      <c r="B139" s="13">
        <v>2023911.0</v>
      </c>
      <c r="C139" s="14">
        <v>46078.68722222222</v>
      </c>
      <c r="D139" s="187" t="s">
        <v>97</v>
      </c>
      <c r="E139" s="188" t="s">
        <v>7689</v>
      </c>
      <c r="F139" s="189"/>
      <c r="G139" s="187" t="s">
        <v>8528</v>
      </c>
      <c r="H139" s="204"/>
      <c r="I139" s="204"/>
      <c r="J139" s="196" t="s">
        <v>6469</v>
      </c>
      <c r="K139" s="196"/>
      <c r="L139" s="192" t="str">
        <f>IFERROR(__xludf.DUMMYFUNCTION("IF(
  AND(D139=""Saída"", J139=""Sangria""),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198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94">
        <f>IFERROR(__xludf.DUMMYFUNCTION("ifna(VALUE(REGEXEXTRACT(E139,""[0-9.]+[,]+[0-9]+"")))"),52.0)</f>
        <v>52</v>
      </c>
      <c r="O139" s="194"/>
      <c r="P139" s="194"/>
      <c r="Q139" s="194"/>
      <c r="R139" s="194"/>
      <c r="S139" s="194"/>
      <c r="T139" s="194"/>
      <c r="U139" s="194"/>
      <c r="V139" s="194"/>
      <c r="W139" s="194"/>
    </row>
    <row r="140" ht="14.25" customHeight="1">
      <c r="A140" s="186"/>
      <c r="B140" s="13">
        <v>2024262.0</v>
      </c>
      <c r="C140" s="14">
        <v>46078.801516203705</v>
      </c>
      <c r="D140" s="187" t="s">
        <v>97</v>
      </c>
      <c r="E140" s="188" t="s">
        <v>6475</v>
      </c>
      <c r="F140" s="189"/>
      <c r="G140" s="187" t="s">
        <v>8529</v>
      </c>
      <c r="H140" s="204"/>
      <c r="I140" s="204"/>
      <c r="J140" s="196" t="s">
        <v>6446</v>
      </c>
      <c r="K140" s="196"/>
      <c r="L140" s="192" t="str">
        <f>IFERROR(__xludf.DUMMYFUNCTION("IF(
  AND(D140=""Saída"", J140=""Sangria""),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197" t="str">
        <f>IFERROR(__xludf.DUMMYFUNCTION("IF(J140=""Compra de Mercadorias"",
   IF(
      COUNTIF(ARRAYFORMULA(TRIM(CLEAN(TO_TEXT(Notas!BS:BS)))), TRIM(CLEAN(TO_TEXT(B140)))) &gt; 0,
      ""Encontrada"",
      ""Não Encontrada""
   ),
"""")"),"Encontrada")</f>
        <v>Encontrada</v>
      </c>
      <c r="N140" s="194">
        <f>IFERROR(__xludf.DUMMYFUNCTION("ifna(VALUE(REGEXEXTRACT(E140,""[0-9.]+[,]+[0-9]+"")))"),250.0)</f>
        <v>250</v>
      </c>
      <c r="O140" s="250" t="s">
        <v>7561</v>
      </c>
      <c r="W140" s="194"/>
    </row>
    <row r="141" ht="14.25" customHeight="1">
      <c r="A141" s="186"/>
      <c r="B141" s="13"/>
      <c r="C141" s="14"/>
      <c r="D141" s="187"/>
      <c r="E141" s="188"/>
      <c r="F141" s="189"/>
      <c r="G141" s="187"/>
      <c r="H141" s="204"/>
      <c r="I141" s="204"/>
      <c r="J141" s="196"/>
      <c r="K141" s="196"/>
      <c r="L141" s="192" t="str">
        <f>IFERROR(__xludf.DUMMYFUNCTION("IF(
  AND(D141=""Saída"", J141=""Sangria""),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198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94" t="str">
        <f>IFERROR(__xludf.DUMMYFUNCTION("ifna(VALUE(REGEXEXTRACT(E141,""[0-9.]+[,]+[0-9]+"")))"),"")</f>
        <v/>
      </c>
      <c r="O141" s="251" t="str">
        <f>IFERROR(__xludf.DUMMYFUNCTION("QUERY(B28:M507,""Select B,C,D,E,G,H,I,M where M = 'Não Encontrada'"",1)"),"ID")</f>
        <v>ID</v>
      </c>
      <c r="P141" s="251" t="str">
        <f>IFERROR(__xludf.DUMMYFUNCTION("""COMPUTED_VALUE"""),"Data")</f>
        <v>Data</v>
      </c>
      <c r="Q141" s="251" t="str">
        <f>IFERROR(__xludf.DUMMYFUNCTION("""COMPUTED_VALUE"""),"Entrada/Saída")</f>
        <v>Entrada/Saída</v>
      </c>
      <c r="R141" s="252" t="str">
        <f>IFERROR(__xludf.DUMMYFUNCTION("""COMPUTED_VALUE"""),"Valor ")</f>
        <v>Valor </v>
      </c>
      <c r="S141" s="251" t="str">
        <f>IFERROR(__xludf.DUMMYFUNCTION("""COMPUTED_VALUE"""),"Descrição")</f>
        <v>Descrição</v>
      </c>
      <c r="V141" s="253" t="str">
        <f>IFERROR(__xludf.DUMMYFUNCTION("""COMPUTED_VALUE"""),"Nota")</f>
        <v>Nota</v>
      </c>
      <c r="W141" s="194"/>
    </row>
    <row r="142" ht="14.25" customHeight="1">
      <c r="A142" s="186"/>
      <c r="B142" s="13"/>
      <c r="C142" s="14"/>
      <c r="D142" s="187"/>
      <c r="E142" s="188"/>
      <c r="F142" s="189"/>
      <c r="G142" s="187"/>
      <c r="H142" s="204"/>
      <c r="I142" s="204"/>
      <c r="J142" s="196"/>
      <c r="K142" s="196"/>
      <c r="L142" s="192" t="str">
        <f>IFERROR(__xludf.DUMMYFUNCTION("IF(
  AND(D142=""Saída"", J142=""Sangria""),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197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94" t="str">
        <f>IFERROR(__xludf.DUMMYFUNCTION("ifna(VALUE(REGEXEXTRACT(E142,""[0-9.]+[,]+[0-9]+"")))"),"")</f>
        <v/>
      </c>
      <c r="O142" s="254">
        <f>IFERROR(__xludf.DUMMYFUNCTION("""COMPUTED_VALUE"""),1989939.0)</f>
        <v>1989939</v>
      </c>
      <c r="P142" s="255">
        <f>IFERROR(__xludf.DUMMYFUNCTION("""COMPUTED_VALUE"""),46062.92326388889)</f>
        <v>46062.92326</v>
      </c>
      <c r="Q142" s="254" t="str">
        <f>IFERROR(__xludf.DUMMYFUNCTION("""COMPUTED_VALUE"""),"Saída")</f>
        <v>Saída</v>
      </c>
      <c r="R142" s="256" t="str">
        <f>IFERROR(__xludf.DUMMYFUNCTION("""COMPUTED_VALUE"""),"R$ 40,00")</f>
        <v>R$ 40,00</v>
      </c>
      <c r="S142" s="290" t="str">
        <f>IFERROR(__xludf.DUMMYFUNCTION("""COMPUTED_VALUE"""),"PAGO PARA ALMOCO DE DANIEL")</f>
        <v>PAGO PARA ALMOCO DE DANIEL</v>
      </c>
      <c r="V142" s="254" t="str">
        <f>IFERROR(__xludf.DUMMYFUNCTION("""COMPUTED_VALUE"""),"Não Encontrada")</f>
        <v>Não Encontrada</v>
      </c>
      <c r="W142" s="194"/>
    </row>
    <row r="143" ht="14.25" customHeight="1">
      <c r="A143" s="186"/>
      <c r="B143" s="13"/>
      <c r="C143" s="14"/>
      <c r="D143" s="187"/>
      <c r="E143" s="188"/>
      <c r="F143" s="200"/>
      <c r="G143" s="187"/>
      <c r="H143" s="204"/>
      <c r="I143" s="204"/>
      <c r="J143" s="196"/>
      <c r="K143" s="196"/>
      <c r="L143" s="192" t="str">
        <f>IFERROR(__xludf.DUMMYFUNCTION("IF(
  AND(D143=""Saída"", J143=""Sangria""),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198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94" t="str">
        <f>IFERROR(__xludf.DUMMYFUNCTION("ifna(VALUE(REGEXEXTRACT(E143,""[0-9.]+[,]+[0-9]+"")))"),"")</f>
        <v/>
      </c>
      <c r="O143" s="258"/>
      <c r="P143" s="259"/>
      <c r="Q143" s="258"/>
      <c r="R143" s="260"/>
      <c r="S143" s="291"/>
      <c r="V143" s="258"/>
      <c r="W143" s="194"/>
    </row>
    <row r="144" ht="14.25" customHeight="1">
      <c r="A144" s="186"/>
      <c r="B144" s="13"/>
      <c r="C144" s="14"/>
      <c r="D144" s="187"/>
      <c r="E144" s="188"/>
      <c r="F144" s="189"/>
      <c r="G144" s="187"/>
      <c r="H144" s="204"/>
      <c r="I144" s="204"/>
      <c r="J144" s="196"/>
      <c r="K144" s="196"/>
      <c r="L144" s="192" t="str">
        <f>IFERROR(__xludf.DUMMYFUNCTION("IF(
  AND(D144=""Saída"", J144=""Sangria""),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197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94" t="str">
        <f>IFERROR(__xludf.DUMMYFUNCTION("ifna(VALUE(REGEXEXTRACT(E144,""[0-9.]+[,]+[0-9]+"")))"),"")</f>
        <v/>
      </c>
      <c r="O144" s="254"/>
      <c r="P144" s="255"/>
      <c r="Q144" s="254"/>
      <c r="R144" s="256"/>
      <c r="S144" s="292"/>
      <c r="V144" s="254"/>
      <c r="W144" s="194"/>
    </row>
    <row r="145" ht="14.25" customHeight="1">
      <c r="A145" s="186"/>
      <c r="B145" s="13"/>
      <c r="C145" s="14"/>
      <c r="D145" s="187"/>
      <c r="E145" s="188"/>
      <c r="F145" s="189"/>
      <c r="G145" s="187"/>
      <c r="H145" s="204"/>
      <c r="I145" s="204"/>
      <c r="J145" s="196"/>
      <c r="K145" s="196"/>
      <c r="L145" s="192" t="str">
        <f>IFERROR(__xludf.DUMMYFUNCTION("IF(
  AND(D145=""Saída"", J145=""Sangria""),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198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94" t="str">
        <f>IFERROR(__xludf.DUMMYFUNCTION("ifna(VALUE(REGEXEXTRACT(E145,""[0-9.]+[,]+[0-9]+"")))"),"")</f>
        <v/>
      </c>
      <c r="O145" s="258"/>
      <c r="P145" s="259"/>
      <c r="Q145" s="258"/>
      <c r="R145" s="260"/>
      <c r="S145" s="291"/>
      <c r="V145" s="258"/>
      <c r="W145" s="194"/>
    </row>
    <row r="146" ht="14.25" customHeight="1">
      <c r="A146" s="186"/>
      <c r="B146" s="13"/>
      <c r="C146" s="14"/>
      <c r="D146" s="187"/>
      <c r="E146" s="188"/>
      <c r="F146" s="189"/>
      <c r="G146" s="187"/>
      <c r="H146" s="204"/>
      <c r="I146" s="204"/>
      <c r="J146" s="196"/>
      <c r="K146" s="196"/>
      <c r="L146" s="192" t="str">
        <f>IFERROR(__xludf.DUMMYFUNCTION("IF(
  AND(D146=""Saída"", J146=""Sangria""),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197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94" t="str">
        <f>IFERROR(__xludf.DUMMYFUNCTION("ifna(VALUE(REGEXEXTRACT(E146,""[0-9.]+[,]+[0-9]+"")))"),"")</f>
        <v/>
      </c>
      <c r="O146" s="254"/>
      <c r="P146" s="255"/>
      <c r="Q146" s="254"/>
      <c r="R146" s="256"/>
      <c r="S146" s="292"/>
      <c r="V146" s="254"/>
      <c r="W146" s="194"/>
    </row>
    <row r="147" ht="14.25" customHeight="1">
      <c r="A147" s="186"/>
      <c r="B147" s="13"/>
      <c r="C147" s="14"/>
      <c r="D147" s="187"/>
      <c r="E147" s="188"/>
      <c r="F147" s="189"/>
      <c r="G147" s="187"/>
      <c r="H147" s="204"/>
      <c r="I147" s="204"/>
      <c r="J147" s="196"/>
      <c r="K147" s="196"/>
      <c r="L147" s="192" t="str">
        <f>IFERROR(__xludf.DUMMYFUNCTION("IF(
  AND(D147=""Saída"", J147=""Sangria""),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198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94" t="str">
        <f>IFERROR(__xludf.DUMMYFUNCTION("ifna(VALUE(REGEXEXTRACT(E147,""[0-9.]+[,]+[0-9]+"")))"),"")</f>
        <v/>
      </c>
      <c r="O147" s="258"/>
      <c r="P147" s="259"/>
      <c r="Q147" s="258"/>
      <c r="R147" s="260"/>
      <c r="S147" s="291"/>
      <c r="V147" s="258"/>
      <c r="W147" s="194"/>
    </row>
    <row r="148" ht="14.25" customHeight="1">
      <c r="A148" s="186"/>
      <c r="B148" s="13"/>
      <c r="C148" s="14"/>
      <c r="D148" s="187"/>
      <c r="E148" s="188"/>
      <c r="F148" s="189"/>
      <c r="G148" s="187"/>
      <c r="H148" s="204"/>
      <c r="I148" s="204"/>
      <c r="J148" s="196"/>
      <c r="K148" s="196"/>
      <c r="L148" s="192" t="str">
        <f>IFERROR(__xludf.DUMMYFUNCTION("IF(
  AND(D148=""Saída"", J148=""Sangria""),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197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94" t="str">
        <f>IFERROR(__xludf.DUMMYFUNCTION("ifna(VALUE(REGEXEXTRACT(E148,""[0-9.]+[,]+[0-9]+"")))"),"")</f>
        <v/>
      </c>
      <c r="O148" s="254"/>
      <c r="P148" s="255"/>
      <c r="Q148" s="254"/>
      <c r="R148" s="256"/>
      <c r="S148" s="292"/>
      <c r="V148" s="254"/>
      <c r="W148" s="194"/>
    </row>
    <row r="149" ht="14.25" customHeight="1">
      <c r="A149" s="186"/>
      <c r="B149" s="13"/>
      <c r="C149" s="14"/>
      <c r="D149" s="187"/>
      <c r="E149" s="188"/>
      <c r="F149" s="189"/>
      <c r="G149" s="187"/>
      <c r="H149" s="204"/>
      <c r="I149" s="204"/>
      <c r="J149" s="196"/>
      <c r="K149" s="196"/>
      <c r="L149" s="192" t="str">
        <f>IFERROR(__xludf.DUMMYFUNCTION("IF(
  AND(D149=""Saída"", J149=""Sangria""),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198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94" t="str">
        <f>IFERROR(__xludf.DUMMYFUNCTION("ifna(VALUE(REGEXEXTRACT(E149,""[0-9.]+[,]+[0-9]+"")))"),"")</f>
        <v/>
      </c>
      <c r="O149" s="258"/>
      <c r="P149" s="259"/>
      <c r="Q149" s="258"/>
      <c r="R149" s="260"/>
      <c r="S149" s="291"/>
      <c r="V149" s="258"/>
      <c r="W149" s="194"/>
    </row>
    <row r="150" ht="14.25" customHeight="1">
      <c r="A150" s="186"/>
      <c r="B150" s="13"/>
      <c r="C150" s="14"/>
      <c r="D150" s="187"/>
      <c r="E150" s="188"/>
      <c r="F150" s="189"/>
      <c r="G150" s="187"/>
      <c r="H150" s="204"/>
      <c r="I150" s="204"/>
      <c r="J150" s="196"/>
      <c r="K150" s="196"/>
      <c r="L150" s="192" t="str">
        <f>IFERROR(__xludf.DUMMYFUNCTION("IF(
  AND(D150=""Saída"", J150=""Sangria""),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197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94" t="str">
        <f>IFERROR(__xludf.DUMMYFUNCTION("ifna(VALUE(REGEXEXTRACT(E150,""[0-9.]+[,]+[0-9]+"")))"),"")</f>
        <v/>
      </c>
      <c r="O150" s="254"/>
      <c r="P150" s="255"/>
      <c r="Q150" s="254"/>
      <c r="R150" s="256"/>
      <c r="S150" s="292"/>
      <c r="V150" s="254"/>
      <c r="W150" s="194"/>
    </row>
    <row r="151" ht="14.25" customHeight="1">
      <c r="A151" s="186"/>
      <c r="B151" s="13"/>
      <c r="C151" s="14"/>
      <c r="D151" s="187"/>
      <c r="E151" s="188"/>
      <c r="F151" s="200"/>
      <c r="G151" s="187"/>
      <c r="H151" s="204"/>
      <c r="I151" s="204"/>
      <c r="J151" s="196"/>
      <c r="K151" s="196"/>
      <c r="L151" s="192" t="str">
        <f>IFERROR(__xludf.DUMMYFUNCTION("IF(
  AND(D151=""Saída"", J151=""Sangria""),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198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94" t="str">
        <f>IFERROR(__xludf.DUMMYFUNCTION("ifna(VALUE(REGEXEXTRACT(E151,""[0-9.]+[,]+[0-9]+"")))"),"")</f>
        <v/>
      </c>
      <c r="O151" s="258"/>
      <c r="P151" s="259"/>
      <c r="Q151" s="258"/>
      <c r="R151" s="260"/>
      <c r="S151" s="258"/>
      <c r="V151" s="258"/>
      <c r="W151" s="194"/>
    </row>
    <row r="152" ht="14.25" customHeight="1">
      <c r="A152" s="186"/>
      <c r="B152" s="13"/>
      <c r="C152" s="14"/>
      <c r="D152" s="187"/>
      <c r="E152" s="188"/>
      <c r="F152" s="189"/>
      <c r="G152" s="187"/>
      <c r="H152" s="204"/>
      <c r="I152" s="204"/>
      <c r="J152" s="196"/>
      <c r="K152" s="196"/>
      <c r="L152" s="192" t="str">
        <f>IFERROR(__xludf.DUMMYFUNCTION("IF(
  AND(D152=""Saída"", J152=""Sangria""),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197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94" t="str">
        <f>IFERROR(__xludf.DUMMYFUNCTION("ifna(VALUE(REGEXEXTRACT(E152,""[0-9.]+[,]+[0-9]+"")))"),"")</f>
        <v/>
      </c>
      <c r="O152" s="254"/>
      <c r="P152" s="255"/>
      <c r="Q152" s="254"/>
      <c r="R152" s="256"/>
      <c r="S152" s="254"/>
      <c r="V152" s="254"/>
      <c r="W152" s="194"/>
    </row>
    <row r="153" ht="14.25" customHeight="1">
      <c r="A153" s="186"/>
      <c r="B153" s="13"/>
      <c r="C153" s="14"/>
      <c r="D153" s="187"/>
      <c r="E153" s="188"/>
      <c r="F153" s="189"/>
      <c r="G153" s="187"/>
      <c r="H153" s="204"/>
      <c r="I153" s="204"/>
      <c r="J153" s="196"/>
      <c r="K153" s="196"/>
      <c r="L153" s="192" t="str">
        <f>IFERROR(__xludf.DUMMYFUNCTION("IF(
  AND(D153=""Saída"", J153=""Sangria""),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198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94" t="str">
        <f>IFERROR(__xludf.DUMMYFUNCTION("ifna(VALUE(REGEXEXTRACT(E153,""[0-9.]+[,]+[0-9]+"")))"),"")</f>
        <v/>
      </c>
      <c r="O153" s="258"/>
      <c r="P153" s="259"/>
      <c r="Q153" s="258"/>
      <c r="R153" s="260"/>
      <c r="S153" s="258"/>
      <c r="V153" s="258"/>
      <c r="W153" s="194"/>
    </row>
    <row r="154" ht="14.25" customHeight="1">
      <c r="A154" s="186"/>
      <c r="B154" s="13"/>
      <c r="C154" s="14"/>
      <c r="D154" s="187"/>
      <c r="E154" s="188"/>
      <c r="F154" s="189"/>
      <c r="G154" s="187"/>
      <c r="H154" s="204"/>
      <c r="I154" s="204"/>
      <c r="J154" s="196"/>
      <c r="K154" s="196"/>
      <c r="L154" s="192" t="str">
        <f>IFERROR(__xludf.DUMMYFUNCTION("IF(
  AND(D154=""Saída"", J154=""Sangria""),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197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94" t="str">
        <f>IFERROR(__xludf.DUMMYFUNCTION("ifna(VALUE(REGEXEXTRACT(E154,""[0-9.]+[,]+[0-9]+"")))"),"")</f>
        <v/>
      </c>
      <c r="O154" s="254"/>
      <c r="P154" s="255"/>
      <c r="Q154" s="254"/>
      <c r="R154" s="256"/>
      <c r="S154" s="254"/>
      <c r="V154" s="254"/>
      <c r="W154" s="194"/>
    </row>
    <row r="155" ht="14.25" customHeight="1">
      <c r="A155" s="186"/>
      <c r="B155" s="13"/>
      <c r="C155" s="14"/>
      <c r="D155" s="187"/>
      <c r="E155" s="188"/>
      <c r="F155" s="189"/>
      <c r="G155" s="187"/>
      <c r="H155" s="204"/>
      <c r="I155" s="204"/>
      <c r="J155" s="196"/>
      <c r="K155" s="196"/>
      <c r="L155" s="192" t="str">
        <f>IFERROR(__xludf.DUMMYFUNCTION("IF(
  AND(D155=""Saída"", J155=""Sangria""),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198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94" t="str">
        <f>IFERROR(__xludf.DUMMYFUNCTION("ifna(VALUE(REGEXEXTRACT(E155,""[0-9.]+[,]+[0-9]+"")))"),"")</f>
        <v/>
      </c>
      <c r="O155" s="258"/>
      <c r="P155" s="259"/>
      <c r="Q155" s="258"/>
      <c r="R155" s="260"/>
      <c r="S155" s="258"/>
      <c r="V155" s="258"/>
      <c r="W155" s="194"/>
    </row>
    <row r="156" ht="14.25" customHeight="1">
      <c r="A156" s="186"/>
      <c r="B156" s="13"/>
      <c r="C156" s="14"/>
      <c r="D156" s="187"/>
      <c r="E156" s="188"/>
      <c r="F156" s="189"/>
      <c r="G156" s="187"/>
      <c r="H156" s="204"/>
      <c r="I156" s="204"/>
      <c r="J156" s="196"/>
      <c r="K156" s="196"/>
      <c r="L156" s="192" t="str">
        <f>IFERROR(__xludf.DUMMYFUNCTION("IF(
  AND(D156=""Saída"", J156=""Sangria""),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197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94" t="str">
        <f>IFERROR(__xludf.DUMMYFUNCTION("ifna(VALUE(REGEXEXTRACT(E156,""[0-9.]+[,]+[0-9]+"")))"),"")</f>
        <v/>
      </c>
      <c r="O156" s="254"/>
      <c r="P156" s="255"/>
      <c r="Q156" s="254"/>
      <c r="R156" s="256"/>
      <c r="S156" s="254"/>
      <c r="V156" s="254"/>
      <c r="W156" s="194"/>
    </row>
    <row r="157" ht="14.25" customHeight="1">
      <c r="A157" s="186"/>
      <c r="B157" s="13"/>
      <c r="C157" s="14"/>
      <c r="D157" s="187"/>
      <c r="E157" s="188"/>
      <c r="F157" s="189"/>
      <c r="G157" s="187"/>
      <c r="H157" s="204"/>
      <c r="I157" s="204"/>
      <c r="J157" s="196"/>
      <c r="K157" s="196"/>
      <c r="L157" s="192" t="str">
        <f>IFERROR(__xludf.DUMMYFUNCTION("IF(
  AND(D157=""Saída"", J157=""Sangria""),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198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94" t="str">
        <f>IFERROR(__xludf.DUMMYFUNCTION("ifna(VALUE(REGEXEXTRACT(E157,""[0-9.]+[,]+[0-9]+"")))"),"")</f>
        <v/>
      </c>
      <c r="O157" s="258"/>
      <c r="P157" s="259"/>
      <c r="Q157" s="258"/>
      <c r="R157" s="260"/>
      <c r="S157" s="258"/>
      <c r="V157" s="258"/>
      <c r="W157" s="194"/>
    </row>
    <row r="158" ht="14.25" customHeight="1">
      <c r="A158" s="186"/>
      <c r="B158" s="13"/>
      <c r="C158" s="14"/>
      <c r="D158" s="187"/>
      <c r="E158" s="188"/>
      <c r="F158" s="189"/>
      <c r="G158" s="187"/>
      <c r="H158" s="204"/>
      <c r="I158" s="204"/>
      <c r="J158" s="196"/>
      <c r="K158" s="196"/>
      <c r="L158" s="192" t="str">
        <f>IFERROR(__xludf.DUMMYFUNCTION("IF(
  AND(D158=""Saída"", J158=""Sangria""),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197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94" t="str">
        <f>IFERROR(__xludf.DUMMYFUNCTION("ifna(VALUE(REGEXEXTRACT(E158,""[0-9.]+[,]+[0-9]+"")))"),"")</f>
        <v/>
      </c>
      <c r="O158" s="254"/>
      <c r="P158" s="255"/>
      <c r="Q158" s="254"/>
      <c r="R158" s="256"/>
      <c r="S158" s="254"/>
      <c r="V158" s="254"/>
      <c r="W158" s="194"/>
    </row>
    <row r="159" ht="14.25" customHeight="1">
      <c r="A159" s="186"/>
      <c r="B159" s="13"/>
      <c r="C159" s="14"/>
      <c r="D159" s="187"/>
      <c r="E159" s="188"/>
      <c r="F159" s="189"/>
      <c r="G159" s="187"/>
      <c r="H159" s="204"/>
      <c r="I159" s="204"/>
      <c r="J159" s="196"/>
      <c r="K159" s="196"/>
      <c r="L159" s="192" t="str">
        <f>IFERROR(__xludf.DUMMYFUNCTION("IF(
  AND(D159=""Saída"", J159=""Sangria""),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198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94" t="str">
        <f>IFERROR(__xludf.DUMMYFUNCTION("ifna(VALUE(REGEXEXTRACT(E159,""[0-9.]+[,]+[0-9]+"")))"),"")</f>
        <v/>
      </c>
      <c r="O159" s="258"/>
      <c r="P159" s="259"/>
      <c r="Q159" s="258"/>
      <c r="R159" s="260"/>
      <c r="S159" s="258"/>
      <c r="V159" s="258"/>
      <c r="W159" s="194"/>
    </row>
    <row r="160" ht="14.25" customHeight="1">
      <c r="A160" s="186"/>
      <c r="B160" s="13"/>
      <c r="C160" s="14"/>
      <c r="D160" s="187"/>
      <c r="E160" s="188"/>
      <c r="F160" s="189"/>
      <c r="G160" s="187"/>
      <c r="H160" s="204"/>
      <c r="I160" s="204"/>
      <c r="J160" s="196"/>
      <c r="K160" s="196"/>
      <c r="L160" s="192" t="str">
        <f>IFERROR(__xludf.DUMMYFUNCTION("IF(
  AND(D160=""Saída"", J160=""Sangria""),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197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94" t="str">
        <f>IFERROR(__xludf.DUMMYFUNCTION("ifna(VALUE(REGEXEXTRACT(E160,""[0-9.]+[,]+[0-9]+"")))"),"")</f>
        <v/>
      </c>
      <c r="O160" s="254"/>
      <c r="P160" s="255"/>
      <c r="Q160" s="254"/>
      <c r="R160" s="256"/>
      <c r="S160" s="254"/>
      <c r="V160" s="254"/>
      <c r="W160" s="194"/>
    </row>
    <row r="161" ht="14.25" customHeight="1">
      <c r="A161" s="186"/>
      <c r="B161" s="13"/>
      <c r="C161" s="14"/>
      <c r="D161" s="187"/>
      <c r="E161" s="188"/>
      <c r="F161" s="200"/>
      <c r="G161" s="187"/>
      <c r="H161" s="204"/>
      <c r="I161" s="204"/>
      <c r="J161" s="196"/>
      <c r="K161" s="196"/>
      <c r="L161" s="192" t="str">
        <f>IFERROR(__xludf.DUMMYFUNCTION("IF(
  AND(D161=""Saída"", J161=""Sangria""),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198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94" t="str">
        <f>IFERROR(__xludf.DUMMYFUNCTION("ifna(VALUE(REGEXEXTRACT(E161,""[0-9.]+[,]+[0-9]+"")))"),"")</f>
        <v/>
      </c>
      <c r="O161" s="258"/>
      <c r="P161" s="262"/>
      <c r="Q161" s="258"/>
      <c r="R161" s="260"/>
      <c r="S161" s="258"/>
      <c r="V161" s="258"/>
      <c r="W161" s="194"/>
    </row>
    <row r="162" ht="14.25" customHeight="1">
      <c r="A162" s="186"/>
      <c r="B162" s="13"/>
      <c r="C162" s="14"/>
      <c r="D162" s="187"/>
      <c r="E162" s="188"/>
      <c r="F162" s="200"/>
      <c r="G162" s="187"/>
      <c r="H162" s="204"/>
      <c r="I162" s="204"/>
      <c r="J162" s="196"/>
      <c r="K162" s="196"/>
      <c r="L162" s="192" t="str">
        <f>IFERROR(__xludf.DUMMYFUNCTION("IF(
  AND(D162=""Saída"", J162=""Sangria""),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197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94" t="str">
        <f>IFERROR(__xludf.DUMMYFUNCTION("ifna(VALUE(REGEXEXTRACT(E162,""[0-9.]+[,]+[0-9]+"")))"),"")</f>
        <v/>
      </c>
      <c r="O162" s="254"/>
      <c r="P162" s="263"/>
      <c r="Q162" s="254"/>
      <c r="R162" s="256"/>
      <c r="S162" s="254"/>
      <c r="V162" s="254"/>
      <c r="W162" s="194"/>
    </row>
    <row r="163" ht="14.25" customHeight="1">
      <c r="A163" s="186"/>
      <c r="B163" s="13"/>
      <c r="C163" s="14"/>
      <c r="D163" s="187"/>
      <c r="E163" s="188"/>
      <c r="F163" s="189"/>
      <c r="G163" s="187"/>
      <c r="H163" s="204"/>
      <c r="I163" s="204"/>
      <c r="J163" s="196"/>
      <c r="K163" s="196"/>
      <c r="L163" s="192" t="str">
        <f>IFERROR(__xludf.DUMMYFUNCTION("IF(
  AND(D163=""Saída"", J163=""Sangria""),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198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94" t="str">
        <f>IFERROR(__xludf.DUMMYFUNCTION("ifna(VALUE(REGEXEXTRACT(E163,""[0-9.]+[,]+[0-9]+"")))"),"")</f>
        <v/>
      </c>
      <c r="O163" s="258"/>
      <c r="P163" s="262"/>
      <c r="Q163" s="258"/>
      <c r="R163" s="260"/>
      <c r="S163" s="258"/>
      <c r="V163" s="258"/>
      <c r="W163" s="194"/>
    </row>
    <row r="164" ht="14.25" customHeight="1">
      <c r="A164" s="186"/>
      <c r="B164" s="13"/>
      <c r="C164" s="14"/>
      <c r="D164" s="187"/>
      <c r="E164" s="188"/>
      <c r="F164" s="189"/>
      <c r="G164" s="187"/>
      <c r="H164" s="204"/>
      <c r="I164" s="204"/>
      <c r="J164" s="196"/>
      <c r="K164" s="196"/>
      <c r="L164" s="192" t="str">
        <f>IFERROR(__xludf.DUMMYFUNCTION("IF(
  AND(D164=""Saída"", J164=""Sangria""),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197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94" t="str">
        <f>IFERROR(__xludf.DUMMYFUNCTION("ifna(VALUE(REGEXEXTRACT(E164,""[0-9.]+[,]+[0-9]+"")))"),"")</f>
        <v/>
      </c>
      <c r="O164" s="254"/>
      <c r="P164" s="263"/>
      <c r="Q164" s="254"/>
      <c r="R164" s="256"/>
      <c r="S164" s="254"/>
      <c r="V164" s="254"/>
      <c r="W164" s="194"/>
    </row>
    <row r="165" ht="14.25" customHeight="1">
      <c r="A165" s="186"/>
      <c r="B165" s="13"/>
      <c r="C165" s="14"/>
      <c r="D165" s="187"/>
      <c r="E165" s="188"/>
      <c r="F165" s="200"/>
      <c r="G165" s="187"/>
      <c r="H165" s="204"/>
      <c r="I165" s="204"/>
      <c r="J165" s="196"/>
      <c r="K165" s="196"/>
      <c r="L165" s="192" t="str">
        <f>IFERROR(__xludf.DUMMYFUNCTION("IF(
  AND(D165=""Saída"", J165=""Sangria""),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198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94" t="str">
        <f>IFERROR(__xludf.DUMMYFUNCTION("ifna(VALUE(REGEXEXTRACT(E165,""[0-9.]+[,]+[0-9]+"")))"),"")</f>
        <v/>
      </c>
      <c r="O165" s="264"/>
      <c r="P165" s="262"/>
      <c r="Q165" s="258"/>
      <c r="R165" s="260"/>
      <c r="S165" s="258"/>
      <c r="V165" s="258"/>
      <c r="W165" s="194"/>
    </row>
    <row r="166" ht="14.25" customHeight="1">
      <c r="A166" s="186"/>
      <c r="B166" s="13"/>
      <c r="C166" s="14"/>
      <c r="D166" s="187"/>
      <c r="E166" s="188"/>
      <c r="F166" s="189"/>
      <c r="G166" s="187"/>
      <c r="H166" s="204"/>
      <c r="I166" s="204"/>
      <c r="J166" s="196"/>
      <c r="K166" s="196"/>
      <c r="L166" s="192" t="str">
        <f>IFERROR(__xludf.DUMMYFUNCTION("IF(
  AND(D166=""Saída"", J166=""Sangria""),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197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94" t="str">
        <f>IFERROR(__xludf.DUMMYFUNCTION("ifna(VALUE(REGEXEXTRACT(E166,""[0-9.]+[,]+[0-9]+"")))"),"")</f>
        <v/>
      </c>
      <c r="O166" s="254"/>
      <c r="P166" s="263"/>
      <c r="Q166" s="254"/>
      <c r="R166" s="256"/>
      <c r="S166" s="254"/>
      <c r="V166" s="254"/>
      <c r="W166" s="194"/>
    </row>
    <row r="167" ht="14.25" customHeight="1">
      <c r="A167" s="186"/>
      <c r="B167" s="13"/>
      <c r="C167" s="14"/>
      <c r="D167" s="187"/>
      <c r="E167" s="188"/>
      <c r="F167" s="189"/>
      <c r="G167" s="187"/>
      <c r="H167" s="204"/>
      <c r="I167" s="204"/>
      <c r="J167" s="196"/>
      <c r="K167" s="196"/>
      <c r="L167" s="192" t="str">
        <f>IFERROR(__xludf.DUMMYFUNCTION("IF(
  AND(D167=""Saída"", J167=""Sangria""),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198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94" t="str">
        <f>IFERROR(__xludf.DUMMYFUNCTION("ifna(VALUE(REGEXEXTRACT(E167,""[0-9.]+[,]+[0-9]+"")))"),"")</f>
        <v/>
      </c>
      <c r="O167" s="258"/>
      <c r="P167" s="262"/>
      <c r="Q167" s="258"/>
      <c r="R167" s="260"/>
      <c r="S167" s="258"/>
      <c r="V167" s="258"/>
      <c r="W167" s="194"/>
    </row>
    <row r="168" ht="14.25" customHeight="1">
      <c r="A168" s="186"/>
      <c r="B168" s="13"/>
      <c r="C168" s="14"/>
      <c r="D168" s="187"/>
      <c r="E168" s="188"/>
      <c r="F168" s="189"/>
      <c r="G168" s="187"/>
      <c r="H168" s="204"/>
      <c r="I168" s="204"/>
      <c r="J168" s="196"/>
      <c r="K168" s="196"/>
      <c r="L168" s="192" t="str">
        <f>IFERROR(__xludf.DUMMYFUNCTION("IF(
  AND(D168=""Saída"", J168=""Sangria""),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197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94" t="str">
        <f>IFERROR(__xludf.DUMMYFUNCTION("ifna(VALUE(REGEXEXTRACT(E168,""[0-9.]+[,]+[0-9]+"")))"),"")</f>
        <v/>
      </c>
      <c r="O168" s="254"/>
      <c r="P168" s="263"/>
      <c r="Q168" s="254"/>
      <c r="R168" s="256"/>
      <c r="S168" s="254"/>
      <c r="V168" s="254"/>
      <c r="W168" s="194"/>
    </row>
    <row r="169" ht="14.25" customHeight="1">
      <c r="A169" s="186"/>
      <c r="B169" s="13"/>
      <c r="C169" s="14"/>
      <c r="D169" s="187"/>
      <c r="E169" s="188"/>
      <c r="F169" s="200"/>
      <c r="G169" s="187"/>
      <c r="H169" s="204"/>
      <c r="I169" s="204"/>
      <c r="J169" s="196"/>
      <c r="K169" s="196"/>
      <c r="L169" s="192" t="str">
        <f>IFERROR(__xludf.DUMMYFUNCTION("IF(
  AND(D169=""Saída"", J169=""Sangria""),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198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94" t="str">
        <f>IFERROR(__xludf.DUMMYFUNCTION("ifna(VALUE(REGEXEXTRACT(E169,""[0-9.]+[,]+[0-9]+"")))"),"")</f>
        <v/>
      </c>
      <c r="O169" s="258"/>
      <c r="P169" s="262"/>
      <c r="Q169" s="258"/>
      <c r="R169" s="258"/>
      <c r="S169" s="258"/>
      <c r="V169" s="258"/>
      <c r="W169" s="194"/>
    </row>
    <row r="170" ht="14.25" customHeight="1">
      <c r="A170" s="186"/>
      <c r="B170" s="13"/>
      <c r="C170" s="14"/>
      <c r="D170" s="187"/>
      <c r="E170" s="188"/>
      <c r="F170" s="189"/>
      <c r="G170" s="187"/>
      <c r="H170" s="204"/>
      <c r="I170" s="204"/>
      <c r="J170" s="196"/>
      <c r="K170" s="196"/>
      <c r="L170" s="192" t="str">
        <f>IFERROR(__xludf.DUMMYFUNCTION("IF(
  AND(D170=""Saída"", J170=""Sangria""),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197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94" t="str">
        <f>IFERROR(__xludf.DUMMYFUNCTION("ifna(VALUE(REGEXEXTRACT(E170,""[0-9.]+[,]+[0-9]+"")))"),"")</f>
        <v/>
      </c>
      <c r="O170" s="254"/>
      <c r="P170" s="263"/>
      <c r="Q170" s="254"/>
      <c r="R170" s="254"/>
      <c r="S170" s="254"/>
      <c r="V170" s="254"/>
      <c r="W170" s="194"/>
    </row>
    <row r="171" ht="14.25" customHeight="1">
      <c r="A171" s="186"/>
      <c r="B171" s="13"/>
      <c r="C171" s="14"/>
      <c r="D171" s="187"/>
      <c r="E171" s="188"/>
      <c r="F171" s="189"/>
      <c r="G171" s="187"/>
      <c r="H171" s="204"/>
      <c r="I171" s="204"/>
      <c r="J171" s="196"/>
      <c r="K171" s="196"/>
      <c r="L171" s="192" t="str">
        <f>IFERROR(__xludf.DUMMYFUNCTION("IF(
  AND(D171=""Saída"", J171=""Sangria""),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198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94" t="str">
        <f>IFERROR(__xludf.DUMMYFUNCTION("ifna(VALUE(REGEXEXTRACT(E171,""[0-9.]+[,]+[0-9]+"")))"),"")</f>
        <v/>
      </c>
      <c r="O171" s="258"/>
      <c r="P171" s="262"/>
      <c r="Q171" s="258"/>
      <c r="R171" s="258"/>
      <c r="S171" s="258"/>
      <c r="V171" s="258"/>
      <c r="W171" s="194"/>
    </row>
    <row r="172" ht="14.25" customHeight="1">
      <c r="A172" s="186"/>
      <c r="B172" s="13"/>
      <c r="C172" s="14"/>
      <c r="D172" s="187"/>
      <c r="E172" s="188"/>
      <c r="F172" s="200"/>
      <c r="G172" s="187"/>
      <c r="H172" s="204"/>
      <c r="I172" s="204"/>
      <c r="J172" s="196"/>
      <c r="K172" s="196"/>
      <c r="L172" s="192" t="str">
        <f>IFERROR(__xludf.DUMMYFUNCTION("IF(
  AND(D172=""Saída"", J172=""Sangria""),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197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94" t="str">
        <f>IFERROR(__xludf.DUMMYFUNCTION("ifna(VALUE(REGEXEXTRACT(E172,""[0-9.]+[,]+[0-9]+"")))"),"")</f>
        <v/>
      </c>
      <c r="O172" s="254"/>
      <c r="P172" s="263"/>
      <c r="Q172" s="254"/>
      <c r="R172" s="254"/>
      <c r="S172" s="254"/>
      <c r="V172" s="254"/>
      <c r="W172" s="194"/>
    </row>
    <row r="173" ht="14.25" customHeight="1">
      <c r="A173" s="186"/>
      <c r="B173" s="13"/>
      <c r="C173" s="14"/>
      <c r="D173" s="187"/>
      <c r="E173" s="188"/>
      <c r="F173" s="189"/>
      <c r="G173" s="187"/>
      <c r="H173" s="204"/>
      <c r="I173" s="204"/>
      <c r="J173" s="196"/>
      <c r="K173" s="196"/>
      <c r="L173" s="192" t="str">
        <f>IFERROR(__xludf.DUMMYFUNCTION("IF(
  AND(D173=""Saída"", J173=""Sangria""),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198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94" t="str">
        <f>IFERROR(__xludf.DUMMYFUNCTION("ifna(VALUE(REGEXEXTRACT(E173,""[0-9.]+[,]+[0-9]+"")))"),"")</f>
        <v/>
      </c>
      <c r="O173" s="258"/>
      <c r="P173" s="265"/>
      <c r="Q173" s="258"/>
      <c r="R173" s="258"/>
      <c r="S173" s="258"/>
      <c r="V173" s="258"/>
      <c r="W173" s="194"/>
    </row>
    <row r="174" ht="14.25" customHeight="1">
      <c r="A174" s="186"/>
      <c r="B174" s="13"/>
      <c r="C174" s="14"/>
      <c r="D174" s="187"/>
      <c r="E174" s="188"/>
      <c r="F174" s="189"/>
      <c r="G174" s="187"/>
      <c r="H174" s="204"/>
      <c r="I174" s="204"/>
      <c r="J174" s="196"/>
      <c r="K174" s="196"/>
      <c r="L174" s="192" t="str">
        <f>IFERROR(__xludf.DUMMYFUNCTION("IF(
  AND(D174=""Saída"", J174=""Sangria""),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197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94" t="str">
        <f>IFERROR(__xludf.DUMMYFUNCTION("ifna(VALUE(REGEXEXTRACT(E174,""[0-9.]+[,]+[0-9]+"")))"),"")</f>
        <v/>
      </c>
      <c r="O174" s="254"/>
      <c r="P174" s="263"/>
      <c r="Q174" s="254"/>
      <c r="R174" s="254"/>
      <c r="S174" s="254"/>
      <c r="V174" s="254"/>
      <c r="W174" s="194"/>
    </row>
    <row r="175" ht="14.25" customHeight="1">
      <c r="A175" s="186"/>
      <c r="B175" s="13"/>
      <c r="C175" s="14"/>
      <c r="D175" s="187"/>
      <c r="E175" s="188"/>
      <c r="F175" s="200"/>
      <c r="G175" s="187"/>
      <c r="H175" s="204"/>
      <c r="I175" s="204"/>
      <c r="J175" s="196"/>
      <c r="K175" s="196"/>
      <c r="L175" s="192" t="str">
        <f>IFERROR(__xludf.DUMMYFUNCTION("IF(
  AND(D175=""Saída"", J175=""Sangria""),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198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94" t="str">
        <f>IFERROR(__xludf.DUMMYFUNCTION("ifna(VALUE(REGEXEXTRACT(E175,""[0-9.]+[,]+[0-9]+"")))"),"")</f>
        <v/>
      </c>
      <c r="O175" s="258"/>
      <c r="P175" s="262"/>
      <c r="Q175" s="258"/>
      <c r="R175" s="258"/>
      <c r="S175" s="258"/>
      <c r="V175" s="258"/>
      <c r="W175" s="194"/>
    </row>
    <row r="176" ht="14.25" customHeight="1">
      <c r="A176" s="186"/>
      <c r="B176" s="13"/>
      <c r="C176" s="14"/>
      <c r="D176" s="187"/>
      <c r="E176" s="188"/>
      <c r="F176" s="189"/>
      <c r="G176" s="187"/>
      <c r="H176" s="204"/>
      <c r="I176" s="204"/>
      <c r="J176" s="196"/>
      <c r="K176" s="196"/>
      <c r="L176" s="192" t="str">
        <f>IFERROR(__xludf.DUMMYFUNCTION("IF(
  AND(D176=""Saída"", J176=""Sangria""),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197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94" t="str">
        <f>IFERROR(__xludf.DUMMYFUNCTION("ifna(VALUE(REGEXEXTRACT(E176,""[0-9.]+[,]+[0-9]+"")))"),"")</f>
        <v/>
      </c>
      <c r="O176" s="254"/>
      <c r="P176" s="263"/>
      <c r="Q176" s="254"/>
      <c r="R176" s="254"/>
      <c r="S176" s="254"/>
      <c r="V176" s="254"/>
      <c r="W176" s="194"/>
    </row>
    <row r="177" ht="14.25" customHeight="1">
      <c r="A177" s="186"/>
      <c r="B177" s="13"/>
      <c r="C177" s="14"/>
      <c r="D177" s="187"/>
      <c r="E177" s="188"/>
      <c r="F177" s="189"/>
      <c r="G177" s="187"/>
      <c r="H177" s="204"/>
      <c r="I177" s="204"/>
      <c r="K177" s="196"/>
      <c r="L177" s="192" t="str">
        <f>IFERROR(__xludf.DUMMYFUNCTION("IF(
  AND(D177=""Saída"", J177=""Sangria""),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198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94" t="str">
        <f>IFERROR(__xludf.DUMMYFUNCTION("ifna(VALUE(REGEXEXTRACT(E177,""[0-9.]+[,]+[0-9]+"")))"),"")</f>
        <v/>
      </c>
      <c r="O177" s="258"/>
      <c r="P177" s="262"/>
      <c r="Q177" s="258"/>
      <c r="R177" s="258"/>
      <c r="S177" s="258"/>
      <c r="V177" s="258"/>
      <c r="W177" s="194"/>
    </row>
    <row r="178" ht="14.25" customHeight="1">
      <c r="A178" s="186"/>
      <c r="B178" s="13"/>
      <c r="C178" s="14"/>
      <c r="D178" s="187"/>
      <c r="E178" s="188"/>
      <c r="F178" s="189"/>
      <c r="G178" s="187"/>
      <c r="H178" s="204"/>
      <c r="I178" s="204"/>
      <c r="J178" s="196"/>
      <c r="K178" s="196"/>
      <c r="L178" s="192" t="str">
        <f>IFERROR(__xludf.DUMMYFUNCTION("IF(
  AND(D178=""Saída"", J178=""Sangria""),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197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94" t="str">
        <f>IFERROR(__xludf.DUMMYFUNCTION("ifna(VALUE(REGEXEXTRACT(E178,""[0-9.]+[,]+[0-9]+"")))"),"")</f>
        <v/>
      </c>
      <c r="O178" s="254"/>
      <c r="P178" s="263"/>
      <c r="Q178" s="254"/>
      <c r="R178" s="254"/>
      <c r="S178" s="254"/>
      <c r="V178" s="254"/>
      <c r="W178" s="194"/>
    </row>
    <row r="179" ht="14.25" customHeight="1">
      <c r="A179" s="186"/>
      <c r="B179" s="13"/>
      <c r="C179" s="14"/>
      <c r="D179" s="187"/>
      <c r="E179" s="188"/>
      <c r="F179" s="200"/>
      <c r="G179" s="187"/>
      <c r="H179" s="204"/>
      <c r="I179" s="204"/>
      <c r="J179" s="196"/>
      <c r="K179" s="196"/>
      <c r="L179" s="192" t="str">
        <f>IFERROR(__xludf.DUMMYFUNCTION("IF(
  AND(D179=""Saída"", J179=""Sangria""),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198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94" t="str">
        <f>IFERROR(__xludf.DUMMYFUNCTION("ifna(VALUE(REGEXEXTRACT(E179,""[0-9.]+[,]+[0-9]+"")))"),"")</f>
        <v/>
      </c>
      <c r="O179" s="258"/>
      <c r="P179" s="262"/>
      <c r="Q179" s="258"/>
      <c r="R179" s="258"/>
      <c r="S179" s="258"/>
      <c r="V179" s="258"/>
      <c r="W179" s="194"/>
    </row>
    <row r="180" ht="14.25" customHeight="1">
      <c r="A180" s="186"/>
      <c r="B180" s="13"/>
      <c r="C180" s="14"/>
      <c r="D180" s="187"/>
      <c r="E180" s="188"/>
      <c r="F180" s="189"/>
      <c r="G180" s="187"/>
      <c r="H180" s="204"/>
      <c r="I180" s="204"/>
      <c r="K180" s="196"/>
      <c r="L180" s="192" t="str">
        <f>IFERROR(__xludf.DUMMYFUNCTION("IF(
  AND(D180=""Saída"", J180=""Sangria""),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197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94" t="str">
        <f>IFERROR(__xludf.DUMMYFUNCTION("ifna(VALUE(REGEXEXTRACT(E180,""[0-9.]+[,]+[0-9]+"")))"),"")</f>
        <v/>
      </c>
      <c r="O180" s="254"/>
      <c r="P180" s="263"/>
      <c r="Q180" s="254"/>
      <c r="R180" s="254"/>
      <c r="S180" s="254"/>
      <c r="V180" s="254"/>
      <c r="W180" s="194"/>
    </row>
    <row r="181" ht="14.25" customHeight="1">
      <c r="A181" s="186"/>
      <c r="B181" s="13"/>
      <c r="C181" s="14"/>
      <c r="D181" s="187"/>
      <c r="E181" s="188"/>
      <c r="F181" s="189"/>
      <c r="G181" s="187"/>
      <c r="H181" s="204"/>
      <c r="I181" s="204"/>
      <c r="J181" s="196"/>
      <c r="K181" s="196"/>
      <c r="L181" s="192" t="str">
        <f>IFERROR(__xludf.DUMMYFUNCTION("IF(
  AND(D181=""Saída"", J181=""Sangria""),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198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94" t="str">
        <f>IFERROR(__xludf.DUMMYFUNCTION("ifna(VALUE(REGEXEXTRACT(E181,""[0-9.]+[,]+[0-9]+"")))"),"")</f>
        <v/>
      </c>
      <c r="O181" s="258"/>
      <c r="P181" s="262"/>
      <c r="Q181" s="258"/>
      <c r="R181" s="258"/>
      <c r="S181" s="258"/>
      <c r="V181" s="258"/>
      <c r="W181" s="194"/>
    </row>
    <row r="182" ht="14.25" customHeight="1">
      <c r="A182" s="186"/>
      <c r="B182" s="13"/>
      <c r="C182" s="14"/>
      <c r="D182" s="187"/>
      <c r="E182" s="188"/>
      <c r="F182" s="189"/>
      <c r="G182" s="187"/>
      <c r="H182" s="204"/>
      <c r="I182" s="204"/>
      <c r="J182" s="196"/>
      <c r="K182" s="196"/>
      <c r="L182" s="192" t="str">
        <f>IFERROR(__xludf.DUMMYFUNCTION("IF(
  AND(D182=""Saída"", J182=""Sangria""),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197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94" t="str">
        <f>IFERROR(__xludf.DUMMYFUNCTION("ifna(VALUE(REGEXEXTRACT(E182,""[0-9.]+[,]+[0-9]+"")))"),"")</f>
        <v/>
      </c>
      <c r="O182" s="254"/>
      <c r="P182" s="263"/>
      <c r="Q182" s="254"/>
      <c r="R182" s="254"/>
      <c r="S182" s="254"/>
      <c r="V182" s="254"/>
      <c r="W182" s="194"/>
    </row>
    <row r="183" ht="14.25" customHeight="1">
      <c r="A183" s="186"/>
      <c r="B183" s="13"/>
      <c r="C183" s="14"/>
      <c r="D183" s="187"/>
      <c r="E183" s="188"/>
      <c r="F183" s="200"/>
      <c r="G183" s="187"/>
      <c r="H183" s="204"/>
      <c r="I183" s="204"/>
      <c r="J183" s="196"/>
      <c r="K183" s="196"/>
      <c r="L183" s="192" t="str">
        <f>IFERROR(__xludf.DUMMYFUNCTION("IF(
  AND(D183=""Saída"", J183=""Sangria""),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198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94" t="str">
        <f>IFERROR(__xludf.DUMMYFUNCTION("ifna(VALUE(REGEXEXTRACT(E183,""[0-9.]+[,]+[0-9]+"")))"),"")</f>
        <v/>
      </c>
      <c r="O183" s="258"/>
      <c r="P183" s="262"/>
      <c r="Q183" s="258"/>
      <c r="R183" s="258"/>
      <c r="S183" s="258"/>
      <c r="V183" s="258"/>
      <c r="W183" s="194"/>
    </row>
    <row r="184" ht="14.25" customHeight="1">
      <c r="A184" s="186"/>
      <c r="B184" s="13"/>
      <c r="C184" s="14"/>
      <c r="D184" s="187"/>
      <c r="E184" s="188"/>
      <c r="F184" s="200"/>
      <c r="G184" s="187"/>
      <c r="H184" s="204"/>
      <c r="I184" s="204"/>
      <c r="J184" s="196"/>
      <c r="K184" s="196"/>
      <c r="L184" s="192" t="str">
        <f>IFERROR(__xludf.DUMMYFUNCTION("IF(
  AND(D184=""Saída"", J184=""Sangria""),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197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94" t="str">
        <f>IFERROR(__xludf.DUMMYFUNCTION("ifna(VALUE(REGEXEXTRACT(E184,""[0-9.]+[,]+[0-9]+"")))"),"")</f>
        <v/>
      </c>
      <c r="O184" s="254"/>
      <c r="P184" s="263"/>
      <c r="Q184" s="254"/>
      <c r="R184" s="254"/>
      <c r="S184" s="254"/>
      <c r="V184" s="254"/>
      <c r="W184" s="194"/>
    </row>
    <row r="185" ht="14.25" customHeight="1">
      <c r="A185" s="186"/>
      <c r="B185" s="13"/>
      <c r="C185" s="14"/>
      <c r="D185" s="187"/>
      <c r="E185" s="188"/>
      <c r="F185" s="189"/>
      <c r="G185" s="187"/>
      <c r="H185" s="204"/>
      <c r="I185" s="204"/>
      <c r="J185" s="196"/>
      <c r="K185" s="196"/>
      <c r="L185" s="192" t="str">
        <f>IFERROR(__xludf.DUMMYFUNCTION("IF(
  AND(D185=""Saída"", J185=""Sangria""),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198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94" t="str">
        <f>IFERROR(__xludf.DUMMYFUNCTION("ifna(VALUE(REGEXEXTRACT(E185,""[0-9.]+[,]+[0-9]+"")))"),"")</f>
        <v/>
      </c>
      <c r="O185" s="258"/>
      <c r="P185" s="262"/>
      <c r="Q185" s="258"/>
      <c r="R185" s="258"/>
      <c r="S185" s="258"/>
      <c r="V185" s="258"/>
      <c r="W185" s="194"/>
    </row>
    <row r="186" ht="14.25" customHeight="1">
      <c r="A186" s="186"/>
      <c r="B186" s="13"/>
      <c r="C186" s="14"/>
      <c r="D186" s="187"/>
      <c r="E186" s="188"/>
      <c r="F186" s="200"/>
      <c r="G186" s="187"/>
      <c r="H186" s="204"/>
      <c r="I186" s="204"/>
      <c r="J186" s="196"/>
      <c r="K186" s="196"/>
      <c r="L186" s="192" t="str">
        <f>IFERROR(__xludf.DUMMYFUNCTION("IF(
  AND(D186=""Saída"", J186=""Sangria""),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197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94" t="str">
        <f>IFERROR(__xludf.DUMMYFUNCTION("ifna(VALUE(REGEXEXTRACT(E186,""[0-9.]+[,]+[0-9]+"")))"),"")</f>
        <v/>
      </c>
      <c r="O186" s="254"/>
      <c r="P186" s="263"/>
      <c r="Q186" s="254"/>
      <c r="R186" s="254"/>
      <c r="S186" s="254"/>
      <c r="V186" s="254"/>
      <c r="W186" s="194"/>
    </row>
    <row r="187" ht="14.25" customHeight="1">
      <c r="A187" s="186"/>
      <c r="B187" s="13"/>
      <c r="C187" s="14"/>
      <c r="D187" s="187"/>
      <c r="E187" s="188"/>
      <c r="F187" s="189"/>
      <c r="G187" s="187"/>
      <c r="H187" s="204"/>
      <c r="I187" s="204"/>
      <c r="J187" s="196"/>
      <c r="K187" s="196"/>
      <c r="L187" s="192" t="str">
        <f>IFERROR(__xludf.DUMMYFUNCTION("IF(
  AND(D187=""Saída"", J187=""Sangria""),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198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94" t="str">
        <f>IFERROR(__xludf.DUMMYFUNCTION("ifna(VALUE(REGEXEXTRACT(E187,""[0-9.]+[,]+[0-9]+"")))"),"")</f>
        <v/>
      </c>
      <c r="O187" s="258"/>
      <c r="P187" s="262"/>
      <c r="Q187" s="258"/>
      <c r="R187" s="258"/>
      <c r="S187" s="258"/>
      <c r="V187" s="258"/>
      <c r="W187" s="194"/>
    </row>
    <row r="188" ht="14.25" customHeight="1">
      <c r="A188" s="186"/>
      <c r="B188" s="13"/>
      <c r="C188" s="14"/>
      <c r="D188" s="187"/>
      <c r="E188" s="188"/>
      <c r="F188" s="189"/>
      <c r="G188" s="187"/>
      <c r="H188" s="204"/>
      <c r="I188" s="204"/>
      <c r="J188" s="196"/>
      <c r="K188" s="196"/>
      <c r="L188" s="192" t="str">
        <f>IFERROR(__xludf.DUMMYFUNCTION("IF(
  AND(D188=""Saída"", J188=""Sangria""),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197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94" t="str">
        <f>IFERROR(__xludf.DUMMYFUNCTION("ifna(VALUE(REGEXEXTRACT(E188,""[0-9.]+[,]+[0-9]+"")))"),"")</f>
        <v/>
      </c>
      <c r="O188" s="254"/>
      <c r="P188" s="263"/>
      <c r="Q188" s="254"/>
      <c r="R188" s="254"/>
      <c r="S188" s="254"/>
      <c r="V188" s="254"/>
      <c r="W188" s="194"/>
    </row>
    <row r="189" ht="14.25" customHeight="1">
      <c r="A189" s="186"/>
      <c r="B189" s="13"/>
      <c r="C189" s="14"/>
      <c r="D189" s="187"/>
      <c r="E189" s="188"/>
      <c r="F189" s="189"/>
      <c r="G189" s="187"/>
      <c r="H189" s="204"/>
      <c r="I189" s="204"/>
      <c r="J189" s="196"/>
      <c r="K189" s="196"/>
      <c r="L189" s="192" t="str">
        <f>IFERROR(__xludf.DUMMYFUNCTION("IF(
  AND(D189=""Saída"", J189=""Sangria""),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198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94" t="str">
        <f>IFERROR(__xludf.DUMMYFUNCTION("ifna(VALUE(REGEXEXTRACT(E189,""[0-9.]+[,]+[0-9]+"")))"),"")</f>
        <v/>
      </c>
      <c r="O189" s="258"/>
      <c r="P189" s="262"/>
      <c r="Q189" s="258"/>
      <c r="R189" s="258"/>
      <c r="S189" s="258"/>
      <c r="V189" s="258"/>
      <c r="W189" s="194"/>
    </row>
    <row r="190" ht="14.25" customHeight="1">
      <c r="A190" s="186"/>
      <c r="B190" s="13"/>
      <c r="C190" s="14"/>
      <c r="D190" s="187"/>
      <c r="E190" s="188"/>
      <c r="F190" s="189"/>
      <c r="G190" s="187"/>
      <c r="H190" s="204"/>
      <c r="I190" s="204"/>
      <c r="J190" s="196"/>
      <c r="K190" s="196"/>
      <c r="L190" s="192" t="str">
        <f>IFERROR(__xludf.DUMMYFUNCTION("IF(
  AND(D190=""Saída"", J190=""Sangria""),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197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94" t="str">
        <f>IFERROR(__xludf.DUMMYFUNCTION("ifna(VALUE(REGEXEXTRACT(E190,""[0-9.]+[,]+[0-9]+"")))"),"")</f>
        <v/>
      </c>
      <c r="O190" s="254"/>
      <c r="P190" s="263"/>
      <c r="Q190" s="254"/>
      <c r="R190" s="254"/>
      <c r="S190" s="254"/>
      <c r="V190" s="254"/>
      <c r="W190" s="194"/>
    </row>
    <row r="191" ht="14.25" customHeight="1">
      <c r="A191" s="186"/>
      <c r="B191" s="13"/>
      <c r="C191" s="14"/>
      <c r="D191" s="187"/>
      <c r="E191" s="188"/>
      <c r="F191" s="189"/>
      <c r="G191" s="187"/>
      <c r="H191" s="204"/>
      <c r="I191" s="204"/>
      <c r="J191" s="266"/>
      <c r="K191" s="196"/>
      <c r="L191" s="192" t="str">
        <f>IFERROR(__xludf.DUMMYFUNCTION("IF(
  AND(D191=""Saída"", J191=""Sangria""),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198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94" t="str">
        <f>IFERROR(__xludf.DUMMYFUNCTION("ifna(VALUE(REGEXEXTRACT(E191,""[0-9.]+[,]+[0-9]+"")))"),"")</f>
        <v/>
      </c>
      <c r="O191" s="258"/>
      <c r="P191" s="262"/>
      <c r="Q191" s="258"/>
      <c r="R191" s="258"/>
      <c r="S191" s="258"/>
      <c r="V191" s="258"/>
      <c r="W191" s="194"/>
    </row>
    <row r="192" ht="14.25" customHeight="1">
      <c r="A192" s="186"/>
      <c r="B192" s="13"/>
      <c r="C192" s="14"/>
      <c r="D192" s="187"/>
      <c r="E192" s="188"/>
      <c r="F192" s="200"/>
      <c r="G192" s="187"/>
      <c r="H192" s="204"/>
      <c r="I192" s="204"/>
      <c r="J192" s="196"/>
      <c r="K192" s="196"/>
      <c r="L192" s="192" t="str">
        <f>IFERROR(__xludf.DUMMYFUNCTION("IF(
  AND(D192=""Saída"", J192=""Sangria""),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197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94" t="str">
        <f>IFERROR(__xludf.DUMMYFUNCTION("ifna(VALUE(REGEXEXTRACT(E192,""[0-9.]+[,]+[0-9]+"")))"),"")</f>
        <v/>
      </c>
      <c r="O192" s="254"/>
      <c r="P192" s="263"/>
      <c r="Q192" s="254"/>
      <c r="R192" s="254"/>
      <c r="S192" s="254"/>
      <c r="V192" s="254"/>
      <c r="W192" s="194"/>
    </row>
    <row r="193" ht="14.25" customHeight="1">
      <c r="A193" s="186"/>
      <c r="B193" s="13"/>
      <c r="C193" s="14"/>
      <c r="D193" s="187"/>
      <c r="E193" s="188"/>
      <c r="F193" s="189"/>
      <c r="G193" s="187"/>
      <c r="H193" s="204"/>
      <c r="I193" s="204"/>
      <c r="J193" s="196"/>
      <c r="K193" s="196"/>
      <c r="L193" s="192" t="str">
        <f>IFERROR(__xludf.DUMMYFUNCTION("IF(
  AND(D193=""Saída"", J193=""Sangria""),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198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94" t="str">
        <f>IFERROR(__xludf.DUMMYFUNCTION("ifna(VALUE(REGEXEXTRACT(E193,""[0-9.]+[,]+[0-9]+"")))"),"")</f>
        <v/>
      </c>
      <c r="O193" s="194"/>
      <c r="P193" s="194"/>
      <c r="Q193" s="194"/>
      <c r="R193" s="194"/>
      <c r="S193" s="194"/>
      <c r="T193" s="194"/>
      <c r="U193" s="194"/>
      <c r="V193" s="194"/>
      <c r="W193" s="194"/>
    </row>
    <row r="194" ht="14.25" customHeight="1">
      <c r="A194" s="186"/>
      <c r="B194" s="13"/>
      <c r="C194" s="14"/>
      <c r="D194" s="187"/>
      <c r="E194" s="188"/>
      <c r="F194" s="189"/>
      <c r="G194" s="187"/>
      <c r="H194" s="204"/>
      <c r="I194" s="204"/>
      <c r="J194" s="196"/>
      <c r="K194" s="196"/>
      <c r="L194" s="192" t="str">
        <f>IFERROR(__xludf.DUMMYFUNCTION("IF(
  AND(D194=""Saída"", J194=""Sangria""),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197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94" t="str">
        <f>IFERROR(__xludf.DUMMYFUNCTION("ifna(VALUE(REGEXEXTRACT(E194,""[0-9.]+[,]+[0-9]+"")))"),"")</f>
        <v/>
      </c>
      <c r="O194" s="194"/>
      <c r="P194" s="194"/>
      <c r="Q194" s="194"/>
      <c r="R194" s="194"/>
      <c r="S194" s="194"/>
      <c r="T194" s="194"/>
      <c r="U194" s="194"/>
      <c r="V194" s="194"/>
      <c r="W194" s="194"/>
    </row>
    <row r="195" ht="14.25" customHeight="1">
      <c r="A195" s="186"/>
      <c r="B195" s="13"/>
      <c r="C195" s="14"/>
      <c r="D195" s="187"/>
      <c r="E195" s="188"/>
      <c r="F195" s="200"/>
      <c r="G195" s="187"/>
      <c r="H195" s="204"/>
      <c r="I195" s="204"/>
      <c r="J195" s="196"/>
      <c r="K195" s="196"/>
      <c r="L195" s="192" t="str">
        <f>IFERROR(__xludf.DUMMYFUNCTION("IF(
  AND(D195=""Saída"", J195=""Sangria""),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198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94" t="str">
        <f>IFERROR(__xludf.DUMMYFUNCTION("ifna(VALUE(REGEXEXTRACT(E195,""[0-9.]+[,]+[0-9]+"")))"),"")</f>
        <v/>
      </c>
      <c r="O195" s="194"/>
      <c r="P195" s="194"/>
      <c r="Q195" s="194"/>
      <c r="R195" s="194"/>
      <c r="S195" s="194"/>
      <c r="T195" s="194"/>
      <c r="U195" s="194"/>
      <c r="V195" s="194"/>
      <c r="W195" s="194"/>
    </row>
    <row r="196" ht="14.25" customHeight="1">
      <c r="A196" s="186"/>
      <c r="B196" s="13"/>
      <c r="C196" s="14"/>
      <c r="D196" s="187"/>
      <c r="E196" s="188"/>
      <c r="F196" s="189"/>
      <c r="G196" s="187"/>
      <c r="H196" s="204"/>
      <c r="I196" s="204"/>
      <c r="K196" s="196"/>
      <c r="L196" s="192" t="str">
        <f>IFERROR(__xludf.DUMMYFUNCTION("IF(
  AND(D196=""Saída"", J196=""Sangria""),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197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94" t="str">
        <f>IFERROR(__xludf.DUMMYFUNCTION("ifna(VALUE(REGEXEXTRACT(E196,""[0-9.]+[,]+[0-9]+"")))"),"")</f>
        <v/>
      </c>
      <c r="O196" s="194"/>
      <c r="P196" s="194"/>
      <c r="Q196" s="194"/>
      <c r="R196" s="194"/>
      <c r="S196" s="194"/>
      <c r="T196" s="194"/>
      <c r="U196" s="194"/>
      <c r="V196" s="194"/>
      <c r="W196" s="194"/>
    </row>
    <row r="197" ht="14.25" customHeight="1">
      <c r="A197" s="186"/>
      <c r="B197" s="13"/>
      <c r="C197" s="14"/>
      <c r="D197" s="187"/>
      <c r="E197" s="188"/>
      <c r="F197" s="189"/>
      <c r="G197" s="187"/>
      <c r="H197" s="204"/>
      <c r="I197" s="204"/>
      <c r="J197" s="196"/>
      <c r="K197" s="196"/>
      <c r="L197" s="192" t="str">
        <f>IFERROR(__xludf.DUMMYFUNCTION("IF(
  AND(D197=""Saída"", J197=""Sangria""),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198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94" t="str">
        <f>IFERROR(__xludf.DUMMYFUNCTION("ifna(VALUE(REGEXEXTRACT(E197,""[0-9.]+[,]+[0-9]+"")))"),"")</f>
        <v/>
      </c>
      <c r="O197" s="194"/>
      <c r="P197" s="194"/>
      <c r="Q197" s="194"/>
      <c r="R197" s="194"/>
      <c r="S197" s="194"/>
      <c r="T197" s="194"/>
      <c r="U197" s="194"/>
      <c r="V197" s="194"/>
      <c r="W197" s="194"/>
    </row>
    <row r="198" ht="14.25" customHeight="1">
      <c r="A198" s="186"/>
      <c r="B198" s="13"/>
      <c r="C198" s="14"/>
      <c r="D198" s="187"/>
      <c r="E198" s="188"/>
      <c r="F198" s="189"/>
      <c r="G198" s="187"/>
      <c r="H198" s="204"/>
      <c r="I198" s="204"/>
      <c r="J198" s="196"/>
      <c r="K198" s="196"/>
      <c r="L198" s="192" t="str">
        <f>IFERROR(__xludf.DUMMYFUNCTION("IF(
  AND(D198=""Saída"", J198=""Sangria""),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197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94" t="str">
        <f>IFERROR(__xludf.DUMMYFUNCTION("ifna(VALUE(REGEXEXTRACT(E198,""[0-9.]+[,]+[0-9]+"")))"),"")</f>
        <v/>
      </c>
      <c r="O198" s="194"/>
      <c r="P198" s="194"/>
      <c r="Q198" s="194"/>
      <c r="R198" s="194"/>
      <c r="S198" s="194"/>
      <c r="T198" s="194"/>
      <c r="U198" s="194"/>
      <c r="V198" s="194"/>
      <c r="W198" s="194"/>
    </row>
    <row r="199" ht="14.25" customHeight="1">
      <c r="A199" s="186"/>
      <c r="B199" s="13"/>
      <c r="C199" s="14"/>
      <c r="D199" s="187"/>
      <c r="E199" s="188"/>
      <c r="F199" s="189"/>
      <c r="G199" s="187"/>
      <c r="H199" s="204"/>
      <c r="I199" s="204"/>
      <c r="J199" s="196"/>
      <c r="K199" s="196"/>
      <c r="L199" s="192" t="str">
        <f>IFERROR(__xludf.DUMMYFUNCTION("IF(
  AND(D199=""Saída"", J199=""Sangria""),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198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94" t="str">
        <f>IFERROR(__xludf.DUMMYFUNCTION("ifna(VALUE(REGEXEXTRACT(E199,""[0-9.]+[,]+[0-9]+"")))"),"")</f>
        <v/>
      </c>
      <c r="O199" s="194"/>
      <c r="P199" s="194"/>
      <c r="Q199" s="194"/>
      <c r="R199" s="194"/>
      <c r="S199" s="194"/>
      <c r="T199" s="194"/>
      <c r="U199" s="194"/>
      <c r="V199" s="194"/>
      <c r="W199" s="194"/>
    </row>
    <row r="200" ht="14.25" customHeight="1">
      <c r="A200" s="186"/>
      <c r="B200" s="13"/>
      <c r="C200" s="14"/>
      <c r="D200" s="187"/>
      <c r="E200" s="188"/>
      <c r="F200" s="189"/>
      <c r="G200" s="187"/>
      <c r="H200" s="204"/>
      <c r="I200" s="204"/>
      <c r="J200" s="196"/>
      <c r="K200" s="196"/>
      <c r="L200" s="192" t="str">
        <f>IFERROR(__xludf.DUMMYFUNCTION("IF(
  AND(D200=""Saída"", J200=""Sangria""),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197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94" t="str">
        <f>IFERROR(__xludf.DUMMYFUNCTION("ifna(VALUE(REGEXEXTRACT(E200,""[0-9.]+[,]+[0-9]+"")))"),"")</f>
        <v/>
      </c>
      <c r="O200" s="194"/>
      <c r="P200" s="194"/>
      <c r="Q200" s="194"/>
      <c r="R200" s="194"/>
      <c r="S200" s="194"/>
      <c r="T200" s="194"/>
      <c r="U200" s="194"/>
      <c r="V200" s="194"/>
      <c r="W200" s="194"/>
    </row>
    <row r="201" ht="14.25" customHeight="1">
      <c r="A201" s="186"/>
      <c r="B201" s="13"/>
      <c r="C201" s="14"/>
      <c r="D201" s="187"/>
      <c r="E201" s="188"/>
      <c r="F201" s="189"/>
      <c r="G201" s="187"/>
      <c r="H201" s="204"/>
      <c r="I201" s="204"/>
      <c r="J201" s="196"/>
      <c r="K201" s="196"/>
      <c r="L201" s="192" t="str">
        <f>IFERROR(__xludf.DUMMYFUNCTION("IF(
  AND(D201=""Saída"", J201=""Sangria""),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198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94" t="str">
        <f>IFERROR(__xludf.DUMMYFUNCTION("ifna(VALUE(REGEXEXTRACT(E201,""[0-9.]+[,]+[0-9]+"")))"),"")</f>
        <v/>
      </c>
      <c r="O201" s="194"/>
      <c r="P201" s="194"/>
      <c r="Q201" s="194"/>
      <c r="R201" s="194"/>
      <c r="S201" s="194"/>
      <c r="T201" s="194"/>
      <c r="U201" s="194"/>
      <c r="V201" s="194"/>
      <c r="W201" s="194"/>
    </row>
    <row r="202" ht="14.25" customHeight="1">
      <c r="A202" s="186"/>
      <c r="B202" s="13"/>
      <c r="C202" s="14"/>
      <c r="D202" s="187"/>
      <c r="E202" s="188"/>
      <c r="F202" s="189"/>
      <c r="G202" s="187"/>
      <c r="H202" s="204"/>
      <c r="I202" s="204"/>
      <c r="J202" s="196"/>
      <c r="K202" s="196"/>
      <c r="L202" s="192" t="str">
        <f>IFERROR(__xludf.DUMMYFUNCTION("IF(
  AND(D202=""Saída"", J202=""Sangria""),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197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94" t="str">
        <f>IFERROR(__xludf.DUMMYFUNCTION("ifna(VALUE(REGEXEXTRACT(E202,""[0-9.]+[,]+[0-9]+"")))"),"")</f>
        <v/>
      </c>
      <c r="O202" s="194"/>
      <c r="P202" s="194"/>
      <c r="Q202" s="194"/>
      <c r="R202" s="194"/>
      <c r="S202" s="194"/>
      <c r="T202" s="194"/>
      <c r="U202" s="194"/>
      <c r="V202" s="194"/>
      <c r="W202" s="194"/>
    </row>
    <row r="203" ht="14.25" customHeight="1">
      <c r="A203" s="186"/>
      <c r="B203" s="13"/>
      <c r="C203" s="14"/>
      <c r="D203" s="187"/>
      <c r="E203" s="188"/>
      <c r="F203" s="189"/>
      <c r="G203" s="187"/>
      <c r="H203" s="204"/>
      <c r="I203" s="204"/>
      <c r="J203" s="196"/>
      <c r="K203" s="196"/>
      <c r="L203" s="192" t="str">
        <f>IFERROR(__xludf.DUMMYFUNCTION("IF(
  AND(D203=""Saída"", J203=""Sangria""),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198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94" t="str">
        <f>IFERROR(__xludf.DUMMYFUNCTION("ifna(VALUE(REGEXEXTRACT(E203,""[0-9.]+[,]+[0-9]+"")))"),"")</f>
        <v/>
      </c>
      <c r="O203" s="194"/>
      <c r="P203" s="194"/>
      <c r="Q203" s="194"/>
      <c r="R203" s="194"/>
      <c r="S203" s="194"/>
      <c r="T203" s="194"/>
      <c r="U203" s="194"/>
      <c r="V203" s="194"/>
      <c r="W203" s="194"/>
    </row>
    <row r="204" ht="14.25" customHeight="1">
      <c r="A204" s="186"/>
      <c r="B204" s="13"/>
      <c r="C204" s="14"/>
      <c r="D204" s="187"/>
      <c r="E204" s="188"/>
      <c r="F204" s="189"/>
      <c r="G204" s="187"/>
      <c r="H204" s="204"/>
      <c r="I204" s="204"/>
      <c r="J204" s="196"/>
      <c r="K204" s="196"/>
      <c r="L204" s="192" t="str">
        <f>IFERROR(__xludf.DUMMYFUNCTION("IF(
  AND(D204=""Saída"", J204=""Sangria""),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197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94" t="str">
        <f>IFERROR(__xludf.DUMMYFUNCTION("ifna(VALUE(REGEXEXTRACT(E204,""[0-9.]+[,]+[0-9]+"")))"),"")</f>
        <v/>
      </c>
      <c r="O204" s="194"/>
      <c r="P204" s="194"/>
      <c r="Q204" s="194"/>
      <c r="R204" s="194"/>
      <c r="S204" s="194"/>
      <c r="T204" s="194"/>
      <c r="U204" s="194"/>
      <c r="V204" s="194"/>
      <c r="W204" s="194"/>
    </row>
    <row r="205" ht="14.25" customHeight="1">
      <c r="A205" s="186"/>
      <c r="B205" s="13"/>
      <c r="C205" s="14"/>
      <c r="D205" s="187"/>
      <c r="E205" s="188"/>
      <c r="F205" s="200"/>
      <c r="G205" s="187"/>
      <c r="H205" s="204"/>
      <c r="I205" s="204"/>
      <c r="J205" s="196"/>
      <c r="K205" s="196"/>
      <c r="L205" s="192" t="str">
        <f>IFERROR(__xludf.DUMMYFUNCTION("IF(
  AND(D205=""Saída"", J205=""Sangria""),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198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94" t="str">
        <f>IFERROR(__xludf.DUMMYFUNCTION("ifna(VALUE(REGEXEXTRACT(E205,""[0-9.]+[,]+[0-9]+"")))"),"")</f>
        <v/>
      </c>
      <c r="O205" s="194"/>
      <c r="P205" s="194"/>
      <c r="Q205" s="194"/>
      <c r="R205" s="194"/>
      <c r="S205" s="194"/>
      <c r="T205" s="194"/>
      <c r="U205" s="194"/>
      <c r="V205" s="194"/>
      <c r="W205" s="194"/>
    </row>
    <row r="206" ht="14.25" customHeight="1">
      <c r="A206" s="186"/>
      <c r="B206" s="13"/>
      <c r="C206" s="14"/>
      <c r="D206" s="187"/>
      <c r="E206" s="188"/>
      <c r="F206" s="189"/>
      <c r="G206" s="187"/>
      <c r="H206" s="204"/>
      <c r="I206" s="204"/>
      <c r="J206" s="196"/>
      <c r="K206" s="196"/>
      <c r="L206" s="192" t="str">
        <f>IFERROR(__xludf.DUMMYFUNCTION("IF(
  AND(D206=""Saída"", J206=""Sangria""),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197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94" t="str">
        <f>IFERROR(__xludf.DUMMYFUNCTION("ifna(VALUE(REGEXEXTRACT(E206,""[0-9.]+[,]+[0-9]+"")))"),"")</f>
        <v/>
      </c>
      <c r="O206" s="194"/>
      <c r="P206" s="194"/>
      <c r="Q206" s="194"/>
      <c r="R206" s="194"/>
      <c r="S206" s="194"/>
      <c r="T206" s="194"/>
      <c r="U206" s="194"/>
      <c r="V206" s="194"/>
      <c r="W206" s="194"/>
    </row>
    <row r="207" ht="14.25" customHeight="1">
      <c r="A207" s="186"/>
      <c r="B207" s="13"/>
      <c r="C207" s="14"/>
      <c r="D207" s="187"/>
      <c r="E207" s="188"/>
      <c r="F207" s="189"/>
      <c r="G207" s="187"/>
      <c r="H207" s="204"/>
      <c r="I207" s="204"/>
      <c r="J207" s="196"/>
      <c r="K207" s="196"/>
      <c r="L207" s="192" t="str">
        <f>IFERROR(__xludf.DUMMYFUNCTION("IF(
  AND(D207=""Saída"", J207=""Sangria""),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198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94" t="str">
        <f>IFERROR(__xludf.DUMMYFUNCTION("ifna(VALUE(REGEXEXTRACT(E207,""[0-9.]+[,]+[0-9]+"")))"),"")</f>
        <v/>
      </c>
      <c r="O207" s="194"/>
      <c r="P207" s="194"/>
      <c r="Q207" s="194"/>
      <c r="R207" s="194"/>
      <c r="S207" s="194"/>
      <c r="T207" s="194"/>
      <c r="U207" s="194"/>
      <c r="V207" s="194"/>
      <c r="W207" s="194"/>
    </row>
    <row r="208" ht="14.25" customHeight="1">
      <c r="A208" s="186"/>
      <c r="B208" s="13"/>
      <c r="C208" s="14"/>
      <c r="D208" s="187"/>
      <c r="E208" s="188"/>
      <c r="F208" s="189"/>
      <c r="G208" s="187"/>
      <c r="H208" s="204"/>
      <c r="I208" s="204"/>
      <c r="J208" s="196"/>
      <c r="K208" s="196"/>
      <c r="L208" s="192" t="str">
        <f>IFERROR(__xludf.DUMMYFUNCTION("IF(
  AND(D208=""Saída"", J208=""Sangria""),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197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94" t="str">
        <f>IFERROR(__xludf.DUMMYFUNCTION("ifna(VALUE(REGEXEXTRACT(E208,""[0-9.]+[,]+[0-9]+"")))"),"")</f>
        <v/>
      </c>
      <c r="O208" s="194"/>
      <c r="P208" s="194"/>
      <c r="Q208" s="194"/>
      <c r="R208" s="194"/>
      <c r="S208" s="194"/>
      <c r="T208" s="194"/>
      <c r="U208" s="194"/>
      <c r="V208" s="194"/>
      <c r="W208" s="194"/>
    </row>
    <row r="209" ht="14.25" customHeight="1">
      <c r="A209" s="186"/>
      <c r="B209" s="13"/>
      <c r="C209" s="14"/>
      <c r="D209" s="187"/>
      <c r="E209" s="188"/>
      <c r="F209" s="189"/>
      <c r="G209" s="187"/>
      <c r="H209" s="204"/>
      <c r="I209" s="204"/>
      <c r="K209" s="196"/>
      <c r="L209" s="192" t="str">
        <f>IFERROR(__xludf.DUMMYFUNCTION("IF(
  AND(D209=""Saída"", J209=""Sangria""),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198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94" t="str">
        <f>IFERROR(__xludf.DUMMYFUNCTION("ifna(VALUE(REGEXEXTRACT(E209,""[0-9.]+[,]+[0-9]+"")))"),"")</f>
        <v/>
      </c>
      <c r="O209" s="194"/>
      <c r="P209" s="194"/>
      <c r="Q209" s="194"/>
      <c r="R209" s="194"/>
      <c r="S209" s="194"/>
      <c r="T209" s="194"/>
      <c r="U209" s="194"/>
      <c r="V209" s="194"/>
      <c r="W209" s="194"/>
    </row>
    <row r="210" ht="14.25" customHeight="1">
      <c r="A210" s="186"/>
      <c r="B210" s="13"/>
      <c r="C210" s="14"/>
      <c r="D210" s="187"/>
      <c r="E210" s="188"/>
      <c r="F210" s="200"/>
      <c r="G210" s="187"/>
      <c r="H210" s="204"/>
      <c r="I210" s="204"/>
      <c r="J210" s="196"/>
      <c r="K210" s="196"/>
      <c r="L210" s="192" t="str">
        <f>IFERROR(__xludf.DUMMYFUNCTION("IF(
  AND(D210=""Saída"", J210=""Sangria""),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197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94" t="str">
        <f>IFERROR(__xludf.DUMMYFUNCTION("ifna(VALUE(REGEXEXTRACT(E210,""[0-9.]+[,]+[0-9]+"")))"),"")</f>
        <v/>
      </c>
      <c r="O210" s="194"/>
      <c r="P210" s="194"/>
      <c r="Q210" s="194"/>
      <c r="R210" s="194"/>
      <c r="S210" s="194"/>
      <c r="T210" s="194"/>
      <c r="U210" s="194"/>
      <c r="V210" s="194"/>
      <c r="W210" s="194"/>
    </row>
    <row r="211" ht="14.25" customHeight="1">
      <c r="A211" s="186"/>
      <c r="B211" s="13"/>
      <c r="C211" s="14"/>
      <c r="D211" s="187"/>
      <c r="E211" s="188"/>
      <c r="F211" s="189"/>
      <c r="G211" s="187"/>
      <c r="H211" s="204"/>
      <c r="I211" s="204"/>
      <c r="J211" s="196"/>
      <c r="K211" s="196"/>
      <c r="L211" s="192" t="str">
        <f>IFERROR(__xludf.DUMMYFUNCTION("IF(
  AND(D211=""Saída"", J211=""Sangria""),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198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94" t="str">
        <f>IFERROR(__xludf.DUMMYFUNCTION("ifna(VALUE(REGEXEXTRACT(E211,""[0-9.]+[,]+[0-9]+"")))"),"")</f>
        <v/>
      </c>
      <c r="O211" s="194"/>
      <c r="P211" s="194"/>
      <c r="Q211" s="194"/>
      <c r="R211" s="194"/>
      <c r="S211" s="194"/>
      <c r="T211" s="194"/>
      <c r="U211" s="194"/>
      <c r="V211" s="194"/>
      <c r="W211" s="194"/>
    </row>
    <row r="212" ht="14.25" customHeight="1">
      <c r="A212" s="186"/>
      <c r="B212" s="13"/>
      <c r="C212" s="14"/>
      <c r="D212" s="187"/>
      <c r="E212" s="188"/>
      <c r="F212" s="200"/>
      <c r="G212" s="187"/>
      <c r="H212" s="204"/>
      <c r="I212" s="204"/>
      <c r="J212" s="196"/>
      <c r="K212" s="196"/>
      <c r="L212" s="192" t="str">
        <f>IFERROR(__xludf.DUMMYFUNCTION("IF(
  AND(D212=""Saída"", J212=""Sangria""),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197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94" t="str">
        <f>IFERROR(__xludf.DUMMYFUNCTION("ifna(VALUE(REGEXEXTRACT(E212,""[0-9.]+[,]+[0-9]+"")))"),"")</f>
        <v/>
      </c>
      <c r="O212" s="194"/>
      <c r="P212" s="194"/>
      <c r="Q212" s="194"/>
      <c r="R212" s="194"/>
      <c r="S212" s="194"/>
      <c r="T212" s="194"/>
      <c r="U212" s="194"/>
      <c r="V212" s="194"/>
      <c r="W212" s="194"/>
    </row>
    <row r="213" ht="14.25" customHeight="1">
      <c r="A213" s="186"/>
      <c r="B213" s="13"/>
      <c r="C213" s="14"/>
      <c r="D213" s="187"/>
      <c r="E213" s="188"/>
      <c r="F213" s="189"/>
      <c r="G213" s="187"/>
      <c r="H213" s="204"/>
      <c r="I213" s="204"/>
      <c r="J213" s="196"/>
      <c r="K213" s="196"/>
      <c r="L213" s="192" t="str">
        <f>IFERROR(__xludf.DUMMYFUNCTION("IF(
  AND(D213=""Saída"", J213=""Sangria""),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198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94" t="str">
        <f>IFERROR(__xludf.DUMMYFUNCTION("ifna(VALUE(REGEXEXTRACT(E213,""[0-9.]+[,]+[0-9]+"")))"),"")</f>
        <v/>
      </c>
      <c r="O213" s="194"/>
      <c r="P213" s="194"/>
      <c r="Q213" s="194"/>
      <c r="R213" s="194"/>
      <c r="S213" s="194"/>
      <c r="T213" s="194"/>
      <c r="U213" s="194"/>
      <c r="V213" s="194"/>
      <c r="W213" s="194"/>
    </row>
    <row r="214" ht="14.25" customHeight="1">
      <c r="A214" s="186"/>
      <c r="B214" s="13"/>
      <c r="C214" s="14"/>
      <c r="D214" s="187"/>
      <c r="E214" s="188"/>
      <c r="F214" s="189"/>
      <c r="G214" s="187"/>
      <c r="H214" s="204"/>
      <c r="I214" s="204"/>
      <c r="J214" s="196"/>
      <c r="K214" s="196"/>
      <c r="L214" s="192" t="str">
        <f>IFERROR(__xludf.DUMMYFUNCTION("IF(
  AND(D214=""Saída"", J214=""Sangria""),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197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94" t="str">
        <f>IFERROR(__xludf.DUMMYFUNCTION("ifna(VALUE(REGEXEXTRACT(E214,""[0-9.]+[,]+[0-9]+"")))"),"")</f>
        <v/>
      </c>
      <c r="O214" s="194"/>
      <c r="P214" s="194"/>
      <c r="Q214" s="194"/>
      <c r="R214" s="194"/>
      <c r="S214" s="194"/>
      <c r="T214" s="194"/>
      <c r="U214" s="194"/>
      <c r="V214" s="194"/>
      <c r="W214" s="194"/>
    </row>
    <row r="215" ht="14.25" customHeight="1">
      <c r="A215" s="186"/>
      <c r="B215" s="13"/>
      <c r="C215" s="14"/>
      <c r="D215" s="187"/>
      <c r="E215" s="188"/>
      <c r="F215" s="189"/>
      <c r="G215" s="187"/>
      <c r="H215" s="204"/>
      <c r="I215" s="204"/>
      <c r="J215" s="196"/>
      <c r="K215" s="196"/>
      <c r="L215" s="192" t="str">
        <f>IFERROR(__xludf.DUMMYFUNCTION("IF(
  AND(D215=""Saída"", J215=""Sangria""),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198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94" t="str">
        <f>IFERROR(__xludf.DUMMYFUNCTION("ifna(VALUE(REGEXEXTRACT(E215,""[0-9.]+[,]+[0-9]+"")))"),"")</f>
        <v/>
      </c>
      <c r="O215" s="194"/>
      <c r="P215" s="194"/>
      <c r="Q215" s="194"/>
      <c r="R215" s="194"/>
      <c r="S215" s="194"/>
      <c r="T215" s="194"/>
      <c r="U215" s="194"/>
      <c r="V215" s="194"/>
      <c r="W215" s="194"/>
    </row>
    <row r="216" ht="14.25" customHeight="1">
      <c r="A216" s="186"/>
      <c r="B216" s="13"/>
      <c r="C216" s="14"/>
      <c r="D216" s="187"/>
      <c r="E216" s="188"/>
      <c r="F216" s="200"/>
      <c r="G216" s="187"/>
      <c r="H216" s="204"/>
      <c r="I216" s="204"/>
      <c r="J216" s="196"/>
      <c r="K216" s="196"/>
      <c r="L216" s="192" t="str">
        <f>IFERROR(__xludf.DUMMYFUNCTION("IF(
  AND(D216=""Saída"", J216=""Sangria""),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197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94" t="str">
        <f>IFERROR(__xludf.DUMMYFUNCTION("ifna(VALUE(REGEXEXTRACT(E216,""[0-9.]+[,]+[0-9]+"")))"),"")</f>
        <v/>
      </c>
      <c r="O216" s="194"/>
      <c r="P216" s="194"/>
      <c r="Q216" s="194"/>
      <c r="R216" s="194"/>
      <c r="S216" s="194"/>
      <c r="T216" s="194"/>
      <c r="U216" s="194"/>
      <c r="V216" s="194"/>
      <c r="W216" s="194"/>
    </row>
    <row r="217" ht="14.25" customHeight="1">
      <c r="A217" s="186"/>
      <c r="B217" s="13"/>
      <c r="C217" s="14"/>
      <c r="D217" s="187"/>
      <c r="E217" s="188"/>
      <c r="F217" s="189"/>
      <c r="G217" s="187"/>
      <c r="H217" s="204"/>
      <c r="I217" s="204"/>
      <c r="J217" s="196"/>
      <c r="K217" s="196"/>
      <c r="L217" s="192" t="str">
        <f>IFERROR(__xludf.DUMMYFUNCTION("IF(
  AND(D217=""Saída"", J217=""Sangria""),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198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94" t="str">
        <f>IFERROR(__xludf.DUMMYFUNCTION("ifna(VALUE(REGEXEXTRACT(E217,""[0-9.]+[,]+[0-9]+"")))"),"")</f>
        <v/>
      </c>
      <c r="O217" s="194"/>
      <c r="P217" s="194"/>
      <c r="Q217" s="194"/>
      <c r="R217" s="194"/>
      <c r="S217" s="194"/>
      <c r="T217" s="194"/>
      <c r="U217" s="194"/>
      <c r="V217" s="194"/>
      <c r="W217" s="194"/>
    </row>
    <row r="218" ht="14.25" customHeight="1">
      <c r="A218" s="186"/>
      <c r="B218" s="13"/>
      <c r="C218" s="14"/>
      <c r="D218" s="187"/>
      <c r="E218" s="188"/>
      <c r="F218" s="189"/>
      <c r="G218" s="187"/>
      <c r="H218" s="204"/>
      <c r="I218" s="204"/>
      <c r="J218" s="196"/>
      <c r="K218" s="196"/>
      <c r="L218" s="192" t="str">
        <f>IFERROR(__xludf.DUMMYFUNCTION("IF(
  AND(D218=""Saída"", J218=""Sangria""),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197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94" t="str">
        <f>IFERROR(__xludf.DUMMYFUNCTION("ifna(VALUE(REGEXEXTRACT(E218,""[0-9.]+[,]+[0-9]+"")))"),"")</f>
        <v/>
      </c>
      <c r="O218" s="194"/>
      <c r="P218" s="194"/>
      <c r="Q218" s="194"/>
      <c r="R218" s="194"/>
      <c r="S218" s="194"/>
      <c r="T218" s="194"/>
      <c r="U218" s="194"/>
      <c r="V218" s="194"/>
      <c r="W218" s="194"/>
    </row>
    <row r="219" ht="14.25" customHeight="1">
      <c r="A219" s="186"/>
      <c r="B219" s="13"/>
      <c r="C219" s="14"/>
      <c r="D219" s="187"/>
      <c r="E219" s="188"/>
      <c r="F219" s="189"/>
      <c r="G219" s="187"/>
      <c r="H219" s="204"/>
      <c r="I219" s="204"/>
      <c r="J219" s="196"/>
      <c r="K219" s="196"/>
      <c r="L219" s="192" t="str">
        <f>IFERROR(__xludf.DUMMYFUNCTION("IF(
  AND(D219=""Saída"", J219=""Sangria""),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198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94" t="str">
        <f>IFERROR(__xludf.DUMMYFUNCTION("ifna(VALUE(REGEXEXTRACT(E219,""[0-9.]+[,]+[0-9]+"")))"),"")</f>
        <v/>
      </c>
      <c r="O219" s="194"/>
      <c r="P219" s="194"/>
      <c r="Q219" s="194"/>
      <c r="R219" s="194"/>
      <c r="S219" s="194"/>
      <c r="T219" s="194"/>
      <c r="U219" s="194"/>
      <c r="V219" s="194"/>
      <c r="W219" s="194"/>
    </row>
    <row r="220" ht="14.25" customHeight="1">
      <c r="A220" s="186"/>
      <c r="B220" s="13"/>
      <c r="C220" s="14"/>
      <c r="D220" s="187"/>
      <c r="E220" s="188"/>
      <c r="F220" s="189"/>
      <c r="G220" s="187"/>
      <c r="H220" s="204"/>
      <c r="I220" s="204"/>
      <c r="J220" s="196"/>
      <c r="K220" s="196"/>
      <c r="L220" s="192" t="str">
        <f>IFERROR(__xludf.DUMMYFUNCTION("IF(
  AND(D220=""Saída"", J220=""Sangria""),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197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94" t="str">
        <f>IFERROR(__xludf.DUMMYFUNCTION("ifna(VALUE(REGEXEXTRACT(E220,""[0-9.]+[,]+[0-9]+"")))"),"")</f>
        <v/>
      </c>
      <c r="O220" s="194"/>
      <c r="P220" s="194"/>
      <c r="Q220" s="194"/>
      <c r="R220" s="194"/>
      <c r="S220" s="194"/>
      <c r="T220" s="194"/>
      <c r="U220" s="194"/>
      <c r="V220" s="194"/>
      <c r="W220" s="194"/>
    </row>
    <row r="221" ht="14.25" customHeight="1">
      <c r="A221" s="186"/>
      <c r="B221" s="13"/>
      <c r="C221" s="14"/>
      <c r="D221" s="187"/>
      <c r="E221" s="188"/>
      <c r="F221" s="189"/>
      <c r="G221" s="187"/>
      <c r="H221" s="204"/>
      <c r="I221" s="204"/>
      <c r="J221" s="196"/>
      <c r="K221" s="196"/>
      <c r="L221" s="192" t="str">
        <f>IFERROR(__xludf.DUMMYFUNCTION("IF(
  AND(D221=""Saída"", J221=""Sangria""),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198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94" t="str">
        <f>IFERROR(__xludf.DUMMYFUNCTION("ifna(VALUE(REGEXEXTRACT(E221,""[0-9.]+[,]+[0-9]+"")))"),"")</f>
        <v/>
      </c>
      <c r="O221" s="194"/>
      <c r="P221" s="194"/>
      <c r="Q221" s="194"/>
      <c r="R221" s="194"/>
      <c r="S221" s="194"/>
      <c r="T221" s="194"/>
      <c r="U221" s="194"/>
      <c r="V221" s="194"/>
      <c r="W221" s="194"/>
    </row>
    <row r="222" ht="14.25" customHeight="1">
      <c r="A222" s="186"/>
      <c r="B222" s="13"/>
      <c r="C222" s="14"/>
      <c r="D222" s="187"/>
      <c r="E222" s="188"/>
      <c r="F222" s="189"/>
      <c r="G222" s="187"/>
      <c r="H222" s="204"/>
      <c r="I222" s="204"/>
      <c r="J222" s="196"/>
      <c r="K222" s="196"/>
      <c r="L222" s="192" t="str">
        <f>IFERROR(__xludf.DUMMYFUNCTION("IF(
  AND(D222=""Saída"", J222=""Sangria""),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197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94" t="str">
        <f>IFERROR(__xludf.DUMMYFUNCTION("ifna(VALUE(REGEXEXTRACT(E222,""[0-9.]+[,]+[0-9]+"")))"),"")</f>
        <v/>
      </c>
      <c r="O222" s="194"/>
      <c r="P222" s="194"/>
      <c r="Q222" s="194"/>
      <c r="R222" s="194"/>
      <c r="S222" s="194"/>
      <c r="T222" s="194"/>
      <c r="U222" s="194"/>
      <c r="V222" s="194"/>
      <c r="W222" s="194"/>
    </row>
    <row r="223" ht="14.25" customHeight="1">
      <c r="A223" s="186"/>
      <c r="B223" s="13"/>
      <c r="C223" s="14"/>
      <c r="D223" s="187"/>
      <c r="E223" s="188"/>
      <c r="F223" s="189"/>
      <c r="G223" s="187"/>
      <c r="H223" s="204"/>
      <c r="I223" s="204"/>
      <c r="J223" s="196"/>
      <c r="K223" s="196"/>
      <c r="L223" s="192" t="str">
        <f>IFERROR(__xludf.DUMMYFUNCTION("IF(
  AND(D223=""Saída"", J223=""Sangria""),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198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94" t="str">
        <f>IFERROR(__xludf.DUMMYFUNCTION("ifna(VALUE(REGEXEXTRACT(E223,""[0-9.]+[,]+[0-9]+"")))"),"")</f>
        <v/>
      </c>
      <c r="O223" s="194"/>
      <c r="P223" s="194"/>
      <c r="Q223" s="194"/>
      <c r="R223" s="194"/>
      <c r="S223" s="194"/>
      <c r="T223" s="194"/>
      <c r="U223" s="194"/>
      <c r="V223" s="194"/>
      <c r="W223" s="194"/>
    </row>
    <row r="224" ht="14.25" customHeight="1">
      <c r="A224" s="186"/>
      <c r="B224" s="13"/>
      <c r="C224" s="14"/>
      <c r="D224" s="187"/>
      <c r="E224" s="188"/>
      <c r="F224" s="189"/>
      <c r="G224" s="187"/>
      <c r="H224" s="204"/>
      <c r="I224" s="204"/>
      <c r="J224" s="196"/>
      <c r="K224" s="196"/>
      <c r="L224" s="192" t="str">
        <f>IFERROR(__xludf.DUMMYFUNCTION("IF(
  AND(D224=""Saída"", J224=""Sangria""),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197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94" t="str">
        <f>IFERROR(__xludf.DUMMYFUNCTION("ifna(VALUE(REGEXEXTRACT(E224,""[0-9.]+[,]+[0-9]+"")))"),"")</f>
        <v/>
      </c>
      <c r="O224" s="194"/>
      <c r="P224" s="194"/>
      <c r="Q224" s="194"/>
      <c r="R224" s="194"/>
      <c r="S224" s="194"/>
      <c r="T224" s="194"/>
      <c r="U224" s="194"/>
      <c r="V224" s="194"/>
      <c r="W224" s="194"/>
    </row>
    <row r="225" ht="14.25" customHeight="1">
      <c r="A225" s="186"/>
      <c r="B225" s="13"/>
      <c r="C225" s="14"/>
      <c r="D225" s="187"/>
      <c r="E225" s="188"/>
      <c r="F225" s="189"/>
      <c r="G225" s="187"/>
      <c r="H225" s="204"/>
      <c r="I225" s="204"/>
      <c r="J225" s="196"/>
      <c r="K225" s="202"/>
      <c r="L225" s="192" t="str">
        <f>IFERROR(__xludf.DUMMYFUNCTION("IF(
  AND(D225=""Saída"", J225=""Sangria""),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198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94" t="str">
        <f>IFERROR(__xludf.DUMMYFUNCTION("ifna(VALUE(REGEXEXTRACT(E225,""[0-9.]+[,]+[0-9]+"")))"),"")</f>
        <v/>
      </c>
      <c r="O225" s="194"/>
      <c r="P225" s="194"/>
      <c r="Q225" s="194"/>
      <c r="R225" s="194"/>
      <c r="S225" s="194"/>
      <c r="T225" s="194"/>
      <c r="U225" s="194"/>
      <c r="V225" s="194"/>
      <c r="W225" s="194"/>
    </row>
    <row r="226" ht="14.25" customHeight="1">
      <c r="A226" s="186"/>
      <c r="B226" s="13"/>
      <c r="C226" s="14"/>
      <c r="D226" s="187"/>
      <c r="E226" s="188"/>
      <c r="F226" s="200"/>
      <c r="G226" s="187"/>
      <c r="H226" s="204"/>
      <c r="I226" s="204"/>
      <c r="J226" s="196"/>
      <c r="K226" s="196"/>
      <c r="L226" s="192" t="str">
        <f>IFERROR(__xludf.DUMMYFUNCTION("IF(
  AND(D226=""Saída"", J226=""Sangria""),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197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94" t="str">
        <f>IFERROR(__xludf.DUMMYFUNCTION("ifna(VALUE(REGEXEXTRACT(E226,""[0-9.]+[,]+[0-9]+"")))"),"")</f>
        <v/>
      </c>
      <c r="O226" s="194"/>
      <c r="P226" s="194"/>
      <c r="Q226" s="194"/>
      <c r="R226" s="194"/>
      <c r="S226" s="194"/>
      <c r="T226" s="194"/>
      <c r="U226" s="194"/>
      <c r="V226" s="194"/>
      <c r="W226" s="194"/>
    </row>
    <row r="227" ht="14.25" customHeight="1">
      <c r="A227" s="186"/>
      <c r="B227" s="13"/>
      <c r="C227" s="14"/>
      <c r="D227" s="187"/>
      <c r="E227" s="188"/>
      <c r="F227" s="189"/>
      <c r="G227" s="187"/>
      <c r="H227" s="204"/>
      <c r="I227" s="204"/>
      <c r="J227" s="196"/>
      <c r="K227" s="196"/>
      <c r="L227" s="192" t="str">
        <f>IFERROR(__xludf.DUMMYFUNCTION("IF(
  AND(D227=""Saída"", J227=""Sangria""),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198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94" t="str">
        <f>IFERROR(__xludf.DUMMYFUNCTION("ifna(VALUE(REGEXEXTRACT(E227,""[0-9.]+[,]+[0-9]+"")))"),"")</f>
        <v/>
      </c>
      <c r="O227" s="194"/>
      <c r="P227" s="194"/>
      <c r="Q227" s="194"/>
      <c r="R227" s="194"/>
      <c r="S227" s="194"/>
      <c r="T227" s="194"/>
      <c r="U227" s="194"/>
      <c r="V227" s="194"/>
      <c r="W227" s="194"/>
    </row>
    <row r="228" ht="14.25" customHeight="1">
      <c r="A228" s="186"/>
      <c r="B228" s="13"/>
      <c r="C228" s="14"/>
      <c r="D228" s="187"/>
      <c r="E228" s="188"/>
      <c r="F228" s="189"/>
      <c r="G228" s="187"/>
      <c r="H228" s="204"/>
      <c r="I228" s="204"/>
      <c r="J228" s="196"/>
      <c r="K228" s="196"/>
      <c r="L228" s="192" t="str">
        <f>IFERROR(__xludf.DUMMYFUNCTION("IF(
  AND(D228=""Saída"", J228=""Sangria""),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197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94" t="str">
        <f>IFERROR(__xludf.DUMMYFUNCTION("ifna(VALUE(REGEXEXTRACT(E228,""[0-9.]+[,]+[0-9]+"")))"),"")</f>
        <v/>
      </c>
      <c r="O228" s="194"/>
      <c r="P228" s="194"/>
      <c r="Q228" s="194"/>
      <c r="R228" s="194"/>
      <c r="S228" s="194"/>
      <c r="T228" s="194"/>
      <c r="U228" s="194"/>
      <c r="V228" s="194"/>
      <c r="W228" s="194"/>
    </row>
    <row r="229" ht="14.25" customHeight="1">
      <c r="A229" s="186"/>
      <c r="B229" s="13"/>
      <c r="C229" s="14"/>
      <c r="D229" s="187"/>
      <c r="E229" s="188"/>
      <c r="F229" s="189"/>
      <c r="G229" s="187"/>
      <c r="H229" s="204"/>
      <c r="I229" s="204"/>
      <c r="J229" s="196"/>
      <c r="K229" s="196"/>
      <c r="L229" s="192" t="str">
        <f>IFERROR(__xludf.DUMMYFUNCTION("IF(
  AND(D229=""Saída"", J229=""Sangria""),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198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94" t="str">
        <f>IFERROR(__xludf.DUMMYFUNCTION("ifna(VALUE(REGEXEXTRACT(E229,""[0-9.]+[,]+[0-9]+"")))"),"")</f>
        <v/>
      </c>
      <c r="O229" s="194"/>
      <c r="P229" s="194"/>
      <c r="Q229" s="194"/>
      <c r="R229" s="194"/>
      <c r="S229" s="194"/>
      <c r="T229" s="194"/>
      <c r="U229" s="194"/>
      <c r="V229" s="194"/>
      <c r="W229" s="194"/>
    </row>
    <row r="230" ht="14.25" customHeight="1">
      <c r="A230" s="186"/>
      <c r="B230" s="13"/>
      <c r="C230" s="14"/>
      <c r="D230" s="187"/>
      <c r="E230" s="188"/>
      <c r="F230" s="189"/>
      <c r="G230" s="187"/>
      <c r="H230" s="204"/>
      <c r="I230" s="204"/>
      <c r="J230" s="196"/>
      <c r="K230" s="196"/>
      <c r="L230" s="192" t="str">
        <f>IFERROR(__xludf.DUMMYFUNCTION("IF(
  AND(D230=""Saída"", J230=""Sangria""),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197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94" t="str">
        <f>IFERROR(__xludf.DUMMYFUNCTION("ifna(VALUE(REGEXEXTRACT(E230,""[0-9.]+[,]+[0-9]+"")))"),"")</f>
        <v/>
      </c>
      <c r="O230" s="194"/>
      <c r="P230" s="194"/>
      <c r="Q230" s="194"/>
      <c r="R230" s="194"/>
      <c r="S230" s="194"/>
      <c r="T230" s="194"/>
      <c r="U230" s="194"/>
      <c r="V230" s="194"/>
      <c r="W230" s="194"/>
    </row>
    <row r="231" ht="14.25" customHeight="1">
      <c r="A231" s="186"/>
      <c r="B231" s="13"/>
      <c r="C231" s="14"/>
      <c r="D231" s="187"/>
      <c r="E231" s="188"/>
      <c r="F231" s="189"/>
      <c r="G231" s="13"/>
      <c r="H231" s="204"/>
      <c r="I231" s="204"/>
      <c r="J231" s="196"/>
      <c r="K231" s="196"/>
      <c r="L231" s="192" t="str">
        <f>IFERROR(__xludf.DUMMYFUNCTION("IF(
  AND(D231=""Saída"", J231=""Sangria""),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198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94" t="str">
        <f>IFERROR(__xludf.DUMMYFUNCTION("ifna(VALUE(REGEXEXTRACT(E231,""[0-9.]+[,]+[0-9]+"")))"),"")</f>
        <v/>
      </c>
      <c r="O231" s="194"/>
      <c r="P231" s="194"/>
      <c r="Q231" s="194"/>
      <c r="R231" s="194"/>
      <c r="S231" s="194"/>
      <c r="T231" s="194"/>
      <c r="U231" s="194"/>
      <c r="V231" s="194"/>
      <c r="W231" s="194"/>
    </row>
    <row r="232" ht="14.25" customHeight="1">
      <c r="A232" s="186"/>
      <c r="B232" s="13"/>
      <c r="C232" s="14"/>
      <c r="D232" s="187"/>
      <c r="E232" s="188"/>
      <c r="F232" s="200"/>
      <c r="G232" s="187"/>
      <c r="H232" s="204"/>
      <c r="I232" s="204"/>
      <c r="J232" s="196"/>
      <c r="K232" s="196"/>
      <c r="L232" s="192" t="str">
        <f>IFERROR(__xludf.DUMMYFUNCTION("IF(
  AND(D232=""Saída"", J232=""Sangria""),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197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94" t="str">
        <f>IFERROR(__xludf.DUMMYFUNCTION("ifna(VALUE(REGEXEXTRACT(E232,""[0-9.]+[,]+[0-9]+"")))"),"")</f>
        <v/>
      </c>
      <c r="O232" s="194"/>
      <c r="P232" s="194"/>
      <c r="Q232" s="194"/>
      <c r="R232" s="194"/>
      <c r="S232" s="194"/>
      <c r="T232" s="194"/>
      <c r="U232" s="194"/>
      <c r="V232" s="194"/>
      <c r="W232" s="194"/>
    </row>
    <row r="233" ht="14.25" customHeight="1">
      <c r="A233" s="186"/>
      <c r="B233" s="13"/>
      <c r="C233" s="14"/>
      <c r="D233" s="187"/>
      <c r="E233" s="188"/>
      <c r="F233" s="189"/>
      <c r="G233" s="187"/>
      <c r="H233" s="204"/>
      <c r="I233" s="204"/>
      <c r="J233" s="196"/>
      <c r="K233" s="196"/>
      <c r="L233" s="192" t="str">
        <f>IFERROR(__xludf.DUMMYFUNCTION("IF(
  AND(D233=""Saída"", J233=""Sangria""),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198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94" t="str">
        <f>IFERROR(__xludf.DUMMYFUNCTION("ifna(VALUE(REGEXEXTRACT(E233,""[0-9.]+[,]+[0-9]+"")))"),"")</f>
        <v/>
      </c>
      <c r="O233" s="194"/>
      <c r="P233" s="194"/>
      <c r="Q233" s="194"/>
      <c r="R233" s="194"/>
      <c r="S233" s="194"/>
      <c r="T233" s="194"/>
      <c r="U233" s="194"/>
      <c r="V233" s="194"/>
      <c r="W233" s="194"/>
    </row>
    <row r="234" ht="14.25" customHeight="1">
      <c r="A234" s="186"/>
      <c r="B234" s="13"/>
      <c r="C234" s="14"/>
      <c r="D234" s="187"/>
      <c r="E234" s="188"/>
      <c r="F234" s="189"/>
      <c r="G234" s="187"/>
      <c r="H234" s="204"/>
      <c r="I234" s="204"/>
      <c r="J234" s="196"/>
      <c r="K234" s="196"/>
      <c r="L234" s="192" t="str">
        <f>IFERROR(__xludf.DUMMYFUNCTION("IF(
  AND(D234=""Saída"", J234=""Sangria""),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197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94" t="str">
        <f>IFERROR(__xludf.DUMMYFUNCTION("ifna(VALUE(REGEXEXTRACT(E234,""[0-9.]+[,]+[0-9]+"")))"),"")</f>
        <v/>
      </c>
      <c r="O234" s="194"/>
      <c r="P234" s="194"/>
      <c r="Q234" s="194"/>
      <c r="R234" s="194"/>
      <c r="S234" s="194"/>
      <c r="T234" s="194"/>
      <c r="U234" s="194"/>
      <c r="V234" s="194"/>
      <c r="W234" s="194"/>
    </row>
    <row r="235" ht="14.25" customHeight="1">
      <c r="A235" s="186"/>
      <c r="C235" s="14"/>
      <c r="D235" s="187"/>
      <c r="E235" s="188"/>
      <c r="F235" s="189"/>
      <c r="G235" s="187"/>
      <c r="H235" s="204"/>
      <c r="I235" s="204"/>
      <c r="J235" s="196"/>
      <c r="K235" s="196"/>
      <c r="L235" s="192" t="str">
        <f>IFERROR(__xludf.DUMMYFUNCTION("IF(
  AND(D235=""Saída"", J235=""Sangria""),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198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94" t="str">
        <f>IFERROR(__xludf.DUMMYFUNCTION("ifna(VALUE(REGEXEXTRACT(E235,""[0-9.]+[,]+[0-9]+"")))"),"")</f>
        <v/>
      </c>
      <c r="O235" s="194"/>
      <c r="P235" s="194"/>
      <c r="Q235" s="194"/>
      <c r="R235" s="194"/>
      <c r="S235" s="194"/>
      <c r="T235" s="194"/>
      <c r="U235" s="194"/>
      <c r="V235" s="194"/>
      <c r="W235" s="194"/>
    </row>
    <row r="236" ht="14.25" customHeight="1">
      <c r="A236" s="186"/>
      <c r="B236" s="13"/>
      <c r="C236" s="14"/>
      <c r="D236" s="187"/>
      <c r="E236" s="188"/>
      <c r="F236" s="200"/>
      <c r="G236" s="187"/>
      <c r="H236" s="204"/>
      <c r="I236" s="204"/>
      <c r="J236" s="196"/>
      <c r="K236" s="196"/>
      <c r="L236" s="192" t="str">
        <f>IFERROR(__xludf.DUMMYFUNCTION("IF(
  AND(D236=""Saída"", J236=""Sangria""),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197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94" t="str">
        <f>IFERROR(__xludf.DUMMYFUNCTION("ifna(VALUE(REGEXEXTRACT(E236,""[0-9.]+[,]+[0-9]+"")))"),"")</f>
        <v/>
      </c>
      <c r="O236" s="194"/>
      <c r="P236" s="194"/>
      <c r="Q236" s="194"/>
      <c r="R236" s="194"/>
      <c r="S236" s="194"/>
      <c r="T236" s="194"/>
      <c r="U236" s="194"/>
      <c r="V236" s="194"/>
      <c r="W236" s="194"/>
    </row>
    <row r="237" ht="14.25" customHeight="1">
      <c r="A237" s="186"/>
      <c r="B237" s="13"/>
      <c r="C237" s="267"/>
      <c r="D237" s="187"/>
      <c r="E237" s="188"/>
      <c r="F237" s="189"/>
      <c r="G237" s="187"/>
      <c r="H237" s="204"/>
      <c r="I237" s="204"/>
      <c r="J237" s="196"/>
      <c r="K237" s="196"/>
      <c r="L237" s="192" t="str">
        <f>IFERROR(__xludf.DUMMYFUNCTION("IF(
  AND(D237=""Saída"", J237=""Sangria""),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198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94" t="str">
        <f>IFERROR(__xludf.DUMMYFUNCTION("ifna(VALUE(REGEXEXTRACT(E237,""[0-9.]+[,]+[0-9]+"")))"),"")</f>
        <v/>
      </c>
      <c r="O237" s="194"/>
      <c r="P237" s="194"/>
      <c r="Q237" s="194"/>
      <c r="R237" s="194"/>
      <c r="S237" s="194"/>
      <c r="T237" s="194"/>
      <c r="U237" s="194"/>
      <c r="V237" s="194"/>
      <c r="W237" s="194"/>
    </row>
    <row r="238" ht="14.25" customHeight="1">
      <c r="A238" s="186"/>
      <c r="B238" s="13"/>
      <c r="C238" s="14"/>
      <c r="D238" s="187"/>
      <c r="E238" s="188"/>
      <c r="F238" s="189"/>
      <c r="G238" s="187"/>
      <c r="H238" s="204"/>
      <c r="I238" s="204"/>
      <c r="J238" s="196"/>
      <c r="K238" s="196"/>
      <c r="L238" s="192" t="str">
        <f>IFERROR(__xludf.DUMMYFUNCTION("IF(
  AND(D238=""Saída"", J238=""Sangria""),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197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94" t="str">
        <f>IFERROR(__xludf.DUMMYFUNCTION("ifna(VALUE(REGEXEXTRACT(E238,""[0-9.]+[,]+[0-9]+"")))"),"")</f>
        <v/>
      </c>
      <c r="O238" s="194"/>
      <c r="P238" s="194"/>
      <c r="Q238" s="194"/>
      <c r="R238" s="194"/>
      <c r="S238" s="194"/>
      <c r="T238" s="194"/>
      <c r="U238" s="194"/>
      <c r="V238" s="194"/>
      <c r="W238" s="194"/>
    </row>
    <row r="239" ht="14.25" customHeight="1">
      <c r="A239" s="186"/>
      <c r="B239" s="13"/>
      <c r="C239" s="14"/>
      <c r="D239" s="187"/>
      <c r="E239" s="188"/>
      <c r="F239" s="189"/>
      <c r="G239" s="187"/>
      <c r="H239" s="204"/>
      <c r="I239" s="204"/>
      <c r="J239" s="196"/>
      <c r="K239" s="196"/>
      <c r="L239" s="192" t="str">
        <f>IFERROR(__xludf.DUMMYFUNCTION("IF(
  AND(D239=""Saída"", J239=""Sangria""),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198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94" t="str">
        <f>IFERROR(__xludf.DUMMYFUNCTION("ifna(VALUE(REGEXEXTRACT(E239,""[0-9.]+[,]+[0-9]+"")))"),"")</f>
        <v/>
      </c>
      <c r="O239" s="194"/>
      <c r="P239" s="194"/>
      <c r="Q239" s="194"/>
      <c r="R239" s="194"/>
      <c r="S239" s="194"/>
      <c r="T239" s="194"/>
      <c r="U239" s="194"/>
      <c r="V239" s="194"/>
      <c r="W239" s="194"/>
    </row>
    <row r="240" ht="14.25" customHeight="1">
      <c r="A240" s="186"/>
      <c r="B240" s="13"/>
      <c r="C240" s="14"/>
      <c r="D240" s="187"/>
      <c r="E240" s="188"/>
      <c r="F240" s="189"/>
      <c r="G240" s="187"/>
      <c r="H240" s="204"/>
      <c r="I240" s="204"/>
      <c r="J240" s="196"/>
      <c r="K240" s="196"/>
      <c r="L240" s="192" t="str">
        <f>IFERROR(__xludf.DUMMYFUNCTION("IF(
  AND(D240=""Saída"", J240=""Sangria""),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197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94" t="str">
        <f>IFERROR(__xludf.DUMMYFUNCTION("ifna(VALUE(REGEXEXTRACT(E240,""[0-9.]+[,]+[0-9]+"")))"),"")</f>
        <v/>
      </c>
      <c r="O240" s="194"/>
      <c r="P240" s="194"/>
      <c r="Q240" s="194"/>
      <c r="R240" s="194"/>
      <c r="S240" s="194"/>
      <c r="T240" s="194"/>
      <c r="U240" s="194"/>
      <c r="V240" s="194"/>
      <c r="W240" s="194"/>
    </row>
    <row r="241" ht="14.25" customHeight="1">
      <c r="A241" s="186"/>
      <c r="B241" s="13"/>
      <c r="C241" s="14"/>
      <c r="D241" s="187"/>
      <c r="E241" s="188"/>
      <c r="F241" s="189"/>
      <c r="G241" s="187"/>
      <c r="H241" s="204"/>
      <c r="I241" s="204"/>
      <c r="J241" s="196"/>
      <c r="K241" s="196"/>
      <c r="L241" s="192" t="str">
        <f>IFERROR(__xludf.DUMMYFUNCTION("IF(
  AND(D241=""Saída"", J241=""Sangria""),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198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94" t="str">
        <f>IFERROR(__xludf.DUMMYFUNCTION("ifna(VALUE(REGEXEXTRACT(E241,""[0-9.]+[,]+[0-9]+"")))"),"")</f>
        <v/>
      </c>
      <c r="O241" s="194"/>
      <c r="P241" s="194"/>
      <c r="Q241" s="194"/>
      <c r="R241" s="194"/>
      <c r="S241" s="194"/>
      <c r="T241" s="194"/>
      <c r="U241" s="194"/>
      <c r="V241" s="194"/>
      <c r="W241" s="194"/>
    </row>
    <row r="242" ht="14.25" customHeight="1">
      <c r="A242" s="186"/>
      <c r="B242" s="13"/>
      <c r="C242" s="14"/>
      <c r="D242" s="187"/>
      <c r="E242" s="188"/>
      <c r="F242" s="189"/>
      <c r="G242" s="187"/>
      <c r="H242" s="204"/>
      <c r="I242" s="204"/>
      <c r="J242" s="196"/>
      <c r="K242" s="196"/>
      <c r="L242" s="192" t="str">
        <f>IFERROR(__xludf.DUMMYFUNCTION("IF(
  AND(D242=""Saída"", J242=""Sangria""),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197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94" t="str">
        <f>IFERROR(__xludf.DUMMYFUNCTION("ifna(VALUE(REGEXEXTRACT(E242,""[0-9.]+[,]+[0-9]+"")))"),"")</f>
        <v/>
      </c>
      <c r="O242" s="194"/>
      <c r="P242" s="194"/>
      <c r="Q242" s="194"/>
      <c r="R242" s="194"/>
      <c r="S242" s="194"/>
      <c r="T242" s="194"/>
      <c r="U242" s="194"/>
      <c r="V242" s="194"/>
      <c r="W242" s="194"/>
    </row>
    <row r="243" ht="14.25" customHeight="1">
      <c r="A243" s="186"/>
      <c r="B243" s="13"/>
      <c r="C243" s="14"/>
      <c r="D243" s="187"/>
      <c r="E243" s="188"/>
      <c r="F243" s="189"/>
      <c r="G243" s="187"/>
      <c r="H243" s="204"/>
      <c r="I243" s="204"/>
      <c r="J243" s="196"/>
      <c r="K243" s="196"/>
      <c r="L243" s="192" t="str">
        <f>IFERROR(__xludf.DUMMYFUNCTION("IF(
  AND(D243=""Saída"", J243=""Sangria""),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198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94" t="str">
        <f>IFERROR(__xludf.DUMMYFUNCTION("ifna(VALUE(REGEXEXTRACT(E243,""[0-9.]+[,]+[0-9]+"")))"),"")</f>
        <v/>
      </c>
      <c r="O243" s="194"/>
      <c r="P243" s="194"/>
      <c r="Q243" s="194"/>
      <c r="R243" s="194"/>
      <c r="S243" s="194"/>
      <c r="T243" s="194"/>
      <c r="U243" s="194"/>
      <c r="V243" s="194"/>
      <c r="W243" s="194"/>
    </row>
    <row r="244" ht="14.25" customHeight="1">
      <c r="A244" s="186"/>
      <c r="B244" s="13"/>
      <c r="C244" s="14"/>
      <c r="D244" s="187"/>
      <c r="E244" s="188"/>
      <c r="F244" s="189"/>
      <c r="G244" s="187"/>
      <c r="H244" s="204"/>
      <c r="I244" s="204"/>
      <c r="J244" s="196"/>
      <c r="K244" s="196"/>
      <c r="L244" s="192" t="str">
        <f>IFERROR(__xludf.DUMMYFUNCTION("IF(
  AND(D244=""Saída"", J244=""Sangria""),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197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94" t="str">
        <f>IFERROR(__xludf.DUMMYFUNCTION("ifna(VALUE(REGEXEXTRACT(E244,""[0-9.]+[,]+[0-9]+"")))"),"")</f>
        <v/>
      </c>
      <c r="O244" s="194"/>
      <c r="P244" s="194"/>
      <c r="Q244" s="194"/>
      <c r="R244" s="194"/>
      <c r="S244" s="194"/>
      <c r="T244" s="194"/>
      <c r="U244" s="194"/>
      <c r="V244" s="194"/>
      <c r="W244" s="194"/>
    </row>
    <row r="245" ht="14.25" customHeight="1">
      <c r="A245" s="186"/>
      <c r="B245" s="13"/>
      <c r="C245" s="14"/>
      <c r="D245" s="187"/>
      <c r="E245" s="188"/>
      <c r="F245" s="189"/>
      <c r="G245" s="187"/>
      <c r="H245" s="204"/>
      <c r="I245" s="204"/>
      <c r="J245" s="196"/>
      <c r="K245" s="196"/>
      <c r="L245" s="192" t="str">
        <f>IFERROR(__xludf.DUMMYFUNCTION("IF(
  AND(D245=""Saída"", J245=""Sangria""),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198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94" t="str">
        <f>IFERROR(__xludf.DUMMYFUNCTION("ifna(VALUE(REGEXEXTRACT(E245,""[0-9.]+[,]+[0-9]+"")))"),"")</f>
        <v/>
      </c>
      <c r="O245" s="194"/>
      <c r="P245" s="194"/>
      <c r="Q245" s="194"/>
      <c r="R245" s="194"/>
      <c r="S245" s="194"/>
      <c r="T245" s="194"/>
      <c r="U245" s="194"/>
      <c r="V245" s="194"/>
      <c r="W245" s="194"/>
    </row>
    <row r="246" ht="14.25" customHeight="1">
      <c r="A246" s="186"/>
      <c r="C246" s="14"/>
      <c r="D246" s="187"/>
      <c r="E246" s="188"/>
      <c r="F246" s="189"/>
      <c r="G246" s="187"/>
      <c r="H246" s="204"/>
      <c r="I246" s="204"/>
      <c r="J246" s="196"/>
      <c r="K246" s="196"/>
      <c r="L246" s="192" t="str">
        <f>IFERROR(__xludf.DUMMYFUNCTION("IF(
  AND(D246=""Saída"", J246=""Sangria""),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197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94" t="str">
        <f>IFERROR(__xludf.DUMMYFUNCTION("ifna(VALUE(REGEXEXTRACT(E246,""[0-9.]+[,]+[0-9]+"")))"),"")</f>
        <v/>
      </c>
      <c r="O246" s="194"/>
      <c r="P246" s="194"/>
      <c r="Q246" s="194"/>
      <c r="R246" s="194"/>
      <c r="S246" s="194"/>
      <c r="T246" s="194"/>
      <c r="U246" s="194"/>
      <c r="V246" s="194"/>
      <c r="W246" s="194"/>
    </row>
    <row r="247" ht="14.25" customHeight="1">
      <c r="A247" s="186"/>
      <c r="B247" s="13"/>
      <c r="C247" s="14"/>
      <c r="D247" s="187"/>
      <c r="E247" s="188"/>
      <c r="F247" s="200"/>
      <c r="G247" s="187"/>
      <c r="H247" s="204"/>
      <c r="I247" s="204"/>
      <c r="J247" s="196"/>
      <c r="K247" s="196"/>
      <c r="L247" s="192" t="str">
        <f>IFERROR(__xludf.DUMMYFUNCTION("IF(
  AND(D247=""Saída"", J247=""Sangria""),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198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94" t="str">
        <f>IFERROR(__xludf.DUMMYFUNCTION("ifna(VALUE(REGEXEXTRACT(E247,""[0-9.]+[,]+[0-9]+"")))"),"")</f>
        <v/>
      </c>
      <c r="O247" s="194"/>
      <c r="P247" s="194"/>
      <c r="Q247" s="194"/>
      <c r="R247" s="194"/>
      <c r="S247" s="194"/>
      <c r="T247" s="194"/>
      <c r="U247" s="194"/>
      <c r="V247" s="194"/>
      <c r="W247" s="194"/>
    </row>
    <row r="248" ht="14.25" customHeight="1">
      <c r="A248" s="186"/>
      <c r="B248" s="13"/>
      <c r="C248" s="14"/>
      <c r="D248" s="187"/>
      <c r="E248" s="188"/>
      <c r="F248" s="189"/>
      <c r="G248" s="187"/>
      <c r="H248" s="204"/>
      <c r="I248" s="204"/>
      <c r="J248" s="196"/>
      <c r="K248" s="196"/>
      <c r="L248" s="192" t="str">
        <f>IFERROR(__xludf.DUMMYFUNCTION("IF(
  AND(D248=""Saída"", J248=""Sangria""),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197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94" t="str">
        <f>IFERROR(__xludf.DUMMYFUNCTION("ifna(VALUE(REGEXEXTRACT(E248,""[0-9.]+[,]+[0-9]+"")))"),"")</f>
        <v/>
      </c>
      <c r="O248" s="194"/>
      <c r="P248" s="194"/>
      <c r="Q248" s="194"/>
      <c r="R248" s="194"/>
      <c r="S248" s="194"/>
      <c r="T248" s="194"/>
      <c r="U248" s="194"/>
      <c r="V248" s="194"/>
      <c r="W248" s="194"/>
    </row>
    <row r="249" ht="14.25" customHeight="1">
      <c r="A249" s="186"/>
      <c r="B249" s="13"/>
      <c r="C249" s="14"/>
      <c r="D249" s="187"/>
      <c r="E249" s="188"/>
      <c r="F249" s="189"/>
      <c r="G249" s="13"/>
      <c r="H249" s="204"/>
      <c r="I249" s="204"/>
      <c r="J249" s="196"/>
      <c r="K249" s="196"/>
      <c r="L249" s="192" t="str">
        <f>IFERROR(__xludf.DUMMYFUNCTION("IF(
  AND(D249=""Saída"", J249=""Sangria""),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198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94" t="str">
        <f>IFERROR(__xludf.DUMMYFUNCTION("ifna(VALUE(REGEXEXTRACT(E249,""[0-9.]+[,]+[0-9]+"")))"),"")</f>
        <v/>
      </c>
      <c r="O249" s="194"/>
      <c r="P249" s="194"/>
      <c r="Q249" s="194"/>
      <c r="R249" s="194"/>
      <c r="S249" s="194"/>
      <c r="T249" s="194"/>
      <c r="U249" s="194"/>
      <c r="V249" s="194"/>
      <c r="W249" s="194"/>
    </row>
    <row r="250" ht="14.25" customHeight="1">
      <c r="A250" s="186"/>
      <c r="B250" s="13"/>
      <c r="C250" s="14"/>
      <c r="D250" s="187"/>
      <c r="E250" s="188"/>
      <c r="F250" s="200"/>
      <c r="G250" s="187"/>
      <c r="H250" s="204"/>
      <c r="I250" s="204"/>
      <c r="J250" s="196"/>
      <c r="K250" s="196"/>
      <c r="L250" s="192" t="str">
        <f>IFERROR(__xludf.DUMMYFUNCTION("IF(
  AND(D250=""Saída"", J250=""Sangria""),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197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94" t="str">
        <f>IFERROR(__xludf.DUMMYFUNCTION("ifna(VALUE(REGEXEXTRACT(E250,""[0-9.]+[,]+[0-9]+"")))"),"")</f>
        <v/>
      </c>
      <c r="O250" s="194"/>
      <c r="P250" s="194"/>
      <c r="Q250" s="194"/>
      <c r="R250" s="194"/>
      <c r="S250" s="194"/>
      <c r="T250" s="194"/>
      <c r="U250" s="194"/>
      <c r="V250" s="194"/>
      <c r="W250" s="194"/>
    </row>
    <row r="251" ht="14.25" customHeight="1">
      <c r="A251" s="186"/>
      <c r="B251" s="13"/>
      <c r="C251" s="14"/>
      <c r="D251" s="187"/>
      <c r="E251" s="188"/>
      <c r="F251" s="200"/>
      <c r="G251" s="187"/>
      <c r="H251" s="204"/>
      <c r="I251" s="204"/>
      <c r="J251" s="196"/>
      <c r="K251" s="196"/>
      <c r="L251" s="192" t="str">
        <f>IFERROR(__xludf.DUMMYFUNCTION("IF(
  AND(D251=""Saída"", J251=""Sangria""),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198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94" t="str">
        <f>IFERROR(__xludf.DUMMYFUNCTION("ifna(VALUE(REGEXEXTRACT(E251,""[0-9.]+[,]+[0-9]+"")))"),"")</f>
        <v/>
      </c>
      <c r="O251" s="194"/>
      <c r="P251" s="194"/>
      <c r="Q251" s="194"/>
      <c r="R251" s="194"/>
      <c r="S251" s="194"/>
      <c r="T251" s="194"/>
      <c r="U251" s="194"/>
      <c r="V251" s="194"/>
      <c r="W251" s="194"/>
    </row>
    <row r="252" ht="14.25" customHeight="1">
      <c r="A252" s="186"/>
      <c r="B252" s="13"/>
      <c r="C252" s="14"/>
      <c r="D252" s="13"/>
      <c r="E252" s="188"/>
      <c r="F252" s="189"/>
      <c r="G252" s="187"/>
      <c r="H252" s="204"/>
      <c r="I252" s="204"/>
      <c r="J252" s="196"/>
      <c r="K252" s="196"/>
      <c r="L252" s="192" t="str">
        <f>IFERROR(__xludf.DUMMYFUNCTION("IF(
  AND(D252=""Saída"", J252=""Sangria""),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197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94" t="str">
        <f>IFERROR(__xludf.DUMMYFUNCTION("ifna(VALUE(REGEXEXTRACT(E252,""[0-9.]+[,]+[0-9]+"")))"),"")</f>
        <v/>
      </c>
      <c r="O252" s="194"/>
      <c r="P252" s="194"/>
      <c r="Q252" s="194"/>
      <c r="R252" s="194"/>
      <c r="S252" s="194"/>
      <c r="T252" s="194"/>
      <c r="U252" s="194"/>
      <c r="V252" s="194"/>
      <c r="W252" s="194"/>
    </row>
    <row r="253" ht="14.25" customHeight="1">
      <c r="A253" s="186"/>
      <c r="B253" s="13"/>
      <c r="C253" s="14"/>
      <c r="D253" s="187"/>
      <c r="E253" s="188"/>
      <c r="F253" s="189"/>
      <c r="G253" s="187"/>
      <c r="H253" s="204"/>
      <c r="I253" s="204"/>
      <c r="J253" s="196"/>
      <c r="K253" s="196"/>
      <c r="L253" s="192" t="str">
        <f>IFERROR(__xludf.DUMMYFUNCTION("IF(
  AND(D253=""Saída"", J253=""Sangria""),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198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94" t="str">
        <f>IFERROR(__xludf.DUMMYFUNCTION("ifna(VALUE(REGEXEXTRACT(E253,""[0-9.]+[,]+[0-9]+"")))"),"")</f>
        <v/>
      </c>
      <c r="O253" s="194"/>
      <c r="P253" s="194"/>
      <c r="Q253" s="194"/>
      <c r="R253" s="194"/>
      <c r="S253" s="194"/>
      <c r="T253" s="194"/>
      <c r="U253" s="194"/>
      <c r="V253" s="194"/>
      <c r="W253" s="194"/>
    </row>
    <row r="254" ht="14.25" customHeight="1">
      <c r="A254" s="186"/>
      <c r="B254" s="13"/>
      <c r="C254" s="14"/>
      <c r="D254" s="187"/>
      <c r="E254" s="188"/>
      <c r="F254" s="189"/>
      <c r="G254" s="187"/>
      <c r="H254" s="204"/>
      <c r="I254" s="204"/>
      <c r="J254" s="196"/>
      <c r="K254" s="196"/>
      <c r="L254" s="192" t="str">
        <f>IFERROR(__xludf.DUMMYFUNCTION("IF(
  AND(D254=""Saída"", J254=""Sangria""),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197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94" t="str">
        <f>IFERROR(__xludf.DUMMYFUNCTION("ifna(VALUE(REGEXEXTRACT(E254,""[0-9.]+[,]+[0-9]+"")))"),"")</f>
        <v/>
      </c>
      <c r="O254" s="194"/>
      <c r="P254" s="194"/>
      <c r="Q254" s="194"/>
      <c r="R254" s="194"/>
      <c r="S254" s="194"/>
      <c r="T254" s="194"/>
      <c r="U254" s="194"/>
      <c r="V254" s="194"/>
      <c r="W254" s="194"/>
    </row>
    <row r="255" ht="14.25" customHeight="1">
      <c r="A255" s="186"/>
      <c r="B255" s="13"/>
      <c r="C255" s="14"/>
      <c r="D255" s="187"/>
      <c r="E255" s="188"/>
      <c r="F255" s="189"/>
      <c r="G255" s="187"/>
      <c r="H255" s="204"/>
      <c r="I255" s="204"/>
      <c r="J255" s="196"/>
      <c r="K255" s="196"/>
      <c r="L255" s="192" t="str">
        <f>IFERROR(__xludf.DUMMYFUNCTION("IF(
  AND(D255=""Saída"", J255=""Sangria""),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198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94" t="str">
        <f>IFERROR(__xludf.DUMMYFUNCTION("ifna(VALUE(REGEXEXTRACT(E255,""[0-9.]+[,]+[0-9]+"")))"),"")</f>
        <v/>
      </c>
      <c r="O255" s="194"/>
      <c r="P255" s="194"/>
      <c r="Q255" s="194"/>
      <c r="R255" s="194"/>
      <c r="S255" s="194"/>
      <c r="T255" s="194"/>
      <c r="U255" s="194"/>
      <c r="V255" s="194"/>
      <c r="W255" s="194"/>
    </row>
    <row r="256" ht="14.25" customHeight="1">
      <c r="A256" s="186"/>
      <c r="B256" s="13"/>
      <c r="C256" s="14"/>
      <c r="D256" s="187"/>
      <c r="E256" s="188"/>
      <c r="F256" s="189"/>
      <c r="G256" s="187"/>
      <c r="H256" s="204"/>
      <c r="I256" s="204"/>
      <c r="J256" s="196"/>
      <c r="K256" s="196"/>
      <c r="L256" s="192" t="str">
        <f>IFERROR(__xludf.DUMMYFUNCTION("IF(
  AND(D256=""Saída"", J256=""Sangria""),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197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94" t="str">
        <f>IFERROR(__xludf.DUMMYFUNCTION("ifna(VALUE(REGEXEXTRACT(E256,""[0-9.]+[,]+[0-9]+"")))"),"")</f>
        <v/>
      </c>
      <c r="O256" s="194"/>
      <c r="P256" s="194"/>
      <c r="Q256" s="194"/>
      <c r="R256" s="194"/>
      <c r="S256" s="194"/>
      <c r="T256" s="194"/>
      <c r="U256" s="194"/>
      <c r="V256" s="194"/>
      <c r="W256" s="194"/>
    </row>
    <row r="257" ht="14.25" customHeight="1">
      <c r="A257" s="186"/>
      <c r="B257" s="13"/>
      <c r="C257" s="14"/>
      <c r="D257" s="187"/>
      <c r="E257" s="188"/>
      <c r="F257" s="189"/>
      <c r="G257" s="187"/>
      <c r="H257" s="204"/>
      <c r="I257" s="204"/>
      <c r="J257" s="196"/>
      <c r="K257" s="196"/>
      <c r="L257" s="192" t="str">
        <f>IFERROR(__xludf.DUMMYFUNCTION("IF(
  AND(D257=""Saída"", J257=""Sangria""),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198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94" t="str">
        <f>IFERROR(__xludf.DUMMYFUNCTION("ifna(VALUE(REGEXEXTRACT(E257,""[0-9.]+[,]+[0-9]+"")))"),"")</f>
        <v/>
      </c>
      <c r="O257" s="194"/>
      <c r="P257" s="194"/>
      <c r="Q257" s="194"/>
      <c r="R257" s="194"/>
      <c r="S257" s="194"/>
      <c r="T257" s="194"/>
      <c r="U257" s="194"/>
      <c r="V257" s="194"/>
      <c r="W257" s="194"/>
    </row>
    <row r="258" ht="14.25" customHeight="1">
      <c r="A258" s="186"/>
      <c r="B258" s="13"/>
      <c r="C258" s="14"/>
      <c r="D258" s="187"/>
      <c r="E258" s="188"/>
      <c r="F258" s="189"/>
      <c r="G258" s="187"/>
      <c r="H258" s="204"/>
      <c r="I258" s="204"/>
      <c r="J258" s="196"/>
      <c r="K258" s="196"/>
      <c r="L258" s="192" t="str">
        <f>IFERROR(__xludf.DUMMYFUNCTION("IF(
  AND(D258=""Saída"", J258=""Sangria""),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197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94" t="str">
        <f>IFERROR(__xludf.DUMMYFUNCTION("ifna(VALUE(REGEXEXTRACT(E258,""[0-9.]+[,]+[0-9]+"")))"),"")</f>
        <v/>
      </c>
      <c r="O258" s="194"/>
      <c r="P258" s="194"/>
      <c r="Q258" s="194"/>
      <c r="R258" s="194"/>
      <c r="S258" s="194"/>
      <c r="T258" s="194"/>
      <c r="U258" s="194"/>
      <c r="V258" s="194"/>
      <c r="W258" s="194"/>
    </row>
    <row r="259" ht="14.25" customHeight="1">
      <c r="A259" s="186"/>
      <c r="B259" s="13"/>
      <c r="C259" s="14"/>
      <c r="D259" s="187"/>
      <c r="E259" s="188"/>
      <c r="F259" s="189"/>
      <c r="G259" s="187"/>
      <c r="H259" s="204"/>
      <c r="I259" s="204"/>
      <c r="J259" s="196"/>
      <c r="K259" s="196"/>
      <c r="L259" s="192" t="str">
        <f>IFERROR(__xludf.DUMMYFUNCTION("IF(
  AND(D259=""Saída"", J259=""Sangria""),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198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94" t="str">
        <f>IFERROR(__xludf.DUMMYFUNCTION("ifna(VALUE(REGEXEXTRACT(E259,""[0-9.]+[,]+[0-9]+"")))"),"")</f>
        <v/>
      </c>
      <c r="O259" s="194"/>
      <c r="P259" s="194"/>
      <c r="Q259" s="194"/>
      <c r="R259" s="194"/>
      <c r="S259" s="194"/>
      <c r="T259" s="194"/>
      <c r="U259" s="194"/>
      <c r="V259" s="194"/>
      <c r="W259" s="194"/>
    </row>
    <row r="260" ht="14.25" customHeight="1">
      <c r="A260" s="186"/>
      <c r="B260" s="13"/>
      <c r="C260" s="14"/>
      <c r="D260" s="187"/>
      <c r="E260" s="188"/>
      <c r="F260" s="200"/>
      <c r="G260" s="187"/>
      <c r="H260" s="204"/>
      <c r="I260" s="204"/>
      <c r="J260" s="196"/>
      <c r="K260" s="196"/>
      <c r="L260" s="192" t="str">
        <f>IFERROR(__xludf.DUMMYFUNCTION("IF(
  AND(D260=""Saída"", J260=""Sangria""),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197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94" t="str">
        <f>IFERROR(__xludf.DUMMYFUNCTION("ifna(VALUE(REGEXEXTRACT(E260,""[0-9.]+[,]+[0-9]+"")))"),"")</f>
        <v/>
      </c>
      <c r="O260" s="194"/>
      <c r="P260" s="194"/>
      <c r="Q260" s="194"/>
      <c r="R260" s="194"/>
      <c r="S260" s="194"/>
      <c r="T260" s="194"/>
      <c r="U260" s="194"/>
      <c r="V260" s="194"/>
      <c r="W260" s="194"/>
    </row>
    <row r="261" ht="14.25" customHeight="1">
      <c r="A261" s="186"/>
      <c r="B261" s="13"/>
      <c r="C261" s="14"/>
      <c r="D261" s="187"/>
      <c r="E261" s="188"/>
      <c r="F261" s="189"/>
      <c r="G261" s="13"/>
      <c r="H261" s="204"/>
      <c r="I261" s="204"/>
      <c r="J261" s="196"/>
      <c r="K261" s="196"/>
      <c r="L261" s="192" t="str">
        <f>IFERROR(__xludf.DUMMYFUNCTION("IF(
  AND(D261=""Saída"", J261=""Sangria""),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198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94" t="str">
        <f>IFERROR(__xludf.DUMMYFUNCTION("ifna(VALUE(REGEXEXTRACT(E261,""[0-9.]+[,]+[0-9]+"")))"),"")</f>
        <v/>
      </c>
      <c r="O261" s="194"/>
      <c r="P261" s="194"/>
      <c r="Q261" s="194"/>
      <c r="R261" s="194"/>
      <c r="S261" s="194"/>
      <c r="T261" s="194"/>
      <c r="U261" s="194"/>
      <c r="V261" s="194"/>
      <c r="W261" s="194"/>
    </row>
    <row r="262" ht="14.25" customHeight="1">
      <c r="A262" s="186"/>
      <c r="B262" s="13"/>
      <c r="C262" s="14"/>
      <c r="D262" s="187"/>
      <c r="E262" s="188"/>
      <c r="F262" s="189"/>
      <c r="G262" s="13"/>
      <c r="H262" s="204"/>
      <c r="I262" s="204"/>
      <c r="J262" s="196"/>
      <c r="K262" s="196"/>
      <c r="L262" s="192" t="str">
        <f>IFERROR(__xludf.DUMMYFUNCTION("IF(
  AND(D262=""Saída"", J262=""Sangria""),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197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94" t="str">
        <f>IFERROR(__xludf.DUMMYFUNCTION("ifna(VALUE(REGEXEXTRACT(E262,""[0-9.]+[,]+[0-9]+"")))"),"")</f>
        <v/>
      </c>
      <c r="O262" s="194"/>
      <c r="P262" s="194"/>
      <c r="Q262" s="194"/>
      <c r="R262" s="194"/>
      <c r="S262" s="194"/>
      <c r="T262" s="194"/>
      <c r="U262" s="194"/>
      <c r="V262" s="194"/>
      <c r="W262" s="194"/>
    </row>
    <row r="263" ht="14.25" customHeight="1">
      <c r="A263" s="186"/>
      <c r="B263" s="13"/>
      <c r="C263" s="14"/>
      <c r="D263" s="187"/>
      <c r="E263" s="188"/>
      <c r="F263" s="189"/>
      <c r="G263" s="187"/>
      <c r="H263" s="204"/>
      <c r="I263" s="204"/>
      <c r="J263" s="196"/>
      <c r="K263" s="196"/>
      <c r="L263" s="192" t="str">
        <f>IFERROR(__xludf.DUMMYFUNCTION("IF(
  AND(D263=""Saída"", J263=""Sangria""),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198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94" t="str">
        <f>IFERROR(__xludf.DUMMYFUNCTION("ifna(VALUE(REGEXEXTRACT(E263,""[0-9.]+[,]+[0-9]+"")))"),"")</f>
        <v/>
      </c>
      <c r="O263" s="194"/>
      <c r="P263" s="194"/>
      <c r="Q263" s="194"/>
      <c r="R263" s="194"/>
      <c r="S263" s="194"/>
      <c r="T263" s="194"/>
      <c r="U263" s="194"/>
      <c r="V263" s="194"/>
      <c r="W263" s="194"/>
    </row>
    <row r="264" ht="14.25" customHeight="1">
      <c r="A264" s="186"/>
      <c r="B264" s="13"/>
      <c r="C264" s="14"/>
      <c r="D264" s="187"/>
      <c r="E264" s="188"/>
      <c r="F264" s="189"/>
      <c r="G264" s="187"/>
      <c r="H264" s="204"/>
      <c r="I264" s="204"/>
      <c r="J264" s="196"/>
      <c r="K264" s="196"/>
      <c r="L264" s="192" t="str">
        <f>IFERROR(__xludf.DUMMYFUNCTION("IF(
  AND(D264=""Saída"", J264=""Sangria""),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197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94" t="str">
        <f>IFERROR(__xludf.DUMMYFUNCTION("ifna(VALUE(REGEXEXTRACT(E264,""[0-9.]+[,]+[0-9]+"")))"),"")</f>
        <v/>
      </c>
      <c r="O264" s="194"/>
      <c r="P264" s="194"/>
      <c r="Q264" s="194"/>
      <c r="R264" s="194"/>
      <c r="S264" s="194"/>
      <c r="T264" s="194"/>
      <c r="U264" s="194"/>
      <c r="V264" s="194"/>
      <c r="W264" s="194"/>
    </row>
    <row r="265" ht="14.25" customHeight="1">
      <c r="A265" s="186"/>
      <c r="B265" s="13"/>
      <c r="C265" s="14"/>
      <c r="D265" s="187"/>
      <c r="E265" s="188"/>
      <c r="F265" s="200"/>
      <c r="G265" s="187"/>
      <c r="H265" s="204"/>
      <c r="I265" s="204"/>
      <c r="J265" s="196"/>
      <c r="K265" s="196"/>
      <c r="L265" s="192" t="str">
        <f>IFERROR(__xludf.DUMMYFUNCTION("IF(
  AND(D265=""Saída"", J265=""Sangria""),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198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94" t="str">
        <f>IFERROR(__xludf.DUMMYFUNCTION("ifna(VALUE(REGEXEXTRACT(E265,""[0-9.]+[,]+[0-9]+"")))"),"")</f>
        <v/>
      </c>
      <c r="O265" s="194"/>
      <c r="P265" s="194"/>
      <c r="Q265" s="194"/>
      <c r="R265" s="194"/>
      <c r="S265" s="194"/>
      <c r="T265" s="194"/>
      <c r="U265" s="194"/>
      <c r="V265" s="194"/>
      <c r="W265" s="194"/>
    </row>
    <row r="266" ht="14.25" customHeight="1">
      <c r="A266" s="186"/>
      <c r="B266" s="268"/>
      <c r="C266" s="269"/>
      <c r="D266" s="270"/>
      <c r="E266" s="271"/>
      <c r="F266" s="272"/>
      <c r="G266" s="273"/>
      <c r="H266" s="204"/>
      <c r="I266" s="204"/>
      <c r="J266" s="196"/>
      <c r="K266" s="196"/>
      <c r="L266" s="192" t="str">
        <f>IFERROR(__xludf.DUMMYFUNCTION("IF(
  AND(D266=""Saída"", J266=""Sangria""),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197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94" t="str">
        <f>IFERROR(__xludf.DUMMYFUNCTION("ifna(VALUE(REGEXEXTRACT(E266,""[0-9.]+[,]+[0-9]+"")))"),"")</f>
        <v/>
      </c>
      <c r="O266" s="194"/>
      <c r="P266" s="194"/>
      <c r="Q266" s="194"/>
      <c r="R266" s="194"/>
      <c r="S266" s="194"/>
      <c r="T266" s="194"/>
      <c r="U266" s="194"/>
      <c r="V266" s="194"/>
      <c r="W266" s="194"/>
    </row>
    <row r="267" ht="14.25" customHeight="1">
      <c r="A267" s="186"/>
      <c r="B267" s="268"/>
      <c r="C267" s="269"/>
      <c r="D267" s="270"/>
      <c r="E267" s="271"/>
      <c r="F267" s="272"/>
      <c r="G267" s="274"/>
      <c r="H267" s="204"/>
      <c r="I267" s="204"/>
      <c r="J267" s="196"/>
      <c r="K267" s="196"/>
      <c r="L267" s="192" t="str">
        <f>IFERROR(__xludf.DUMMYFUNCTION("IF(
  AND(D267=""Saída"", J267=""Sangria""),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198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94" t="str">
        <f>IFERROR(__xludf.DUMMYFUNCTION("ifna(VALUE(REGEXEXTRACT(E267,""[0-9.]+[,]+[0-9]+"")))"),"")</f>
        <v/>
      </c>
      <c r="O267" s="194"/>
      <c r="P267" s="194"/>
      <c r="Q267" s="194"/>
      <c r="R267" s="194"/>
      <c r="S267" s="194"/>
      <c r="T267" s="194"/>
      <c r="U267" s="194"/>
      <c r="V267" s="194"/>
      <c r="W267" s="194"/>
    </row>
    <row r="268" ht="14.25" customHeight="1">
      <c r="A268" s="186"/>
      <c r="B268" s="268"/>
      <c r="C268" s="269"/>
      <c r="D268" s="270"/>
      <c r="E268" s="271"/>
      <c r="F268" s="272"/>
      <c r="G268" s="273"/>
      <c r="H268" s="204"/>
      <c r="I268" s="204"/>
      <c r="J268" s="212"/>
      <c r="K268" s="196"/>
      <c r="L268" s="192" t="str">
        <f>IFERROR(__xludf.DUMMYFUNCTION("IF(
  AND(D268=""Saída"", J268=""Sangria""),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197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94" t="str">
        <f>IFERROR(__xludf.DUMMYFUNCTION("ifna(VALUE(REGEXEXTRACT(E268,""[0-9.]+[,]+[0-9]+"")))"),"")</f>
        <v/>
      </c>
      <c r="O268" s="194"/>
      <c r="P268" s="194"/>
      <c r="Q268" s="194"/>
      <c r="R268" s="194"/>
      <c r="S268" s="194"/>
      <c r="T268" s="194"/>
      <c r="U268" s="194"/>
      <c r="V268" s="194"/>
      <c r="W268" s="194"/>
    </row>
    <row r="269" ht="14.25" customHeight="1">
      <c r="A269" s="186"/>
      <c r="B269" s="268"/>
      <c r="C269" s="269"/>
      <c r="D269" s="270"/>
      <c r="E269" s="271"/>
      <c r="F269" s="272"/>
      <c r="G269" s="273"/>
      <c r="H269" s="204"/>
      <c r="I269" s="204"/>
      <c r="J269" s="196"/>
      <c r="K269" s="196"/>
      <c r="L269" s="192" t="str">
        <f>IFERROR(__xludf.DUMMYFUNCTION("IF(
  AND(D269=""Saída"", J269=""Sangria""),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198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94" t="str">
        <f>IFERROR(__xludf.DUMMYFUNCTION("ifna(VALUE(REGEXEXTRACT(E269,""[0-9.]+[,]+[0-9]+"")))"),"")</f>
        <v/>
      </c>
      <c r="O269" s="194"/>
      <c r="P269" s="194"/>
      <c r="Q269" s="194"/>
      <c r="R269" s="194"/>
      <c r="S269" s="194"/>
      <c r="T269" s="194"/>
      <c r="U269" s="194"/>
      <c r="V269" s="194"/>
      <c r="W269" s="194"/>
    </row>
    <row r="270" ht="14.25" customHeight="1">
      <c r="A270" s="186"/>
      <c r="B270" s="268"/>
      <c r="C270" s="269"/>
      <c r="D270" s="270"/>
      <c r="E270" s="271"/>
      <c r="F270" s="272"/>
      <c r="G270" s="273"/>
      <c r="H270" s="204"/>
      <c r="I270" s="204"/>
      <c r="J270" s="196"/>
      <c r="K270" s="196"/>
      <c r="L270" s="192" t="str">
        <f>IFERROR(__xludf.DUMMYFUNCTION("IF(
  AND(D270=""Saída"", J270=""Sangria""),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197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94" t="str">
        <f>IFERROR(__xludf.DUMMYFUNCTION("ifna(VALUE(REGEXEXTRACT(E270,""[0-9.]+[,]+[0-9]+"")))"),"")</f>
        <v/>
      </c>
      <c r="O270" s="194"/>
      <c r="P270" s="194"/>
      <c r="Q270" s="194"/>
      <c r="R270" s="194"/>
      <c r="S270" s="194"/>
      <c r="T270" s="194"/>
      <c r="U270" s="194"/>
      <c r="V270" s="194"/>
      <c r="W270" s="194"/>
    </row>
    <row r="271" ht="14.25" customHeight="1">
      <c r="A271" s="186"/>
      <c r="B271" s="268"/>
      <c r="C271" s="269"/>
      <c r="D271" s="270"/>
      <c r="E271" s="275"/>
      <c r="F271" s="276"/>
      <c r="G271" s="273"/>
      <c r="H271" s="204"/>
      <c r="I271" s="204"/>
      <c r="J271" s="196"/>
      <c r="K271" s="196"/>
      <c r="L271" s="192" t="str">
        <f>IFERROR(__xludf.DUMMYFUNCTION("IF(
  AND(D271=""Saída"", J271=""Sangria""),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198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94" t="str">
        <f>IFERROR(__xludf.DUMMYFUNCTION("ifna(VALUE(REGEXEXTRACT(E271,""[0-9.]+[,]+[0-9]+"")))"),"")</f>
        <v/>
      </c>
      <c r="O271" s="194"/>
      <c r="P271" s="194"/>
      <c r="Q271" s="194"/>
      <c r="R271" s="194"/>
      <c r="S271" s="194"/>
      <c r="T271" s="194"/>
      <c r="U271" s="194"/>
      <c r="V271" s="194"/>
      <c r="W271" s="194"/>
    </row>
    <row r="272" ht="14.25" customHeight="1">
      <c r="A272" s="186"/>
      <c r="B272" s="268"/>
      <c r="C272" s="269"/>
      <c r="D272" s="270"/>
      <c r="E272" s="271"/>
      <c r="F272" s="276"/>
      <c r="G272" s="273"/>
      <c r="H272" s="204"/>
      <c r="I272" s="204"/>
      <c r="J272" s="196"/>
      <c r="K272" s="196"/>
      <c r="L272" s="192" t="str">
        <f>IFERROR(__xludf.DUMMYFUNCTION("IF(
  AND(D272=""Saída"", J272=""Sangria""),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197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94" t="str">
        <f>IFERROR(__xludf.DUMMYFUNCTION("ifna(VALUE(REGEXEXTRACT(E272,""[0-9.]+[,]+[0-9]+"")))"),"")</f>
        <v/>
      </c>
      <c r="O272" s="194"/>
      <c r="P272" s="194"/>
      <c r="Q272" s="194"/>
      <c r="R272" s="194"/>
      <c r="S272" s="194"/>
      <c r="T272" s="194"/>
      <c r="U272" s="194"/>
      <c r="V272" s="194"/>
      <c r="W272" s="194"/>
    </row>
    <row r="273" ht="14.25" customHeight="1">
      <c r="A273" s="186"/>
      <c r="B273" s="268"/>
      <c r="C273" s="269"/>
      <c r="D273" s="270"/>
      <c r="E273" s="271"/>
      <c r="F273" s="272"/>
      <c r="G273" s="273"/>
      <c r="H273" s="204"/>
      <c r="I273" s="204"/>
      <c r="J273" s="196"/>
      <c r="K273" s="196"/>
      <c r="L273" s="192" t="str">
        <f>IFERROR(__xludf.DUMMYFUNCTION("IF(
  AND(D273=""Saída"", J273=""Sangria""),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198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94" t="str">
        <f>IFERROR(__xludf.DUMMYFUNCTION("ifna(VALUE(REGEXEXTRACT(E273,""[0-9.]+[,]+[0-9]+"")))"),"")</f>
        <v/>
      </c>
      <c r="O273" s="194"/>
      <c r="P273" s="194"/>
      <c r="Q273" s="194"/>
      <c r="R273" s="194"/>
      <c r="S273" s="194"/>
      <c r="T273" s="194"/>
      <c r="U273" s="194"/>
      <c r="V273" s="194"/>
      <c r="W273" s="194"/>
    </row>
    <row r="274" ht="14.25" customHeight="1">
      <c r="A274" s="186"/>
      <c r="B274" s="268"/>
      <c r="C274" s="269"/>
      <c r="D274" s="270"/>
      <c r="E274" s="271"/>
      <c r="F274" s="272"/>
      <c r="G274" s="273"/>
      <c r="H274" s="204"/>
      <c r="I274" s="204"/>
      <c r="J274" s="196"/>
      <c r="K274" s="196"/>
      <c r="L274" s="192" t="str">
        <f>IFERROR(__xludf.DUMMYFUNCTION("IF(
  AND(D274=""Saída"", J274=""Sangria""),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197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94" t="str">
        <f>IFERROR(__xludf.DUMMYFUNCTION("ifna(VALUE(REGEXEXTRACT(E274,""[0-9.]+[,]+[0-9]+"")))"),"")</f>
        <v/>
      </c>
      <c r="O274" s="194"/>
      <c r="P274" s="194"/>
      <c r="Q274" s="194"/>
      <c r="R274" s="194"/>
      <c r="S274" s="194"/>
      <c r="T274" s="194"/>
      <c r="U274" s="194"/>
      <c r="V274" s="194"/>
      <c r="W274" s="194"/>
    </row>
    <row r="275" ht="14.25" customHeight="1">
      <c r="A275" s="186"/>
      <c r="B275" s="268"/>
      <c r="C275" s="269"/>
      <c r="D275" s="270"/>
      <c r="E275" s="271"/>
      <c r="F275" s="276"/>
      <c r="G275" s="273"/>
      <c r="H275" s="204"/>
      <c r="I275" s="204"/>
      <c r="J275" s="196"/>
      <c r="K275" s="196"/>
      <c r="L275" s="192" t="str">
        <f>IFERROR(__xludf.DUMMYFUNCTION("IF(
  AND(D275=""Saída"", J275=""Sangria""),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198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94" t="str">
        <f>IFERROR(__xludf.DUMMYFUNCTION("ifna(VALUE(REGEXEXTRACT(E275,""[0-9.]+[,]+[0-9]+"")))"),"")</f>
        <v/>
      </c>
      <c r="O275" s="194"/>
      <c r="P275" s="194"/>
      <c r="Q275" s="194"/>
      <c r="R275" s="194"/>
      <c r="S275" s="194"/>
      <c r="T275" s="194"/>
      <c r="U275" s="194"/>
      <c r="V275" s="194"/>
      <c r="W275" s="194"/>
    </row>
    <row r="276" ht="14.25" customHeight="1">
      <c r="A276" s="186"/>
      <c r="B276" s="268"/>
      <c r="C276" s="269"/>
      <c r="D276" s="270"/>
      <c r="E276" s="271"/>
      <c r="F276" s="272"/>
      <c r="G276" s="273"/>
      <c r="H276" s="204"/>
      <c r="I276" s="204"/>
      <c r="J276" s="196"/>
      <c r="K276" s="196"/>
      <c r="L276" s="192" t="str">
        <f>IFERROR(__xludf.DUMMYFUNCTION("IF(
  AND(D276=""Saída"", J276=""Sangria""),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197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94" t="str">
        <f>IFERROR(__xludf.DUMMYFUNCTION("ifna(VALUE(REGEXEXTRACT(E276,""[0-9.]+[,]+[0-9]+"")))"),"")</f>
        <v/>
      </c>
      <c r="O276" s="194"/>
      <c r="P276" s="194"/>
      <c r="Q276" s="194"/>
      <c r="R276" s="194"/>
      <c r="S276" s="194"/>
      <c r="T276" s="194"/>
      <c r="U276" s="194"/>
      <c r="V276" s="194"/>
      <c r="W276" s="194"/>
    </row>
    <row r="277" ht="14.25" customHeight="1">
      <c r="A277" s="186"/>
      <c r="B277" s="268"/>
      <c r="C277" s="269"/>
      <c r="D277" s="270"/>
      <c r="E277" s="271"/>
      <c r="F277" s="272"/>
      <c r="G277" s="273"/>
      <c r="H277" s="204"/>
      <c r="I277" s="204"/>
      <c r="J277" s="196"/>
      <c r="K277" s="196"/>
      <c r="L277" s="192" t="str">
        <f>IFERROR(__xludf.DUMMYFUNCTION("IF(
  AND(D277=""Saída"", J277=""Sangria""),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198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94" t="str">
        <f>IFERROR(__xludf.DUMMYFUNCTION("ifna(VALUE(REGEXEXTRACT(E277,""[0-9.]+[,]+[0-9]+"")))"),"")</f>
        <v/>
      </c>
      <c r="O277" s="194"/>
      <c r="P277" s="194"/>
      <c r="Q277" s="194"/>
      <c r="R277" s="194"/>
      <c r="S277" s="194"/>
      <c r="T277" s="194"/>
      <c r="U277" s="194"/>
      <c r="V277" s="194"/>
      <c r="W277" s="194"/>
    </row>
    <row r="278" ht="14.25" customHeight="1">
      <c r="A278" s="186"/>
      <c r="B278" s="268"/>
      <c r="C278" s="269"/>
      <c r="D278" s="270"/>
      <c r="E278" s="271"/>
      <c r="F278" s="272"/>
      <c r="G278" s="273"/>
      <c r="H278" s="204"/>
      <c r="I278" s="204"/>
      <c r="J278" s="196"/>
      <c r="K278" s="196"/>
      <c r="L278" s="192" t="str">
        <f>IFERROR(__xludf.DUMMYFUNCTION("IF(
  AND(D278=""Saída"", J278=""Sangria""),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197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94" t="str">
        <f>IFERROR(__xludf.DUMMYFUNCTION("ifna(VALUE(REGEXEXTRACT(E278,""[0-9.]+[,]+[0-9]+"")))"),"")</f>
        <v/>
      </c>
      <c r="O278" s="194"/>
      <c r="P278" s="194"/>
      <c r="Q278" s="194"/>
      <c r="R278" s="194"/>
      <c r="S278" s="194"/>
      <c r="T278" s="194"/>
      <c r="U278" s="194"/>
      <c r="V278" s="194"/>
      <c r="W278" s="194"/>
    </row>
    <row r="279" ht="14.25" customHeight="1">
      <c r="A279" s="186"/>
      <c r="B279" s="268"/>
      <c r="C279" s="269"/>
      <c r="D279" s="270"/>
      <c r="E279" s="271"/>
      <c r="F279" s="272"/>
      <c r="G279" s="273"/>
      <c r="H279" s="204"/>
      <c r="I279" s="204"/>
      <c r="J279" s="196"/>
      <c r="K279" s="196"/>
      <c r="L279" s="192" t="str">
        <f>IFERROR(__xludf.DUMMYFUNCTION("IF(
  AND(D279=""Saída"", J279=""Sangria""),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198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94" t="str">
        <f>IFERROR(__xludf.DUMMYFUNCTION("ifna(VALUE(REGEXEXTRACT(E279,""[0-9.]+[,]+[0-9]+"")))"),"")</f>
        <v/>
      </c>
      <c r="O279" s="194"/>
      <c r="P279" s="194"/>
      <c r="Q279" s="194"/>
      <c r="R279" s="194"/>
      <c r="S279" s="194"/>
      <c r="T279" s="194"/>
      <c r="U279" s="194"/>
      <c r="V279" s="194"/>
      <c r="W279" s="194"/>
    </row>
    <row r="280" ht="14.25" customHeight="1">
      <c r="A280" s="186"/>
      <c r="B280" s="268"/>
      <c r="C280" s="269"/>
      <c r="D280" s="270"/>
      <c r="E280" s="271"/>
      <c r="F280" s="272"/>
      <c r="G280" s="273"/>
      <c r="H280" s="204"/>
      <c r="I280" s="204"/>
      <c r="J280" s="196"/>
      <c r="K280" s="202"/>
      <c r="L280" s="192" t="str">
        <f>IFERROR(__xludf.DUMMYFUNCTION("IF(
  AND(D280=""Saída"", J280=""Sangria""),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197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94" t="str">
        <f>IFERROR(__xludf.DUMMYFUNCTION("ifna(VALUE(REGEXEXTRACT(E280,""[0-9.]+[,]+[0-9]+"")))"),"")</f>
        <v/>
      </c>
      <c r="O280" s="194"/>
      <c r="P280" s="194"/>
      <c r="Q280" s="194"/>
      <c r="R280" s="194"/>
      <c r="S280" s="194"/>
      <c r="T280" s="194"/>
      <c r="U280" s="194"/>
      <c r="V280" s="194"/>
      <c r="W280" s="194"/>
    </row>
    <row r="281" ht="14.25" customHeight="1">
      <c r="A281" s="186"/>
      <c r="B281" s="268"/>
      <c r="C281" s="269"/>
      <c r="D281" s="270"/>
      <c r="E281" s="271"/>
      <c r="F281" s="272"/>
      <c r="G281" s="273"/>
      <c r="H281" s="204"/>
      <c r="I281" s="204"/>
      <c r="J281" s="196"/>
      <c r="K281" s="196"/>
      <c r="L281" s="192" t="str">
        <f>IFERROR(__xludf.DUMMYFUNCTION("IF(
  AND(D281=""Saída"", J281=""Sangria""),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198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94" t="str">
        <f>IFERROR(__xludf.DUMMYFUNCTION("ifna(VALUE(REGEXEXTRACT(E281,""[0-9.]+[,]+[0-9]+"")))"),"")</f>
        <v/>
      </c>
      <c r="O281" s="194"/>
      <c r="P281" s="194"/>
      <c r="Q281" s="194"/>
      <c r="R281" s="194"/>
      <c r="S281" s="194"/>
      <c r="T281" s="194"/>
      <c r="U281" s="194"/>
      <c r="V281" s="194"/>
      <c r="W281" s="194"/>
    </row>
    <row r="282" ht="14.25" customHeight="1">
      <c r="A282" s="186"/>
      <c r="B282" s="268"/>
      <c r="C282" s="269"/>
      <c r="D282" s="270"/>
      <c r="E282" s="275"/>
      <c r="F282" s="272"/>
      <c r="G282" s="273"/>
      <c r="H282" s="204"/>
      <c r="I282" s="204"/>
      <c r="J282" s="196"/>
      <c r="K282" s="196"/>
      <c r="L282" s="192" t="str">
        <f>IFERROR(__xludf.DUMMYFUNCTION("IF(
  AND(D282=""Saída"", J282=""Sangria""),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197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94" t="str">
        <f>IFERROR(__xludf.DUMMYFUNCTION("ifna(VALUE(REGEXEXTRACT(E282,""[0-9.]+[,]+[0-9]+"")))"),"")</f>
        <v/>
      </c>
      <c r="O282" s="194"/>
      <c r="P282" s="194"/>
      <c r="Q282" s="194"/>
      <c r="R282" s="194"/>
      <c r="S282" s="194"/>
      <c r="T282" s="194"/>
      <c r="U282" s="194"/>
      <c r="V282" s="194"/>
      <c r="W282" s="194"/>
    </row>
    <row r="283" ht="14.25" customHeight="1">
      <c r="A283" s="186"/>
      <c r="B283" s="268"/>
      <c r="C283" s="269"/>
      <c r="D283" s="270"/>
      <c r="E283" s="271"/>
      <c r="F283" s="272"/>
      <c r="G283" s="273"/>
      <c r="H283" s="204"/>
      <c r="I283" s="204"/>
      <c r="J283" s="196"/>
      <c r="K283" s="196"/>
      <c r="L283" s="192" t="str">
        <f>IFERROR(__xludf.DUMMYFUNCTION("IF(
  AND(D283=""Saída"", J283=""Sangria""),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198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94" t="str">
        <f>IFERROR(__xludf.DUMMYFUNCTION("ifna(VALUE(REGEXEXTRACT(E283,""[0-9.]+[,]+[0-9]+"")))"),"")</f>
        <v/>
      </c>
      <c r="O283" s="194"/>
      <c r="P283" s="194"/>
      <c r="Q283" s="194"/>
      <c r="R283" s="194"/>
      <c r="S283" s="194"/>
      <c r="T283" s="194"/>
      <c r="U283" s="194"/>
      <c r="V283" s="194"/>
      <c r="W283" s="194"/>
    </row>
    <row r="284" ht="14.25" customHeight="1">
      <c r="A284" s="186"/>
      <c r="B284" s="268"/>
      <c r="C284" s="269"/>
      <c r="D284" s="270"/>
      <c r="E284" s="271"/>
      <c r="F284" s="272"/>
      <c r="G284" s="273"/>
      <c r="H284" s="204"/>
      <c r="I284" s="204"/>
      <c r="J284" s="196"/>
      <c r="K284" s="202"/>
      <c r="L284" s="192" t="str">
        <f>IFERROR(__xludf.DUMMYFUNCTION("IF(
  AND(D284=""Saída"", J284=""Sangria""),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197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94" t="str">
        <f>IFERROR(__xludf.DUMMYFUNCTION("ifna(VALUE(REGEXEXTRACT(E284,""[0-9.]+[,]+[0-9]+"")))"),"")</f>
        <v/>
      </c>
      <c r="O284" s="194"/>
      <c r="P284" s="194"/>
      <c r="Q284" s="194"/>
      <c r="R284" s="194"/>
      <c r="S284" s="194"/>
      <c r="T284" s="194"/>
      <c r="U284" s="194"/>
      <c r="V284" s="194"/>
      <c r="W284" s="194"/>
    </row>
    <row r="285" ht="14.25" customHeight="1">
      <c r="A285" s="186"/>
      <c r="B285" s="268"/>
      <c r="C285" s="269"/>
      <c r="D285" s="270"/>
      <c r="E285" s="271"/>
      <c r="F285" s="276"/>
      <c r="G285" s="273"/>
      <c r="H285" s="204"/>
      <c r="I285" s="204"/>
      <c r="J285" s="196"/>
      <c r="K285" s="196"/>
      <c r="L285" s="192" t="str">
        <f>IFERROR(__xludf.DUMMYFUNCTION("IF(
  AND(D285=""Saída"", J285=""Sangria""),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198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94" t="str">
        <f>IFERROR(__xludf.DUMMYFUNCTION("ifna(VALUE(REGEXEXTRACT(E285,""[0-9.]+[,]+[0-9]+"")))"),"")</f>
        <v/>
      </c>
      <c r="O285" s="194"/>
      <c r="P285" s="194"/>
      <c r="Q285" s="194"/>
      <c r="R285" s="194"/>
      <c r="S285" s="194"/>
      <c r="T285" s="194"/>
      <c r="U285" s="194"/>
      <c r="V285" s="194"/>
      <c r="W285" s="194"/>
    </row>
    <row r="286" ht="14.25" customHeight="1">
      <c r="A286" s="186"/>
      <c r="B286" s="268"/>
      <c r="C286" s="269"/>
      <c r="D286" s="270"/>
      <c r="E286" s="271"/>
      <c r="F286" s="276"/>
      <c r="G286" s="273"/>
      <c r="H286" s="204"/>
      <c r="I286" s="204"/>
      <c r="J286" s="196"/>
      <c r="K286" s="196"/>
      <c r="L286" s="192" t="str">
        <f>IFERROR(__xludf.DUMMYFUNCTION("IF(
  AND(D286=""Saída"", J286=""Sangria""),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197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94" t="str">
        <f>IFERROR(__xludf.DUMMYFUNCTION("ifna(VALUE(REGEXEXTRACT(E286,""[0-9.]+[,]+[0-9]+"")))"),"")</f>
        <v/>
      </c>
      <c r="O286" s="194"/>
      <c r="P286" s="194"/>
      <c r="Q286" s="194"/>
      <c r="R286" s="194"/>
      <c r="S286" s="194"/>
      <c r="T286" s="194"/>
      <c r="U286" s="194"/>
      <c r="V286" s="194"/>
      <c r="W286" s="194"/>
    </row>
    <row r="287" ht="14.25" customHeight="1">
      <c r="A287" s="186"/>
      <c r="B287" s="268"/>
      <c r="C287" s="269"/>
      <c r="D287" s="270"/>
      <c r="E287" s="271"/>
      <c r="F287" s="272"/>
      <c r="G287" s="273"/>
      <c r="H287" s="204"/>
      <c r="I287" s="204"/>
      <c r="J287" s="212"/>
      <c r="K287" s="202"/>
      <c r="L287" s="192" t="str">
        <f>IFERROR(__xludf.DUMMYFUNCTION("IF(
  AND(D287=""Saída"", J287=""Sangria""),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198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94" t="str">
        <f>IFERROR(__xludf.DUMMYFUNCTION("ifna(VALUE(REGEXEXTRACT(E287,""[0-9.]+[,]+[0-9]+"")))"),"")</f>
        <v/>
      </c>
      <c r="O287" s="194"/>
      <c r="P287" s="194"/>
      <c r="Q287" s="194"/>
      <c r="R287" s="194"/>
      <c r="S287" s="194"/>
      <c r="T287" s="194"/>
      <c r="U287" s="194"/>
      <c r="V287" s="194"/>
      <c r="W287" s="194"/>
    </row>
    <row r="288" ht="14.25" customHeight="1">
      <c r="A288" s="186"/>
      <c r="B288" s="268"/>
      <c r="C288" s="269"/>
      <c r="D288" s="270"/>
      <c r="E288" s="271"/>
      <c r="F288" s="272"/>
      <c r="G288" s="273"/>
      <c r="H288" s="204"/>
      <c r="I288" s="204"/>
      <c r="J288" s="196"/>
      <c r="K288" s="202"/>
      <c r="L288" s="192" t="str">
        <f>IFERROR(__xludf.DUMMYFUNCTION("IF(
  AND(D288=""Saída"", J288=""Sangria""),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197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94" t="str">
        <f>IFERROR(__xludf.DUMMYFUNCTION("ifna(VALUE(REGEXEXTRACT(E288,""[0-9.]+[,]+[0-9]+"")))"),"")</f>
        <v/>
      </c>
      <c r="O288" s="194"/>
      <c r="P288" s="194"/>
      <c r="Q288" s="194"/>
      <c r="R288" s="194"/>
      <c r="S288" s="194"/>
      <c r="T288" s="194"/>
      <c r="U288" s="194"/>
      <c r="V288" s="194"/>
      <c r="W288" s="194"/>
    </row>
    <row r="289" ht="14.25" customHeight="1">
      <c r="A289" s="186"/>
      <c r="B289" s="268"/>
      <c r="C289" s="269"/>
      <c r="D289" s="270"/>
      <c r="E289" s="271"/>
      <c r="F289" s="272"/>
      <c r="G289" s="273"/>
      <c r="H289" s="204"/>
      <c r="I289" s="204"/>
      <c r="J289" s="196"/>
      <c r="K289" s="196"/>
      <c r="L289" s="192" t="str">
        <f>IFERROR(__xludf.DUMMYFUNCTION("IF(
  AND(D289=""Saída"", J289=""Sangria""),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198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94" t="str">
        <f>IFERROR(__xludf.DUMMYFUNCTION("ifna(VALUE(REGEXEXTRACT(E289,""[0-9.]+[,]+[0-9]+"")))"),"")</f>
        <v/>
      </c>
      <c r="O289" s="194"/>
      <c r="P289" s="194"/>
      <c r="Q289" s="194"/>
      <c r="R289" s="194"/>
      <c r="S289" s="194"/>
      <c r="T289" s="194"/>
      <c r="U289" s="194"/>
      <c r="V289" s="194"/>
      <c r="W289" s="194"/>
    </row>
    <row r="290" ht="14.25" customHeight="1">
      <c r="A290" s="186"/>
      <c r="B290" s="268"/>
      <c r="C290" s="269"/>
      <c r="D290" s="270"/>
      <c r="E290" s="271"/>
      <c r="F290" s="272"/>
      <c r="G290" s="273"/>
      <c r="H290" s="204"/>
      <c r="I290" s="204"/>
      <c r="J290" s="196"/>
      <c r="K290" s="196"/>
      <c r="L290" s="192" t="str">
        <f>IFERROR(__xludf.DUMMYFUNCTION("IF(
  AND(D290=""Saída"", J290=""Sangria""),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197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94" t="str">
        <f>IFERROR(__xludf.DUMMYFUNCTION("ifna(VALUE(REGEXEXTRACT(E290,""[0-9.]+[,]+[0-9]+"")))"),"")</f>
        <v/>
      </c>
      <c r="O290" s="194"/>
      <c r="P290" s="194"/>
      <c r="Q290" s="194"/>
      <c r="R290" s="194"/>
      <c r="S290" s="194"/>
      <c r="T290" s="194"/>
      <c r="U290" s="194"/>
      <c r="V290" s="194"/>
      <c r="W290" s="194"/>
    </row>
    <row r="291" ht="14.25" customHeight="1">
      <c r="A291" s="186"/>
      <c r="B291" s="268"/>
      <c r="C291" s="269"/>
      <c r="D291" s="270"/>
      <c r="E291" s="271"/>
      <c r="F291" s="272"/>
      <c r="G291" s="273"/>
      <c r="H291" s="204"/>
      <c r="I291" s="204"/>
      <c r="J291" s="196"/>
      <c r="K291" s="196"/>
      <c r="L291" s="192" t="str">
        <f>IFERROR(__xludf.DUMMYFUNCTION("IF(
  AND(D291=""Saída"", J291=""Sangria""),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198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94" t="str">
        <f>IFERROR(__xludf.DUMMYFUNCTION("ifna(VALUE(REGEXEXTRACT(E291,""[0-9.]+[,]+[0-9]+"")))"),"")</f>
        <v/>
      </c>
      <c r="O291" s="194"/>
      <c r="P291" s="194"/>
      <c r="Q291" s="194"/>
      <c r="R291" s="194"/>
      <c r="S291" s="194"/>
      <c r="T291" s="194"/>
      <c r="U291" s="194"/>
      <c r="V291" s="194"/>
      <c r="W291" s="194"/>
    </row>
    <row r="292" ht="14.25" customHeight="1">
      <c r="A292" s="31"/>
      <c r="B292" s="268"/>
      <c r="C292" s="269"/>
      <c r="D292" s="270"/>
      <c r="E292" s="271"/>
      <c r="F292" s="272"/>
      <c r="G292" s="273"/>
      <c r="H292" s="204"/>
      <c r="I292" s="204"/>
      <c r="J292" s="196"/>
      <c r="K292" s="196"/>
      <c r="L292" s="192" t="str">
        <f>IFERROR(__xludf.DUMMYFUNCTION("IF(
  AND(D292=""Saída"", J292=""Sangria""),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197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94" t="str">
        <f>IFERROR(__xludf.DUMMYFUNCTION("ifna(VALUE(REGEXEXTRACT(E292,""[0-9.]+[,]+[0-9]+"")))"),"")</f>
        <v/>
      </c>
      <c r="O292" s="194"/>
      <c r="P292" s="194"/>
      <c r="Q292" s="194"/>
      <c r="R292" s="194"/>
      <c r="S292" s="194"/>
      <c r="T292" s="194"/>
      <c r="U292" s="194"/>
      <c r="V292" s="194"/>
      <c r="W292" s="194"/>
    </row>
    <row r="293" ht="14.25" customHeight="1">
      <c r="A293" s="31"/>
      <c r="B293" s="268"/>
      <c r="C293" s="269"/>
      <c r="D293" s="270"/>
      <c r="E293" s="271"/>
      <c r="F293" s="272"/>
      <c r="G293" s="273"/>
      <c r="H293" s="204"/>
      <c r="I293" s="204"/>
      <c r="J293" s="196"/>
      <c r="K293" s="202"/>
      <c r="L293" s="192" t="str">
        <f>IFERROR(__xludf.DUMMYFUNCTION("IF(
  AND(D293=""Saída"", J293=""Sangria""),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198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94" t="str">
        <f>IFERROR(__xludf.DUMMYFUNCTION("ifna(VALUE(REGEXEXTRACT(E293,""[0-9.]+[,]+[0-9]+"")))"),"")</f>
        <v/>
      </c>
      <c r="O293" s="194"/>
      <c r="P293" s="194"/>
      <c r="Q293" s="194"/>
      <c r="R293" s="194"/>
      <c r="S293" s="194"/>
      <c r="T293" s="194"/>
      <c r="U293" s="194"/>
      <c r="V293" s="194"/>
      <c r="W293" s="194"/>
    </row>
    <row r="294" ht="14.25" customHeight="1">
      <c r="A294" s="31"/>
      <c r="B294" s="268"/>
      <c r="C294" s="269"/>
      <c r="D294" s="270"/>
      <c r="E294" s="275"/>
      <c r="F294" s="272"/>
      <c r="G294" s="273"/>
      <c r="H294" s="204"/>
      <c r="I294" s="204"/>
      <c r="J294" s="196"/>
      <c r="K294" s="196"/>
      <c r="L294" s="192" t="str">
        <f>IFERROR(__xludf.DUMMYFUNCTION("IF(
  AND(D294=""Saída"", J294=""Sangria""),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197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94" t="str">
        <f>IFERROR(__xludf.DUMMYFUNCTION("ifna(VALUE(REGEXEXTRACT(E294,""[0-9.]+[,]+[0-9]+"")))"),"")</f>
        <v/>
      </c>
      <c r="O294" s="194"/>
      <c r="P294" s="194"/>
      <c r="Q294" s="194"/>
      <c r="R294" s="194"/>
      <c r="S294" s="194"/>
      <c r="T294" s="194"/>
      <c r="U294" s="194"/>
      <c r="V294" s="194"/>
      <c r="W294" s="194"/>
    </row>
    <row r="295" ht="14.25" customHeight="1">
      <c r="A295" s="31"/>
      <c r="B295" s="268"/>
      <c r="C295" s="269"/>
      <c r="D295" s="270"/>
      <c r="E295" s="271"/>
      <c r="F295" s="272"/>
      <c r="G295" s="273"/>
      <c r="H295" s="204"/>
      <c r="I295" s="204"/>
      <c r="J295" s="196"/>
      <c r="K295" s="196"/>
      <c r="L295" s="192" t="str">
        <f>IFERROR(__xludf.DUMMYFUNCTION("IF(
  AND(D295=""Saída"", J295=""Sangria""),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198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94" t="str">
        <f>IFERROR(__xludf.DUMMYFUNCTION("ifna(VALUE(REGEXEXTRACT(E295,""[0-9.]+[,]+[0-9]+"")))"),"")</f>
        <v/>
      </c>
      <c r="O295" s="194"/>
      <c r="P295" s="194"/>
      <c r="Q295" s="194"/>
      <c r="R295" s="194"/>
      <c r="S295" s="194"/>
      <c r="T295" s="194"/>
      <c r="U295" s="194"/>
      <c r="V295" s="194"/>
      <c r="W295" s="194"/>
    </row>
    <row r="296" ht="14.25" customHeight="1">
      <c r="A296" s="31"/>
      <c r="B296" s="268"/>
      <c r="C296" s="269"/>
      <c r="D296" s="270"/>
      <c r="E296" s="271"/>
      <c r="F296" s="276"/>
      <c r="G296" s="273"/>
      <c r="H296" s="204"/>
      <c r="I296" s="204"/>
      <c r="J296" s="196"/>
      <c r="K296" s="196"/>
      <c r="L296" s="192" t="str">
        <f>IFERROR(__xludf.DUMMYFUNCTION("IF(
  AND(D296=""Saída"", J296=""Sangria""),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197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94" t="str">
        <f>IFERROR(__xludf.DUMMYFUNCTION("ifna(VALUE(REGEXEXTRACT(E296,""[0-9.]+[,]+[0-9]+"")))"),"")</f>
        <v/>
      </c>
      <c r="O296" s="194"/>
      <c r="P296" s="194"/>
      <c r="Q296" s="194"/>
      <c r="R296" s="194"/>
      <c r="S296" s="194"/>
      <c r="T296" s="194"/>
      <c r="U296" s="194"/>
      <c r="V296" s="194"/>
      <c r="W296" s="194"/>
    </row>
    <row r="297" ht="14.25" customHeight="1">
      <c r="A297" s="31"/>
      <c r="B297" s="268"/>
      <c r="C297" s="269"/>
      <c r="D297" s="270"/>
      <c r="E297" s="271"/>
      <c r="F297" s="272"/>
      <c r="G297" s="273"/>
      <c r="H297" s="204"/>
      <c r="I297" s="204"/>
      <c r="J297" s="196"/>
      <c r="K297" s="196"/>
      <c r="L297" s="192" t="str">
        <f>IFERROR(__xludf.DUMMYFUNCTION("IF(
  AND(D297=""Saída"", J297=""Sangria""),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198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94" t="str">
        <f>IFERROR(__xludf.DUMMYFUNCTION("ifna(VALUE(REGEXEXTRACT(E297,""[0-9.]+[,]+[0-9]+"")))"),"")</f>
        <v/>
      </c>
      <c r="O297" s="194"/>
      <c r="P297" s="194"/>
      <c r="Q297" s="194"/>
      <c r="R297" s="194"/>
      <c r="S297" s="194"/>
      <c r="T297" s="194"/>
      <c r="U297" s="194"/>
      <c r="V297" s="194"/>
      <c r="W297" s="194"/>
    </row>
    <row r="298" ht="14.25" customHeight="1">
      <c r="A298" s="31"/>
      <c r="B298" s="268"/>
      <c r="C298" s="269"/>
      <c r="D298" s="270"/>
      <c r="E298" s="271"/>
      <c r="F298" s="272"/>
      <c r="G298" s="273"/>
      <c r="H298" s="204"/>
      <c r="I298" s="204"/>
      <c r="J298" s="196"/>
      <c r="K298" s="196"/>
      <c r="L298" s="192" t="str">
        <f>IFERROR(__xludf.DUMMYFUNCTION("IF(
  AND(D298=""Saída"", J298=""Sangria""),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197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94" t="str">
        <f>IFERROR(__xludf.DUMMYFUNCTION("ifna(VALUE(REGEXEXTRACT(E298,""[0-9.]+[,]+[0-9]+"")))"),"")</f>
        <v/>
      </c>
      <c r="O298" s="194"/>
      <c r="P298" s="194"/>
      <c r="Q298" s="194"/>
      <c r="R298" s="194"/>
      <c r="S298" s="194"/>
      <c r="T298" s="194"/>
      <c r="U298" s="194"/>
      <c r="V298" s="194"/>
      <c r="W298" s="194"/>
    </row>
    <row r="299" ht="14.25" customHeight="1">
      <c r="A299" s="31"/>
      <c r="B299" s="268"/>
      <c r="C299" s="269"/>
      <c r="D299" s="270"/>
      <c r="E299" s="271"/>
      <c r="F299" s="272"/>
      <c r="G299" s="273"/>
      <c r="H299" s="204"/>
      <c r="I299" s="204"/>
      <c r="J299" s="196"/>
      <c r="K299" s="196"/>
      <c r="L299" s="192" t="str">
        <f>IFERROR(__xludf.DUMMYFUNCTION("IF(
  AND(D299=""Saída"", J299=""Sangria""),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198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94" t="str">
        <f>IFERROR(__xludf.DUMMYFUNCTION("ifna(VALUE(REGEXEXTRACT(E299,""[0-9.]+[,]+[0-9]+"")))"),"")</f>
        <v/>
      </c>
      <c r="O299" s="194"/>
      <c r="P299" s="194"/>
      <c r="Q299" s="194"/>
      <c r="R299" s="194"/>
      <c r="S299" s="194"/>
      <c r="T299" s="194"/>
      <c r="U299" s="194"/>
      <c r="V299" s="194"/>
      <c r="W299" s="194"/>
    </row>
    <row r="300" ht="14.25" customHeight="1">
      <c r="A300" s="31"/>
      <c r="B300" s="268"/>
      <c r="C300" s="269"/>
      <c r="D300" s="270"/>
      <c r="E300" s="271"/>
      <c r="F300" s="272"/>
      <c r="G300" s="273"/>
      <c r="H300" s="204"/>
      <c r="I300" s="204"/>
      <c r="J300" s="196"/>
      <c r="K300" s="196"/>
      <c r="L300" s="192" t="str">
        <f>IFERROR(__xludf.DUMMYFUNCTION("IF(
  AND(D300=""Saída"", J300=""Sangria""),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197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94" t="str">
        <f>IFERROR(__xludf.DUMMYFUNCTION("ifna(VALUE(REGEXEXTRACT(E300,""[0-9.]+[,]+[0-9]+"")))"),"")</f>
        <v/>
      </c>
      <c r="O300" s="194"/>
      <c r="P300" s="194"/>
      <c r="Q300" s="194"/>
      <c r="R300" s="194"/>
      <c r="S300" s="194"/>
      <c r="T300" s="194"/>
      <c r="U300" s="194"/>
      <c r="V300" s="194"/>
      <c r="W300" s="194"/>
    </row>
    <row r="301" ht="14.25" customHeight="1">
      <c r="A301" s="31"/>
      <c r="B301" s="268"/>
      <c r="C301" s="269"/>
      <c r="D301" s="270"/>
      <c r="E301" s="271"/>
      <c r="F301" s="276"/>
      <c r="G301" s="273"/>
      <c r="H301" s="204"/>
      <c r="I301" s="204"/>
      <c r="J301" s="196"/>
      <c r="K301" s="196"/>
      <c r="L301" s="192" t="str">
        <f>IFERROR(__xludf.DUMMYFUNCTION("IF(
  AND(D301=""Saída"", J301=""Sangria""),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198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94" t="str">
        <f>IFERROR(__xludf.DUMMYFUNCTION("ifna(VALUE(REGEXEXTRACT(E301,""[0-9.]+[,]+[0-9]+"")))"),"")</f>
        <v/>
      </c>
      <c r="O301" s="194"/>
      <c r="P301" s="194"/>
      <c r="Q301" s="194"/>
      <c r="R301" s="194"/>
      <c r="S301" s="194"/>
      <c r="T301" s="194"/>
      <c r="U301" s="194"/>
      <c r="V301" s="194"/>
      <c r="W301" s="194"/>
    </row>
    <row r="302" ht="14.25" customHeight="1">
      <c r="A302" s="31"/>
      <c r="B302" s="268"/>
      <c r="C302" s="269"/>
      <c r="D302" s="270"/>
      <c r="E302" s="271"/>
      <c r="F302" s="272"/>
      <c r="G302" s="273"/>
      <c r="H302" s="204"/>
      <c r="I302" s="204"/>
      <c r="J302" s="196"/>
      <c r="K302" s="202"/>
      <c r="L302" s="192" t="str">
        <f>IFERROR(__xludf.DUMMYFUNCTION("IF(
  AND(D302=""Saída"", J302=""Sangria""),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197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94" t="str">
        <f>IFERROR(__xludf.DUMMYFUNCTION("ifna(VALUE(REGEXEXTRACT(E302,""[0-9.]+[,]+[0-9]+"")))"),"")</f>
        <v/>
      </c>
      <c r="O302" s="194"/>
      <c r="P302" s="194"/>
      <c r="Q302" s="194"/>
      <c r="R302" s="194"/>
      <c r="S302" s="194"/>
      <c r="T302" s="194"/>
      <c r="U302" s="194"/>
      <c r="V302" s="194"/>
      <c r="W302" s="194"/>
    </row>
    <row r="303" ht="14.25" customHeight="1">
      <c r="A303" s="31"/>
      <c r="B303" s="268"/>
      <c r="C303" s="269"/>
      <c r="D303" s="270"/>
      <c r="E303" s="271"/>
      <c r="F303" s="276"/>
      <c r="G303" s="273"/>
      <c r="H303" s="204"/>
      <c r="I303" s="204"/>
      <c r="J303" s="196"/>
      <c r="K303" s="196"/>
      <c r="L303" s="192" t="str">
        <f>IFERROR(__xludf.DUMMYFUNCTION("IF(
  AND(D303=""Saída"", J303=""Sangria""),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198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94" t="str">
        <f>IFERROR(__xludf.DUMMYFUNCTION("ifna(VALUE(REGEXEXTRACT(E303,""[0-9.]+[,]+[0-9]+"")))"),"")</f>
        <v/>
      </c>
      <c r="O303" s="194"/>
      <c r="P303" s="194"/>
      <c r="Q303" s="194"/>
      <c r="R303" s="194"/>
      <c r="S303" s="194"/>
      <c r="T303" s="194"/>
      <c r="U303" s="194"/>
      <c r="V303" s="194"/>
      <c r="W303" s="194"/>
    </row>
    <row r="304" ht="14.25" customHeight="1">
      <c r="A304" s="31"/>
      <c r="B304" s="268"/>
      <c r="C304" s="269"/>
      <c r="D304" s="270"/>
      <c r="E304" s="271"/>
      <c r="F304" s="272"/>
      <c r="G304" s="273"/>
      <c r="H304" s="204"/>
      <c r="I304" s="204"/>
      <c r="J304" s="212"/>
      <c r="K304" s="196"/>
      <c r="L304" s="192" t="str">
        <f>IFERROR(__xludf.DUMMYFUNCTION("IF(
  AND(D304=""Saída"", J304=""Sangria""),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197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94" t="str">
        <f>IFERROR(__xludf.DUMMYFUNCTION("ifna(VALUE(REGEXEXTRACT(E304,""[0-9.]+[,]+[0-9]+"")))"),"")</f>
        <v/>
      </c>
      <c r="O304" s="194"/>
      <c r="P304" s="194"/>
      <c r="Q304" s="194"/>
      <c r="R304" s="194"/>
      <c r="S304" s="194"/>
      <c r="T304" s="194"/>
      <c r="U304" s="194"/>
      <c r="V304" s="194"/>
      <c r="W304" s="194"/>
    </row>
    <row r="305" ht="14.25" customHeight="1">
      <c r="A305" s="31"/>
      <c r="B305" s="268"/>
      <c r="C305" s="269"/>
      <c r="D305" s="270"/>
      <c r="E305" s="271"/>
      <c r="F305" s="272"/>
      <c r="G305" s="273"/>
      <c r="H305" s="204"/>
      <c r="I305" s="204"/>
      <c r="J305" s="212"/>
      <c r="K305" s="196"/>
      <c r="L305" s="192" t="str">
        <f>IFERROR(__xludf.DUMMYFUNCTION("IF(
  AND(D305=""Saída"", J305=""Sangria""),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198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94" t="str">
        <f>IFERROR(__xludf.DUMMYFUNCTION("ifna(VALUE(REGEXEXTRACT(E305,""[0-9.]+[,]+[0-9]+"")))"),"")</f>
        <v/>
      </c>
      <c r="O305" s="194"/>
      <c r="P305" s="194"/>
      <c r="Q305" s="194"/>
      <c r="R305" s="194"/>
      <c r="S305" s="194"/>
      <c r="T305" s="194"/>
      <c r="U305" s="194"/>
      <c r="V305" s="194"/>
      <c r="W305" s="194"/>
    </row>
    <row r="306" ht="14.25" customHeight="1">
      <c r="A306" s="31"/>
      <c r="B306" s="268"/>
      <c r="C306" s="269"/>
      <c r="D306" s="270"/>
      <c r="E306" s="271"/>
      <c r="F306" s="272"/>
      <c r="G306" s="273"/>
      <c r="H306" s="204"/>
      <c r="I306" s="204"/>
      <c r="J306" s="196"/>
      <c r="K306" s="196"/>
      <c r="L306" s="192" t="str">
        <f>IFERROR(__xludf.DUMMYFUNCTION("IF(
  AND(D306=""Saída"", J306=""Sangria""),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197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94" t="str">
        <f>IFERROR(__xludf.DUMMYFUNCTION("ifna(VALUE(REGEXEXTRACT(E306,""[0-9.]+[,]+[0-9]+"")))"),"")</f>
        <v/>
      </c>
      <c r="O306" s="194"/>
      <c r="P306" s="194"/>
      <c r="Q306" s="194"/>
      <c r="R306" s="194"/>
      <c r="S306" s="194"/>
      <c r="T306" s="194"/>
      <c r="U306" s="194"/>
      <c r="V306" s="194"/>
      <c r="W306" s="194"/>
    </row>
    <row r="307" ht="14.25" customHeight="1">
      <c r="A307" s="31"/>
      <c r="B307" s="268"/>
      <c r="C307" s="269"/>
      <c r="D307" s="270"/>
      <c r="E307" s="271"/>
      <c r="F307" s="272"/>
      <c r="G307" s="273"/>
      <c r="H307" s="204"/>
      <c r="I307" s="204"/>
      <c r="J307" s="196"/>
      <c r="K307" s="202"/>
      <c r="L307" s="192" t="str">
        <f>IFERROR(__xludf.DUMMYFUNCTION("IF(
  AND(D307=""Saída"", J307=""Sangria""),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198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94" t="str">
        <f>IFERROR(__xludf.DUMMYFUNCTION("ifna(VALUE(REGEXEXTRACT(E307,""[0-9.]+[,]+[0-9]+"")))"),"")</f>
        <v/>
      </c>
      <c r="O307" s="194"/>
      <c r="P307" s="194"/>
      <c r="Q307" s="194"/>
      <c r="R307" s="194"/>
      <c r="S307" s="194"/>
      <c r="T307" s="194"/>
      <c r="U307" s="194"/>
      <c r="V307" s="194"/>
      <c r="W307" s="194"/>
    </row>
    <row r="308" ht="14.25" customHeight="1">
      <c r="A308" s="31"/>
      <c r="B308" s="268"/>
      <c r="C308" s="269"/>
      <c r="D308" s="270"/>
      <c r="E308" s="271"/>
      <c r="F308" s="276"/>
      <c r="G308" s="273"/>
      <c r="H308" s="204"/>
      <c r="I308" s="204"/>
      <c r="J308" s="196"/>
      <c r="K308" s="196"/>
      <c r="L308" s="192" t="str">
        <f>IFERROR(__xludf.DUMMYFUNCTION("IF(
  AND(D308=""Saída"", J308=""Sangria""),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197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94" t="str">
        <f>IFERROR(__xludf.DUMMYFUNCTION("ifna(VALUE(REGEXEXTRACT(E308,""[0-9.]+[,]+[0-9]+"")))"),"")</f>
        <v/>
      </c>
      <c r="O308" s="194"/>
      <c r="P308" s="194"/>
      <c r="Q308" s="194"/>
      <c r="R308" s="194"/>
      <c r="S308" s="194"/>
      <c r="T308" s="194"/>
      <c r="U308" s="194"/>
      <c r="V308" s="194"/>
      <c r="W308" s="194"/>
    </row>
    <row r="309" ht="14.25" customHeight="1">
      <c r="A309" s="31"/>
      <c r="B309" s="268"/>
      <c r="C309" s="269"/>
      <c r="D309" s="270"/>
      <c r="E309" s="271"/>
      <c r="F309" s="272"/>
      <c r="G309" s="273"/>
      <c r="H309" s="204"/>
      <c r="I309" s="204"/>
      <c r="J309" s="212"/>
      <c r="K309" s="196"/>
      <c r="L309" s="192" t="str">
        <f>IFERROR(__xludf.DUMMYFUNCTION("IF(
  AND(D309=""Saída"", J309=""Sangria""),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198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94" t="str">
        <f>IFERROR(__xludf.DUMMYFUNCTION("ifna(VALUE(REGEXEXTRACT(E309,""[0-9.]+[,]+[0-9]+"")))"),"")</f>
        <v/>
      </c>
      <c r="O309" s="194"/>
      <c r="P309" s="194"/>
      <c r="Q309" s="194"/>
      <c r="R309" s="194"/>
      <c r="S309" s="194"/>
      <c r="T309" s="194"/>
      <c r="U309" s="194"/>
      <c r="V309" s="194"/>
      <c r="W309" s="194"/>
    </row>
    <row r="310" ht="14.25" customHeight="1">
      <c r="A310" s="31"/>
      <c r="B310" s="268"/>
      <c r="C310" s="269"/>
      <c r="D310" s="270"/>
      <c r="E310" s="271"/>
      <c r="F310" s="272"/>
      <c r="G310" s="273"/>
      <c r="H310" s="204"/>
      <c r="I310" s="204"/>
      <c r="J310" s="196"/>
      <c r="K310" s="196"/>
      <c r="L310" s="192" t="str">
        <f>IFERROR(__xludf.DUMMYFUNCTION("IF(
  AND(D310=""Saída"", J310=""Sangria""),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197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94" t="str">
        <f>IFERROR(__xludf.DUMMYFUNCTION("ifna(VALUE(REGEXEXTRACT(E310,""[0-9.]+[,]+[0-9]+"")))"),"")</f>
        <v/>
      </c>
      <c r="O310" s="194"/>
      <c r="P310" s="194"/>
      <c r="Q310" s="194"/>
      <c r="R310" s="194"/>
      <c r="S310" s="194"/>
      <c r="T310" s="194"/>
      <c r="U310" s="194"/>
      <c r="V310" s="194"/>
      <c r="W310" s="194"/>
    </row>
    <row r="311" ht="14.25" customHeight="1">
      <c r="A311" s="31"/>
      <c r="B311" s="268"/>
      <c r="C311" s="269"/>
      <c r="D311" s="270"/>
      <c r="E311" s="271"/>
      <c r="F311" s="272"/>
      <c r="G311" s="273"/>
      <c r="H311" s="204"/>
      <c r="I311" s="204"/>
      <c r="J311" s="196"/>
      <c r="K311" s="196"/>
      <c r="L311" s="192" t="str">
        <f>IFERROR(__xludf.DUMMYFUNCTION("IF(
  AND(D311=""Saída"", J311=""Sangria""),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198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94" t="str">
        <f>IFERROR(__xludf.DUMMYFUNCTION("ifna(VALUE(REGEXEXTRACT(E311,""[0-9.]+[,]+[0-9]+"")))"),"")</f>
        <v/>
      </c>
      <c r="O311" s="194"/>
      <c r="P311" s="194"/>
      <c r="Q311" s="194"/>
      <c r="R311" s="194"/>
      <c r="S311" s="194"/>
      <c r="T311" s="194"/>
      <c r="U311" s="194"/>
      <c r="V311" s="194"/>
      <c r="W311" s="194"/>
    </row>
    <row r="312" ht="14.25" customHeight="1">
      <c r="A312" s="31"/>
      <c r="B312" s="268"/>
      <c r="C312" s="269"/>
      <c r="D312" s="270"/>
      <c r="E312" s="271"/>
      <c r="F312" s="272"/>
      <c r="G312" s="273"/>
      <c r="H312" s="204"/>
      <c r="I312" s="204"/>
      <c r="J312" s="196"/>
      <c r="K312" s="196"/>
      <c r="L312" s="192" t="str">
        <f>IFERROR(__xludf.DUMMYFUNCTION("IF(
  AND(D312=""Saída"", J312=""Sangria""),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197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94" t="str">
        <f>IFERROR(__xludf.DUMMYFUNCTION("ifna(VALUE(REGEXEXTRACT(E312,""[0-9.]+[,]+[0-9]+"")))"),"")</f>
        <v/>
      </c>
      <c r="O312" s="194"/>
      <c r="P312" s="194"/>
      <c r="Q312" s="194"/>
      <c r="R312" s="194"/>
      <c r="S312" s="194"/>
      <c r="T312" s="194"/>
      <c r="U312" s="194"/>
      <c r="V312" s="194"/>
      <c r="W312" s="194"/>
    </row>
    <row r="313" ht="14.25" customHeight="1">
      <c r="A313" s="31"/>
      <c r="B313" s="268"/>
      <c r="C313" s="269"/>
      <c r="D313" s="270"/>
      <c r="E313" s="271"/>
      <c r="F313" s="272"/>
      <c r="G313" s="273"/>
      <c r="H313" s="204"/>
      <c r="I313" s="204"/>
      <c r="J313" s="196"/>
      <c r="K313" s="196"/>
      <c r="L313" s="192" t="str">
        <f>IFERROR(__xludf.DUMMYFUNCTION("IF(
  AND(D313=""Saída"", J313=""Sangria""),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198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94" t="str">
        <f>IFERROR(__xludf.DUMMYFUNCTION("ifna(VALUE(REGEXEXTRACT(E313,""[0-9.]+[,]+[0-9]+"")))"),"")</f>
        <v/>
      </c>
      <c r="O313" s="194"/>
      <c r="P313" s="194"/>
      <c r="Q313" s="194"/>
      <c r="R313" s="194"/>
      <c r="S313" s="194"/>
      <c r="T313" s="194"/>
      <c r="U313" s="194"/>
      <c r="V313" s="194"/>
      <c r="W313" s="194"/>
    </row>
    <row r="314" ht="14.25" customHeight="1">
      <c r="A314" s="31"/>
      <c r="B314" s="268"/>
      <c r="C314" s="269"/>
      <c r="D314" s="270"/>
      <c r="E314" s="271"/>
      <c r="F314" s="276"/>
      <c r="G314" s="273"/>
      <c r="H314" s="204"/>
      <c r="I314" s="204"/>
      <c r="J314" s="196"/>
      <c r="K314" s="196"/>
      <c r="L314" s="192" t="str">
        <f>IFERROR(__xludf.DUMMYFUNCTION("IF(
  AND(D314=""Saída"", J314=""Sangria""),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197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94" t="str">
        <f>IFERROR(__xludf.DUMMYFUNCTION("ifna(VALUE(REGEXEXTRACT(E314,""[0-9.]+[,]+[0-9]+"")))"),"")</f>
        <v/>
      </c>
      <c r="O314" s="194"/>
      <c r="P314" s="194"/>
      <c r="Q314" s="194"/>
      <c r="R314" s="194"/>
      <c r="S314" s="194"/>
      <c r="T314" s="194"/>
      <c r="U314" s="194"/>
      <c r="V314" s="194"/>
      <c r="W314" s="194"/>
    </row>
    <row r="315" ht="14.25" customHeight="1">
      <c r="A315" s="31"/>
      <c r="B315" s="268"/>
      <c r="C315" s="269"/>
      <c r="D315" s="270"/>
      <c r="E315" s="271"/>
      <c r="F315" s="272"/>
      <c r="G315" s="273"/>
      <c r="H315" s="204"/>
      <c r="I315" s="204"/>
      <c r="J315" s="196"/>
      <c r="K315" s="196"/>
      <c r="L315" s="192" t="str">
        <f>IFERROR(__xludf.DUMMYFUNCTION("IF(
  AND(D315=""Saída"", J315=""Sangria""),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198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94" t="str">
        <f>IFERROR(__xludf.DUMMYFUNCTION("ifna(VALUE(REGEXEXTRACT(E315,""[0-9.]+[,]+[0-9]+"")))"),"")</f>
        <v/>
      </c>
      <c r="O315" s="194"/>
      <c r="P315" s="194"/>
      <c r="Q315" s="194"/>
      <c r="R315" s="194"/>
      <c r="S315" s="194"/>
      <c r="T315" s="194"/>
      <c r="U315" s="194"/>
      <c r="V315" s="194"/>
      <c r="W315" s="194"/>
    </row>
    <row r="316" ht="14.25" customHeight="1">
      <c r="A316" s="31"/>
      <c r="B316" s="268"/>
      <c r="C316" s="269"/>
      <c r="D316" s="270"/>
      <c r="E316" s="271"/>
      <c r="F316" s="276"/>
      <c r="G316" s="273"/>
      <c r="H316" s="204"/>
      <c r="I316" s="204"/>
      <c r="J316" s="196"/>
      <c r="K316" s="196"/>
      <c r="L316" s="192" t="str">
        <f>IFERROR(__xludf.DUMMYFUNCTION("IF(
  AND(D316=""Saída"", J316=""Sangria""),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197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94" t="str">
        <f>IFERROR(__xludf.DUMMYFUNCTION("ifna(VALUE(REGEXEXTRACT(E316,""[0-9.]+[,]+[0-9]+"")))"),"")</f>
        <v/>
      </c>
      <c r="O316" s="194"/>
      <c r="P316" s="194"/>
      <c r="Q316" s="194"/>
      <c r="R316" s="194"/>
      <c r="S316" s="194"/>
      <c r="T316" s="194"/>
      <c r="U316" s="194"/>
      <c r="V316" s="194"/>
      <c r="W316" s="194"/>
    </row>
    <row r="317" ht="14.25" customHeight="1">
      <c r="A317" s="31"/>
      <c r="B317" s="268"/>
      <c r="C317" s="269"/>
      <c r="D317" s="270"/>
      <c r="E317" s="271"/>
      <c r="F317" s="272"/>
      <c r="G317" s="273"/>
      <c r="H317" s="204"/>
      <c r="I317" s="204"/>
      <c r="J317" s="196"/>
      <c r="K317" s="196"/>
      <c r="L317" s="192" t="str">
        <f>IFERROR(__xludf.DUMMYFUNCTION("IF(
  AND(D317=""Saída"", J317=""Sangria""),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198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94" t="str">
        <f>IFERROR(__xludf.DUMMYFUNCTION("ifna(VALUE(REGEXEXTRACT(E317,""[0-9.]+[,]+[0-9]+"")))"),"")</f>
        <v/>
      </c>
      <c r="O317" s="194"/>
      <c r="P317" s="194"/>
      <c r="Q317" s="194"/>
      <c r="R317" s="194"/>
      <c r="S317" s="194"/>
      <c r="T317" s="194"/>
      <c r="U317" s="194"/>
      <c r="V317" s="194"/>
      <c r="W317" s="194"/>
    </row>
    <row r="318" ht="14.25" customHeight="1">
      <c r="A318" s="31"/>
      <c r="B318" s="268"/>
      <c r="C318" s="269"/>
      <c r="D318" s="270"/>
      <c r="E318" s="271"/>
      <c r="F318" s="272"/>
      <c r="G318" s="273"/>
      <c r="H318" s="204"/>
      <c r="I318" s="204"/>
      <c r="J318" s="196"/>
      <c r="K318" s="196"/>
      <c r="L318" s="192" t="str">
        <f>IFERROR(__xludf.DUMMYFUNCTION("IF(
  AND(D318=""Saída"", J318=""Sangria""),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197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94" t="str">
        <f>IFERROR(__xludf.DUMMYFUNCTION("ifna(VALUE(REGEXEXTRACT(E318,""[0-9.]+[,]+[0-9]+"")))"),"")</f>
        <v/>
      </c>
      <c r="O318" s="194"/>
      <c r="P318" s="194"/>
      <c r="Q318" s="194"/>
      <c r="R318" s="194"/>
      <c r="S318" s="194"/>
      <c r="T318" s="194"/>
      <c r="U318" s="194"/>
      <c r="V318" s="194"/>
      <c r="W318" s="194"/>
    </row>
    <row r="319" ht="14.25" customHeight="1">
      <c r="A319" s="31"/>
      <c r="B319" s="268"/>
      <c r="C319" s="269"/>
      <c r="D319" s="270"/>
      <c r="E319" s="271"/>
      <c r="F319" s="272"/>
      <c r="G319" s="273"/>
      <c r="H319" s="204"/>
      <c r="I319" s="204"/>
      <c r="J319" s="196"/>
      <c r="K319" s="196"/>
      <c r="L319" s="192" t="str">
        <f>IFERROR(__xludf.DUMMYFUNCTION("IF(
  AND(D319=""Saída"", J319=""Sangria""),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198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94" t="str">
        <f>IFERROR(__xludf.DUMMYFUNCTION("ifna(VALUE(REGEXEXTRACT(E319,""[0-9.]+[,]+[0-9]+"")))"),"")</f>
        <v/>
      </c>
      <c r="O319" s="194"/>
      <c r="P319" s="194"/>
      <c r="Q319" s="194"/>
      <c r="R319" s="194"/>
      <c r="S319" s="194"/>
      <c r="T319" s="194"/>
      <c r="U319" s="194"/>
      <c r="V319" s="194"/>
      <c r="W319" s="194"/>
    </row>
    <row r="320" ht="14.25" customHeight="1">
      <c r="A320" s="31"/>
      <c r="B320" s="268"/>
      <c r="C320" s="269"/>
      <c r="D320" s="270"/>
      <c r="E320" s="271"/>
      <c r="F320" s="272"/>
      <c r="G320" s="273"/>
      <c r="H320" s="204"/>
      <c r="I320" s="204"/>
      <c r="J320" s="196"/>
      <c r="K320" s="196"/>
      <c r="L320" s="192" t="str">
        <f>IFERROR(__xludf.DUMMYFUNCTION("IF(
  AND(D320=""Saída"", J320=""Sangria""),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197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94" t="str">
        <f>IFERROR(__xludf.DUMMYFUNCTION("ifna(VALUE(REGEXEXTRACT(E320,""[0-9.]+[,]+[0-9]+"")))"),"")</f>
        <v/>
      </c>
      <c r="O320" s="194"/>
      <c r="P320" s="194"/>
      <c r="Q320" s="194"/>
      <c r="R320" s="194"/>
      <c r="S320" s="194"/>
      <c r="T320" s="194"/>
      <c r="U320" s="194"/>
      <c r="V320" s="194"/>
      <c r="W320" s="194"/>
    </row>
    <row r="321" ht="14.25" customHeight="1">
      <c r="A321" s="31"/>
      <c r="B321" s="268"/>
      <c r="C321" s="269"/>
      <c r="D321" s="270"/>
      <c r="E321" s="271"/>
      <c r="F321" s="272"/>
      <c r="G321" s="273"/>
      <c r="H321" s="204"/>
      <c r="I321" s="204"/>
      <c r="J321" s="196"/>
      <c r="K321" s="196"/>
      <c r="L321" s="192" t="str">
        <f>IFERROR(__xludf.DUMMYFUNCTION("IF(
  AND(D321=""Saída"", J321=""Sangria""),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198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94" t="str">
        <f>IFERROR(__xludf.DUMMYFUNCTION("ifna(VALUE(REGEXEXTRACT(E321,""[0-9.]+[,]+[0-9]+"")))"),"")</f>
        <v/>
      </c>
      <c r="O321" s="194"/>
      <c r="P321" s="194"/>
      <c r="Q321" s="194"/>
      <c r="R321" s="194"/>
      <c r="S321" s="194"/>
      <c r="T321" s="194"/>
      <c r="U321" s="194"/>
      <c r="V321" s="194"/>
      <c r="W321" s="194"/>
    </row>
    <row r="322" ht="14.25" customHeight="1">
      <c r="A322" s="31"/>
      <c r="B322" s="268"/>
      <c r="C322" s="269"/>
      <c r="D322" s="270"/>
      <c r="E322" s="271"/>
      <c r="F322" s="272"/>
      <c r="G322" s="273"/>
      <c r="H322" s="204"/>
      <c r="I322" s="204"/>
      <c r="J322" s="196"/>
      <c r="K322" s="196"/>
      <c r="L322" s="192" t="str">
        <f>IFERROR(__xludf.DUMMYFUNCTION("IF(
  AND(D322=""Saída"", J322=""Sangria""),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197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94" t="str">
        <f>IFERROR(__xludf.DUMMYFUNCTION("ifna(VALUE(REGEXEXTRACT(E322,""[0-9.]+[,]+[0-9]+"")))"),"")</f>
        <v/>
      </c>
      <c r="O322" s="194"/>
      <c r="P322" s="194"/>
      <c r="Q322" s="194"/>
      <c r="R322" s="194"/>
      <c r="S322" s="194"/>
      <c r="T322" s="194"/>
      <c r="U322" s="194"/>
      <c r="V322" s="194"/>
      <c r="W322" s="194"/>
    </row>
    <row r="323" ht="14.25" customHeight="1">
      <c r="A323" s="31"/>
      <c r="B323" s="268"/>
      <c r="C323" s="269"/>
      <c r="D323" s="270"/>
      <c r="E323" s="271"/>
      <c r="F323" s="272"/>
      <c r="G323" s="273"/>
      <c r="H323" s="204"/>
      <c r="I323" s="204"/>
      <c r="J323" s="196"/>
      <c r="K323" s="196"/>
      <c r="L323" s="192" t="str">
        <f>IFERROR(__xludf.DUMMYFUNCTION("IF(
  AND(D323=""Saída"", J323=""Sangria""),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198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94" t="str">
        <f>IFERROR(__xludf.DUMMYFUNCTION("ifna(VALUE(REGEXEXTRACT(E323,""[0-9.]+[,]+[0-9]+"")))"),"")</f>
        <v/>
      </c>
      <c r="O323" s="194"/>
      <c r="P323" s="194"/>
      <c r="Q323" s="194"/>
      <c r="R323" s="194"/>
      <c r="S323" s="194"/>
      <c r="T323" s="194"/>
      <c r="U323" s="194"/>
      <c r="V323" s="194"/>
      <c r="W323" s="194"/>
    </row>
    <row r="324" ht="14.25" customHeight="1">
      <c r="A324" s="31"/>
      <c r="B324" s="268"/>
      <c r="C324" s="269"/>
      <c r="D324" s="270"/>
      <c r="E324" s="271"/>
      <c r="F324" s="272"/>
      <c r="G324" s="273"/>
      <c r="H324" s="204"/>
      <c r="I324" s="204"/>
      <c r="J324" s="196"/>
      <c r="K324" s="196"/>
      <c r="L324" s="192" t="str">
        <f>IFERROR(__xludf.DUMMYFUNCTION("IF(
  AND(D324=""Saída"", J324=""Sangria""),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197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94" t="str">
        <f>IFERROR(__xludf.DUMMYFUNCTION("ifna(VALUE(REGEXEXTRACT(E324,""[0-9.]+[,]+[0-9]+"")))"),"")</f>
        <v/>
      </c>
      <c r="O324" s="194"/>
      <c r="P324" s="194"/>
      <c r="Q324" s="194"/>
      <c r="R324" s="194"/>
      <c r="S324" s="194"/>
      <c r="T324" s="194"/>
      <c r="U324" s="194"/>
      <c r="V324" s="194"/>
      <c r="W324" s="194"/>
    </row>
    <row r="325" ht="14.25" customHeight="1">
      <c r="A325" s="31"/>
      <c r="B325" s="268"/>
      <c r="C325" s="269"/>
      <c r="D325" s="270"/>
      <c r="E325" s="271"/>
      <c r="F325" s="272"/>
      <c r="G325" s="273"/>
      <c r="H325" s="204"/>
      <c r="I325" s="204"/>
      <c r="J325" s="196"/>
      <c r="K325" s="196"/>
      <c r="L325" s="192" t="str">
        <f>IFERROR(__xludf.DUMMYFUNCTION("IF(
  AND(D325=""Saída"", J325=""Sangria""),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198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94" t="str">
        <f>IFERROR(__xludf.DUMMYFUNCTION("ifna(VALUE(REGEXEXTRACT(E325,""[0-9.]+[,]+[0-9]+"")))"),"")</f>
        <v/>
      </c>
      <c r="O325" s="194"/>
      <c r="P325" s="194"/>
      <c r="Q325" s="194"/>
      <c r="R325" s="194"/>
      <c r="S325" s="194"/>
      <c r="T325" s="194"/>
      <c r="U325" s="194"/>
      <c r="V325" s="194"/>
      <c r="W325" s="194"/>
    </row>
    <row r="326" ht="14.25" customHeight="1">
      <c r="A326" s="31"/>
      <c r="B326" s="268"/>
      <c r="C326" s="269"/>
      <c r="D326" s="270"/>
      <c r="E326" s="271"/>
      <c r="F326" s="276"/>
      <c r="G326" s="273"/>
      <c r="H326" s="204"/>
      <c r="I326" s="204"/>
      <c r="J326" s="196"/>
      <c r="K326" s="196"/>
      <c r="L326" s="192" t="str">
        <f>IFERROR(__xludf.DUMMYFUNCTION("IF(
  AND(D326=""Saída"", J326=""Sangria""),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197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94" t="str">
        <f>IFERROR(__xludf.DUMMYFUNCTION("ifna(VALUE(REGEXEXTRACT(E326,""[0-9.]+[,]+[0-9]+"")))"),"")</f>
        <v/>
      </c>
      <c r="O326" s="194"/>
      <c r="P326" s="194"/>
      <c r="Q326" s="194"/>
      <c r="R326" s="194"/>
      <c r="S326" s="194"/>
      <c r="T326" s="194"/>
      <c r="U326" s="194"/>
      <c r="V326" s="194"/>
      <c r="W326" s="194"/>
    </row>
    <row r="327" ht="14.25" customHeight="1">
      <c r="A327" s="31"/>
      <c r="B327" s="268"/>
      <c r="C327" s="269"/>
      <c r="D327" s="270"/>
      <c r="E327" s="271"/>
      <c r="F327" s="272"/>
      <c r="G327" s="273"/>
      <c r="H327" s="204"/>
      <c r="I327" s="204"/>
      <c r="J327" s="196"/>
      <c r="K327" s="196"/>
      <c r="L327" s="192" t="str">
        <f>IFERROR(__xludf.DUMMYFUNCTION("IF(
  AND(D327=""Saída"", J327=""Sangria""),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198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94" t="str">
        <f>IFERROR(__xludf.DUMMYFUNCTION("ifna(VALUE(REGEXEXTRACT(E327,""[0-9.]+[,]+[0-9]+"")))"),"")</f>
        <v/>
      </c>
      <c r="O327" s="194"/>
      <c r="P327" s="194"/>
      <c r="Q327" s="194"/>
      <c r="R327" s="194"/>
      <c r="S327" s="194"/>
      <c r="T327" s="194"/>
      <c r="U327" s="194"/>
      <c r="V327" s="194"/>
      <c r="W327" s="194"/>
    </row>
    <row r="328" ht="14.25" customHeight="1">
      <c r="A328" s="31"/>
      <c r="B328" s="268"/>
      <c r="C328" s="269"/>
      <c r="D328" s="270"/>
      <c r="E328" s="271"/>
      <c r="F328" s="272"/>
      <c r="G328" s="273"/>
      <c r="H328" s="204"/>
      <c r="I328" s="204"/>
      <c r="J328" s="196"/>
      <c r="K328" s="196"/>
      <c r="L328" s="192" t="str">
        <f>IFERROR(__xludf.DUMMYFUNCTION("IF(
  AND(D328=""Saída"", J328=""Sangria""),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197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94" t="str">
        <f>IFERROR(__xludf.DUMMYFUNCTION("ifna(VALUE(REGEXEXTRACT(E328,""[0-9.]+[,]+[0-9]+"")))"),"")</f>
        <v/>
      </c>
      <c r="O328" s="194"/>
      <c r="P328" s="194"/>
      <c r="Q328" s="194"/>
      <c r="R328" s="194"/>
      <c r="S328" s="194"/>
      <c r="T328" s="194"/>
      <c r="U328" s="194"/>
      <c r="V328" s="194"/>
      <c r="W328" s="194"/>
    </row>
    <row r="329" ht="14.25" customHeight="1">
      <c r="A329" s="31"/>
      <c r="B329" s="268"/>
      <c r="C329" s="269"/>
      <c r="D329" s="270"/>
      <c r="E329" s="271"/>
      <c r="F329" s="272"/>
      <c r="G329" s="273"/>
      <c r="H329" s="204"/>
      <c r="I329" s="204"/>
      <c r="J329" s="196"/>
      <c r="K329" s="196"/>
      <c r="L329" s="192" t="str">
        <f>IFERROR(__xludf.DUMMYFUNCTION("IF(
  AND(D329=""Saída"", J329=""Sangria""),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198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94" t="str">
        <f>IFERROR(__xludf.DUMMYFUNCTION("ifna(VALUE(REGEXEXTRACT(E329,""[0-9.]+[,]+[0-9]+"")))"),"")</f>
        <v/>
      </c>
      <c r="O329" s="194"/>
      <c r="P329" s="194"/>
      <c r="Q329" s="194"/>
      <c r="R329" s="194"/>
      <c r="S329" s="194"/>
      <c r="T329" s="194"/>
      <c r="U329" s="194"/>
      <c r="V329" s="194"/>
      <c r="W329" s="194"/>
    </row>
    <row r="330" ht="14.25" customHeight="1">
      <c r="A330" s="31"/>
      <c r="B330" s="268"/>
      <c r="C330" s="269"/>
      <c r="D330" s="270"/>
      <c r="E330" s="271"/>
      <c r="F330" s="272"/>
      <c r="G330" s="273"/>
      <c r="H330" s="204"/>
      <c r="I330" s="204"/>
      <c r="J330" s="196"/>
      <c r="K330" s="196"/>
      <c r="L330" s="192" t="str">
        <f>IFERROR(__xludf.DUMMYFUNCTION("IF(
  AND(D330=""Saída"", J330=""Sangria""),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197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94" t="str">
        <f>IFERROR(__xludf.DUMMYFUNCTION("ifna(VALUE(REGEXEXTRACT(E330,""[0-9.]+[,]+[0-9]+"")))"),"")</f>
        <v/>
      </c>
      <c r="O330" s="194"/>
      <c r="P330" s="194"/>
      <c r="Q330" s="194"/>
      <c r="R330" s="194"/>
      <c r="S330" s="194"/>
      <c r="T330" s="194"/>
      <c r="U330" s="194"/>
      <c r="V330" s="194"/>
      <c r="W330" s="194"/>
    </row>
    <row r="331" ht="14.25" customHeight="1">
      <c r="A331" s="31"/>
      <c r="B331" s="268"/>
      <c r="C331" s="269"/>
      <c r="D331" s="270"/>
      <c r="E331" s="271"/>
      <c r="F331" s="272"/>
      <c r="G331" s="273"/>
      <c r="H331" s="204"/>
      <c r="I331" s="204"/>
      <c r="J331" s="196"/>
      <c r="K331" s="196"/>
      <c r="L331" s="192" t="str">
        <f>IFERROR(__xludf.DUMMYFUNCTION("IF(
  AND(D331=""Saída"", J331=""Sangria""),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198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94" t="str">
        <f>IFERROR(__xludf.DUMMYFUNCTION("ifna(VALUE(REGEXEXTRACT(E331,""[0-9.]+[,]+[0-9]+"")))"),"")</f>
        <v/>
      </c>
      <c r="O331" s="194"/>
      <c r="P331" s="194"/>
      <c r="Q331" s="194"/>
      <c r="R331" s="194"/>
      <c r="S331" s="194"/>
      <c r="T331" s="194"/>
      <c r="U331" s="194"/>
      <c r="V331" s="194"/>
      <c r="W331" s="194"/>
    </row>
    <row r="332" ht="14.25" customHeight="1">
      <c r="A332" s="31"/>
      <c r="B332" s="268"/>
      <c r="C332" s="269"/>
      <c r="D332" s="270"/>
      <c r="E332" s="271"/>
      <c r="F332" s="272"/>
      <c r="G332" s="273"/>
      <c r="H332" s="204"/>
      <c r="I332" s="204"/>
      <c r="J332" s="196"/>
      <c r="K332" s="202"/>
      <c r="L332" s="192" t="str">
        <f>IFERROR(__xludf.DUMMYFUNCTION("IF(
  AND(D332=""Saída"", J332=""Sangria""),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197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94" t="str">
        <f>IFERROR(__xludf.DUMMYFUNCTION("ifna(VALUE(REGEXEXTRACT(E332,""[0-9.]+[,]+[0-9]+"")))"),"")</f>
        <v/>
      </c>
      <c r="O332" s="194"/>
      <c r="P332" s="194"/>
      <c r="Q332" s="194"/>
      <c r="R332" s="194"/>
      <c r="S332" s="194"/>
      <c r="T332" s="194"/>
      <c r="U332" s="194"/>
      <c r="V332" s="194"/>
      <c r="W332" s="194"/>
    </row>
    <row r="333" ht="14.25" customHeight="1">
      <c r="A333" s="31"/>
      <c r="B333" s="268"/>
      <c r="C333" s="269"/>
      <c r="D333" s="270"/>
      <c r="E333" s="271"/>
      <c r="F333" s="272"/>
      <c r="G333" s="273"/>
      <c r="H333" s="204"/>
      <c r="I333" s="204"/>
      <c r="J333" s="196"/>
      <c r="K333" s="196"/>
      <c r="L333" s="192" t="str">
        <f>IFERROR(__xludf.DUMMYFUNCTION("IF(
  AND(D333=""Saída"", J333=""Sangria""),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198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94" t="str">
        <f>IFERROR(__xludf.DUMMYFUNCTION("ifna(VALUE(REGEXEXTRACT(E333,""[0-9.]+[,]+[0-9]+"")))"),"")</f>
        <v/>
      </c>
      <c r="O333" s="194"/>
      <c r="P333" s="194"/>
      <c r="Q333" s="194"/>
      <c r="R333" s="194"/>
      <c r="S333" s="194"/>
      <c r="T333" s="194"/>
      <c r="U333" s="194"/>
      <c r="V333" s="194"/>
      <c r="W333" s="194"/>
    </row>
    <row r="334" ht="14.25" customHeight="1">
      <c r="A334" s="31"/>
      <c r="B334" s="268"/>
      <c r="C334" s="269"/>
      <c r="D334" s="270"/>
      <c r="E334" s="271"/>
      <c r="F334" s="272"/>
      <c r="G334" s="273"/>
      <c r="H334" s="204"/>
      <c r="I334" s="204"/>
      <c r="J334" s="196"/>
      <c r="K334" s="196"/>
      <c r="L334" s="192" t="str">
        <f>IFERROR(__xludf.DUMMYFUNCTION("IF(
  AND(D334=""Saída"", J334=""Sangria""),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197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94" t="str">
        <f>IFERROR(__xludf.DUMMYFUNCTION("ifna(VALUE(REGEXEXTRACT(E334,""[0-9.]+[,]+[0-9]+"")))"),"")</f>
        <v/>
      </c>
      <c r="O334" s="194"/>
      <c r="P334" s="194"/>
      <c r="Q334" s="194"/>
      <c r="R334" s="194"/>
      <c r="S334" s="194"/>
      <c r="T334" s="194"/>
      <c r="U334" s="194"/>
      <c r="V334" s="194"/>
      <c r="W334" s="194"/>
    </row>
    <row r="335" ht="14.25" customHeight="1">
      <c r="A335" s="31"/>
      <c r="B335" s="268"/>
      <c r="C335" s="269"/>
      <c r="D335" s="270"/>
      <c r="E335" s="271"/>
      <c r="F335" s="272"/>
      <c r="G335" s="273"/>
      <c r="H335" s="204"/>
      <c r="I335" s="204"/>
      <c r="J335" s="196"/>
      <c r="K335" s="196"/>
      <c r="L335" s="192" t="str">
        <f>IFERROR(__xludf.DUMMYFUNCTION("IF(
  AND(D335=""Saída"", J335=""Sangria""),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198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94" t="str">
        <f>IFERROR(__xludf.DUMMYFUNCTION("ifna(VALUE(REGEXEXTRACT(E335,""[0-9.]+[,]+[0-9]+"")))"),"")</f>
        <v/>
      </c>
      <c r="O335" s="194"/>
      <c r="P335" s="194"/>
      <c r="Q335" s="194"/>
      <c r="R335" s="194"/>
      <c r="S335" s="194"/>
      <c r="T335" s="194"/>
      <c r="U335" s="194"/>
      <c r="V335" s="194"/>
      <c r="W335" s="194"/>
    </row>
    <row r="336" ht="14.25" customHeight="1">
      <c r="A336" s="31"/>
      <c r="B336" s="268"/>
      <c r="C336" s="269"/>
      <c r="D336" s="270"/>
      <c r="E336" s="271"/>
      <c r="F336" s="276"/>
      <c r="G336" s="273"/>
      <c r="H336" s="204"/>
      <c r="I336" s="204"/>
      <c r="J336" s="196"/>
      <c r="K336" s="196"/>
      <c r="L336" s="192" t="str">
        <f>IFERROR(__xludf.DUMMYFUNCTION("IF(
  AND(D336=""Saída"", J336=""Sangria""),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197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94" t="str">
        <f>IFERROR(__xludf.DUMMYFUNCTION("ifna(VALUE(REGEXEXTRACT(E336,""[0-9.]+[,]+[0-9]+"")))"),"")</f>
        <v/>
      </c>
      <c r="O336" s="194"/>
      <c r="P336" s="194"/>
      <c r="Q336" s="194"/>
      <c r="R336" s="194"/>
      <c r="S336" s="194"/>
      <c r="T336" s="194"/>
      <c r="U336" s="194"/>
      <c r="V336" s="194"/>
      <c r="W336" s="194"/>
    </row>
    <row r="337" ht="14.25" customHeight="1">
      <c r="A337" s="31"/>
      <c r="B337" s="268"/>
      <c r="C337" s="269"/>
      <c r="D337" s="270"/>
      <c r="E337" s="275"/>
      <c r="F337" s="272"/>
      <c r="G337" s="273"/>
      <c r="H337" s="204"/>
      <c r="I337" s="204"/>
      <c r="J337" s="196"/>
      <c r="K337" s="196"/>
      <c r="L337" s="192" t="str">
        <f>IFERROR(__xludf.DUMMYFUNCTION("IF(
  AND(D337=""Saída"", J337=""Sangria""),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198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94" t="str">
        <f>IFERROR(__xludf.DUMMYFUNCTION("ifna(VALUE(REGEXEXTRACT(E337,""[0-9.]+[,]+[0-9]+"")))"),"")</f>
        <v/>
      </c>
      <c r="O337" s="194"/>
      <c r="P337" s="194"/>
      <c r="Q337" s="194"/>
      <c r="R337" s="194"/>
      <c r="S337" s="194"/>
      <c r="T337" s="194"/>
      <c r="U337" s="194"/>
      <c r="V337" s="194"/>
      <c r="W337" s="194"/>
    </row>
    <row r="338" ht="14.25" customHeight="1">
      <c r="A338" s="31"/>
      <c r="B338" s="268"/>
      <c r="C338" s="269"/>
      <c r="D338" s="270"/>
      <c r="E338" s="271"/>
      <c r="F338" s="272"/>
      <c r="G338" s="273"/>
      <c r="H338" s="204"/>
      <c r="I338" s="204"/>
      <c r="J338" s="196"/>
      <c r="K338" s="202"/>
      <c r="L338" s="192" t="str">
        <f>IFERROR(__xludf.DUMMYFUNCTION("IF(
  AND(D338=""Saída"", J338=""Sangria""),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197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94" t="str">
        <f>IFERROR(__xludf.DUMMYFUNCTION("ifna(VALUE(REGEXEXTRACT(E338,""[0-9.]+[,]+[0-9]+"")))"),"")</f>
        <v/>
      </c>
      <c r="O338" s="194"/>
      <c r="P338" s="194"/>
      <c r="Q338" s="194"/>
      <c r="R338" s="194"/>
      <c r="S338" s="194"/>
      <c r="T338" s="194"/>
      <c r="U338" s="194"/>
      <c r="V338" s="194"/>
      <c r="W338" s="194"/>
    </row>
    <row r="339" ht="14.25" customHeight="1">
      <c r="A339" s="31"/>
      <c r="B339" s="268"/>
      <c r="C339" s="269"/>
      <c r="D339" s="270"/>
      <c r="E339" s="271"/>
      <c r="F339" s="272"/>
      <c r="G339" s="273"/>
      <c r="H339" s="204"/>
      <c r="I339" s="204"/>
      <c r="J339" s="196"/>
      <c r="K339" s="196"/>
      <c r="L339" s="192" t="str">
        <f>IFERROR(__xludf.DUMMYFUNCTION("IF(
  AND(D339=""Saída"", J339=""Sangria""),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198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94" t="str">
        <f>IFERROR(__xludf.DUMMYFUNCTION("ifna(VALUE(REGEXEXTRACT(E339,""[0-9.]+[,]+[0-9]+"")))"),"")</f>
        <v/>
      </c>
      <c r="O339" s="194"/>
      <c r="P339" s="194"/>
      <c r="Q339" s="194"/>
      <c r="R339" s="194"/>
      <c r="S339" s="194"/>
      <c r="T339" s="194"/>
      <c r="U339" s="194"/>
      <c r="V339" s="194"/>
      <c r="W339" s="194"/>
    </row>
    <row r="340" ht="14.25" customHeight="1">
      <c r="A340" s="31"/>
      <c r="B340" s="268"/>
      <c r="C340" s="269"/>
      <c r="D340" s="270"/>
      <c r="E340" s="271"/>
      <c r="F340" s="272"/>
      <c r="G340" s="273"/>
      <c r="H340" s="204"/>
      <c r="I340" s="204"/>
      <c r="J340" s="196"/>
      <c r="K340" s="196"/>
      <c r="L340" s="192" t="str">
        <f>IFERROR(__xludf.DUMMYFUNCTION("IF(
  AND(D340=""Saída"", J340=""Sangria""),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197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94" t="str">
        <f>IFERROR(__xludf.DUMMYFUNCTION("ifna(VALUE(REGEXEXTRACT(E340,""[0-9.]+[,]+[0-9]+"")))"),"")</f>
        <v/>
      </c>
      <c r="O340" s="194"/>
      <c r="P340" s="194"/>
      <c r="Q340" s="194"/>
      <c r="R340" s="194"/>
      <c r="S340" s="194"/>
      <c r="T340" s="194"/>
      <c r="U340" s="194"/>
      <c r="V340" s="194"/>
      <c r="W340" s="194"/>
    </row>
    <row r="341" ht="14.25" customHeight="1">
      <c r="A341" s="31"/>
      <c r="B341" s="268"/>
      <c r="C341" s="269"/>
      <c r="D341" s="270"/>
      <c r="E341" s="271"/>
      <c r="F341" s="276"/>
      <c r="G341" s="273"/>
      <c r="H341" s="204"/>
      <c r="I341" s="204"/>
      <c r="J341" s="196"/>
      <c r="K341" s="196"/>
      <c r="L341" s="192" t="str">
        <f>IFERROR(__xludf.DUMMYFUNCTION("IF(
  AND(D341=""Saída"", J341=""Sangria""),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198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94" t="str">
        <f>IFERROR(__xludf.DUMMYFUNCTION("ifna(VALUE(REGEXEXTRACT(E341,""[0-9.]+[,]+[0-9]+"")))"),"")</f>
        <v/>
      </c>
      <c r="O341" s="194"/>
      <c r="P341" s="194"/>
      <c r="Q341" s="194"/>
      <c r="R341" s="194"/>
      <c r="S341" s="194"/>
      <c r="T341" s="194"/>
      <c r="U341" s="194"/>
      <c r="V341" s="194"/>
      <c r="W341" s="194"/>
    </row>
    <row r="342" ht="14.25" customHeight="1">
      <c r="A342" s="31"/>
      <c r="B342" s="268"/>
      <c r="C342" s="269"/>
      <c r="D342" s="270"/>
      <c r="E342" s="271"/>
      <c r="F342" s="272"/>
      <c r="G342" s="274"/>
      <c r="H342" s="204"/>
      <c r="I342" s="204"/>
      <c r="J342" s="196"/>
      <c r="K342" s="202"/>
      <c r="L342" s="192" t="str">
        <f>IFERROR(__xludf.DUMMYFUNCTION("IF(
  AND(D342=""Saída"", J342=""Sangria""),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197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94" t="str">
        <f>IFERROR(__xludf.DUMMYFUNCTION("ifna(VALUE(REGEXEXTRACT(E342,""[0-9.]+[,]+[0-9]+"")))"),"")</f>
        <v/>
      </c>
      <c r="O342" s="194"/>
      <c r="P342" s="194"/>
      <c r="Q342" s="194"/>
      <c r="R342" s="194"/>
      <c r="S342" s="194"/>
      <c r="T342" s="194"/>
      <c r="U342" s="194"/>
      <c r="V342" s="194"/>
      <c r="W342" s="194"/>
    </row>
    <row r="343" ht="14.25" customHeight="1">
      <c r="A343" s="31"/>
      <c r="B343" s="268"/>
      <c r="C343" s="269"/>
      <c r="D343" s="270"/>
      <c r="E343" s="271"/>
      <c r="F343" s="272"/>
      <c r="G343" s="273"/>
      <c r="H343" s="204"/>
      <c r="I343" s="204"/>
      <c r="J343" s="196"/>
      <c r="K343" s="196"/>
      <c r="L343" s="192" t="str">
        <f>IFERROR(__xludf.DUMMYFUNCTION("IF(
  AND(D343=""Saída"", J343=""Sangria""),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198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94" t="str">
        <f>IFERROR(__xludf.DUMMYFUNCTION("ifna(VALUE(REGEXEXTRACT(E343,""[0-9.]+[,]+[0-9]+"")))"),"")</f>
        <v/>
      </c>
      <c r="O343" s="194"/>
      <c r="P343" s="194"/>
      <c r="Q343" s="194"/>
      <c r="R343" s="194"/>
      <c r="S343" s="194"/>
      <c r="T343" s="194"/>
      <c r="U343" s="194"/>
      <c r="V343" s="194"/>
      <c r="W343" s="194"/>
    </row>
    <row r="344" ht="14.25" customHeight="1">
      <c r="A344" s="31"/>
      <c r="B344" s="268"/>
      <c r="C344" s="269"/>
      <c r="D344" s="270"/>
      <c r="E344" s="271"/>
      <c r="F344" s="272"/>
      <c r="G344" s="273"/>
      <c r="H344" s="204"/>
      <c r="I344" s="204"/>
      <c r="J344" s="196"/>
      <c r="K344" s="196"/>
      <c r="L344" s="192" t="str">
        <f>IFERROR(__xludf.DUMMYFUNCTION("IF(
  AND(D344=""Saída"", J344=""Sangria""),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197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94" t="str">
        <f>IFERROR(__xludf.DUMMYFUNCTION("ifna(VALUE(REGEXEXTRACT(E344,""[0-9.]+[,]+[0-9]+"")))"),"")</f>
        <v/>
      </c>
      <c r="O344" s="194"/>
      <c r="P344" s="194"/>
      <c r="Q344" s="194"/>
      <c r="R344" s="194"/>
      <c r="S344" s="194"/>
      <c r="T344" s="194"/>
      <c r="U344" s="194"/>
      <c r="V344" s="194"/>
      <c r="W344" s="194"/>
    </row>
    <row r="345" ht="14.25" customHeight="1">
      <c r="A345" s="31"/>
      <c r="B345" s="268"/>
      <c r="C345" s="269"/>
      <c r="D345" s="270"/>
      <c r="E345" s="271"/>
      <c r="F345" s="272"/>
      <c r="G345" s="273"/>
      <c r="H345" s="204"/>
      <c r="I345" s="204"/>
      <c r="J345" s="196"/>
      <c r="K345" s="196"/>
      <c r="L345" s="192" t="str">
        <f>IFERROR(__xludf.DUMMYFUNCTION("IF(
  AND(D345=""Saída"", J345=""Sangria""),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198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94" t="str">
        <f>IFERROR(__xludf.DUMMYFUNCTION("ifna(VALUE(REGEXEXTRACT(E345,""[0-9.]+[,]+[0-9]+"")))"),"")</f>
        <v/>
      </c>
      <c r="O345" s="194"/>
      <c r="P345" s="194"/>
      <c r="Q345" s="194"/>
      <c r="R345" s="194"/>
      <c r="S345" s="194"/>
      <c r="T345" s="194"/>
      <c r="U345" s="194"/>
      <c r="V345" s="194"/>
      <c r="W345" s="194"/>
    </row>
    <row r="346" ht="14.25" customHeight="1">
      <c r="A346" s="31"/>
      <c r="B346" s="268"/>
      <c r="C346" s="269"/>
      <c r="D346" s="270"/>
      <c r="E346" s="271"/>
      <c r="F346" s="272"/>
      <c r="G346" s="273"/>
      <c r="H346" s="204"/>
      <c r="I346" s="204"/>
      <c r="J346" s="196"/>
      <c r="K346" s="196"/>
      <c r="L346" s="192" t="str">
        <f>IFERROR(__xludf.DUMMYFUNCTION("IF(
  AND(D346=""Saída"", J346=""Sangria""),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197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94" t="str">
        <f>IFERROR(__xludf.DUMMYFUNCTION("ifna(VALUE(REGEXEXTRACT(E346,""[0-9.]+[,]+[0-9]+"")))"),"")</f>
        <v/>
      </c>
      <c r="O346" s="194"/>
      <c r="P346" s="194"/>
      <c r="Q346" s="194"/>
      <c r="R346" s="194"/>
      <c r="S346" s="194"/>
      <c r="T346" s="194"/>
      <c r="U346" s="194"/>
      <c r="V346" s="194"/>
      <c r="W346" s="194"/>
    </row>
    <row r="347" ht="14.25" customHeight="1">
      <c r="A347" s="31"/>
      <c r="B347" s="268"/>
      <c r="C347" s="269"/>
      <c r="D347" s="270"/>
      <c r="E347" s="271"/>
      <c r="F347" s="272"/>
      <c r="G347" s="273"/>
      <c r="H347" s="204"/>
      <c r="I347" s="204"/>
      <c r="J347" s="196"/>
      <c r="K347" s="202"/>
      <c r="L347" s="192" t="str">
        <f>IFERROR(__xludf.DUMMYFUNCTION("IF(
  AND(D347=""Saída"", J347=""Sangria""),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198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94" t="str">
        <f>IFERROR(__xludf.DUMMYFUNCTION("ifna(VALUE(REGEXEXTRACT(E347,""[0-9.]+[,]+[0-9]+"")))"),"")</f>
        <v/>
      </c>
      <c r="O347" s="194"/>
      <c r="P347" s="194"/>
      <c r="Q347" s="194"/>
      <c r="R347" s="194"/>
      <c r="S347" s="194"/>
      <c r="T347" s="194"/>
      <c r="U347" s="194"/>
      <c r="V347" s="194"/>
      <c r="W347" s="194"/>
    </row>
    <row r="348" ht="14.25" customHeight="1">
      <c r="A348" s="31"/>
      <c r="B348" s="268"/>
      <c r="C348" s="269"/>
      <c r="D348" s="270"/>
      <c r="E348" s="271"/>
      <c r="F348" s="272"/>
      <c r="G348" s="273"/>
      <c r="H348" s="204"/>
      <c r="I348" s="204"/>
      <c r="J348" s="196"/>
      <c r="K348" s="196"/>
      <c r="L348" s="192" t="str">
        <f>IFERROR(__xludf.DUMMYFUNCTION("IF(
  AND(D348=""Saída"", J348=""Sangria""),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197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94" t="str">
        <f>IFERROR(__xludf.DUMMYFUNCTION("ifna(VALUE(REGEXEXTRACT(E348,""[0-9.]+[,]+[0-9]+"")))"),"")</f>
        <v/>
      </c>
      <c r="O348" s="194"/>
      <c r="P348" s="194"/>
      <c r="Q348" s="194"/>
      <c r="R348" s="194"/>
      <c r="S348" s="194"/>
      <c r="T348" s="194"/>
      <c r="U348" s="194"/>
      <c r="V348" s="194"/>
      <c r="W348" s="194"/>
    </row>
    <row r="349" ht="14.25" customHeight="1">
      <c r="A349" s="31"/>
      <c r="B349" s="268"/>
      <c r="C349" s="269"/>
      <c r="D349" s="270"/>
      <c r="E349" s="275"/>
      <c r="F349" s="272"/>
      <c r="G349" s="273"/>
      <c r="H349" s="204"/>
      <c r="I349" s="204"/>
      <c r="J349" s="196"/>
      <c r="K349" s="196"/>
      <c r="L349" s="192" t="str">
        <f>IFERROR(__xludf.DUMMYFUNCTION("IF(
  AND(D349=""Saída"", J349=""Sangria""),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198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94" t="str">
        <f>IFERROR(__xludf.DUMMYFUNCTION("ifna(VALUE(REGEXEXTRACT(E349,""[0-9.]+[,]+[0-9]+"")))"),"")</f>
        <v/>
      </c>
      <c r="O349" s="194"/>
      <c r="P349" s="194"/>
      <c r="Q349" s="194"/>
      <c r="R349" s="194"/>
      <c r="S349" s="194"/>
      <c r="T349" s="194"/>
      <c r="U349" s="194"/>
      <c r="V349" s="194"/>
      <c r="W349" s="194"/>
    </row>
    <row r="350" ht="14.25" customHeight="1">
      <c r="A350" s="31"/>
      <c r="B350" s="268"/>
      <c r="C350" s="269"/>
      <c r="D350" s="270"/>
      <c r="E350" s="271"/>
      <c r="F350" s="272"/>
      <c r="G350" s="273"/>
      <c r="H350" s="204"/>
      <c r="I350" s="204"/>
      <c r="J350" s="196"/>
      <c r="K350" s="202"/>
      <c r="L350" s="192" t="str">
        <f>IFERROR(__xludf.DUMMYFUNCTION("IF(
  AND(D350=""Saída"", J350=""Sangria""),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197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94" t="str">
        <f>IFERROR(__xludf.DUMMYFUNCTION("ifna(VALUE(REGEXEXTRACT(E350,""[0-9.]+[,]+[0-9]+"")))"),"")</f>
        <v/>
      </c>
      <c r="O350" s="194"/>
      <c r="P350" s="194"/>
      <c r="Q350" s="194"/>
      <c r="R350" s="194"/>
      <c r="S350" s="194"/>
      <c r="T350" s="194"/>
      <c r="U350" s="194"/>
      <c r="V350" s="194"/>
      <c r="W350" s="194"/>
    </row>
    <row r="351" ht="14.25" customHeight="1">
      <c r="A351" s="31"/>
      <c r="B351" s="268"/>
      <c r="C351" s="269"/>
      <c r="D351" s="270"/>
      <c r="E351" s="271"/>
      <c r="F351" s="276"/>
      <c r="G351" s="273"/>
      <c r="H351" s="204"/>
      <c r="I351" s="204"/>
      <c r="J351" s="196"/>
      <c r="K351" s="202"/>
      <c r="L351" s="192" t="str">
        <f>IFERROR(__xludf.DUMMYFUNCTION("IF(
  AND(D351=""Saída"", J351=""Sangria""),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198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94" t="str">
        <f>IFERROR(__xludf.DUMMYFUNCTION("ifna(VALUE(REGEXEXTRACT(E351,""[0-9.]+[,]+[0-9]+"")))"),"")</f>
        <v/>
      </c>
      <c r="O351" s="194"/>
      <c r="P351" s="194"/>
      <c r="Q351" s="194"/>
      <c r="R351" s="194"/>
      <c r="S351" s="194"/>
      <c r="T351" s="194"/>
      <c r="U351" s="194"/>
      <c r="V351" s="194"/>
      <c r="W351" s="194"/>
    </row>
    <row r="352" ht="14.25" customHeight="1">
      <c r="A352" s="31"/>
      <c r="B352" s="268"/>
      <c r="C352" s="269"/>
      <c r="D352" s="270"/>
      <c r="E352" s="271"/>
      <c r="F352" s="272"/>
      <c r="G352" s="273"/>
      <c r="H352" s="204"/>
      <c r="I352" s="204"/>
      <c r="J352" s="196"/>
      <c r="K352" s="196"/>
      <c r="L352" s="192" t="str">
        <f>IFERROR(__xludf.DUMMYFUNCTION("IF(
  AND(D352=""Saída"", J352=""Sangria""),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197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94" t="str">
        <f>IFERROR(__xludf.DUMMYFUNCTION("ifna(VALUE(REGEXEXTRACT(E352,""[0-9.]+[,]+[0-9]+"")))"),"")</f>
        <v/>
      </c>
      <c r="O352" s="194"/>
      <c r="P352" s="194"/>
      <c r="Q352" s="194"/>
      <c r="R352" s="194"/>
      <c r="S352" s="194"/>
      <c r="T352" s="194"/>
      <c r="U352" s="194"/>
      <c r="V352" s="194"/>
      <c r="W352" s="194"/>
    </row>
    <row r="353" ht="14.25" customHeight="1">
      <c r="A353" s="31"/>
      <c r="B353" s="268"/>
      <c r="C353" s="269"/>
      <c r="D353" s="270"/>
      <c r="E353" s="271"/>
      <c r="F353" s="276"/>
      <c r="G353" s="273"/>
      <c r="H353" s="204"/>
      <c r="I353" s="204"/>
      <c r="J353" s="196"/>
      <c r="K353" s="196"/>
      <c r="L353" s="192" t="str">
        <f>IFERROR(__xludf.DUMMYFUNCTION("IF(
  AND(D353=""Saída"", J353=""Sangria""),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198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94" t="str">
        <f>IFERROR(__xludf.DUMMYFUNCTION("ifna(VALUE(REGEXEXTRACT(E353,""[0-9.]+[,]+[0-9]+"")))"),"")</f>
        <v/>
      </c>
      <c r="O353" s="194"/>
      <c r="P353" s="194"/>
      <c r="Q353" s="194"/>
      <c r="R353" s="194"/>
      <c r="S353" s="194"/>
      <c r="T353" s="194"/>
      <c r="U353" s="194"/>
      <c r="V353" s="194"/>
      <c r="W353" s="194"/>
    </row>
    <row r="354" ht="14.25" customHeight="1">
      <c r="A354" s="31"/>
      <c r="B354" s="268"/>
      <c r="C354" s="269"/>
      <c r="D354" s="270"/>
      <c r="E354" s="271"/>
      <c r="F354" s="272"/>
      <c r="G354" s="273"/>
      <c r="H354" s="204"/>
      <c r="I354" s="204"/>
      <c r="J354" s="196"/>
      <c r="K354" s="196"/>
      <c r="L354" s="192" t="str">
        <f>IFERROR(__xludf.DUMMYFUNCTION("IF(
  AND(D354=""Saída"", J354=""Sangria""),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197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94" t="str">
        <f>IFERROR(__xludf.DUMMYFUNCTION("ifna(VALUE(REGEXEXTRACT(E354,""[0-9.]+[,]+[0-9]+"")))"),"")</f>
        <v/>
      </c>
      <c r="O354" s="194"/>
      <c r="P354" s="194"/>
      <c r="Q354" s="194"/>
      <c r="R354" s="194"/>
      <c r="S354" s="194"/>
      <c r="T354" s="194"/>
      <c r="U354" s="194"/>
      <c r="V354" s="194"/>
      <c r="W354" s="194"/>
    </row>
    <row r="355" ht="14.25" customHeight="1">
      <c r="A355" s="31"/>
      <c r="B355" s="268"/>
      <c r="C355" s="269"/>
      <c r="D355" s="270"/>
      <c r="E355" s="271"/>
      <c r="F355" s="272"/>
      <c r="G355" s="273"/>
      <c r="H355" s="204"/>
      <c r="I355" s="204"/>
      <c r="J355" s="196"/>
      <c r="K355" s="196"/>
      <c r="L355" s="192" t="str">
        <f>IFERROR(__xludf.DUMMYFUNCTION("IF(
  AND(D355=""Saída"", J355=""Sangria""),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198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94" t="str">
        <f>IFERROR(__xludf.DUMMYFUNCTION("ifna(VALUE(REGEXEXTRACT(E355,""[0-9.]+[,]+[0-9]+"")))"),"")</f>
        <v/>
      </c>
      <c r="O355" s="194"/>
      <c r="P355" s="194"/>
      <c r="Q355" s="194"/>
      <c r="R355" s="194"/>
      <c r="S355" s="194"/>
      <c r="T355" s="194"/>
      <c r="U355" s="194"/>
      <c r="V355" s="194"/>
      <c r="W355" s="194"/>
    </row>
    <row r="356" ht="14.25" customHeight="1">
      <c r="A356" s="31"/>
      <c r="B356" s="268"/>
      <c r="C356" s="269"/>
      <c r="D356" s="270"/>
      <c r="E356" s="271"/>
      <c r="F356" s="272"/>
      <c r="G356" s="273"/>
      <c r="H356" s="204"/>
      <c r="I356" s="204"/>
      <c r="J356" s="196"/>
      <c r="K356" s="196"/>
      <c r="L356" s="192" t="str">
        <f>IFERROR(__xludf.DUMMYFUNCTION("IF(
  AND(D356=""Saída"", J356=""Sangria""),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197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94" t="str">
        <f>IFERROR(__xludf.DUMMYFUNCTION("ifna(VALUE(REGEXEXTRACT(E356,""[0-9.]+[,]+[0-9]+"")))"),"")</f>
        <v/>
      </c>
      <c r="O356" s="194"/>
      <c r="P356" s="194"/>
      <c r="Q356" s="194"/>
      <c r="R356" s="194"/>
      <c r="S356" s="194"/>
      <c r="T356" s="194"/>
      <c r="U356" s="194"/>
      <c r="V356" s="194"/>
      <c r="W356" s="194"/>
    </row>
    <row r="357" ht="14.25" customHeight="1">
      <c r="A357" s="31"/>
      <c r="B357" s="268"/>
      <c r="C357" s="269"/>
      <c r="D357" s="270"/>
      <c r="E357" s="275"/>
      <c r="F357" s="272"/>
      <c r="G357" s="273"/>
      <c r="H357" s="204"/>
      <c r="I357" s="204"/>
      <c r="J357" s="196"/>
      <c r="K357" s="196"/>
      <c r="L357" s="192" t="str">
        <f>IFERROR(__xludf.DUMMYFUNCTION("IF(
  AND(D357=""Saída"", J357=""Sangria""),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198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94" t="str">
        <f>IFERROR(__xludf.DUMMYFUNCTION("ifna(VALUE(REGEXEXTRACT(E357,""[0-9.]+[,]+[0-9]+"")))"),"")</f>
        <v/>
      </c>
      <c r="O357" s="194"/>
      <c r="P357" s="194"/>
      <c r="Q357" s="194"/>
      <c r="R357" s="194"/>
      <c r="S357" s="194"/>
      <c r="T357" s="194"/>
      <c r="U357" s="194"/>
      <c r="V357" s="194"/>
      <c r="W357" s="194"/>
    </row>
    <row r="358" ht="14.25" customHeight="1">
      <c r="A358" s="31"/>
      <c r="B358" s="268"/>
      <c r="C358" s="269"/>
      <c r="D358" s="270"/>
      <c r="E358" s="271"/>
      <c r="F358" s="272"/>
      <c r="G358" s="273"/>
      <c r="H358" s="204"/>
      <c r="I358" s="204"/>
      <c r="J358" s="196"/>
      <c r="K358" s="202"/>
      <c r="L358" s="192" t="str">
        <f>IFERROR(__xludf.DUMMYFUNCTION("IF(
  AND(D358=""Saída"", J358=""Sangria""),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197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94" t="str">
        <f>IFERROR(__xludf.DUMMYFUNCTION("ifna(VALUE(REGEXEXTRACT(E358,""[0-9.]+[,]+[0-9]+"")))"),"")</f>
        <v/>
      </c>
      <c r="O358" s="194"/>
      <c r="P358" s="194"/>
      <c r="Q358" s="194"/>
      <c r="R358" s="194"/>
      <c r="S358" s="194"/>
      <c r="T358" s="194"/>
      <c r="U358" s="194"/>
      <c r="V358" s="194"/>
      <c r="W358" s="194"/>
    </row>
    <row r="359" ht="14.25" customHeight="1">
      <c r="A359" s="31"/>
      <c r="B359" s="268"/>
      <c r="C359" s="269"/>
      <c r="D359" s="270"/>
      <c r="E359" s="271"/>
      <c r="F359" s="272"/>
      <c r="G359" s="273"/>
      <c r="H359" s="204"/>
      <c r="I359" s="204"/>
      <c r="J359" s="196"/>
      <c r="K359" s="202"/>
      <c r="L359" s="192" t="str">
        <f>IFERROR(__xludf.DUMMYFUNCTION("IF(
  AND(D359=""Saída"", J359=""Sangria""),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198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94" t="str">
        <f>IFERROR(__xludf.DUMMYFUNCTION("ifna(VALUE(REGEXEXTRACT(E359,""[0-9.]+[,]+[0-9]+"")))"),"")</f>
        <v/>
      </c>
      <c r="O359" s="194"/>
      <c r="P359" s="194"/>
      <c r="Q359" s="194"/>
      <c r="R359" s="194"/>
      <c r="S359" s="194"/>
      <c r="T359" s="194"/>
      <c r="U359" s="194"/>
      <c r="V359" s="194"/>
      <c r="W359" s="194"/>
    </row>
    <row r="360" ht="14.25" customHeight="1">
      <c r="A360" s="31"/>
      <c r="B360" s="268"/>
      <c r="C360" s="269"/>
      <c r="D360" s="270"/>
      <c r="E360" s="271"/>
      <c r="F360" s="272"/>
      <c r="G360" s="273"/>
      <c r="H360" s="204"/>
      <c r="I360" s="204"/>
      <c r="J360" s="196"/>
      <c r="K360" s="196"/>
      <c r="L360" s="192" t="str">
        <f>IFERROR(__xludf.DUMMYFUNCTION("IF(
  AND(D360=""Saída"", J360=""Sangria""),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197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94" t="str">
        <f>IFERROR(__xludf.DUMMYFUNCTION("ifna(VALUE(REGEXEXTRACT(E360,""[0-9.]+[,]+[0-9]+"")))"),"")</f>
        <v/>
      </c>
      <c r="O360" s="194"/>
      <c r="P360" s="194"/>
      <c r="Q360" s="194"/>
      <c r="R360" s="194"/>
      <c r="S360" s="194"/>
      <c r="T360" s="194"/>
      <c r="U360" s="194"/>
      <c r="V360" s="194"/>
      <c r="W360" s="194"/>
    </row>
    <row r="361" ht="14.25" customHeight="1">
      <c r="A361" s="31"/>
      <c r="B361" s="268"/>
      <c r="C361" s="269"/>
      <c r="D361" s="270"/>
      <c r="E361" s="271"/>
      <c r="F361" s="272"/>
      <c r="G361" s="273"/>
      <c r="H361" s="204"/>
      <c r="I361" s="204"/>
      <c r="J361" s="196"/>
      <c r="K361" s="196"/>
      <c r="L361" s="192" t="str">
        <f>IFERROR(__xludf.DUMMYFUNCTION("IF(
  AND(D361=""Saída"", J361=""Sangria""),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198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94" t="str">
        <f>IFERROR(__xludf.DUMMYFUNCTION("ifna(VALUE(REGEXEXTRACT(E361,""[0-9.]+[,]+[0-9]+"")))"),"")</f>
        <v/>
      </c>
      <c r="O361" s="194"/>
      <c r="P361" s="194"/>
      <c r="Q361" s="194"/>
      <c r="R361" s="194"/>
      <c r="S361" s="194"/>
      <c r="T361" s="194"/>
      <c r="U361" s="194"/>
      <c r="V361" s="194"/>
      <c r="W361" s="194"/>
    </row>
    <row r="362" ht="14.25" customHeight="1">
      <c r="A362" s="31"/>
      <c r="B362" s="268"/>
      <c r="C362" s="269"/>
      <c r="D362" s="270"/>
      <c r="E362" s="271"/>
      <c r="F362" s="272"/>
      <c r="G362" s="273"/>
      <c r="H362" s="204"/>
      <c r="I362" s="204"/>
      <c r="J362" s="196"/>
      <c r="K362" s="196"/>
      <c r="L362" s="192" t="str">
        <f>IFERROR(__xludf.DUMMYFUNCTION("IF(
  AND(D362=""Saída"", J362=""Sangria""),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197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94" t="str">
        <f>IFERROR(__xludf.DUMMYFUNCTION("ifna(VALUE(REGEXEXTRACT(E362,""[0-9.]+[,]+[0-9]+"")))"),"")</f>
        <v/>
      </c>
      <c r="O362" s="194"/>
      <c r="P362" s="194"/>
      <c r="Q362" s="194"/>
      <c r="R362" s="194"/>
      <c r="S362" s="194"/>
      <c r="T362" s="194"/>
      <c r="U362" s="194"/>
      <c r="V362" s="194"/>
      <c r="W362" s="194"/>
    </row>
    <row r="363" ht="14.25" customHeight="1">
      <c r="A363" s="31"/>
      <c r="B363" s="268"/>
      <c r="C363" s="269"/>
      <c r="D363" s="270"/>
      <c r="E363" s="271"/>
      <c r="F363" s="276"/>
      <c r="G363" s="273"/>
      <c r="H363" s="204"/>
      <c r="I363" s="204"/>
      <c r="J363" s="196"/>
      <c r="K363" s="196"/>
      <c r="L363" s="192" t="str">
        <f>IFERROR(__xludf.DUMMYFUNCTION("IF(
  AND(D363=""Saída"", J363=""Sangria""),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198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94" t="str">
        <f>IFERROR(__xludf.DUMMYFUNCTION("ifna(VALUE(REGEXEXTRACT(E363,""[0-9.]+[,]+[0-9]+"")))"),"")</f>
        <v/>
      </c>
      <c r="O363" s="194"/>
      <c r="P363" s="194"/>
      <c r="Q363" s="194"/>
      <c r="R363" s="194"/>
      <c r="S363" s="194"/>
      <c r="T363" s="194"/>
      <c r="U363" s="194"/>
      <c r="V363" s="194"/>
      <c r="W363" s="194"/>
    </row>
    <row r="364" ht="14.25" customHeight="1">
      <c r="A364" s="31"/>
      <c r="B364" s="268"/>
      <c r="C364" s="269"/>
      <c r="D364" s="270"/>
      <c r="E364" s="271"/>
      <c r="F364" s="272"/>
      <c r="G364" s="273"/>
      <c r="H364" s="204"/>
      <c r="I364" s="204"/>
      <c r="J364" s="196"/>
      <c r="K364" s="196"/>
      <c r="L364" s="192" t="str">
        <f>IFERROR(__xludf.DUMMYFUNCTION("IF(
  AND(D364=""Saída"", J364=""Sangria""),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197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94" t="str">
        <f>IFERROR(__xludf.DUMMYFUNCTION("ifna(VALUE(REGEXEXTRACT(E364,""[0-9.]+[,]+[0-9]+"")))"),"")</f>
        <v/>
      </c>
      <c r="O364" s="194"/>
      <c r="P364" s="194"/>
      <c r="Q364" s="194"/>
      <c r="R364" s="194"/>
      <c r="S364" s="194"/>
      <c r="T364" s="194"/>
      <c r="U364" s="194"/>
      <c r="V364" s="194"/>
      <c r="W364" s="194"/>
    </row>
    <row r="365" ht="14.25" customHeight="1">
      <c r="A365" s="31"/>
      <c r="B365" s="268"/>
      <c r="C365" s="269"/>
      <c r="D365" s="270"/>
      <c r="E365" s="271"/>
      <c r="F365" s="272"/>
      <c r="G365" s="273"/>
      <c r="H365" s="204"/>
      <c r="I365" s="204"/>
      <c r="J365" s="196"/>
      <c r="K365" s="196"/>
      <c r="L365" s="192" t="str">
        <f>IFERROR(__xludf.DUMMYFUNCTION("IF(
  AND(D365=""Saída"", J365=""Sangria""),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198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94" t="str">
        <f>IFERROR(__xludf.DUMMYFUNCTION("ifna(VALUE(REGEXEXTRACT(E365,""[0-9.]+[,]+[0-9]+"")))"),"")</f>
        <v/>
      </c>
      <c r="O365" s="194"/>
      <c r="P365" s="194"/>
      <c r="Q365" s="194"/>
      <c r="R365" s="194"/>
      <c r="S365" s="194"/>
      <c r="T365" s="194"/>
      <c r="U365" s="194"/>
      <c r="V365" s="194"/>
      <c r="W365" s="194"/>
    </row>
    <row r="366" ht="14.25" customHeight="1">
      <c r="A366" s="31"/>
      <c r="B366" s="268"/>
      <c r="C366" s="269"/>
      <c r="D366" s="270"/>
      <c r="E366" s="271"/>
      <c r="F366" s="272"/>
      <c r="G366" s="273"/>
      <c r="H366" s="204"/>
      <c r="I366" s="204"/>
      <c r="J366" s="196"/>
      <c r="K366" s="196"/>
      <c r="L366" s="192" t="str">
        <f>IFERROR(__xludf.DUMMYFUNCTION("IF(
  AND(D366=""Saída"", J366=""Sangria""),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197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94" t="str">
        <f>IFERROR(__xludf.DUMMYFUNCTION("ifna(VALUE(REGEXEXTRACT(E366,""[0-9.]+[,]+[0-9]+"")))"),"")</f>
        <v/>
      </c>
      <c r="O366" s="194"/>
      <c r="P366" s="194"/>
      <c r="Q366" s="194"/>
      <c r="R366" s="194"/>
      <c r="S366" s="194"/>
      <c r="T366" s="194"/>
      <c r="U366" s="194"/>
      <c r="V366" s="194"/>
      <c r="W366" s="194"/>
    </row>
    <row r="367" ht="14.25" customHeight="1">
      <c r="A367" s="31"/>
      <c r="B367" s="268"/>
      <c r="C367" s="269"/>
      <c r="D367" s="270"/>
      <c r="E367" s="271"/>
      <c r="F367" s="272"/>
      <c r="G367" s="273"/>
      <c r="H367" s="204"/>
      <c r="I367" s="204"/>
      <c r="J367" s="196"/>
      <c r="K367" s="202"/>
      <c r="L367" s="192" t="str">
        <f>IFERROR(__xludf.DUMMYFUNCTION("IF(
  AND(D367=""Saída"", J367=""Sangria""),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198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94" t="str">
        <f>IFERROR(__xludf.DUMMYFUNCTION("ifna(VALUE(REGEXEXTRACT(E367,""[0-9.]+[,]+[0-9]+"")))"),"")</f>
        <v/>
      </c>
      <c r="O367" s="194"/>
      <c r="P367" s="194"/>
      <c r="Q367" s="194"/>
      <c r="R367" s="194"/>
      <c r="S367" s="194"/>
      <c r="T367" s="194"/>
      <c r="U367" s="194"/>
      <c r="V367" s="194"/>
      <c r="W367" s="194"/>
    </row>
    <row r="368" ht="14.25" customHeight="1">
      <c r="A368" s="31"/>
      <c r="B368" s="268"/>
      <c r="C368" s="269"/>
      <c r="D368" s="270"/>
      <c r="E368" s="271"/>
      <c r="F368" s="272"/>
      <c r="G368" s="273"/>
      <c r="H368" s="204"/>
      <c r="I368" s="204"/>
      <c r="J368" s="196"/>
      <c r="K368" s="202"/>
      <c r="L368" s="192" t="str">
        <f>IFERROR(__xludf.DUMMYFUNCTION("IF(
  AND(D368=""Saída"", J368=""Sangria""),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197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94" t="str">
        <f>IFERROR(__xludf.DUMMYFUNCTION("ifna(VALUE(REGEXEXTRACT(E368,""[0-9.]+[,]+[0-9]+"")))"),"")</f>
        <v/>
      </c>
      <c r="O368" s="194"/>
      <c r="P368" s="194"/>
      <c r="Q368" s="194"/>
      <c r="R368" s="194"/>
      <c r="S368" s="194"/>
      <c r="T368" s="194"/>
      <c r="U368" s="194"/>
      <c r="V368" s="194"/>
      <c r="W368" s="194"/>
    </row>
    <row r="369" ht="14.25" customHeight="1">
      <c r="A369" s="31"/>
      <c r="B369" s="268"/>
      <c r="C369" s="269"/>
      <c r="D369" s="270"/>
      <c r="E369" s="271"/>
      <c r="F369" s="276"/>
      <c r="G369" s="273"/>
      <c r="H369" s="204"/>
      <c r="I369" s="204"/>
      <c r="J369" s="196"/>
      <c r="K369" s="196"/>
      <c r="L369" s="192" t="str">
        <f>IFERROR(__xludf.DUMMYFUNCTION("IF(
  AND(D369=""Saída"", J369=""Sangria""),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198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94" t="str">
        <f>IFERROR(__xludf.DUMMYFUNCTION("ifna(VALUE(REGEXEXTRACT(E369,""[0-9.]+[,]+[0-9]+"")))"),"")</f>
        <v/>
      </c>
      <c r="O369" s="194"/>
      <c r="P369" s="194"/>
      <c r="Q369" s="194"/>
      <c r="R369" s="194"/>
      <c r="S369" s="194"/>
      <c r="T369" s="194"/>
      <c r="U369" s="194"/>
      <c r="V369" s="194"/>
      <c r="W369" s="194"/>
    </row>
    <row r="370" ht="14.25" customHeight="1">
      <c r="A370" s="31"/>
      <c r="B370" s="268"/>
      <c r="C370" s="269"/>
      <c r="D370" s="270"/>
      <c r="E370" s="271"/>
      <c r="F370" s="272"/>
      <c r="G370" s="273"/>
      <c r="H370" s="204"/>
      <c r="I370" s="204"/>
      <c r="J370" s="196"/>
      <c r="K370" s="196"/>
      <c r="L370" s="192" t="str">
        <f>IFERROR(__xludf.DUMMYFUNCTION("IF(
  AND(D370=""Saída"", J370=""Sangria""),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197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94" t="str">
        <f>IFERROR(__xludf.DUMMYFUNCTION("ifna(VALUE(REGEXEXTRACT(E370,""[0-9.]+[,]+[0-9]+"")))"),"")</f>
        <v/>
      </c>
      <c r="O370" s="194"/>
      <c r="P370" s="194"/>
      <c r="Q370" s="194"/>
      <c r="R370" s="194"/>
      <c r="S370" s="194"/>
      <c r="T370" s="194"/>
      <c r="U370" s="194"/>
      <c r="V370" s="194"/>
      <c r="W370" s="194"/>
    </row>
    <row r="371" ht="14.25" customHeight="1">
      <c r="A371" s="31"/>
      <c r="B371" s="268"/>
      <c r="C371" s="269"/>
      <c r="D371" s="270"/>
      <c r="E371" s="271"/>
      <c r="F371" s="272"/>
      <c r="G371" s="273"/>
      <c r="H371" s="204"/>
      <c r="I371" s="204"/>
      <c r="J371" s="196"/>
      <c r="K371" s="196"/>
      <c r="L371" s="192" t="str">
        <f>IFERROR(__xludf.DUMMYFUNCTION("IF(
  AND(D371=""Saída"", J371=""Sangria""),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198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94" t="str">
        <f>IFERROR(__xludf.DUMMYFUNCTION("ifna(VALUE(REGEXEXTRACT(E371,""[0-9.]+[,]+[0-9]+"")))"),"")</f>
        <v/>
      </c>
      <c r="O371" s="194"/>
      <c r="P371" s="194"/>
      <c r="Q371" s="194"/>
      <c r="R371" s="194"/>
      <c r="S371" s="194"/>
      <c r="T371" s="194"/>
      <c r="U371" s="194"/>
      <c r="V371" s="194"/>
      <c r="W371" s="194"/>
    </row>
    <row r="372" ht="14.25" customHeight="1">
      <c r="A372" s="31"/>
      <c r="B372" s="268"/>
      <c r="C372" s="269"/>
      <c r="D372" s="270"/>
      <c r="E372" s="271"/>
      <c r="F372" s="276"/>
      <c r="G372" s="273"/>
      <c r="H372" s="204"/>
      <c r="I372" s="204"/>
      <c r="J372" s="196"/>
      <c r="K372" s="196"/>
      <c r="L372" s="192" t="str">
        <f>IFERROR(__xludf.DUMMYFUNCTION("IF(
  AND(D372=""Saída"", J372=""Sangria""),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197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94" t="str">
        <f>IFERROR(__xludf.DUMMYFUNCTION("ifna(VALUE(REGEXEXTRACT(E372,""[0-9.]+[,]+[0-9]+"")))"),"")</f>
        <v/>
      </c>
      <c r="O372" s="194"/>
      <c r="P372" s="194"/>
      <c r="Q372" s="194"/>
      <c r="R372" s="194"/>
      <c r="S372" s="194"/>
      <c r="T372" s="194"/>
      <c r="U372" s="194"/>
      <c r="V372" s="194"/>
      <c r="W372" s="194"/>
    </row>
    <row r="373" ht="14.25" customHeight="1">
      <c r="A373" s="31"/>
      <c r="B373" s="268"/>
      <c r="C373" s="269"/>
      <c r="D373" s="270"/>
      <c r="E373" s="271"/>
      <c r="F373" s="272"/>
      <c r="G373" s="273"/>
      <c r="H373" s="204"/>
      <c r="I373" s="204"/>
      <c r="J373" s="196"/>
      <c r="K373" s="196"/>
      <c r="L373" s="192" t="str">
        <f>IFERROR(__xludf.DUMMYFUNCTION("IF(
  AND(D373=""Saída"", J373=""Sangria""),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198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94" t="str">
        <f>IFERROR(__xludf.DUMMYFUNCTION("ifna(VALUE(REGEXEXTRACT(E373,""[0-9.]+[,]+[0-9]+"")))"),"")</f>
        <v/>
      </c>
      <c r="O373" s="194"/>
      <c r="P373" s="194"/>
      <c r="Q373" s="194"/>
      <c r="R373" s="194"/>
      <c r="S373" s="194"/>
      <c r="T373" s="194"/>
      <c r="U373" s="194"/>
      <c r="V373" s="194"/>
      <c r="W373" s="194"/>
    </row>
    <row r="374" ht="14.25" customHeight="1">
      <c r="A374" s="31"/>
      <c r="B374" s="268"/>
      <c r="C374" s="212"/>
      <c r="D374" s="270"/>
      <c r="E374" s="271"/>
      <c r="F374" s="272"/>
      <c r="G374" s="273"/>
      <c r="H374" s="204"/>
      <c r="I374" s="204"/>
      <c r="J374" s="196"/>
      <c r="K374" s="202"/>
      <c r="L374" s="192" t="str">
        <f>IFERROR(__xludf.DUMMYFUNCTION("IF(
  AND(D374=""Saída"", J374=""Sangria""),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197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94" t="str">
        <f>IFERROR(__xludf.DUMMYFUNCTION("ifna(VALUE(REGEXEXTRACT(E374,""[0-9.]+[,]+[0-9]+"")))"),"")</f>
        <v/>
      </c>
      <c r="O374" s="194"/>
      <c r="P374" s="194"/>
      <c r="Q374" s="194"/>
      <c r="R374" s="194"/>
      <c r="S374" s="194"/>
      <c r="T374" s="194"/>
      <c r="U374" s="194"/>
      <c r="V374" s="194"/>
      <c r="W374" s="194"/>
    </row>
    <row r="375" ht="14.25" customHeight="1">
      <c r="A375" s="31"/>
      <c r="B375" s="268"/>
      <c r="C375" s="212"/>
      <c r="D375" s="270"/>
      <c r="E375" s="271"/>
      <c r="F375" s="272"/>
      <c r="G375" s="284"/>
      <c r="H375" s="204"/>
      <c r="I375" s="204"/>
      <c r="J375" s="196"/>
      <c r="K375" s="196"/>
      <c r="L375" s="192" t="str">
        <f>IFERROR(__xludf.DUMMYFUNCTION("IF(
  AND(D375=""Saída"", J375=""Sangria""),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198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94" t="str">
        <f>IFERROR(__xludf.DUMMYFUNCTION("ifna(VALUE(REGEXEXTRACT(E375,""[0-9.]+[,]+[0-9]+"")))"),"")</f>
        <v/>
      </c>
      <c r="O375" s="194"/>
      <c r="P375" s="194"/>
      <c r="Q375" s="194"/>
      <c r="R375" s="194"/>
      <c r="S375" s="194"/>
      <c r="T375" s="194"/>
      <c r="U375" s="194"/>
      <c r="V375" s="194"/>
      <c r="W375" s="194"/>
    </row>
    <row r="376" ht="14.25" customHeight="1">
      <c r="A376" s="31"/>
      <c r="B376" s="268"/>
      <c r="C376" s="269"/>
      <c r="D376" s="270"/>
      <c r="E376" s="271"/>
      <c r="F376" s="272"/>
      <c r="G376" s="273"/>
      <c r="H376" s="204"/>
      <c r="I376" s="204"/>
      <c r="J376" s="196"/>
      <c r="K376" s="196"/>
      <c r="L376" s="192" t="str">
        <f>IFERROR(__xludf.DUMMYFUNCTION("IF(
  AND(D376=""Saída"", J376=""Sangria""),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197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94" t="str">
        <f>IFERROR(__xludf.DUMMYFUNCTION("ifna(VALUE(REGEXEXTRACT(E376,""[0-9.]+[,]+[0-9]+"")))"),"")</f>
        <v/>
      </c>
      <c r="O376" s="194"/>
      <c r="P376" s="194"/>
      <c r="Q376" s="194"/>
      <c r="R376" s="194"/>
      <c r="S376" s="194"/>
      <c r="T376" s="194"/>
      <c r="U376" s="194"/>
      <c r="V376" s="194"/>
      <c r="W376" s="194"/>
    </row>
    <row r="377" ht="14.25" customHeight="1">
      <c r="A377" s="31"/>
      <c r="B377" s="268"/>
      <c r="C377" s="269"/>
      <c r="D377" s="270"/>
      <c r="E377" s="271"/>
      <c r="F377" s="272"/>
      <c r="G377" s="273"/>
      <c r="H377" s="204"/>
      <c r="I377" s="204"/>
      <c r="J377" s="212"/>
      <c r="K377" s="196"/>
      <c r="L377" s="192" t="str">
        <f>IFERROR(__xludf.DUMMYFUNCTION("IF(
  AND(D377=""Saída"", J377=""Sangria""),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198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94" t="str">
        <f>IFERROR(__xludf.DUMMYFUNCTION("ifna(VALUE(REGEXEXTRACT(E377,""[0-9.]+[,]+[0-9]+"")))"),"")</f>
        <v/>
      </c>
      <c r="O377" s="194"/>
      <c r="P377" s="194"/>
      <c r="Q377" s="194"/>
      <c r="R377" s="194"/>
      <c r="S377" s="194"/>
      <c r="T377" s="194"/>
      <c r="U377" s="194"/>
      <c r="V377" s="194"/>
      <c r="W377" s="194"/>
    </row>
    <row r="378" ht="14.25" customHeight="1">
      <c r="A378" s="31"/>
      <c r="B378" s="268"/>
      <c r="C378" s="269"/>
      <c r="D378" s="270"/>
      <c r="E378" s="271"/>
      <c r="F378" s="272"/>
      <c r="G378" s="273"/>
      <c r="H378" s="204"/>
      <c r="I378" s="204"/>
      <c r="J378" s="196"/>
      <c r="K378" s="202"/>
      <c r="L378" s="192" t="str">
        <f>IFERROR(__xludf.DUMMYFUNCTION("IF(
  AND(D378=""Saída"", J378=""Sangria""),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197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94" t="str">
        <f>IFERROR(__xludf.DUMMYFUNCTION("ifna(VALUE(REGEXEXTRACT(E378,""[0-9.]+[,]+[0-9]+"")))"),"")</f>
        <v/>
      </c>
      <c r="O378" s="194"/>
      <c r="P378" s="194"/>
      <c r="Q378" s="194"/>
      <c r="R378" s="194"/>
      <c r="S378" s="194"/>
      <c r="T378" s="194"/>
      <c r="U378" s="194"/>
      <c r="V378" s="194"/>
      <c r="W378" s="194"/>
    </row>
    <row r="379" ht="14.25" customHeight="1">
      <c r="A379" s="31"/>
      <c r="B379" s="268"/>
      <c r="C379" s="269"/>
      <c r="D379" s="270"/>
      <c r="E379" s="271"/>
      <c r="F379" s="272"/>
      <c r="G379" s="273"/>
      <c r="H379" s="204"/>
      <c r="I379" s="204"/>
      <c r="J379" s="196"/>
      <c r="K379" s="202"/>
      <c r="L379" s="192" t="str">
        <f>IFERROR(__xludf.DUMMYFUNCTION("IF(
  AND(D379=""Saída"", J379=""Sangria""),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198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94" t="str">
        <f>IFERROR(__xludf.DUMMYFUNCTION("ifna(VALUE(REGEXEXTRACT(E379,""[0-9.]+[,]+[0-9]+"")))"),"")</f>
        <v/>
      </c>
      <c r="O379" s="194"/>
      <c r="P379" s="194"/>
      <c r="Q379" s="194"/>
      <c r="R379" s="194"/>
      <c r="S379" s="194"/>
      <c r="T379" s="194"/>
      <c r="U379" s="194"/>
      <c r="V379" s="194"/>
      <c r="W379" s="194"/>
    </row>
    <row r="380" ht="14.25" customHeight="1">
      <c r="A380" s="31"/>
      <c r="B380" s="285"/>
      <c r="C380" s="212"/>
      <c r="D380" s="270"/>
      <c r="E380" s="271"/>
      <c r="F380" s="272"/>
      <c r="G380" s="273"/>
      <c r="H380" s="204"/>
      <c r="I380" s="204"/>
      <c r="J380" s="196"/>
      <c r="K380" s="196"/>
      <c r="L380" s="192" t="str">
        <f>IFERROR(__xludf.DUMMYFUNCTION("IF(
  AND(D380=""Saída"", J380=""Sangria""),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197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94" t="str">
        <f>IFERROR(__xludf.DUMMYFUNCTION("ifna(VALUE(REGEXEXTRACT(E380,""[0-9.]+[,]+[0-9]+"")))"),"")</f>
        <v/>
      </c>
      <c r="O380" s="194"/>
      <c r="P380" s="194"/>
      <c r="Q380" s="194"/>
      <c r="R380" s="194"/>
      <c r="S380" s="194"/>
      <c r="T380" s="194"/>
      <c r="U380" s="194"/>
      <c r="V380" s="194"/>
      <c r="W380" s="194"/>
    </row>
    <row r="381" ht="14.25" customHeight="1">
      <c r="A381" s="31"/>
      <c r="B381" s="268"/>
      <c r="C381" s="212"/>
      <c r="D381" s="270"/>
      <c r="E381" s="271"/>
      <c r="F381" s="272"/>
      <c r="G381" s="273"/>
      <c r="H381" s="204"/>
      <c r="I381" s="204"/>
      <c r="J381" s="196"/>
      <c r="K381" s="202"/>
      <c r="L381" s="192" t="str">
        <f>IFERROR(__xludf.DUMMYFUNCTION("IF(
  AND(D381=""Saída"", J381=""Sangria""),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198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94" t="str">
        <f>IFERROR(__xludf.DUMMYFUNCTION("ifna(VALUE(REGEXEXTRACT(E381,""[0-9.]+[,]+[0-9]+"")))"),"")</f>
        <v/>
      </c>
      <c r="O381" s="194"/>
      <c r="P381" s="194"/>
      <c r="Q381" s="194"/>
      <c r="R381" s="194"/>
      <c r="S381" s="194"/>
      <c r="T381" s="194"/>
      <c r="U381" s="194"/>
      <c r="V381" s="194"/>
      <c r="W381" s="194"/>
    </row>
    <row r="382" ht="14.25" customHeight="1">
      <c r="A382" s="31"/>
      <c r="B382" s="268"/>
      <c r="C382" s="269"/>
      <c r="D382" s="270"/>
      <c r="E382" s="271"/>
      <c r="F382" s="276"/>
      <c r="G382" s="273"/>
      <c r="H382" s="204"/>
      <c r="I382" s="204"/>
      <c r="J382" s="196"/>
      <c r="K382" s="202"/>
      <c r="L382" s="192" t="str">
        <f>IFERROR(__xludf.DUMMYFUNCTION("IF(
  AND(D382=""Saída"", J382=""Sangria""),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197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94" t="str">
        <f>IFERROR(__xludf.DUMMYFUNCTION("ifna(VALUE(REGEXEXTRACT(E382,""[0-9.]+[,]+[0-9]+"")))"),"")</f>
        <v/>
      </c>
      <c r="O382" s="194"/>
      <c r="P382" s="194"/>
      <c r="Q382" s="194"/>
      <c r="R382" s="194"/>
      <c r="S382" s="194"/>
      <c r="T382" s="194"/>
      <c r="U382" s="194"/>
      <c r="V382" s="194"/>
      <c r="W382" s="194"/>
    </row>
    <row r="383" ht="14.25" customHeight="1">
      <c r="A383" s="31"/>
      <c r="B383" s="268"/>
      <c r="C383" s="212"/>
      <c r="D383" s="270"/>
      <c r="E383" s="271"/>
      <c r="F383" s="272"/>
      <c r="G383" s="273"/>
      <c r="H383" s="204"/>
      <c r="I383" s="204"/>
      <c r="J383" s="196"/>
      <c r="K383" s="196"/>
      <c r="L383" s="192" t="str">
        <f>IFERROR(__xludf.DUMMYFUNCTION("IF(
  AND(D383=""Saída"", J383=""Sangria""),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198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94" t="str">
        <f>IFERROR(__xludf.DUMMYFUNCTION("ifna(VALUE(REGEXEXTRACT(E383,""[0-9.]+[,]+[0-9]+"")))"),"")</f>
        <v/>
      </c>
      <c r="O383" s="194"/>
      <c r="P383" s="194"/>
      <c r="Q383" s="194"/>
      <c r="R383" s="194"/>
      <c r="S383" s="194"/>
      <c r="T383" s="194"/>
      <c r="U383" s="194"/>
      <c r="V383" s="194"/>
      <c r="W383" s="194"/>
    </row>
    <row r="384" ht="14.25" customHeight="1">
      <c r="A384" s="31"/>
      <c r="B384" s="268"/>
      <c r="C384" s="269"/>
      <c r="D384" s="270"/>
      <c r="E384" s="271"/>
      <c r="F384" s="276"/>
      <c r="G384" s="273"/>
      <c r="H384" s="204"/>
      <c r="I384" s="204"/>
      <c r="J384" s="196"/>
      <c r="K384" s="196"/>
      <c r="L384" s="192" t="str">
        <f>IFERROR(__xludf.DUMMYFUNCTION("IF(
  AND(D384=""Saída"", J384=""Sangria""),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197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94" t="str">
        <f>IFERROR(__xludf.DUMMYFUNCTION("ifna(VALUE(REGEXEXTRACT(E384,""[0-9.]+[,]+[0-9]+"")))"),"")</f>
        <v/>
      </c>
      <c r="O384" s="194"/>
      <c r="P384" s="194"/>
      <c r="Q384" s="194"/>
      <c r="R384" s="194"/>
      <c r="S384" s="194"/>
      <c r="T384" s="194"/>
      <c r="U384" s="194"/>
      <c r="V384" s="194"/>
      <c r="W384" s="194"/>
    </row>
    <row r="385" ht="14.25" customHeight="1">
      <c r="A385" s="31"/>
      <c r="B385" s="268"/>
      <c r="C385" s="269"/>
      <c r="D385" s="270"/>
      <c r="E385" s="271"/>
      <c r="F385" s="276"/>
      <c r="G385" s="273"/>
      <c r="H385" s="204"/>
      <c r="I385" s="204"/>
      <c r="J385" s="196"/>
      <c r="K385" s="202"/>
      <c r="L385" s="192" t="str">
        <f>IFERROR(__xludf.DUMMYFUNCTION("IF(
  AND(D385=""Saída"", J385=""Sangria""),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198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94" t="str">
        <f>IFERROR(__xludf.DUMMYFUNCTION("ifna(VALUE(REGEXEXTRACT(E385,""[0-9.]+[,]+[0-9]+"")))"),"")</f>
        <v/>
      </c>
      <c r="O385" s="194"/>
      <c r="P385" s="194"/>
      <c r="Q385" s="194"/>
      <c r="R385" s="194"/>
      <c r="S385" s="194"/>
      <c r="T385" s="194"/>
      <c r="U385" s="194"/>
      <c r="V385" s="194"/>
      <c r="W385" s="194"/>
    </row>
    <row r="386" ht="14.25" customHeight="1">
      <c r="A386" s="31"/>
      <c r="B386" s="268"/>
      <c r="C386" s="269"/>
      <c r="D386" s="270"/>
      <c r="E386" s="271"/>
      <c r="F386" s="276"/>
      <c r="G386" s="273"/>
      <c r="H386" s="204"/>
      <c r="I386" s="204"/>
      <c r="J386" s="196"/>
      <c r="K386" s="202"/>
      <c r="L386" s="192" t="str">
        <f>IFERROR(__xludf.DUMMYFUNCTION("IF(
  AND(D386=""Saída"", J386=""Sangria""),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197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94" t="str">
        <f>IFERROR(__xludf.DUMMYFUNCTION("ifna(VALUE(REGEXEXTRACT(E386,""[0-9.]+[,]+[0-9]+"")))"),"")</f>
        <v/>
      </c>
      <c r="O386" s="194"/>
      <c r="P386" s="194"/>
      <c r="Q386" s="194"/>
      <c r="R386" s="194"/>
      <c r="S386" s="194"/>
      <c r="T386" s="194"/>
      <c r="U386" s="194"/>
      <c r="V386" s="194"/>
      <c r="W386" s="194"/>
    </row>
    <row r="387" ht="14.25" customHeight="1">
      <c r="A387" s="31"/>
      <c r="B387" s="268"/>
      <c r="C387" s="269"/>
      <c r="D387" s="270"/>
      <c r="E387" s="271"/>
      <c r="F387" s="276"/>
      <c r="G387" s="273"/>
      <c r="H387" s="204"/>
      <c r="I387" s="204"/>
      <c r="J387" s="196"/>
      <c r="K387" s="202"/>
      <c r="L387" s="192" t="str">
        <f>IFERROR(__xludf.DUMMYFUNCTION("IF(
  AND(D387=""Saída"", J387=""Sangria""),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198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94" t="str">
        <f>IFERROR(__xludf.DUMMYFUNCTION("ifna(VALUE(REGEXEXTRACT(E387,""[0-9.]+[,]+[0-9]+"")))"),"")</f>
        <v/>
      </c>
      <c r="O387" s="194"/>
      <c r="P387" s="194"/>
      <c r="Q387" s="194"/>
      <c r="R387" s="194"/>
      <c r="S387" s="194"/>
      <c r="T387" s="194"/>
      <c r="U387" s="194"/>
      <c r="V387" s="194"/>
      <c r="W387" s="194"/>
    </row>
    <row r="388" ht="14.25" customHeight="1">
      <c r="A388" s="31"/>
      <c r="B388" s="268"/>
      <c r="C388" s="269"/>
      <c r="D388" s="270"/>
      <c r="E388" s="271"/>
      <c r="F388" s="276"/>
      <c r="G388" s="273"/>
      <c r="H388" s="204"/>
      <c r="I388" s="204"/>
      <c r="J388" s="196"/>
      <c r="K388" s="202"/>
      <c r="L388" s="192" t="str">
        <f>IFERROR(__xludf.DUMMYFUNCTION("IF(
  AND(D388=""Saída"", J388=""Sangria""),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197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94" t="str">
        <f>IFERROR(__xludf.DUMMYFUNCTION("ifna(VALUE(REGEXEXTRACT(E388,""[0-9.]+[,]+[0-9]+"")))"),"")</f>
        <v/>
      </c>
      <c r="O388" s="194"/>
      <c r="P388" s="194"/>
      <c r="Q388" s="194"/>
      <c r="R388" s="194"/>
      <c r="S388" s="194"/>
      <c r="T388" s="194"/>
      <c r="U388" s="194"/>
      <c r="V388" s="194"/>
      <c r="W388" s="194"/>
    </row>
    <row r="389" ht="14.25" customHeight="1">
      <c r="A389" s="31"/>
      <c r="B389" s="268"/>
      <c r="C389" s="269"/>
      <c r="D389" s="270"/>
      <c r="E389" s="271"/>
      <c r="F389" s="276"/>
      <c r="G389" s="273"/>
      <c r="H389" s="204"/>
      <c r="I389" s="204"/>
      <c r="J389" s="212"/>
      <c r="K389" s="202"/>
      <c r="L389" s="192" t="str">
        <f>IFERROR(__xludf.DUMMYFUNCTION("IF(
  AND(D389=""Saída"", J389=""Sangria""),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198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94" t="str">
        <f>IFERROR(__xludf.DUMMYFUNCTION("ifna(VALUE(REGEXEXTRACT(E389,""[0-9.]+[,]+[0-9]+"")))"),"")</f>
        <v/>
      </c>
      <c r="O389" s="194"/>
      <c r="P389" s="194"/>
      <c r="Q389" s="194"/>
      <c r="R389" s="194"/>
      <c r="S389" s="194"/>
      <c r="T389" s="194"/>
      <c r="U389" s="194"/>
      <c r="V389" s="194"/>
      <c r="W389" s="194"/>
    </row>
    <row r="390" ht="14.25" customHeight="1">
      <c r="A390" s="31"/>
      <c r="B390" s="268"/>
      <c r="C390" s="269"/>
      <c r="D390" s="270"/>
      <c r="E390" s="271"/>
      <c r="F390" s="276"/>
      <c r="G390" s="273"/>
      <c r="H390" s="204"/>
      <c r="I390" s="204"/>
      <c r="J390" s="196"/>
      <c r="K390" s="196"/>
      <c r="L390" s="192" t="str">
        <f>IFERROR(__xludf.DUMMYFUNCTION("IF(
  AND(D390=""Saída"", J390=""Sangria""),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197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94" t="str">
        <f>IFERROR(__xludf.DUMMYFUNCTION("ifna(VALUE(REGEXEXTRACT(E390,""[0-9.]+[,]+[0-9]+"")))"),"")</f>
        <v/>
      </c>
      <c r="O390" s="194"/>
      <c r="P390" s="194"/>
      <c r="Q390" s="194"/>
      <c r="R390" s="194"/>
      <c r="S390" s="194"/>
      <c r="T390" s="194"/>
      <c r="U390" s="194"/>
      <c r="V390" s="194"/>
      <c r="W390" s="194"/>
    </row>
    <row r="391" ht="14.25" customHeight="1">
      <c r="A391" s="31"/>
      <c r="B391" s="268"/>
      <c r="C391" s="269"/>
      <c r="D391" s="270"/>
      <c r="E391" s="271"/>
      <c r="F391" s="276"/>
      <c r="G391" s="273"/>
      <c r="H391" s="204"/>
      <c r="I391" s="204"/>
      <c r="J391" s="196"/>
      <c r="K391" s="202"/>
      <c r="L391" s="192" t="str">
        <f>IFERROR(__xludf.DUMMYFUNCTION("IF(
  AND(D391=""Saída"", J391=""Sangria""),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198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94" t="str">
        <f>IFERROR(__xludf.DUMMYFUNCTION("ifna(VALUE(REGEXEXTRACT(E391,""[0-9.]+[,]+[0-9]+"")))"),"")</f>
        <v/>
      </c>
      <c r="O391" s="194"/>
      <c r="P391" s="194"/>
      <c r="Q391" s="194"/>
      <c r="R391" s="194"/>
      <c r="S391" s="194"/>
      <c r="T391" s="194"/>
      <c r="U391" s="194"/>
      <c r="V391" s="194"/>
      <c r="W391" s="194"/>
    </row>
    <row r="392" ht="14.25" customHeight="1">
      <c r="A392" s="31"/>
      <c r="B392" s="268"/>
      <c r="C392" s="269"/>
      <c r="D392" s="270"/>
      <c r="E392" s="271"/>
      <c r="F392" s="276"/>
      <c r="G392" s="273"/>
      <c r="H392" s="204"/>
      <c r="I392" s="204"/>
      <c r="J392" s="196"/>
      <c r="K392" s="196"/>
      <c r="L392" s="192" t="str">
        <f>IFERROR(__xludf.DUMMYFUNCTION("IF(
  AND(D392=""Saída"", J392=""Sangria""),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197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94" t="str">
        <f>IFERROR(__xludf.DUMMYFUNCTION("ifna(VALUE(REGEXEXTRACT(E392,""[0-9.]+[,]+[0-9]+"")))"),"")</f>
        <v/>
      </c>
      <c r="O392" s="194"/>
      <c r="P392" s="194"/>
      <c r="Q392" s="194"/>
      <c r="R392" s="194"/>
      <c r="S392" s="194"/>
      <c r="T392" s="194"/>
      <c r="U392" s="194"/>
      <c r="V392" s="194"/>
      <c r="W392" s="194"/>
    </row>
    <row r="393" ht="14.25" customHeight="1">
      <c r="A393" s="31"/>
      <c r="B393" s="268"/>
      <c r="C393" s="269"/>
      <c r="D393" s="270"/>
      <c r="E393" s="271"/>
      <c r="F393" s="276"/>
      <c r="G393" s="273"/>
      <c r="H393" s="204"/>
      <c r="I393" s="204"/>
      <c r="J393" s="196"/>
      <c r="K393" s="196"/>
      <c r="L393" s="192" t="str">
        <f>IFERROR(__xludf.DUMMYFUNCTION("IF(
  AND(D393=""Saída"", J393=""Sangria""),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198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94" t="str">
        <f>IFERROR(__xludf.DUMMYFUNCTION("ifna(VALUE(REGEXEXTRACT(E393,""[0-9.]+[,]+[0-9]+"")))"),"")</f>
        <v/>
      </c>
      <c r="O393" s="194"/>
      <c r="P393" s="194"/>
      <c r="Q393" s="194"/>
      <c r="R393" s="194"/>
      <c r="S393" s="194"/>
      <c r="T393" s="194"/>
      <c r="U393" s="194"/>
      <c r="V393" s="194"/>
      <c r="W393" s="194"/>
    </row>
    <row r="394" ht="14.25" customHeight="1">
      <c r="A394" s="31"/>
      <c r="B394" s="268"/>
      <c r="C394" s="286"/>
      <c r="D394" s="270"/>
      <c r="E394" s="271"/>
      <c r="F394" s="204"/>
      <c r="G394" s="273"/>
      <c r="H394" s="204"/>
      <c r="I394" s="204"/>
      <c r="J394" s="202"/>
      <c r="K394" s="202"/>
      <c r="L394" s="192" t="str">
        <f>IFERROR(__xludf.DUMMYFUNCTION("IF(
  AND(D394=""Saída"", J394=""Sangria""),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197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94" t="str">
        <f>IFERROR(__xludf.DUMMYFUNCTION("ifna(VALUE(REGEXEXTRACT(E394,""[0-9.]+[,]+[0-9]+"")))"),"")</f>
        <v/>
      </c>
      <c r="O394" s="194"/>
      <c r="P394" s="194"/>
      <c r="Q394" s="194"/>
      <c r="R394" s="194"/>
      <c r="S394" s="194"/>
      <c r="T394" s="194"/>
      <c r="U394" s="194"/>
      <c r="V394" s="194"/>
      <c r="W394" s="194"/>
    </row>
    <row r="395" ht="14.25" customHeight="1">
      <c r="A395" s="31"/>
      <c r="B395" s="287"/>
      <c r="C395" s="286"/>
      <c r="D395" s="270"/>
      <c r="E395" s="271"/>
      <c r="F395" s="204"/>
      <c r="G395" s="273"/>
      <c r="H395" s="204"/>
      <c r="I395" s="204"/>
      <c r="J395" s="202"/>
      <c r="K395" s="202"/>
      <c r="L395" s="192" t="str">
        <f>IFERROR(__xludf.DUMMYFUNCTION("IF(
  AND(D395=""Saída"", J395=""Sangria""),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198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94" t="str">
        <f>IFERROR(__xludf.DUMMYFUNCTION("ifna(VALUE(REGEXEXTRACT(E395,""[0-9.]+[,]+[0-9]+"")))"),"")</f>
        <v/>
      </c>
      <c r="O395" s="194"/>
      <c r="P395" s="194"/>
      <c r="Q395" s="194"/>
      <c r="R395" s="194"/>
      <c r="S395" s="194"/>
      <c r="T395" s="194"/>
      <c r="U395" s="194"/>
      <c r="V395" s="194"/>
      <c r="W395" s="194"/>
    </row>
    <row r="396" ht="14.25" customHeight="1">
      <c r="A396" s="31"/>
      <c r="B396" s="287"/>
      <c r="C396" s="286"/>
      <c r="D396" s="270"/>
      <c r="E396" s="271"/>
      <c r="F396" s="204"/>
      <c r="G396" s="273"/>
      <c r="H396" s="204"/>
      <c r="I396" s="204"/>
      <c r="J396" s="202"/>
      <c r="K396" s="202"/>
      <c r="L396" s="192" t="str">
        <f>IFERROR(__xludf.DUMMYFUNCTION("IF(
  AND(D396=""Saída"", J396=""Sangria""),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197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94" t="str">
        <f>IFERROR(__xludf.DUMMYFUNCTION("ifna(VALUE(REGEXEXTRACT(E396,""[0-9.]+[,]+[0-9]+"")))"),"")</f>
        <v/>
      </c>
      <c r="O396" s="194"/>
      <c r="P396" s="194"/>
      <c r="Q396" s="194"/>
      <c r="R396" s="194"/>
      <c r="S396" s="194"/>
      <c r="T396" s="194"/>
      <c r="U396" s="194"/>
      <c r="V396" s="194"/>
      <c r="W396" s="194"/>
    </row>
    <row r="397" ht="14.25" customHeight="1">
      <c r="A397" s="31"/>
      <c r="B397" s="287"/>
      <c r="C397" s="286"/>
      <c r="D397" s="270"/>
      <c r="E397" s="271"/>
      <c r="F397" s="204"/>
      <c r="G397" s="273"/>
      <c r="H397" s="204"/>
      <c r="I397" s="204"/>
      <c r="J397" s="202"/>
      <c r="K397" s="202"/>
      <c r="L397" s="192" t="str">
        <f>IFERROR(__xludf.DUMMYFUNCTION("IF(
  AND(D397=""Saída"", J397=""Sangria""),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198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94" t="str">
        <f>IFERROR(__xludf.DUMMYFUNCTION("ifna(VALUE(REGEXEXTRACT(E397,""[0-9.]+[,]+[0-9]+"")))"),"")</f>
        <v/>
      </c>
      <c r="O397" s="194"/>
      <c r="P397" s="194"/>
      <c r="Q397" s="194"/>
      <c r="R397" s="194"/>
      <c r="S397" s="194"/>
      <c r="T397" s="194"/>
      <c r="U397" s="194"/>
      <c r="V397" s="194"/>
      <c r="W397" s="194"/>
    </row>
    <row r="398" ht="14.25" customHeight="1">
      <c r="A398" s="31"/>
      <c r="B398" s="287"/>
      <c r="C398" s="286"/>
      <c r="D398" s="270"/>
      <c r="E398" s="271"/>
      <c r="F398" s="204"/>
      <c r="G398" s="273"/>
      <c r="H398" s="204"/>
      <c r="I398" s="204"/>
      <c r="J398" s="202"/>
      <c r="K398" s="202"/>
      <c r="L398" s="192" t="str">
        <f>IFERROR(__xludf.DUMMYFUNCTION("IF(
  AND(D398=""Saída"", J398=""Sangria""),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197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94" t="str">
        <f>IFERROR(__xludf.DUMMYFUNCTION("ifna(VALUE(REGEXEXTRACT(E398,""[0-9.]+[,]+[0-9]+"")))"),"")</f>
        <v/>
      </c>
      <c r="O398" s="194"/>
      <c r="P398" s="194"/>
      <c r="Q398" s="194"/>
      <c r="R398" s="194"/>
      <c r="S398" s="194"/>
      <c r="T398" s="194"/>
      <c r="U398" s="194"/>
      <c r="V398" s="194"/>
      <c r="W398" s="194"/>
    </row>
    <row r="399" ht="14.25" customHeight="1">
      <c r="A399" s="31"/>
      <c r="B399" s="287"/>
      <c r="C399" s="286"/>
      <c r="D399" s="270"/>
      <c r="E399" s="271"/>
      <c r="F399" s="204"/>
      <c r="G399" s="273"/>
      <c r="H399" s="204"/>
      <c r="I399" s="204"/>
      <c r="J399" s="202"/>
      <c r="K399" s="202"/>
      <c r="L399" s="192" t="str">
        <f>IFERROR(__xludf.DUMMYFUNCTION("IF(
  AND(D399=""Saída"", J399=""Sangria""),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198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94" t="str">
        <f>IFERROR(__xludf.DUMMYFUNCTION("ifna(VALUE(REGEXEXTRACT(E399,""[0-9.]+[,]+[0-9]+"")))"),"")</f>
        <v/>
      </c>
      <c r="O399" s="194"/>
      <c r="P399" s="194"/>
      <c r="Q399" s="194"/>
      <c r="R399" s="194"/>
      <c r="S399" s="194"/>
      <c r="T399" s="194"/>
      <c r="U399" s="194"/>
      <c r="V399" s="194"/>
      <c r="W399" s="194"/>
    </row>
    <row r="400" ht="14.25" customHeight="1">
      <c r="A400" s="31"/>
      <c r="B400" s="287"/>
      <c r="C400" s="286"/>
      <c r="D400" s="270"/>
      <c r="E400" s="271"/>
      <c r="F400" s="204"/>
      <c r="G400" s="273"/>
      <c r="H400" s="204"/>
      <c r="I400" s="204"/>
      <c r="J400" s="202"/>
      <c r="K400" s="202"/>
      <c r="L400" s="192" t="str">
        <f>IFERROR(__xludf.DUMMYFUNCTION("IF(
  AND(D400=""Saída"", J400=""Sangria""),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197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94" t="str">
        <f>IFERROR(__xludf.DUMMYFUNCTION("ifna(VALUE(REGEXEXTRACT(E400,""[0-9.]+[,]+[0-9]+"")))"),"")</f>
        <v/>
      </c>
      <c r="O400" s="194"/>
      <c r="P400" s="194"/>
      <c r="Q400" s="194"/>
      <c r="R400" s="194"/>
      <c r="S400" s="194"/>
      <c r="T400" s="194"/>
      <c r="U400" s="194"/>
      <c r="V400" s="194"/>
      <c r="W400" s="194"/>
    </row>
    <row r="401" ht="14.25" customHeight="1">
      <c r="A401" s="31"/>
      <c r="B401" s="287"/>
      <c r="C401" s="286"/>
      <c r="D401" s="270"/>
      <c r="E401" s="271"/>
      <c r="F401" s="204"/>
      <c r="G401" s="273"/>
      <c r="H401" s="204"/>
      <c r="I401" s="204"/>
      <c r="J401" s="202"/>
      <c r="K401" s="202"/>
      <c r="L401" s="192" t="str">
        <f>IFERROR(__xludf.DUMMYFUNCTION("IF(
  AND(D401=""Saída"", J401=""Sangria""),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198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94" t="str">
        <f>IFERROR(__xludf.DUMMYFUNCTION("ifna(VALUE(REGEXEXTRACT(E401,""[0-9.]+[,]+[0-9]+"")))"),"")</f>
        <v/>
      </c>
      <c r="O401" s="194"/>
      <c r="P401" s="194"/>
      <c r="Q401" s="194"/>
      <c r="R401" s="194"/>
      <c r="S401" s="194"/>
      <c r="T401" s="194"/>
      <c r="U401" s="194"/>
      <c r="V401" s="194"/>
      <c r="W401" s="194"/>
    </row>
    <row r="402" ht="14.25" customHeight="1">
      <c r="A402" s="31"/>
      <c r="B402" s="287"/>
      <c r="C402" s="286"/>
      <c r="D402" s="270"/>
      <c r="E402" s="271"/>
      <c r="F402" s="204"/>
      <c r="G402" s="273"/>
      <c r="H402" s="204"/>
      <c r="I402" s="204"/>
      <c r="J402" s="202"/>
      <c r="K402" s="202"/>
      <c r="L402" s="192" t="str">
        <f>IFERROR(__xludf.DUMMYFUNCTION("IF(
  AND(D402=""Saída"", J402=""Sangria""),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197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94" t="str">
        <f>IFERROR(__xludf.DUMMYFUNCTION("ifna(VALUE(REGEXEXTRACT(E402,""[0-9.]+[,]+[0-9]+"")))"),"")</f>
        <v/>
      </c>
      <c r="O402" s="194"/>
      <c r="P402" s="194"/>
      <c r="Q402" s="194"/>
      <c r="R402" s="194"/>
      <c r="S402" s="194"/>
      <c r="T402" s="194"/>
      <c r="U402" s="194"/>
      <c r="V402" s="194"/>
      <c r="W402" s="194"/>
    </row>
    <row r="403" ht="14.25" customHeight="1">
      <c r="A403" s="31"/>
      <c r="B403" s="287"/>
      <c r="C403" s="286"/>
      <c r="D403" s="270"/>
      <c r="E403" s="271"/>
      <c r="F403" s="204"/>
      <c r="G403" s="273"/>
      <c r="H403" s="204"/>
      <c r="I403" s="204"/>
      <c r="J403" s="202"/>
      <c r="K403" s="202"/>
      <c r="L403" s="192" t="str">
        <f>IFERROR(__xludf.DUMMYFUNCTION("IF(
  AND(D403=""Saída"", J403=""Sangria""),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198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94" t="str">
        <f>IFERROR(__xludf.DUMMYFUNCTION("ifna(VALUE(REGEXEXTRACT(E403,""[0-9.]+[,]+[0-9]+"")))"),"")</f>
        <v/>
      </c>
      <c r="O403" s="194"/>
      <c r="P403" s="194"/>
      <c r="Q403" s="194"/>
      <c r="R403" s="194"/>
      <c r="S403" s="194"/>
      <c r="T403" s="194"/>
      <c r="U403" s="194"/>
      <c r="V403" s="194"/>
      <c r="W403" s="194"/>
    </row>
    <row r="404" ht="14.25" customHeight="1">
      <c r="A404" s="31"/>
      <c r="B404" s="287"/>
      <c r="C404" s="286"/>
      <c r="D404" s="270"/>
      <c r="E404" s="271"/>
      <c r="F404" s="204"/>
      <c r="G404" s="273"/>
      <c r="H404" s="204"/>
      <c r="I404" s="204"/>
      <c r="J404" s="202"/>
      <c r="K404" s="202"/>
      <c r="L404" s="192" t="str">
        <f>IFERROR(__xludf.DUMMYFUNCTION("IF(
  AND(D404=""Saída"", J404=""Sangria""),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197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94" t="str">
        <f>IFERROR(__xludf.DUMMYFUNCTION("ifna(VALUE(REGEXEXTRACT(E404,""[0-9.]+[,]+[0-9]+"")))"),"")</f>
        <v/>
      </c>
      <c r="O404" s="194"/>
      <c r="P404" s="194"/>
      <c r="Q404" s="194"/>
      <c r="R404" s="194"/>
      <c r="S404" s="194"/>
      <c r="T404" s="194"/>
      <c r="U404" s="194"/>
      <c r="V404" s="194"/>
      <c r="W404" s="194"/>
    </row>
    <row r="405" ht="14.25" customHeight="1">
      <c r="A405" s="31"/>
      <c r="B405" s="287"/>
      <c r="C405" s="286"/>
      <c r="D405" s="270"/>
      <c r="E405" s="271"/>
      <c r="F405" s="204"/>
      <c r="G405" s="273"/>
      <c r="H405" s="204"/>
      <c r="I405" s="204"/>
      <c r="J405" s="202"/>
      <c r="K405" s="202"/>
      <c r="L405" s="192" t="str">
        <f>IFERROR(__xludf.DUMMYFUNCTION("IF(
  AND(D405=""Saída"", J405=""Sangria""),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198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94" t="str">
        <f>IFERROR(__xludf.DUMMYFUNCTION("ifna(VALUE(REGEXEXTRACT(E405,""[0-9.]+[,]+[0-9]+"")))"),"")</f>
        <v/>
      </c>
      <c r="O405" s="194"/>
      <c r="P405" s="194"/>
      <c r="Q405" s="194"/>
      <c r="R405" s="194"/>
      <c r="S405" s="194"/>
      <c r="T405" s="194"/>
      <c r="U405" s="194"/>
      <c r="V405" s="194"/>
      <c r="W405" s="194"/>
    </row>
    <row r="406" ht="14.25" customHeight="1">
      <c r="A406" s="31"/>
      <c r="B406" s="287"/>
      <c r="C406" s="286"/>
      <c r="D406" s="270"/>
      <c r="E406" s="288"/>
      <c r="F406" s="204"/>
      <c r="G406" s="273"/>
      <c r="H406" s="204"/>
      <c r="I406" s="204"/>
      <c r="J406" s="202"/>
      <c r="K406" s="202"/>
      <c r="L406" s="192" t="str">
        <f>IFERROR(__xludf.DUMMYFUNCTION("IF(
  AND(D406=""Saída"", J406=""Sangria""),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197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94" t="str">
        <f>IFERROR(__xludf.DUMMYFUNCTION("ifna(VALUE(REGEXEXTRACT(E406,""[0-9.]+[,]+[0-9]+"")))"),"")</f>
        <v/>
      </c>
      <c r="O406" s="194"/>
      <c r="P406" s="194"/>
      <c r="Q406" s="194"/>
      <c r="R406" s="194"/>
      <c r="S406" s="194"/>
      <c r="T406" s="194"/>
      <c r="U406" s="194"/>
      <c r="V406" s="194"/>
      <c r="W406" s="194"/>
    </row>
    <row r="407" ht="14.25" customHeight="1">
      <c r="A407" s="31"/>
      <c r="B407" s="287"/>
      <c r="C407" s="286"/>
      <c r="D407" s="270"/>
      <c r="E407" s="288"/>
      <c r="F407" s="204"/>
      <c r="G407" s="289"/>
      <c r="H407" s="204"/>
      <c r="I407" s="204"/>
      <c r="J407" s="202"/>
      <c r="K407" s="202"/>
      <c r="L407" s="192" t="str">
        <f>IFERROR(__xludf.DUMMYFUNCTION("IF(
  AND(D407=""Saída"", J407=""Sangria""),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198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94" t="str">
        <f>IFERROR(__xludf.DUMMYFUNCTION("ifna(VALUE(REGEXEXTRACT(E407,""[0-9.]+[,]+[0-9]+"")))"),"")</f>
        <v/>
      </c>
      <c r="O407" s="194"/>
      <c r="P407" s="194"/>
      <c r="Q407" s="194"/>
      <c r="R407" s="194"/>
      <c r="S407" s="194"/>
      <c r="T407" s="194"/>
      <c r="U407" s="194"/>
      <c r="V407" s="194"/>
      <c r="W407" s="194"/>
    </row>
    <row r="408" ht="14.25" customHeight="1">
      <c r="A408" s="31"/>
      <c r="B408" s="287"/>
      <c r="C408" s="286"/>
      <c r="D408" s="270"/>
      <c r="E408" s="288"/>
      <c r="F408" s="204"/>
      <c r="G408" s="289"/>
      <c r="H408" s="204"/>
      <c r="I408" s="204"/>
      <c r="J408" s="202"/>
      <c r="K408" s="202"/>
      <c r="L408" s="192" t="str">
        <f>IFERROR(__xludf.DUMMYFUNCTION("IF(
  AND(D408=""Saída"", J408=""Sangria""),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197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94" t="str">
        <f>IFERROR(__xludf.DUMMYFUNCTION("ifna(VALUE(REGEXEXTRACT(E408,""[0-9.]+[,]+[0-9]+"")))"),"")</f>
        <v/>
      </c>
      <c r="O408" s="194"/>
      <c r="P408" s="194"/>
      <c r="Q408" s="194"/>
      <c r="R408" s="194"/>
      <c r="S408" s="194"/>
      <c r="T408" s="194"/>
      <c r="U408" s="194"/>
      <c r="V408" s="194"/>
      <c r="W408" s="194"/>
    </row>
    <row r="409" ht="14.25" customHeight="1">
      <c r="A409" s="31"/>
      <c r="B409" s="287"/>
      <c r="C409" s="286"/>
      <c r="D409" s="270"/>
      <c r="E409" s="288"/>
      <c r="F409" s="204"/>
      <c r="G409" s="289"/>
      <c r="H409" s="204"/>
      <c r="I409" s="204"/>
      <c r="J409" s="202"/>
      <c r="K409" s="202"/>
      <c r="L409" s="192" t="str">
        <f>IFERROR(__xludf.DUMMYFUNCTION("IF(
  AND(D409=""Saída"", J409=""Sangria""),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198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94" t="str">
        <f>IFERROR(__xludf.DUMMYFUNCTION("ifna(VALUE(REGEXEXTRACT(E409,""[0-9.]+[,]+[0-9]+"")))"),"")</f>
        <v/>
      </c>
      <c r="O409" s="194"/>
      <c r="P409" s="194"/>
      <c r="Q409" s="194"/>
      <c r="R409" s="194"/>
      <c r="S409" s="194"/>
      <c r="T409" s="194"/>
      <c r="U409" s="194"/>
      <c r="V409" s="194"/>
      <c r="W409" s="194"/>
    </row>
    <row r="410" ht="14.25" customHeight="1">
      <c r="A410" s="31"/>
      <c r="B410" s="287"/>
      <c r="C410" s="286"/>
      <c r="D410" s="270"/>
      <c r="E410" s="288"/>
      <c r="F410" s="204"/>
      <c r="G410" s="289"/>
      <c r="H410" s="204"/>
      <c r="I410" s="204"/>
      <c r="J410" s="202"/>
      <c r="K410" s="202"/>
      <c r="L410" s="192" t="str">
        <f>IFERROR(__xludf.DUMMYFUNCTION("IF(
  AND(D410=""Saída"", J410=""Sangria""),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197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94" t="str">
        <f>IFERROR(__xludf.DUMMYFUNCTION("ifna(VALUE(REGEXEXTRACT(E410,""[0-9.]+[,]+[0-9]+"")))"),"")</f>
        <v/>
      </c>
      <c r="O410" s="194"/>
      <c r="P410" s="194"/>
      <c r="Q410" s="194"/>
      <c r="R410" s="194"/>
      <c r="S410" s="194"/>
      <c r="T410" s="194"/>
      <c r="U410" s="194"/>
      <c r="V410" s="194"/>
      <c r="W410" s="194"/>
    </row>
    <row r="411" ht="14.25" customHeight="1">
      <c r="A411" s="31"/>
      <c r="B411" s="287"/>
      <c r="C411" s="286"/>
      <c r="D411" s="204"/>
      <c r="E411" s="288"/>
      <c r="F411" s="204"/>
      <c r="G411" s="289"/>
      <c r="H411" s="204"/>
      <c r="I411" s="204"/>
      <c r="J411" s="202"/>
      <c r="K411" s="202"/>
      <c r="L411" s="192" t="str">
        <f>IFERROR(__xludf.DUMMYFUNCTION("IF(
  AND(D411=""Saída"", J411=""Sangria""),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198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94" t="str">
        <f>IFERROR(__xludf.DUMMYFUNCTION("ifna(VALUE(REGEXEXTRACT(E411,""[0-9.]+[,]+[0-9]+"")))"),"")</f>
        <v/>
      </c>
      <c r="O411" s="194"/>
      <c r="P411" s="194"/>
      <c r="Q411" s="194"/>
      <c r="R411" s="194"/>
      <c r="S411" s="194"/>
      <c r="T411" s="194"/>
      <c r="U411" s="194"/>
      <c r="V411" s="194"/>
      <c r="W411" s="194"/>
    </row>
    <row r="412" ht="14.25" customHeight="1">
      <c r="A412" s="31"/>
      <c r="B412" s="287"/>
      <c r="C412" s="286"/>
      <c r="D412" s="204"/>
      <c r="E412" s="288"/>
      <c r="F412" s="204"/>
      <c r="G412" s="289"/>
      <c r="H412" s="204"/>
      <c r="I412" s="204"/>
      <c r="J412" s="202"/>
      <c r="K412" s="202"/>
      <c r="L412" s="192" t="str">
        <f>IFERROR(__xludf.DUMMYFUNCTION("IF(
  AND(D412=""Saída"", J412=""Sangria""),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197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94" t="str">
        <f>IFERROR(__xludf.DUMMYFUNCTION("ifna(VALUE(REGEXEXTRACT(E412,""[0-9.]+[,]+[0-9]+"")))"),"")</f>
        <v/>
      </c>
      <c r="O412" s="194"/>
      <c r="P412" s="194"/>
      <c r="Q412" s="194"/>
      <c r="R412" s="194"/>
      <c r="S412" s="194"/>
      <c r="T412" s="194"/>
      <c r="U412" s="194"/>
      <c r="V412" s="194"/>
      <c r="W412" s="194"/>
    </row>
    <row r="413" ht="14.25" customHeight="1">
      <c r="A413" s="31"/>
      <c r="B413" s="287"/>
      <c r="C413" s="286"/>
      <c r="D413" s="204"/>
      <c r="E413" s="288"/>
      <c r="F413" s="204"/>
      <c r="G413" s="289"/>
      <c r="H413" s="204"/>
      <c r="I413" s="204"/>
      <c r="J413" s="202"/>
      <c r="K413" s="202"/>
      <c r="L413" s="192" t="str">
        <f>IFERROR(__xludf.DUMMYFUNCTION("IF(
  AND(D413=""Saída"", J413=""Sangria""),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198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94" t="str">
        <f>IFERROR(__xludf.DUMMYFUNCTION("ifna(VALUE(REGEXEXTRACT(E413,""[0-9.]+[,]+[0-9]+"")))"),"")</f>
        <v/>
      </c>
      <c r="O413" s="194"/>
      <c r="P413" s="194"/>
      <c r="Q413" s="194"/>
      <c r="R413" s="194"/>
      <c r="S413" s="194"/>
      <c r="T413" s="194"/>
      <c r="U413" s="194"/>
      <c r="V413" s="194"/>
      <c r="W413" s="194"/>
    </row>
    <row r="414" ht="14.25" customHeight="1">
      <c r="A414" s="31"/>
      <c r="B414" s="287"/>
      <c r="C414" s="286"/>
      <c r="D414" s="204"/>
      <c r="E414" s="288"/>
      <c r="F414" s="204"/>
      <c r="G414" s="289"/>
      <c r="H414" s="204"/>
      <c r="I414" s="204"/>
      <c r="J414" s="202"/>
      <c r="K414" s="202"/>
      <c r="L414" s="192" t="str">
        <f>IFERROR(__xludf.DUMMYFUNCTION("IF(
  AND(D414=""Saída"", J414=""Sangria""),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197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94" t="str">
        <f>IFERROR(__xludf.DUMMYFUNCTION("ifna(VALUE(REGEXEXTRACT(E414,""[0-9.]+[,]+[0-9]+"")))"),"")</f>
        <v/>
      </c>
      <c r="O414" s="194"/>
      <c r="P414" s="194"/>
      <c r="Q414" s="194"/>
      <c r="R414" s="194"/>
      <c r="S414" s="194"/>
      <c r="T414" s="194"/>
      <c r="U414" s="194"/>
      <c r="V414" s="194"/>
      <c r="W414" s="194"/>
    </row>
    <row r="415" ht="14.25" customHeight="1">
      <c r="A415" s="31"/>
      <c r="B415" s="287"/>
      <c r="C415" s="286"/>
      <c r="D415" s="204"/>
      <c r="E415" s="288"/>
      <c r="F415" s="204"/>
      <c r="G415" s="289"/>
      <c r="H415" s="204"/>
      <c r="I415" s="204"/>
      <c r="J415" s="202"/>
      <c r="K415" s="202"/>
      <c r="L415" s="192" t="str">
        <f>IFERROR(__xludf.DUMMYFUNCTION("IF(
  AND(D415=""Saída"", J415=""Sangria""),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198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94" t="str">
        <f>IFERROR(__xludf.DUMMYFUNCTION("ifna(VALUE(REGEXEXTRACT(E415,""[0-9.]+[,]+[0-9]+"")))"),"")</f>
        <v/>
      </c>
      <c r="O415" s="194"/>
      <c r="P415" s="194"/>
      <c r="Q415" s="194"/>
      <c r="R415" s="194"/>
      <c r="S415" s="194"/>
      <c r="T415" s="194"/>
      <c r="U415" s="194"/>
      <c r="V415" s="194"/>
      <c r="W415" s="194"/>
    </row>
    <row r="416" ht="14.25" customHeight="1">
      <c r="A416" s="31"/>
      <c r="B416" s="287"/>
      <c r="C416" s="286"/>
      <c r="D416" s="204"/>
      <c r="E416" s="288"/>
      <c r="F416" s="204"/>
      <c r="G416" s="289"/>
      <c r="H416" s="204"/>
      <c r="I416" s="204"/>
      <c r="J416" s="202"/>
      <c r="K416" s="202"/>
      <c r="L416" s="192" t="str">
        <f>IFERROR(__xludf.DUMMYFUNCTION("IF(
  AND(D416=""Saída"", J416=""Sangria""),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197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94" t="str">
        <f>IFERROR(__xludf.DUMMYFUNCTION("ifna(VALUE(REGEXEXTRACT(E416,""[0-9.]+[,]+[0-9]+"")))"),"")</f>
        <v/>
      </c>
      <c r="O416" s="194"/>
      <c r="P416" s="194"/>
      <c r="Q416" s="194"/>
      <c r="R416" s="194"/>
      <c r="S416" s="194"/>
      <c r="T416" s="194"/>
      <c r="U416" s="194"/>
      <c r="V416" s="194"/>
      <c r="W416" s="194"/>
    </row>
    <row r="417" ht="14.25" customHeight="1">
      <c r="A417" s="31"/>
      <c r="B417" s="287"/>
      <c r="C417" s="286"/>
      <c r="D417" s="204"/>
      <c r="E417" s="288"/>
      <c r="F417" s="204"/>
      <c r="G417" s="289"/>
      <c r="H417" s="204"/>
      <c r="I417" s="204"/>
      <c r="J417" s="202"/>
      <c r="K417" s="202"/>
      <c r="L417" s="192" t="str">
        <f>IFERROR(__xludf.DUMMYFUNCTION("IF(
  AND(D417=""Saída"", J417=""Sangria""),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198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94" t="str">
        <f>IFERROR(__xludf.DUMMYFUNCTION("ifna(VALUE(REGEXEXTRACT(E417,""[0-9.]+[,]+[0-9]+"")))"),"")</f>
        <v/>
      </c>
      <c r="O417" s="194"/>
      <c r="P417" s="194"/>
      <c r="Q417" s="194"/>
      <c r="R417" s="194"/>
      <c r="S417" s="194"/>
      <c r="T417" s="194"/>
      <c r="U417" s="194"/>
      <c r="V417" s="194"/>
      <c r="W417" s="194"/>
    </row>
    <row r="418" ht="14.25" customHeight="1">
      <c r="A418" s="31"/>
      <c r="B418" s="287"/>
      <c r="C418" s="286"/>
      <c r="D418" s="204"/>
      <c r="E418" s="288"/>
      <c r="F418" s="204"/>
      <c r="G418" s="289"/>
      <c r="H418" s="204"/>
      <c r="I418" s="204"/>
      <c r="J418" s="202"/>
      <c r="K418" s="202"/>
      <c r="L418" s="192" t="str">
        <f>IFERROR(__xludf.DUMMYFUNCTION("IF(
  AND(D418=""Saída"", J418=""Sangria""),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197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94" t="str">
        <f>IFERROR(__xludf.DUMMYFUNCTION("ifna(VALUE(REGEXEXTRACT(E418,""[0-9.]+[,]+[0-9]+"")))"),"")</f>
        <v/>
      </c>
      <c r="O418" s="194"/>
      <c r="P418" s="194"/>
      <c r="Q418" s="194"/>
      <c r="R418" s="194"/>
      <c r="S418" s="194"/>
      <c r="T418" s="194"/>
      <c r="U418" s="194"/>
      <c r="V418" s="194"/>
      <c r="W418" s="194"/>
    </row>
    <row r="419" ht="14.25" customHeight="1">
      <c r="A419" s="31"/>
      <c r="B419" s="287"/>
      <c r="C419" s="286"/>
      <c r="D419" s="204"/>
      <c r="E419" s="288"/>
      <c r="F419" s="204"/>
      <c r="G419" s="289"/>
      <c r="H419" s="204"/>
      <c r="I419" s="204"/>
      <c r="J419" s="202"/>
      <c r="K419" s="202"/>
      <c r="L419" s="192" t="str">
        <f>IFERROR(__xludf.DUMMYFUNCTION("IF(
  AND(D419=""Saída"", J419=""Sangria""),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198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94" t="str">
        <f>IFERROR(__xludf.DUMMYFUNCTION("ifna(VALUE(REGEXEXTRACT(E419,""[0-9.]+[,]+[0-9]+"")))"),"")</f>
        <v/>
      </c>
      <c r="O419" s="194"/>
      <c r="P419" s="194"/>
      <c r="Q419" s="194"/>
      <c r="R419" s="194"/>
      <c r="S419" s="194"/>
      <c r="T419" s="194"/>
      <c r="U419" s="194"/>
      <c r="V419" s="194"/>
      <c r="W419" s="194"/>
    </row>
    <row r="420" ht="14.25" customHeight="1">
      <c r="A420" s="31"/>
      <c r="B420" s="287"/>
      <c r="C420" s="286"/>
      <c r="D420" s="204"/>
      <c r="E420" s="288"/>
      <c r="F420" s="204"/>
      <c r="G420" s="289"/>
      <c r="H420" s="204"/>
      <c r="I420" s="204"/>
      <c r="J420" s="202"/>
      <c r="K420" s="202"/>
      <c r="L420" s="192" t="str">
        <f>IFERROR(__xludf.DUMMYFUNCTION("IF(
  AND(D420=""Saída"", J420=""Sangria""),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197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94" t="str">
        <f>IFERROR(__xludf.DUMMYFUNCTION("ifna(VALUE(REGEXEXTRACT(E420,""[0-9.]+[,]+[0-9]+"")))"),"")</f>
        <v/>
      </c>
      <c r="O420" s="194"/>
      <c r="P420" s="194"/>
      <c r="Q420" s="194"/>
      <c r="R420" s="194"/>
      <c r="S420" s="194"/>
      <c r="T420" s="194"/>
      <c r="U420" s="194"/>
      <c r="V420" s="194"/>
      <c r="W420" s="194"/>
    </row>
    <row r="421" ht="14.25" customHeight="1">
      <c r="A421" s="31"/>
      <c r="B421" s="287"/>
      <c r="C421" s="286"/>
      <c r="D421" s="204"/>
      <c r="E421" s="288"/>
      <c r="F421" s="204"/>
      <c r="G421" s="289"/>
      <c r="H421" s="204"/>
      <c r="I421" s="204"/>
      <c r="J421" s="202"/>
      <c r="K421" s="202"/>
      <c r="L421" s="192" t="str">
        <f>IFERROR(__xludf.DUMMYFUNCTION("IF(
  AND(D421=""Saída"", J421=""Sangria""),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198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94" t="str">
        <f>IFERROR(__xludf.DUMMYFUNCTION("ifna(VALUE(REGEXEXTRACT(E421,""[0-9.]+[,]+[0-9]+"")))"),"")</f>
        <v/>
      </c>
      <c r="O421" s="194"/>
      <c r="P421" s="194"/>
      <c r="Q421" s="194"/>
      <c r="R421" s="194"/>
      <c r="S421" s="194"/>
      <c r="T421" s="194"/>
      <c r="U421" s="194"/>
      <c r="V421" s="194"/>
      <c r="W421" s="194"/>
    </row>
    <row r="422" ht="14.25" customHeight="1">
      <c r="A422" s="31"/>
      <c r="B422" s="287"/>
      <c r="C422" s="286"/>
      <c r="D422" s="204"/>
      <c r="E422" s="288"/>
      <c r="F422" s="204"/>
      <c r="G422" s="289"/>
      <c r="H422" s="204"/>
      <c r="I422" s="204"/>
      <c r="J422" s="202"/>
      <c r="K422" s="202"/>
      <c r="L422" s="192" t="str">
        <f>IFERROR(__xludf.DUMMYFUNCTION("IF(
  AND(D422=""Saída"", J422=""Sangria""),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197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94" t="str">
        <f>IFERROR(__xludf.DUMMYFUNCTION("ifna(VALUE(REGEXEXTRACT(E422,""[0-9.]+[,]+[0-9]+"")))"),"")</f>
        <v/>
      </c>
      <c r="O422" s="194"/>
      <c r="P422" s="194"/>
      <c r="Q422" s="194"/>
      <c r="R422" s="194"/>
      <c r="S422" s="194"/>
      <c r="T422" s="194"/>
      <c r="U422" s="194"/>
      <c r="V422" s="194"/>
      <c r="W422" s="194"/>
    </row>
    <row r="423" ht="14.25" customHeight="1">
      <c r="A423" s="31"/>
      <c r="B423" s="287"/>
      <c r="C423" s="286"/>
      <c r="D423" s="204"/>
      <c r="E423" s="288"/>
      <c r="F423" s="204"/>
      <c r="G423" s="289"/>
      <c r="H423" s="204"/>
      <c r="I423" s="204"/>
      <c r="J423" s="202"/>
      <c r="K423" s="202"/>
      <c r="L423" s="192" t="str">
        <f>IFERROR(__xludf.DUMMYFUNCTION("IF(
  AND(D423=""Saída"", J423=""Sangria""),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198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94" t="str">
        <f>IFERROR(__xludf.DUMMYFUNCTION("ifna(VALUE(REGEXEXTRACT(E423,""[0-9.]+[,]+[0-9]+"")))"),"")</f>
        <v/>
      </c>
      <c r="O423" s="194"/>
      <c r="P423" s="194"/>
      <c r="Q423" s="194"/>
      <c r="R423" s="194"/>
      <c r="S423" s="194"/>
      <c r="T423" s="194"/>
      <c r="U423" s="194"/>
      <c r="V423" s="194"/>
      <c r="W423" s="194"/>
    </row>
    <row r="424" ht="14.25" customHeight="1">
      <c r="A424" s="31"/>
      <c r="B424" s="287"/>
      <c r="C424" s="286"/>
      <c r="D424" s="204"/>
      <c r="E424" s="288"/>
      <c r="F424" s="204"/>
      <c r="G424" s="289"/>
      <c r="H424" s="204"/>
      <c r="I424" s="204"/>
      <c r="J424" s="202"/>
      <c r="K424" s="202"/>
      <c r="L424" s="192" t="str">
        <f>IFERROR(__xludf.DUMMYFUNCTION("IF(
  AND(D424=""Saída"", J424=""Sangria""),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197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94" t="str">
        <f>IFERROR(__xludf.DUMMYFUNCTION("ifna(VALUE(REGEXEXTRACT(E424,""[0-9.]+[,]+[0-9]+"")))"),"")</f>
        <v/>
      </c>
      <c r="O424" s="194"/>
      <c r="P424" s="194"/>
      <c r="Q424" s="194"/>
      <c r="R424" s="194"/>
      <c r="S424" s="194"/>
      <c r="T424" s="194"/>
      <c r="U424" s="194"/>
      <c r="V424" s="194"/>
      <c r="W424" s="194"/>
    </row>
    <row r="425" ht="14.25" customHeight="1">
      <c r="A425" s="31"/>
      <c r="B425" s="287"/>
      <c r="C425" s="286"/>
      <c r="D425" s="204"/>
      <c r="E425" s="288"/>
      <c r="F425" s="204"/>
      <c r="G425" s="289"/>
      <c r="H425" s="204"/>
      <c r="I425" s="204"/>
      <c r="J425" s="202"/>
      <c r="K425" s="202"/>
      <c r="L425" s="192" t="str">
        <f>IFERROR(__xludf.DUMMYFUNCTION("IF(
  AND(D425=""Saída"", J425=""Sangria""),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198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94" t="str">
        <f>IFERROR(__xludf.DUMMYFUNCTION("ifna(VALUE(REGEXEXTRACT(E425,""[0-9.]+[,]+[0-9]+"")))"),"")</f>
        <v/>
      </c>
      <c r="O425" s="194"/>
      <c r="P425" s="194"/>
      <c r="Q425" s="194"/>
      <c r="R425" s="194"/>
      <c r="S425" s="194"/>
      <c r="T425" s="194"/>
      <c r="U425" s="194"/>
      <c r="V425" s="194"/>
      <c r="W425" s="194"/>
    </row>
    <row r="426" ht="14.25" customHeight="1">
      <c r="A426" s="31"/>
      <c r="B426" s="287"/>
      <c r="C426" s="286"/>
      <c r="D426" s="204"/>
      <c r="E426" s="288"/>
      <c r="F426" s="204"/>
      <c r="G426" s="289"/>
      <c r="H426" s="204"/>
      <c r="I426" s="204"/>
      <c r="J426" s="202"/>
      <c r="K426" s="202"/>
      <c r="L426" s="192" t="str">
        <f>IFERROR(__xludf.DUMMYFUNCTION("IF(
  AND(D426=""Saída"", J426=""Sangria""),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197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94" t="str">
        <f>IFERROR(__xludf.DUMMYFUNCTION("ifna(VALUE(REGEXEXTRACT(E426,""[0-9.]+[,]+[0-9]+"")))"),"")</f>
        <v/>
      </c>
      <c r="O426" s="194"/>
      <c r="P426" s="194"/>
      <c r="Q426" s="194"/>
      <c r="R426" s="194"/>
      <c r="S426" s="194"/>
      <c r="T426" s="194"/>
      <c r="U426" s="194"/>
      <c r="V426" s="194"/>
      <c r="W426" s="194"/>
    </row>
    <row r="427" ht="14.25" customHeight="1">
      <c r="A427" s="31"/>
      <c r="B427" s="287"/>
      <c r="C427" s="286"/>
      <c r="D427" s="204"/>
      <c r="E427" s="288"/>
      <c r="F427" s="204"/>
      <c r="G427" s="289"/>
      <c r="H427" s="204"/>
      <c r="I427" s="204"/>
      <c r="J427" s="202"/>
      <c r="K427" s="202"/>
      <c r="L427" s="192" t="str">
        <f>IFERROR(__xludf.DUMMYFUNCTION("IF(
  AND(D427=""Saída"", J427=""Sangria""),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198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94" t="str">
        <f>IFERROR(__xludf.DUMMYFUNCTION("ifna(VALUE(REGEXEXTRACT(E427,""[0-9.]+[,]+[0-9]+"")))"),"")</f>
        <v/>
      </c>
      <c r="O427" s="194"/>
      <c r="P427" s="194"/>
      <c r="Q427" s="194"/>
      <c r="R427" s="194"/>
      <c r="S427" s="194"/>
      <c r="T427" s="194"/>
      <c r="U427" s="194"/>
      <c r="V427" s="194"/>
      <c r="W427" s="194"/>
    </row>
    <row r="428" ht="14.25" customHeight="1">
      <c r="A428" s="31"/>
      <c r="B428" s="287"/>
      <c r="C428" s="286"/>
      <c r="D428" s="204"/>
      <c r="E428" s="288"/>
      <c r="F428" s="204"/>
      <c r="G428" s="289"/>
      <c r="H428" s="204"/>
      <c r="I428" s="204"/>
      <c r="J428" s="202"/>
      <c r="K428" s="202"/>
      <c r="L428" s="192" t="str">
        <f>IFERROR(__xludf.DUMMYFUNCTION("IF(
  AND(D428=""Saída"", J428=""Sangria""),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197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94" t="str">
        <f>IFERROR(__xludf.DUMMYFUNCTION("ifna(VALUE(REGEXEXTRACT(E428,""[0-9.]+[,]+[0-9]+"")))"),"")</f>
        <v/>
      </c>
      <c r="O428" s="194"/>
      <c r="P428" s="194"/>
      <c r="Q428" s="194"/>
      <c r="R428" s="194"/>
      <c r="S428" s="194"/>
      <c r="T428" s="194"/>
      <c r="U428" s="194"/>
      <c r="V428" s="194"/>
      <c r="W428" s="194"/>
    </row>
    <row r="429" ht="14.25" customHeight="1">
      <c r="A429" s="31"/>
      <c r="B429" s="287"/>
      <c r="C429" s="286"/>
      <c r="D429" s="204"/>
      <c r="E429" s="288"/>
      <c r="F429" s="204"/>
      <c r="G429" s="289"/>
      <c r="H429" s="204"/>
      <c r="I429" s="204"/>
      <c r="J429" s="202"/>
      <c r="K429" s="202"/>
      <c r="L429" s="192" t="str">
        <f>IFERROR(__xludf.DUMMYFUNCTION("IF(
  AND(D429=""Saída"", J429=""Sangria""),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198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94" t="str">
        <f>IFERROR(__xludf.DUMMYFUNCTION("ifna(VALUE(REGEXEXTRACT(E429,""[0-9.]+[,]+[0-9]+"")))"),"")</f>
        <v/>
      </c>
      <c r="O429" s="194"/>
      <c r="P429" s="194"/>
      <c r="Q429" s="194"/>
      <c r="R429" s="194"/>
      <c r="S429" s="194"/>
      <c r="T429" s="194"/>
      <c r="U429" s="194"/>
      <c r="V429" s="194"/>
      <c r="W429" s="194"/>
    </row>
    <row r="430" ht="14.25" customHeight="1">
      <c r="A430" s="31"/>
      <c r="B430" s="287"/>
      <c r="C430" s="286"/>
      <c r="D430" s="204"/>
      <c r="E430" s="288"/>
      <c r="F430" s="204"/>
      <c r="G430" s="289"/>
      <c r="H430" s="204"/>
      <c r="I430" s="204"/>
      <c r="J430" s="202"/>
      <c r="K430" s="202"/>
      <c r="L430" s="192" t="str">
        <f>IFERROR(__xludf.DUMMYFUNCTION("IF(
  AND(D430=""Saída"", J430=""Sangria""),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197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94" t="str">
        <f>IFERROR(__xludf.DUMMYFUNCTION("ifna(VALUE(REGEXEXTRACT(E430,""[0-9.]+[,]+[0-9]+"")))"),"")</f>
        <v/>
      </c>
      <c r="O430" s="194"/>
      <c r="P430" s="194"/>
      <c r="Q430" s="194"/>
      <c r="R430" s="194"/>
      <c r="S430" s="194"/>
      <c r="T430" s="194"/>
      <c r="U430" s="194"/>
      <c r="V430" s="194"/>
      <c r="W430" s="194"/>
    </row>
    <row r="431" ht="14.25" customHeight="1">
      <c r="A431" s="31"/>
      <c r="B431" s="287"/>
      <c r="C431" s="286"/>
      <c r="D431" s="204"/>
      <c r="E431" s="288"/>
      <c r="F431" s="204"/>
      <c r="G431" s="289"/>
      <c r="H431" s="204"/>
      <c r="I431" s="204"/>
      <c r="J431" s="202"/>
      <c r="K431" s="202"/>
      <c r="L431" s="192" t="str">
        <f>IFERROR(__xludf.DUMMYFUNCTION("IF(
  AND(D431=""Saída"", J431=""Sangria""),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198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94" t="str">
        <f>IFERROR(__xludf.DUMMYFUNCTION("ifna(VALUE(REGEXEXTRACT(E431,""[0-9.]+[,]+[0-9]+"")))"),"")</f>
        <v/>
      </c>
      <c r="O431" s="194"/>
      <c r="P431" s="194"/>
      <c r="Q431" s="194"/>
      <c r="R431" s="194"/>
      <c r="S431" s="194"/>
      <c r="T431" s="194"/>
      <c r="U431" s="194"/>
      <c r="V431" s="194"/>
      <c r="W431" s="194"/>
    </row>
    <row r="432" ht="14.25" customHeight="1">
      <c r="A432" s="31"/>
      <c r="B432" s="287"/>
      <c r="C432" s="286"/>
      <c r="D432" s="204"/>
      <c r="E432" s="288"/>
      <c r="F432" s="204"/>
      <c r="G432" s="289"/>
      <c r="H432" s="204"/>
      <c r="I432" s="204"/>
      <c r="J432" s="202"/>
      <c r="K432" s="202"/>
      <c r="L432" s="192" t="str">
        <f>IFERROR(__xludf.DUMMYFUNCTION("IF(
  AND(D432=""Saída"", J432=""Sangria""),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197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94" t="str">
        <f>IFERROR(__xludf.DUMMYFUNCTION("ifna(VALUE(REGEXEXTRACT(E432,""[0-9.]+[,]+[0-9]+"")))"),"")</f>
        <v/>
      </c>
      <c r="O432" s="194"/>
      <c r="P432" s="194"/>
      <c r="Q432" s="194"/>
      <c r="R432" s="194"/>
      <c r="S432" s="194"/>
      <c r="T432" s="194"/>
      <c r="U432" s="194"/>
      <c r="V432" s="194"/>
      <c r="W432" s="194"/>
    </row>
    <row r="433" ht="14.25" customHeight="1">
      <c r="A433" s="31"/>
      <c r="B433" s="287"/>
      <c r="C433" s="286"/>
      <c r="D433" s="204"/>
      <c r="E433" s="288"/>
      <c r="F433" s="204"/>
      <c r="G433" s="289"/>
      <c r="H433" s="204"/>
      <c r="I433" s="204"/>
      <c r="J433" s="202"/>
      <c r="K433" s="202"/>
      <c r="L433" s="192" t="str">
        <f>IFERROR(__xludf.DUMMYFUNCTION("IF(
  AND(D433=""Saída"", J433=""Sangria""),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198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94" t="str">
        <f>IFERROR(__xludf.DUMMYFUNCTION("ifna(VALUE(REGEXEXTRACT(E433,""[0-9.]+[,]+[0-9]+"")))"),"")</f>
        <v/>
      </c>
      <c r="O433" s="194"/>
      <c r="P433" s="194"/>
      <c r="Q433" s="194"/>
      <c r="R433" s="194"/>
      <c r="S433" s="194"/>
      <c r="T433" s="194"/>
      <c r="U433" s="194"/>
      <c r="V433" s="194"/>
      <c r="W433" s="194"/>
    </row>
    <row r="434" ht="14.25" customHeight="1">
      <c r="A434" s="31"/>
      <c r="B434" s="287"/>
      <c r="C434" s="286"/>
      <c r="D434" s="204"/>
      <c r="E434" s="288"/>
      <c r="F434" s="204"/>
      <c r="G434" s="289"/>
      <c r="H434" s="204"/>
      <c r="I434" s="204"/>
      <c r="J434" s="202"/>
      <c r="K434" s="202"/>
      <c r="L434" s="192" t="str">
        <f>IFERROR(__xludf.DUMMYFUNCTION("IF(
  AND(D434=""Saída"", J434=""Sangria""),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197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94" t="str">
        <f>IFERROR(__xludf.DUMMYFUNCTION("ifna(VALUE(REGEXEXTRACT(E434,""[0-9.]+[,]+[0-9]+"")))"),"")</f>
        <v/>
      </c>
      <c r="O434" s="194"/>
      <c r="P434" s="194"/>
      <c r="Q434" s="194"/>
      <c r="R434" s="194"/>
      <c r="S434" s="194"/>
      <c r="T434" s="194"/>
      <c r="U434" s="194"/>
      <c r="V434" s="194"/>
      <c r="W434" s="194"/>
    </row>
    <row r="435" ht="14.25" customHeight="1">
      <c r="A435" s="31"/>
      <c r="B435" s="287"/>
      <c r="C435" s="286"/>
      <c r="D435" s="204"/>
      <c r="E435" s="288"/>
      <c r="F435" s="204"/>
      <c r="G435" s="289"/>
      <c r="H435" s="204"/>
      <c r="I435" s="204"/>
      <c r="J435" s="202"/>
      <c r="K435" s="202"/>
      <c r="L435" s="192" t="str">
        <f>IFERROR(__xludf.DUMMYFUNCTION("IF(
  AND(D435=""Saída"", J435=""Sangria""),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198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94" t="str">
        <f>IFERROR(__xludf.DUMMYFUNCTION("ifna(VALUE(REGEXEXTRACT(E435,""[0-9.]+[,]+[0-9]+"")))"),"")</f>
        <v/>
      </c>
      <c r="O435" s="194"/>
      <c r="P435" s="194"/>
      <c r="Q435" s="194"/>
      <c r="R435" s="194"/>
      <c r="S435" s="194"/>
      <c r="T435" s="194"/>
      <c r="U435" s="194"/>
      <c r="V435" s="194"/>
      <c r="W435" s="194"/>
    </row>
    <row r="436" ht="14.25" customHeight="1">
      <c r="A436" s="31"/>
      <c r="B436" s="287"/>
      <c r="C436" s="286"/>
      <c r="D436" s="204"/>
      <c r="E436" s="288"/>
      <c r="F436" s="204"/>
      <c r="G436" s="289"/>
      <c r="H436" s="204"/>
      <c r="I436" s="204"/>
      <c r="J436" s="202"/>
      <c r="K436" s="202"/>
      <c r="L436" s="192" t="str">
        <f>IFERROR(__xludf.DUMMYFUNCTION("IF(
  AND(D436=""Saída"", J436=""Sangria""),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197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94" t="str">
        <f>IFERROR(__xludf.DUMMYFUNCTION("ifna(VALUE(REGEXEXTRACT(E436,""[0-9.]+[,]+[0-9]+"")))"),"")</f>
        <v/>
      </c>
      <c r="O436" s="194"/>
      <c r="P436" s="194"/>
      <c r="Q436" s="194"/>
      <c r="R436" s="194"/>
      <c r="S436" s="194"/>
      <c r="T436" s="194"/>
      <c r="U436" s="194"/>
      <c r="V436" s="194"/>
      <c r="W436" s="194"/>
    </row>
    <row r="437" ht="14.25" customHeight="1">
      <c r="A437" s="31"/>
      <c r="B437" s="287"/>
      <c r="C437" s="286"/>
      <c r="D437" s="204"/>
      <c r="E437" s="288"/>
      <c r="F437" s="204"/>
      <c r="G437" s="289"/>
      <c r="H437" s="204"/>
      <c r="I437" s="204"/>
      <c r="J437" s="202"/>
      <c r="K437" s="202"/>
      <c r="L437" s="192" t="str">
        <f>IFERROR(__xludf.DUMMYFUNCTION("IF(
  AND(D437=""Saída"", J437=""Sangria""),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198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94" t="str">
        <f>IFERROR(__xludf.DUMMYFUNCTION("ifna(VALUE(REGEXEXTRACT(E437,""[0-9.]+[,]+[0-9]+"")))"),"")</f>
        <v/>
      </c>
      <c r="O437" s="194"/>
      <c r="P437" s="194"/>
      <c r="Q437" s="194"/>
      <c r="R437" s="194"/>
      <c r="S437" s="194"/>
      <c r="T437" s="194"/>
      <c r="U437" s="194"/>
      <c r="V437" s="194"/>
      <c r="W437" s="194"/>
    </row>
    <row r="438" ht="14.25" customHeight="1">
      <c r="A438" s="31"/>
      <c r="B438" s="287"/>
      <c r="C438" s="286"/>
      <c r="D438" s="204"/>
      <c r="E438" s="288"/>
      <c r="F438" s="204"/>
      <c r="G438" s="289"/>
      <c r="H438" s="204"/>
      <c r="I438" s="204"/>
      <c r="J438" s="202"/>
      <c r="K438" s="202"/>
      <c r="L438" s="192" t="str">
        <f>IFERROR(__xludf.DUMMYFUNCTION("IF(
  AND(D438=""Saída"", J438=""Sangria""),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197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94" t="str">
        <f>IFERROR(__xludf.DUMMYFUNCTION("ifna(VALUE(REGEXEXTRACT(E438,""[0-9.]+[,]+[0-9]+"")))"),"")</f>
        <v/>
      </c>
      <c r="O438" s="194"/>
      <c r="P438" s="194"/>
      <c r="Q438" s="194"/>
      <c r="R438" s="194"/>
      <c r="S438" s="194"/>
      <c r="T438" s="194"/>
      <c r="U438" s="194"/>
      <c r="V438" s="194"/>
      <c r="W438" s="194"/>
    </row>
    <row r="439" ht="14.25" customHeight="1">
      <c r="A439" s="31"/>
      <c r="B439" s="287"/>
      <c r="C439" s="286"/>
      <c r="D439" s="204"/>
      <c r="E439" s="288"/>
      <c r="F439" s="204"/>
      <c r="G439" s="289"/>
      <c r="H439" s="204"/>
      <c r="I439" s="204"/>
      <c r="J439" s="202"/>
      <c r="K439" s="202"/>
      <c r="L439" s="192" t="str">
        <f>IFERROR(__xludf.DUMMYFUNCTION("IF(
  AND(D439=""Saída"", J439=""Sangria""),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198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94" t="str">
        <f>IFERROR(__xludf.DUMMYFUNCTION("ifna(VALUE(REGEXEXTRACT(E439,""[0-9.]+[,]+[0-9]+"")))"),"")</f>
        <v/>
      </c>
      <c r="O439" s="194"/>
      <c r="P439" s="194"/>
      <c r="Q439" s="194"/>
      <c r="R439" s="194"/>
      <c r="S439" s="194"/>
      <c r="T439" s="194"/>
      <c r="U439" s="194"/>
      <c r="V439" s="194"/>
      <c r="W439" s="194"/>
    </row>
    <row r="440" ht="14.25" customHeight="1">
      <c r="A440" s="31"/>
      <c r="B440" s="287"/>
      <c r="C440" s="286"/>
      <c r="D440" s="204"/>
      <c r="E440" s="288"/>
      <c r="F440" s="204"/>
      <c r="G440" s="289"/>
      <c r="H440" s="204"/>
      <c r="I440" s="204"/>
      <c r="J440" s="202"/>
      <c r="K440" s="202"/>
      <c r="L440" s="192" t="str">
        <f>IFERROR(__xludf.DUMMYFUNCTION("IF(
  AND(D440=""Saída"", J440=""Sangria""),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197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94" t="str">
        <f>IFERROR(__xludf.DUMMYFUNCTION("ifna(VALUE(REGEXEXTRACT(E440,""[0-9.]+[,]+[0-9]+"")))"),"")</f>
        <v/>
      </c>
      <c r="O440" s="194"/>
      <c r="P440" s="194"/>
      <c r="Q440" s="194"/>
      <c r="R440" s="194"/>
      <c r="S440" s="194"/>
      <c r="T440" s="194"/>
      <c r="U440" s="194"/>
      <c r="V440" s="194"/>
      <c r="W440" s="194"/>
    </row>
    <row r="441" ht="14.25" customHeight="1">
      <c r="A441" s="31"/>
      <c r="B441" s="287"/>
      <c r="C441" s="286"/>
      <c r="D441" s="204"/>
      <c r="E441" s="288"/>
      <c r="F441" s="204"/>
      <c r="G441" s="289"/>
      <c r="H441" s="204"/>
      <c r="I441" s="204"/>
      <c r="J441" s="202"/>
      <c r="K441" s="202"/>
      <c r="L441" s="192" t="str">
        <f>IFERROR(__xludf.DUMMYFUNCTION("IF(
  AND(D441=""Saída"", J441=""Sangria""),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198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94" t="str">
        <f>IFERROR(__xludf.DUMMYFUNCTION("ifna(VALUE(REGEXEXTRACT(E441,""[0-9.]+[,]+[0-9]+"")))"),"")</f>
        <v/>
      </c>
      <c r="O441" s="194"/>
      <c r="P441" s="194"/>
      <c r="Q441" s="194"/>
      <c r="R441" s="194"/>
      <c r="S441" s="194"/>
      <c r="T441" s="194"/>
      <c r="U441" s="194"/>
      <c r="V441" s="194"/>
      <c r="W441" s="194"/>
    </row>
    <row r="442" ht="14.25" customHeight="1">
      <c r="A442" s="31"/>
      <c r="B442" s="287"/>
      <c r="C442" s="286"/>
      <c r="D442" s="204"/>
      <c r="E442" s="288"/>
      <c r="F442" s="204"/>
      <c r="G442" s="289"/>
      <c r="H442" s="204"/>
      <c r="I442" s="204"/>
      <c r="J442" s="202"/>
      <c r="K442" s="202"/>
      <c r="L442" s="192" t="str">
        <f>IFERROR(__xludf.DUMMYFUNCTION("IF(
  AND(D442=""Saída"", J442=""Sangria""),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197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94" t="str">
        <f>IFERROR(__xludf.DUMMYFUNCTION("ifna(VALUE(REGEXEXTRACT(E442,""[0-9.]+[,]+[0-9]+"")))"),"")</f>
        <v/>
      </c>
      <c r="O442" s="194"/>
      <c r="P442" s="194"/>
      <c r="Q442" s="194"/>
      <c r="R442" s="194"/>
      <c r="S442" s="194"/>
      <c r="T442" s="194"/>
      <c r="U442" s="194"/>
      <c r="V442" s="194"/>
      <c r="W442" s="194"/>
    </row>
    <row r="443" ht="14.25" customHeight="1">
      <c r="A443" s="31"/>
      <c r="B443" s="287"/>
      <c r="C443" s="286"/>
      <c r="D443" s="204"/>
      <c r="E443" s="288"/>
      <c r="F443" s="204"/>
      <c r="G443" s="289"/>
      <c r="H443" s="204"/>
      <c r="I443" s="204"/>
      <c r="J443" s="202"/>
      <c r="K443" s="202"/>
      <c r="L443" s="192" t="str">
        <f>IFERROR(__xludf.DUMMYFUNCTION("IF(
  AND(D443=""Saída"", J443=""Sangria""),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198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94" t="str">
        <f>IFERROR(__xludf.DUMMYFUNCTION("ifna(VALUE(REGEXEXTRACT(E443,""[0-9.]+[,]+[0-9]+"")))"),"")</f>
        <v/>
      </c>
      <c r="O443" s="194"/>
      <c r="P443" s="194"/>
      <c r="Q443" s="194"/>
      <c r="R443" s="194"/>
      <c r="S443" s="194"/>
      <c r="T443" s="194"/>
      <c r="U443" s="194"/>
      <c r="V443" s="194"/>
      <c r="W443" s="194"/>
    </row>
    <row r="444" ht="14.25" customHeight="1">
      <c r="A444" s="31"/>
      <c r="B444" s="287"/>
      <c r="C444" s="286"/>
      <c r="D444" s="204"/>
      <c r="E444" s="288"/>
      <c r="F444" s="204"/>
      <c r="G444" s="289"/>
      <c r="H444" s="204"/>
      <c r="I444" s="204"/>
      <c r="J444" s="202"/>
      <c r="K444" s="202"/>
      <c r="L444" s="192" t="str">
        <f>IFERROR(__xludf.DUMMYFUNCTION("IF(
  AND(D444=""Saída"", J444=""Sangria""),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197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94" t="str">
        <f>IFERROR(__xludf.DUMMYFUNCTION("ifna(VALUE(REGEXEXTRACT(E444,""[0-9.]+[,]+[0-9]+"")))"),"")</f>
        <v/>
      </c>
      <c r="O444" s="194"/>
      <c r="P444" s="194"/>
      <c r="Q444" s="194"/>
      <c r="R444" s="194"/>
      <c r="S444" s="194"/>
      <c r="T444" s="194"/>
      <c r="U444" s="194"/>
      <c r="V444" s="194"/>
      <c r="W444" s="194"/>
    </row>
    <row r="445" ht="14.25" customHeight="1">
      <c r="A445" s="31"/>
      <c r="B445" s="287"/>
      <c r="C445" s="286"/>
      <c r="D445" s="204"/>
      <c r="E445" s="288"/>
      <c r="F445" s="204"/>
      <c r="G445" s="289"/>
      <c r="H445" s="204"/>
      <c r="I445" s="204"/>
      <c r="J445" s="202"/>
      <c r="K445" s="202"/>
      <c r="L445" s="192" t="str">
        <f>IFERROR(__xludf.DUMMYFUNCTION("IF(
  AND(D445=""Saída"", J445=""Sangria""),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198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94" t="str">
        <f>IFERROR(__xludf.DUMMYFUNCTION("ifna(VALUE(REGEXEXTRACT(E445,""[0-9.]+[,]+[0-9]+"")))"),"")</f>
        <v/>
      </c>
      <c r="O445" s="194"/>
      <c r="P445" s="194"/>
      <c r="Q445" s="194"/>
      <c r="R445" s="194"/>
      <c r="S445" s="194"/>
      <c r="T445" s="194"/>
      <c r="U445" s="194"/>
      <c r="V445" s="194"/>
      <c r="W445" s="194"/>
    </row>
    <row r="446" ht="14.25" customHeight="1">
      <c r="A446" s="31"/>
      <c r="B446" s="287"/>
      <c r="C446" s="286"/>
      <c r="D446" s="204"/>
      <c r="E446" s="288"/>
      <c r="F446" s="204"/>
      <c r="G446" s="289"/>
      <c r="H446" s="204"/>
      <c r="I446" s="204"/>
      <c r="J446" s="202"/>
      <c r="K446" s="202"/>
      <c r="L446" s="192" t="str">
        <f>IFERROR(__xludf.DUMMYFUNCTION("IF(
  AND(D446=""Saída"", J446=""Sangria""),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197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94" t="str">
        <f>IFERROR(__xludf.DUMMYFUNCTION("ifna(VALUE(REGEXEXTRACT(E446,""[0-9.]+[,]+[0-9]+"")))"),"")</f>
        <v/>
      </c>
      <c r="O446" s="194"/>
      <c r="P446" s="194"/>
      <c r="Q446" s="194"/>
      <c r="R446" s="194"/>
      <c r="S446" s="194"/>
      <c r="T446" s="194"/>
      <c r="U446" s="194"/>
      <c r="V446" s="194"/>
      <c r="W446" s="194"/>
    </row>
    <row r="447" ht="14.25" customHeight="1">
      <c r="A447" s="31"/>
      <c r="B447" s="287"/>
      <c r="C447" s="286"/>
      <c r="D447" s="204"/>
      <c r="E447" s="288"/>
      <c r="F447" s="204"/>
      <c r="G447" s="289"/>
      <c r="H447" s="204"/>
      <c r="I447" s="204"/>
      <c r="J447" s="202"/>
      <c r="K447" s="202"/>
      <c r="L447" s="192" t="str">
        <f>IFERROR(__xludf.DUMMYFUNCTION("IF(
  AND(D447=""Saída"", J447=""Sangria""),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198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94" t="str">
        <f>IFERROR(__xludf.DUMMYFUNCTION("ifna(VALUE(REGEXEXTRACT(E447,""[0-9.]+[,]+[0-9]+"")))"),"")</f>
        <v/>
      </c>
      <c r="O447" s="194"/>
      <c r="P447" s="194"/>
      <c r="Q447" s="194"/>
      <c r="R447" s="194"/>
      <c r="S447" s="194"/>
      <c r="T447" s="194"/>
      <c r="U447" s="194"/>
      <c r="V447" s="194"/>
      <c r="W447" s="194"/>
    </row>
    <row r="448" ht="14.25" customHeight="1">
      <c r="A448" s="31"/>
      <c r="B448" s="287"/>
      <c r="C448" s="286"/>
      <c r="D448" s="204"/>
      <c r="E448" s="288"/>
      <c r="F448" s="204"/>
      <c r="G448" s="289"/>
      <c r="H448" s="204"/>
      <c r="I448" s="204"/>
      <c r="J448" s="202"/>
      <c r="K448" s="202"/>
      <c r="L448" s="192" t="str">
        <f>IFERROR(__xludf.DUMMYFUNCTION("IF(
  AND(D448=""Saída"", J448=""Sangria""),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197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94" t="str">
        <f>IFERROR(__xludf.DUMMYFUNCTION("ifna(VALUE(REGEXEXTRACT(E448,""[0-9.]+[,]+[0-9]+"")))"),"")</f>
        <v/>
      </c>
      <c r="O448" s="194"/>
      <c r="P448" s="194"/>
      <c r="Q448" s="194"/>
      <c r="R448" s="194"/>
      <c r="S448" s="194"/>
      <c r="T448" s="194"/>
      <c r="U448" s="194"/>
      <c r="V448" s="194"/>
      <c r="W448" s="194"/>
    </row>
    <row r="449" ht="14.25" customHeight="1">
      <c r="A449" s="31"/>
      <c r="B449" s="287"/>
      <c r="C449" s="286"/>
      <c r="D449" s="204"/>
      <c r="E449" s="288"/>
      <c r="F449" s="204"/>
      <c r="G449" s="289"/>
      <c r="H449" s="204"/>
      <c r="I449" s="204"/>
      <c r="J449" s="202"/>
      <c r="K449" s="202"/>
      <c r="L449" s="192" t="str">
        <f>IFERROR(__xludf.DUMMYFUNCTION("IF(
  AND(D449=""Saída"", J449=""Sangria""),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198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94" t="str">
        <f>IFERROR(__xludf.DUMMYFUNCTION("ifna(VALUE(REGEXEXTRACT(E449,""[0-9.]+[,]+[0-9]+"")))"),"")</f>
        <v/>
      </c>
      <c r="O449" s="194"/>
      <c r="P449" s="194"/>
      <c r="Q449" s="194"/>
      <c r="R449" s="194"/>
      <c r="S449" s="194"/>
      <c r="T449" s="194"/>
      <c r="U449" s="194"/>
      <c r="V449" s="194"/>
      <c r="W449" s="194"/>
    </row>
    <row r="450" ht="14.25" customHeight="1">
      <c r="A450" s="31"/>
      <c r="B450" s="287"/>
      <c r="C450" s="286"/>
      <c r="D450" s="204"/>
      <c r="E450" s="288"/>
      <c r="F450" s="204"/>
      <c r="G450" s="289"/>
      <c r="H450" s="204"/>
      <c r="I450" s="204"/>
      <c r="J450" s="202"/>
      <c r="K450" s="202"/>
      <c r="L450" s="192" t="str">
        <f>IFERROR(__xludf.DUMMYFUNCTION("IF(
  AND(D450=""Saída"", J450=""Sangria""),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197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94" t="str">
        <f>IFERROR(__xludf.DUMMYFUNCTION("ifna(VALUE(REGEXEXTRACT(E450,""[0-9.]+[,]+[0-9]+"")))"),"")</f>
        <v/>
      </c>
      <c r="O450" s="194"/>
      <c r="P450" s="194"/>
      <c r="Q450" s="194"/>
      <c r="R450" s="194"/>
      <c r="S450" s="194"/>
      <c r="T450" s="194"/>
      <c r="U450" s="194"/>
      <c r="V450" s="194"/>
      <c r="W450" s="194"/>
    </row>
    <row r="451" ht="14.25" customHeight="1">
      <c r="A451" s="31"/>
      <c r="B451" s="287"/>
      <c r="C451" s="286"/>
      <c r="D451" s="204"/>
      <c r="E451" s="288"/>
      <c r="F451" s="204"/>
      <c r="G451" s="289"/>
      <c r="H451" s="204"/>
      <c r="I451" s="204"/>
      <c r="J451" s="202"/>
      <c r="K451" s="202"/>
      <c r="L451" s="192" t="str">
        <f>IFERROR(__xludf.DUMMYFUNCTION("IF(
  AND(D451=""Saída"", J451=""Sangria""),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198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94" t="str">
        <f>IFERROR(__xludf.DUMMYFUNCTION("ifna(VALUE(REGEXEXTRACT(E451,""[0-9.]+[,]+[0-9]+"")))"),"")</f>
        <v/>
      </c>
      <c r="O451" s="194"/>
      <c r="P451" s="194"/>
      <c r="Q451" s="194"/>
      <c r="R451" s="194"/>
      <c r="S451" s="194"/>
      <c r="T451" s="194"/>
      <c r="U451" s="194"/>
      <c r="V451" s="194"/>
      <c r="W451" s="194"/>
    </row>
    <row r="452" ht="14.25" customHeight="1">
      <c r="A452" s="31"/>
      <c r="B452" s="287"/>
      <c r="C452" s="286"/>
      <c r="D452" s="204"/>
      <c r="E452" s="288"/>
      <c r="F452" s="204"/>
      <c r="G452" s="289"/>
      <c r="H452" s="204"/>
      <c r="I452" s="204"/>
      <c r="J452" s="202"/>
      <c r="K452" s="202"/>
      <c r="L452" s="192" t="str">
        <f>IFERROR(__xludf.DUMMYFUNCTION("IF(
  AND(D452=""Saída"", J452=""Sangria""),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197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94" t="str">
        <f>IFERROR(__xludf.DUMMYFUNCTION("ifna(VALUE(REGEXEXTRACT(E452,""[0-9.]+[,]+[0-9]+"")))"),"")</f>
        <v/>
      </c>
      <c r="O452" s="194"/>
      <c r="P452" s="194"/>
      <c r="Q452" s="194"/>
      <c r="R452" s="194"/>
      <c r="S452" s="194"/>
      <c r="T452" s="194"/>
      <c r="U452" s="194"/>
      <c r="V452" s="194"/>
      <c r="W452" s="194"/>
    </row>
    <row r="453" ht="14.25" customHeight="1">
      <c r="A453" s="31"/>
      <c r="B453" s="287"/>
      <c r="C453" s="286"/>
      <c r="D453" s="204"/>
      <c r="E453" s="288"/>
      <c r="F453" s="204"/>
      <c r="G453" s="289"/>
      <c r="H453" s="204"/>
      <c r="I453" s="204"/>
      <c r="J453" s="202"/>
      <c r="K453" s="202"/>
      <c r="L453" s="192" t="str">
        <f>IFERROR(__xludf.DUMMYFUNCTION("IF(
  AND(D453=""Saída"", J453=""Sangria""),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198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94" t="str">
        <f>IFERROR(__xludf.DUMMYFUNCTION("ifna(VALUE(REGEXEXTRACT(E453,""[0-9.]+[,]+[0-9]+"")))"),"")</f>
        <v/>
      </c>
      <c r="O453" s="194"/>
      <c r="P453" s="194"/>
      <c r="Q453" s="194"/>
      <c r="R453" s="194"/>
      <c r="S453" s="194"/>
      <c r="T453" s="194"/>
      <c r="U453" s="194"/>
      <c r="V453" s="194"/>
      <c r="W453" s="194"/>
    </row>
    <row r="454" ht="14.25" customHeight="1">
      <c r="A454" s="31"/>
      <c r="B454" s="287"/>
      <c r="C454" s="286"/>
      <c r="D454" s="204"/>
      <c r="E454" s="288"/>
      <c r="F454" s="204"/>
      <c r="G454" s="289"/>
      <c r="H454" s="204"/>
      <c r="I454" s="204"/>
      <c r="J454" s="202"/>
      <c r="K454" s="202"/>
      <c r="L454" s="192" t="str">
        <f>IFERROR(__xludf.DUMMYFUNCTION("IF(
  AND(D454=""Saída"", J454=""Sangria""),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197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94" t="str">
        <f>IFERROR(__xludf.DUMMYFUNCTION("ifna(VALUE(REGEXEXTRACT(E454,""[0-9.]+[,]+[0-9]+"")))"),"")</f>
        <v/>
      </c>
      <c r="O454" s="194"/>
      <c r="P454" s="194"/>
      <c r="Q454" s="194"/>
      <c r="R454" s="194"/>
      <c r="S454" s="194"/>
      <c r="T454" s="194"/>
      <c r="U454" s="194"/>
      <c r="V454" s="194"/>
      <c r="W454" s="194"/>
    </row>
    <row r="455" ht="14.25" customHeight="1">
      <c r="A455" s="31"/>
      <c r="B455" s="287"/>
      <c r="C455" s="286"/>
      <c r="D455" s="204"/>
      <c r="E455" s="288"/>
      <c r="F455" s="204"/>
      <c r="G455" s="289"/>
      <c r="H455" s="204"/>
      <c r="I455" s="204"/>
      <c r="J455" s="202"/>
      <c r="K455" s="202"/>
      <c r="L455" s="192" t="str">
        <f>IFERROR(__xludf.DUMMYFUNCTION("IF(
  AND(D455=""Saída"", J455=""Sangria""),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198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94" t="str">
        <f>IFERROR(__xludf.DUMMYFUNCTION("ifna(VALUE(REGEXEXTRACT(E455,""[0-9.]+[,]+[0-9]+"")))"),"")</f>
        <v/>
      </c>
      <c r="O455" s="194"/>
      <c r="P455" s="194"/>
      <c r="Q455" s="194"/>
      <c r="R455" s="194"/>
      <c r="S455" s="194"/>
      <c r="T455" s="194"/>
      <c r="U455" s="194"/>
      <c r="V455" s="194"/>
      <c r="W455" s="194"/>
    </row>
    <row r="456" ht="14.25" customHeight="1">
      <c r="A456" s="31"/>
      <c r="B456" s="287"/>
      <c r="C456" s="286"/>
      <c r="D456" s="204"/>
      <c r="E456" s="288"/>
      <c r="F456" s="204"/>
      <c r="G456" s="289"/>
      <c r="H456" s="204"/>
      <c r="I456" s="204"/>
      <c r="J456" s="202"/>
      <c r="K456" s="202"/>
      <c r="L456" s="192" t="str">
        <f>IFERROR(__xludf.DUMMYFUNCTION("IF(
  AND(D456=""Saída"", J456=""Sangria""),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197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94" t="str">
        <f>IFERROR(__xludf.DUMMYFUNCTION("ifna(VALUE(REGEXEXTRACT(E456,""[0-9.]+[,]+[0-9]+"")))"),"")</f>
        <v/>
      </c>
      <c r="O456" s="194"/>
      <c r="P456" s="194"/>
      <c r="Q456" s="194"/>
      <c r="R456" s="194"/>
      <c r="S456" s="194"/>
      <c r="T456" s="194"/>
      <c r="U456" s="194"/>
      <c r="V456" s="194"/>
      <c r="W456" s="194"/>
    </row>
    <row r="457" ht="14.25" customHeight="1">
      <c r="A457" s="31"/>
      <c r="B457" s="287"/>
      <c r="C457" s="286"/>
      <c r="D457" s="204"/>
      <c r="E457" s="288"/>
      <c r="F457" s="204"/>
      <c r="G457" s="289"/>
      <c r="H457" s="204"/>
      <c r="I457" s="204"/>
      <c r="J457" s="202"/>
      <c r="K457" s="202"/>
      <c r="L457" s="192" t="str">
        <f>IFERROR(__xludf.DUMMYFUNCTION("IF(
  AND(D457=""Saída"", J457=""Sangria""),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198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94" t="str">
        <f>IFERROR(__xludf.DUMMYFUNCTION("ifna(VALUE(REGEXEXTRACT(E457,""[0-9.]+[,]+[0-9]+"")))"),"")</f>
        <v/>
      </c>
      <c r="O457" s="194"/>
      <c r="P457" s="194"/>
      <c r="Q457" s="194"/>
      <c r="R457" s="194"/>
      <c r="S457" s="194"/>
      <c r="T457" s="194"/>
      <c r="U457" s="194"/>
      <c r="V457" s="194"/>
      <c r="W457" s="194"/>
    </row>
    <row r="458" ht="14.25" customHeight="1">
      <c r="A458" s="31"/>
      <c r="B458" s="287"/>
      <c r="C458" s="286"/>
      <c r="D458" s="204"/>
      <c r="E458" s="288"/>
      <c r="F458" s="204"/>
      <c r="G458" s="289"/>
      <c r="H458" s="204"/>
      <c r="I458" s="204"/>
      <c r="J458" s="202"/>
      <c r="K458" s="202"/>
      <c r="L458" s="192" t="str">
        <f>IFERROR(__xludf.DUMMYFUNCTION("IF(
  AND(D458=""Saída"", J458=""Sangria""),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197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94" t="str">
        <f>IFERROR(__xludf.DUMMYFUNCTION("ifna(VALUE(REGEXEXTRACT(E458,""[0-9.]+[,]+[0-9]+"")))"),"")</f>
        <v/>
      </c>
      <c r="O458" s="194"/>
      <c r="P458" s="194"/>
      <c r="Q458" s="194"/>
      <c r="R458" s="194"/>
      <c r="S458" s="194"/>
      <c r="T458" s="194"/>
      <c r="U458" s="194"/>
      <c r="V458" s="194"/>
      <c r="W458" s="194"/>
    </row>
    <row r="459" ht="14.25" customHeight="1">
      <c r="A459" s="31"/>
      <c r="B459" s="287"/>
      <c r="C459" s="286"/>
      <c r="D459" s="204"/>
      <c r="E459" s="288"/>
      <c r="F459" s="204"/>
      <c r="G459" s="289"/>
      <c r="H459" s="204"/>
      <c r="I459" s="204"/>
      <c r="J459" s="202"/>
      <c r="K459" s="202"/>
      <c r="L459" s="192" t="str">
        <f>IFERROR(__xludf.DUMMYFUNCTION("IF(
  AND(D459=""Saída"", J459=""Sangria""),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198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94" t="str">
        <f>IFERROR(__xludf.DUMMYFUNCTION("ifna(VALUE(REGEXEXTRACT(E459,""[0-9.]+[,]+[0-9]+"")))"),"")</f>
        <v/>
      </c>
      <c r="O459" s="194"/>
      <c r="P459" s="194"/>
      <c r="Q459" s="194"/>
      <c r="R459" s="194"/>
      <c r="S459" s="194"/>
      <c r="T459" s="194"/>
      <c r="U459" s="194"/>
      <c r="V459" s="194"/>
      <c r="W459" s="194"/>
    </row>
    <row r="460" ht="14.25" customHeight="1">
      <c r="A460" s="31"/>
      <c r="B460" s="287"/>
      <c r="C460" s="286"/>
      <c r="D460" s="204"/>
      <c r="E460" s="288"/>
      <c r="F460" s="204"/>
      <c r="G460" s="289"/>
      <c r="H460" s="204"/>
      <c r="I460" s="204"/>
      <c r="J460" s="202"/>
      <c r="K460" s="202"/>
      <c r="L460" s="192" t="str">
        <f>IFERROR(__xludf.DUMMYFUNCTION("IF(
  AND(D460=""Saída"", J460=""Sangria""),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197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94" t="str">
        <f>IFERROR(__xludf.DUMMYFUNCTION("ifna(VALUE(REGEXEXTRACT(E460,""[0-9.]+[,]+[0-9]+"")))"),"")</f>
        <v/>
      </c>
      <c r="O460" s="194"/>
      <c r="P460" s="194"/>
      <c r="Q460" s="194"/>
      <c r="R460" s="194"/>
      <c r="S460" s="194"/>
      <c r="T460" s="194"/>
      <c r="U460" s="194"/>
      <c r="V460" s="194"/>
      <c r="W460" s="194"/>
    </row>
    <row r="461" ht="14.25" customHeight="1">
      <c r="A461" s="31"/>
      <c r="B461" s="287"/>
      <c r="C461" s="286"/>
      <c r="D461" s="204"/>
      <c r="E461" s="288"/>
      <c r="F461" s="204"/>
      <c r="G461" s="289"/>
      <c r="H461" s="204"/>
      <c r="I461" s="204"/>
      <c r="J461" s="202"/>
      <c r="K461" s="202"/>
      <c r="L461" s="192" t="str">
        <f>IFERROR(__xludf.DUMMYFUNCTION("IF(
  AND(D461=""Saída"", J461=""Sangria""),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198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94" t="str">
        <f>IFERROR(__xludf.DUMMYFUNCTION("ifna(VALUE(REGEXEXTRACT(E461,""[0-9.]+[,]+[0-9]+"")))"),"")</f>
        <v/>
      </c>
      <c r="O461" s="194"/>
      <c r="P461" s="194"/>
      <c r="Q461" s="194"/>
      <c r="R461" s="194"/>
      <c r="S461" s="194"/>
      <c r="T461" s="194"/>
      <c r="U461" s="194"/>
      <c r="V461" s="194"/>
      <c r="W461" s="194"/>
    </row>
    <row r="462" ht="14.25" customHeight="1">
      <c r="A462" s="31"/>
      <c r="B462" s="287"/>
      <c r="C462" s="286"/>
      <c r="D462" s="204"/>
      <c r="E462" s="288"/>
      <c r="F462" s="204"/>
      <c r="G462" s="289"/>
      <c r="H462" s="204"/>
      <c r="I462" s="204"/>
      <c r="J462" s="202"/>
      <c r="K462" s="202"/>
      <c r="L462" s="192" t="str">
        <f>IFERROR(__xludf.DUMMYFUNCTION("IF(
  AND(D462=""Saída"", J462=""Sangria""),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197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94" t="str">
        <f>IFERROR(__xludf.DUMMYFUNCTION("ifna(VALUE(REGEXEXTRACT(E462,""[0-9.]+[,]+[0-9]+"")))"),"")</f>
        <v/>
      </c>
      <c r="O462" s="194"/>
      <c r="P462" s="194"/>
      <c r="Q462" s="194"/>
      <c r="R462" s="194"/>
      <c r="S462" s="194"/>
      <c r="T462" s="194"/>
      <c r="U462" s="194"/>
      <c r="V462" s="194"/>
      <c r="W462" s="194"/>
    </row>
    <row r="463" ht="14.25" customHeight="1">
      <c r="A463" s="31"/>
      <c r="B463" s="287"/>
      <c r="C463" s="286"/>
      <c r="D463" s="204"/>
      <c r="E463" s="288"/>
      <c r="F463" s="204"/>
      <c r="G463" s="289"/>
      <c r="H463" s="204"/>
      <c r="I463" s="204"/>
      <c r="J463" s="202"/>
      <c r="K463" s="202"/>
      <c r="L463" s="192" t="str">
        <f>IFERROR(__xludf.DUMMYFUNCTION("IF(
  AND(D463=""Saída"", J463=""Sangria""),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198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94" t="str">
        <f>IFERROR(__xludf.DUMMYFUNCTION("ifna(VALUE(REGEXEXTRACT(E463,""[0-9.]+[,]+[0-9]+"")))"),"")</f>
        <v/>
      </c>
      <c r="O463" s="194"/>
      <c r="P463" s="194"/>
      <c r="Q463" s="194"/>
      <c r="R463" s="194"/>
      <c r="S463" s="194"/>
      <c r="T463" s="194"/>
      <c r="U463" s="194"/>
      <c r="V463" s="194"/>
      <c r="W463" s="194"/>
    </row>
    <row r="464" ht="14.25" customHeight="1">
      <c r="A464" s="31"/>
      <c r="B464" s="287"/>
      <c r="C464" s="286"/>
      <c r="D464" s="204"/>
      <c r="E464" s="288"/>
      <c r="F464" s="204"/>
      <c r="G464" s="289"/>
      <c r="H464" s="204"/>
      <c r="I464" s="204"/>
      <c r="J464" s="202"/>
      <c r="K464" s="202"/>
      <c r="L464" s="192" t="str">
        <f>IFERROR(__xludf.DUMMYFUNCTION("IF(
  AND(D464=""Saída"", J464=""Sangria""),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197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94" t="str">
        <f>IFERROR(__xludf.DUMMYFUNCTION("ifna(VALUE(REGEXEXTRACT(E464,""[0-9.]+[,]+[0-9]+"")))"),"")</f>
        <v/>
      </c>
      <c r="O464" s="194"/>
      <c r="P464" s="194"/>
      <c r="Q464" s="194"/>
      <c r="R464" s="194"/>
      <c r="S464" s="194"/>
      <c r="T464" s="194"/>
      <c r="U464" s="194"/>
      <c r="V464" s="194"/>
      <c r="W464" s="194"/>
    </row>
    <row r="465" ht="14.25" customHeight="1">
      <c r="A465" s="31"/>
      <c r="B465" s="287"/>
      <c r="C465" s="286"/>
      <c r="D465" s="204"/>
      <c r="E465" s="288"/>
      <c r="F465" s="204"/>
      <c r="G465" s="289"/>
      <c r="H465" s="204"/>
      <c r="I465" s="204"/>
      <c r="J465" s="202"/>
      <c r="K465" s="202"/>
      <c r="L465" s="192" t="str">
        <f>IFERROR(__xludf.DUMMYFUNCTION("IF(
  AND(D465=""Saída"", J465=""Sangria""),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198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94" t="str">
        <f>IFERROR(__xludf.DUMMYFUNCTION("ifna(VALUE(REGEXEXTRACT(E465,""[0-9.]+[,]+[0-9]+"")))"),"")</f>
        <v/>
      </c>
      <c r="O465" s="194"/>
      <c r="P465" s="194"/>
      <c r="Q465" s="194"/>
      <c r="R465" s="194"/>
      <c r="S465" s="194"/>
      <c r="T465" s="194"/>
      <c r="U465" s="194"/>
      <c r="V465" s="194"/>
      <c r="W465" s="194"/>
    </row>
    <row r="466" ht="14.25" customHeight="1">
      <c r="A466" s="31"/>
      <c r="B466" s="287"/>
      <c r="C466" s="286"/>
      <c r="D466" s="204"/>
      <c r="E466" s="288"/>
      <c r="F466" s="204"/>
      <c r="G466" s="289"/>
      <c r="H466" s="204"/>
      <c r="I466" s="204"/>
      <c r="J466" s="202"/>
      <c r="K466" s="202"/>
      <c r="L466" s="192" t="str">
        <f>IFERROR(__xludf.DUMMYFUNCTION("IF(
  AND(D466=""Saída"", J466=""Sangria""),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197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94" t="str">
        <f>IFERROR(__xludf.DUMMYFUNCTION("ifna(VALUE(REGEXEXTRACT(E466,""[0-9.]+[,]+[0-9]+"")))"),"")</f>
        <v/>
      </c>
      <c r="O466" s="194"/>
      <c r="P466" s="194"/>
      <c r="Q466" s="194"/>
      <c r="R466" s="194"/>
      <c r="S466" s="194"/>
      <c r="T466" s="194"/>
      <c r="U466" s="194"/>
      <c r="V466" s="194"/>
      <c r="W466" s="194"/>
    </row>
    <row r="467" ht="14.25" customHeight="1">
      <c r="A467" s="31"/>
      <c r="B467" s="287"/>
      <c r="C467" s="286"/>
      <c r="D467" s="204"/>
      <c r="E467" s="288"/>
      <c r="F467" s="204"/>
      <c r="G467" s="289"/>
      <c r="H467" s="204"/>
      <c r="I467" s="204"/>
      <c r="J467" s="202"/>
      <c r="K467" s="202"/>
      <c r="L467" s="192" t="str">
        <f>IFERROR(__xludf.DUMMYFUNCTION("IF(
  AND(D467=""Saída"", J467=""Sangria""),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198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94" t="str">
        <f>IFERROR(__xludf.DUMMYFUNCTION("ifna(VALUE(REGEXEXTRACT(E467,""[0-9.]+[,]+[0-9]+"")))"),"")</f>
        <v/>
      </c>
      <c r="O467" s="194"/>
      <c r="P467" s="194"/>
      <c r="Q467" s="194"/>
      <c r="R467" s="194"/>
      <c r="S467" s="194"/>
      <c r="T467" s="194"/>
      <c r="U467" s="194"/>
      <c r="V467" s="194"/>
      <c r="W467" s="194"/>
    </row>
    <row r="468" ht="14.25" customHeight="1">
      <c r="A468" s="31"/>
      <c r="B468" s="287"/>
      <c r="C468" s="286"/>
      <c r="D468" s="204"/>
      <c r="E468" s="288"/>
      <c r="F468" s="204"/>
      <c r="G468" s="289"/>
      <c r="H468" s="204"/>
      <c r="I468" s="204"/>
      <c r="J468" s="202"/>
      <c r="K468" s="202"/>
      <c r="L468" s="192" t="str">
        <f>IFERROR(__xludf.DUMMYFUNCTION("IF(
  AND(D468=""Saída"", J468=""Sangria""),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197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94" t="str">
        <f>IFERROR(__xludf.DUMMYFUNCTION("ifna(VALUE(REGEXEXTRACT(E468,""[0-9.]+[,]+[0-9]+"")))"),"")</f>
        <v/>
      </c>
      <c r="O468" s="194"/>
      <c r="P468" s="194"/>
      <c r="Q468" s="194"/>
      <c r="R468" s="194"/>
      <c r="S468" s="194"/>
      <c r="T468" s="194"/>
      <c r="U468" s="194"/>
      <c r="V468" s="194"/>
      <c r="W468" s="194"/>
    </row>
    <row r="469" ht="14.25" customHeight="1">
      <c r="A469" s="31"/>
      <c r="B469" s="287"/>
      <c r="C469" s="286"/>
      <c r="D469" s="204"/>
      <c r="E469" s="288"/>
      <c r="F469" s="204"/>
      <c r="G469" s="289"/>
      <c r="H469" s="204"/>
      <c r="I469" s="204"/>
      <c r="J469" s="202"/>
      <c r="K469" s="202"/>
      <c r="L469" s="192" t="str">
        <f>IFERROR(__xludf.DUMMYFUNCTION("IF(
  AND(D469=""Saída"", J469=""Sangria""),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198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94" t="str">
        <f>IFERROR(__xludf.DUMMYFUNCTION("ifna(VALUE(REGEXEXTRACT(E469,""[0-9.]+[,]+[0-9]+"")))"),"")</f>
        <v/>
      </c>
      <c r="O469" s="194"/>
      <c r="P469" s="194"/>
      <c r="Q469" s="194"/>
      <c r="R469" s="194"/>
      <c r="S469" s="194"/>
      <c r="T469" s="194"/>
      <c r="U469" s="194"/>
      <c r="V469" s="194"/>
      <c r="W469" s="194"/>
    </row>
    <row r="470" ht="14.25" customHeight="1">
      <c r="A470" s="31"/>
      <c r="B470" s="287"/>
      <c r="C470" s="286"/>
      <c r="D470" s="204"/>
      <c r="E470" s="288"/>
      <c r="F470" s="204"/>
      <c r="G470" s="289"/>
      <c r="H470" s="204"/>
      <c r="I470" s="204"/>
      <c r="J470" s="202"/>
      <c r="K470" s="202"/>
      <c r="L470" s="192" t="str">
        <f>IFERROR(__xludf.DUMMYFUNCTION("IF(
  AND(D470=""Saída"", J470=""Sangria""),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197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94" t="str">
        <f>IFERROR(__xludf.DUMMYFUNCTION("ifna(VALUE(REGEXEXTRACT(E470,""[0-9.]+[,]+[0-9]+"")))"),"")</f>
        <v/>
      </c>
      <c r="O470" s="194"/>
      <c r="P470" s="194"/>
      <c r="Q470" s="194"/>
      <c r="R470" s="194"/>
      <c r="S470" s="194"/>
      <c r="T470" s="194"/>
      <c r="U470" s="194"/>
      <c r="V470" s="194"/>
      <c r="W470" s="194"/>
    </row>
    <row r="471" ht="14.25" customHeight="1">
      <c r="A471" s="31"/>
      <c r="B471" s="287"/>
      <c r="C471" s="286"/>
      <c r="D471" s="204"/>
      <c r="E471" s="288"/>
      <c r="F471" s="204"/>
      <c r="G471" s="289"/>
      <c r="H471" s="204"/>
      <c r="I471" s="204"/>
      <c r="J471" s="202"/>
      <c r="K471" s="202"/>
      <c r="L471" s="192" t="str">
        <f>IFERROR(__xludf.DUMMYFUNCTION("IF(
  AND(D471=""Saída"", J471=""Sangria""),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198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94" t="str">
        <f>IFERROR(__xludf.DUMMYFUNCTION("ifna(VALUE(REGEXEXTRACT(E471,""[0-9.]+[,]+[0-9]+"")))"),"")</f>
        <v/>
      </c>
      <c r="O471" s="194"/>
      <c r="P471" s="194"/>
      <c r="Q471" s="194"/>
      <c r="R471" s="194"/>
      <c r="S471" s="194"/>
      <c r="T471" s="194"/>
      <c r="U471" s="194"/>
      <c r="V471" s="194"/>
      <c r="W471" s="194"/>
    </row>
    <row r="472" ht="14.25" customHeight="1">
      <c r="A472" s="31"/>
      <c r="B472" s="287"/>
      <c r="C472" s="286"/>
      <c r="D472" s="204"/>
      <c r="E472" s="288"/>
      <c r="F472" s="204"/>
      <c r="G472" s="289"/>
      <c r="H472" s="204"/>
      <c r="I472" s="204"/>
      <c r="J472" s="202"/>
      <c r="K472" s="202"/>
      <c r="L472" s="192" t="str">
        <f>IFERROR(__xludf.DUMMYFUNCTION("IF(
  AND(D472=""Saída"", J472=""Sangria""),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197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94" t="str">
        <f>IFERROR(__xludf.DUMMYFUNCTION("ifna(VALUE(REGEXEXTRACT(E472,""[0-9.]+[,]+[0-9]+"")))"),"")</f>
        <v/>
      </c>
      <c r="O472" s="194"/>
      <c r="P472" s="194"/>
      <c r="Q472" s="194"/>
      <c r="R472" s="194"/>
      <c r="S472" s="194"/>
      <c r="T472" s="194"/>
      <c r="U472" s="194"/>
      <c r="V472" s="194"/>
      <c r="W472" s="194"/>
    </row>
    <row r="473" ht="14.25" customHeight="1">
      <c r="A473" s="31"/>
      <c r="B473" s="287"/>
      <c r="C473" s="286"/>
      <c r="D473" s="204"/>
      <c r="E473" s="288"/>
      <c r="F473" s="204"/>
      <c r="G473" s="289"/>
      <c r="H473" s="204"/>
      <c r="I473" s="204"/>
      <c r="J473" s="202"/>
      <c r="K473" s="202"/>
      <c r="L473" s="192" t="str">
        <f>IFERROR(__xludf.DUMMYFUNCTION("IF(
  AND(D473=""Saída"", J473=""Sangria""),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198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94" t="str">
        <f>IFERROR(__xludf.DUMMYFUNCTION("ifna(VALUE(REGEXEXTRACT(E473,""[0-9.]+[,]+[0-9]+"")))"),"")</f>
        <v/>
      </c>
      <c r="O473" s="194"/>
      <c r="P473" s="194"/>
      <c r="Q473" s="194"/>
      <c r="R473" s="194"/>
      <c r="S473" s="194"/>
      <c r="T473" s="194"/>
      <c r="U473" s="194"/>
      <c r="V473" s="194"/>
      <c r="W473" s="194"/>
    </row>
    <row r="474" ht="14.25" customHeight="1">
      <c r="A474" s="31"/>
      <c r="B474" s="287"/>
      <c r="C474" s="286"/>
      <c r="D474" s="204"/>
      <c r="E474" s="288"/>
      <c r="F474" s="204"/>
      <c r="G474" s="289"/>
      <c r="H474" s="204"/>
      <c r="I474" s="204"/>
      <c r="J474" s="202"/>
      <c r="K474" s="202"/>
      <c r="L474" s="192" t="str">
        <f>IFERROR(__xludf.DUMMYFUNCTION("IF(
  AND(D474=""Saída"", J474=""Sangria""),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197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94" t="str">
        <f>IFERROR(__xludf.DUMMYFUNCTION("ifna(VALUE(REGEXEXTRACT(E474,""[0-9.]+[,]+[0-9]+"")))"),"")</f>
        <v/>
      </c>
      <c r="O474" s="194"/>
      <c r="P474" s="194"/>
      <c r="Q474" s="194"/>
      <c r="R474" s="194"/>
      <c r="S474" s="194"/>
      <c r="T474" s="194"/>
      <c r="U474" s="194"/>
      <c r="V474" s="194"/>
      <c r="W474" s="194"/>
    </row>
    <row r="475" ht="14.25" customHeight="1">
      <c r="A475" s="31"/>
      <c r="B475" s="287"/>
      <c r="C475" s="286"/>
      <c r="D475" s="204"/>
      <c r="E475" s="288"/>
      <c r="F475" s="204"/>
      <c r="G475" s="289"/>
      <c r="H475" s="204"/>
      <c r="I475" s="204"/>
      <c r="J475" s="202"/>
      <c r="K475" s="202"/>
      <c r="L475" s="192" t="str">
        <f>IFERROR(__xludf.DUMMYFUNCTION("IF(
  AND(D475=""Saída"", J475=""Sangria""),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198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94" t="str">
        <f>IFERROR(__xludf.DUMMYFUNCTION("ifna(VALUE(REGEXEXTRACT(E475,""[0-9.]+[,]+[0-9]+"")))"),"")</f>
        <v/>
      </c>
      <c r="O475" s="194"/>
      <c r="P475" s="194"/>
      <c r="Q475" s="194"/>
      <c r="R475" s="194"/>
      <c r="S475" s="194"/>
      <c r="T475" s="194"/>
      <c r="U475" s="194"/>
      <c r="V475" s="194"/>
      <c r="W475" s="194"/>
    </row>
    <row r="476" ht="14.25" customHeight="1">
      <c r="A476" s="31"/>
      <c r="B476" s="287"/>
      <c r="C476" s="286"/>
      <c r="D476" s="204"/>
      <c r="E476" s="288"/>
      <c r="F476" s="204"/>
      <c r="G476" s="289"/>
      <c r="H476" s="204"/>
      <c r="I476" s="204"/>
      <c r="J476" s="202"/>
      <c r="K476" s="202"/>
      <c r="L476" s="192" t="str">
        <f>IFERROR(__xludf.DUMMYFUNCTION("IF(
  AND(D476=""Saída"", J476=""Sangria""),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197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94" t="str">
        <f>IFERROR(__xludf.DUMMYFUNCTION("ifna(VALUE(REGEXEXTRACT(E476,""[0-9.]+[,]+[0-9]+"")))"),"")</f>
        <v/>
      </c>
      <c r="O476" s="194"/>
      <c r="P476" s="194"/>
      <c r="Q476" s="194"/>
      <c r="R476" s="194"/>
      <c r="S476" s="194"/>
      <c r="T476" s="194"/>
      <c r="U476" s="194"/>
      <c r="V476" s="194"/>
      <c r="W476" s="194"/>
    </row>
    <row r="477" ht="14.25" customHeight="1">
      <c r="A477" s="31"/>
      <c r="B477" s="287"/>
      <c r="C477" s="286"/>
      <c r="D477" s="204"/>
      <c r="E477" s="288"/>
      <c r="F477" s="204"/>
      <c r="G477" s="289"/>
      <c r="H477" s="204"/>
      <c r="I477" s="204"/>
      <c r="J477" s="202"/>
      <c r="K477" s="202"/>
      <c r="L477" s="192" t="str">
        <f>IFERROR(__xludf.DUMMYFUNCTION("IF(
  AND(D477=""Saída"", J477=""Sangria""),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198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94" t="str">
        <f>IFERROR(__xludf.DUMMYFUNCTION("ifna(VALUE(REGEXEXTRACT(E477,""[0-9.]+[,]+[0-9]+"")))"),"")</f>
        <v/>
      </c>
      <c r="O477" s="194"/>
      <c r="P477" s="194"/>
      <c r="Q477" s="194"/>
      <c r="R477" s="194"/>
      <c r="S477" s="194"/>
      <c r="T477" s="194"/>
      <c r="U477" s="194"/>
      <c r="V477" s="194"/>
      <c r="W477" s="194"/>
    </row>
    <row r="478" ht="14.25" customHeight="1">
      <c r="A478" s="31"/>
      <c r="B478" s="287"/>
      <c r="C478" s="286"/>
      <c r="D478" s="204"/>
      <c r="E478" s="288"/>
      <c r="F478" s="204"/>
      <c r="G478" s="289"/>
      <c r="H478" s="204"/>
      <c r="I478" s="204"/>
      <c r="J478" s="202"/>
      <c r="K478" s="202"/>
      <c r="L478" s="192" t="str">
        <f>IFERROR(__xludf.DUMMYFUNCTION("IF(
  AND(D478=""Saída"", J478=""Sangria""),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197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94" t="str">
        <f>IFERROR(__xludf.DUMMYFUNCTION("ifna(VALUE(REGEXEXTRACT(E478,""[0-9.]+[,]+[0-9]+"")))"),"")</f>
        <v/>
      </c>
      <c r="O478" s="194"/>
      <c r="P478" s="194"/>
      <c r="Q478" s="194"/>
      <c r="R478" s="194"/>
      <c r="S478" s="194"/>
      <c r="T478" s="194"/>
      <c r="U478" s="194"/>
      <c r="V478" s="194"/>
      <c r="W478" s="194"/>
    </row>
    <row r="479" ht="14.25" customHeight="1">
      <c r="A479" s="31"/>
      <c r="B479" s="287"/>
      <c r="C479" s="286"/>
      <c r="D479" s="204"/>
      <c r="E479" s="288"/>
      <c r="F479" s="204"/>
      <c r="G479" s="289"/>
      <c r="H479" s="204"/>
      <c r="I479" s="204"/>
      <c r="J479" s="202"/>
      <c r="K479" s="202"/>
      <c r="L479" s="192" t="str">
        <f>IFERROR(__xludf.DUMMYFUNCTION("IF(
  AND(D479=""Saída"", J479=""Sangria""),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198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94" t="str">
        <f>IFERROR(__xludf.DUMMYFUNCTION("ifna(VALUE(REGEXEXTRACT(E479,""[0-9.]+[,]+[0-9]+"")))"),"")</f>
        <v/>
      </c>
      <c r="O479" s="194"/>
      <c r="P479" s="194"/>
      <c r="Q479" s="194"/>
      <c r="R479" s="194"/>
      <c r="S479" s="194"/>
      <c r="T479" s="194"/>
      <c r="U479" s="194"/>
      <c r="V479" s="194"/>
      <c r="W479" s="194"/>
    </row>
    <row r="480" ht="14.25" customHeight="1">
      <c r="A480" s="31"/>
      <c r="B480" s="287"/>
      <c r="C480" s="286"/>
      <c r="D480" s="204"/>
      <c r="E480" s="288"/>
      <c r="F480" s="204"/>
      <c r="G480" s="289"/>
      <c r="H480" s="204"/>
      <c r="I480" s="204"/>
      <c r="J480" s="202"/>
      <c r="K480" s="202"/>
      <c r="L480" s="192" t="str">
        <f>IFERROR(__xludf.DUMMYFUNCTION("IF(
  AND(D480=""Saída"", J480=""Sangria""),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197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94" t="str">
        <f>IFERROR(__xludf.DUMMYFUNCTION("ifna(VALUE(REGEXEXTRACT(E480,""[0-9.]+[,]+[0-9]+"")))"),"")</f>
        <v/>
      </c>
      <c r="O480" s="194"/>
      <c r="P480" s="194"/>
      <c r="Q480" s="194"/>
      <c r="R480" s="194"/>
      <c r="S480" s="194"/>
      <c r="T480" s="194"/>
      <c r="U480" s="194"/>
      <c r="V480" s="194"/>
      <c r="W480" s="194"/>
    </row>
    <row r="481" ht="14.25" customHeight="1">
      <c r="A481" s="31"/>
      <c r="B481" s="287"/>
      <c r="C481" s="286"/>
      <c r="D481" s="204"/>
      <c r="E481" s="288"/>
      <c r="F481" s="204"/>
      <c r="G481" s="289"/>
      <c r="H481" s="204"/>
      <c r="I481" s="204"/>
      <c r="J481" s="202"/>
      <c r="K481" s="202"/>
      <c r="L481" s="192" t="str">
        <f>IFERROR(__xludf.DUMMYFUNCTION("IF(
  AND(D481=""Saída"", J481=""Sangria""),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198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94" t="str">
        <f>IFERROR(__xludf.DUMMYFUNCTION("ifna(VALUE(REGEXEXTRACT(E481,""[0-9.]+[,]+[0-9]+"")))"),"")</f>
        <v/>
      </c>
      <c r="O481" s="194"/>
      <c r="P481" s="194"/>
      <c r="Q481" s="194"/>
      <c r="R481" s="194"/>
      <c r="S481" s="194"/>
      <c r="T481" s="194"/>
      <c r="U481" s="194"/>
      <c r="V481" s="194"/>
      <c r="W481" s="194"/>
    </row>
    <row r="482" ht="14.25" customHeight="1">
      <c r="A482" s="31"/>
      <c r="B482" s="287"/>
      <c r="C482" s="286"/>
      <c r="D482" s="204"/>
      <c r="E482" s="288"/>
      <c r="F482" s="204"/>
      <c r="G482" s="289"/>
      <c r="H482" s="204"/>
      <c r="I482" s="204"/>
      <c r="J482" s="202"/>
      <c r="K482" s="202"/>
      <c r="L482" s="192" t="str">
        <f>IFERROR(__xludf.DUMMYFUNCTION("IF(
  AND(D482=""Saída"", J482=""Sangria""),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197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94" t="str">
        <f>IFERROR(__xludf.DUMMYFUNCTION("ifna(VALUE(REGEXEXTRACT(E482,""[0-9.]+[,]+[0-9]+"")))"),"")</f>
        <v/>
      </c>
      <c r="O482" s="194"/>
      <c r="P482" s="194"/>
      <c r="Q482" s="194"/>
      <c r="R482" s="194"/>
      <c r="S482" s="194"/>
      <c r="T482" s="194"/>
      <c r="U482" s="194"/>
      <c r="V482" s="194"/>
      <c r="W482" s="194"/>
    </row>
    <row r="483" ht="14.25" customHeight="1">
      <c r="A483" s="31"/>
      <c r="B483" s="287"/>
      <c r="C483" s="286"/>
      <c r="D483" s="204"/>
      <c r="E483" s="288"/>
      <c r="F483" s="204"/>
      <c r="G483" s="289"/>
      <c r="H483" s="204"/>
      <c r="I483" s="204"/>
      <c r="J483" s="202"/>
      <c r="K483" s="202"/>
      <c r="L483" s="192" t="str">
        <f>IFERROR(__xludf.DUMMYFUNCTION("IF(
  AND(D483=""Saída"", J483=""Sangria""),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198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94" t="str">
        <f>IFERROR(__xludf.DUMMYFUNCTION("ifna(VALUE(REGEXEXTRACT(E483,""[0-9.]+[,]+[0-9]+"")))"),"")</f>
        <v/>
      </c>
      <c r="O483" s="194"/>
      <c r="P483" s="194"/>
      <c r="Q483" s="194"/>
      <c r="R483" s="194"/>
      <c r="S483" s="194"/>
      <c r="T483" s="194"/>
      <c r="U483" s="194"/>
      <c r="V483" s="194"/>
      <c r="W483" s="194"/>
    </row>
    <row r="484" ht="14.25" customHeight="1">
      <c r="A484" s="31"/>
      <c r="B484" s="287"/>
      <c r="C484" s="286"/>
      <c r="D484" s="204"/>
      <c r="E484" s="288"/>
      <c r="F484" s="204"/>
      <c r="G484" s="289"/>
      <c r="H484" s="204"/>
      <c r="I484" s="204"/>
      <c r="J484" s="202"/>
      <c r="K484" s="202"/>
      <c r="L484" s="192" t="str">
        <f>IFERROR(__xludf.DUMMYFUNCTION("IF(
  AND(D484=""Saída"", J484=""Sangria""),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197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94" t="str">
        <f>IFERROR(__xludf.DUMMYFUNCTION("ifna(VALUE(REGEXEXTRACT(E484,""[0-9.]+[,]+[0-9]+"")))"),"")</f>
        <v/>
      </c>
      <c r="O484" s="194"/>
      <c r="P484" s="194"/>
      <c r="Q484" s="194"/>
      <c r="R484" s="194"/>
      <c r="S484" s="194"/>
      <c r="T484" s="194"/>
      <c r="U484" s="194"/>
      <c r="V484" s="194"/>
      <c r="W484" s="194"/>
    </row>
    <row r="485" ht="14.25" customHeight="1">
      <c r="A485" s="31"/>
      <c r="B485" s="287"/>
      <c r="C485" s="286"/>
      <c r="D485" s="204"/>
      <c r="E485" s="288"/>
      <c r="F485" s="204"/>
      <c r="G485" s="289"/>
      <c r="H485" s="204"/>
      <c r="I485" s="204"/>
      <c r="J485" s="202"/>
      <c r="K485" s="202"/>
      <c r="L485" s="192" t="str">
        <f>IFERROR(__xludf.DUMMYFUNCTION("IF(
  AND(D485=""Saída"", J485=""Sangria""),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198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94" t="str">
        <f>IFERROR(__xludf.DUMMYFUNCTION("ifna(VALUE(REGEXEXTRACT(E485,""[0-9.]+[,]+[0-9]+"")))"),"")</f>
        <v/>
      </c>
      <c r="O485" s="194"/>
      <c r="P485" s="194"/>
      <c r="Q485" s="194"/>
      <c r="R485" s="194"/>
      <c r="S485" s="194"/>
      <c r="T485" s="194"/>
      <c r="U485" s="194"/>
      <c r="V485" s="194"/>
      <c r="W485" s="194"/>
    </row>
    <row r="486" ht="14.25" customHeight="1">
      <c r="A486" s="31"/>
      <c r="B486" s="287"/>
      <c r="C486" s="286"/>
      <c r="D486" s="204"/>
      <c r="E486" s="288"/>
      <c r="F486" s="204"/>
      <c r="G486" s="289"/>
      <c r="H486" s="204"/>
      <c r="I486" s="204"/>
      <c r="J486" s="202"/>
      <c r="K486" s="202"/>
      <c r="L486" s="192" t="str">
        <f>IFERROR(__xludf.DUMMYFUNCTION("IF(
  AND(D486=""Saída"", J486=""Sangria""),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197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94" t="str">
        <f>IFERROR(__xludf.DUMMYFUNCTION("ifna(VALUE(REGEXEXTRACT(E486,""[0-9.]+[,]+[0-9]+"")))"),"")</f>
        <v/>
      </c>
      <c r="O486" s="194"/>
      <c r="P486" s="194"/>
      <c r="Q486" s="194"/>
      <c r="R486" s="194"/>
      <c r="S486" s="194"/>
      <c r="T486" s="194"/>
      <c r="U486" s="194"/>
      <c r="V486" s="194"/>
      <c r="W486" s="194"/>
    </row>
    <row r="487" ht="14.25" customHeight="1">
      <c r="A487" s="31"/>
      <c r="B487" s="287"/>
      <c r="C487" s="286"/>
      <c r="D487" s="204"/>
      <c r="E487" s="288"/>
      <c r="F487" s="204"/>
      <c r="G487" s="289"/>
      <c r="H487" s="204"/>
      <c r="I487" s="204"/>
      <c r="J487" s="202"/>
      <c r="K487" s="202"/>
      <c r="L487" s="192" t="str">
        <f>IFERROR(__xludf.DUMMYFUNCTION("IF(
  AND(D487=""Saída"", J487=""Sangria""),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198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94" t="str">
        <f>IFERROR(__xludf.DUMMYFUNCTION("ifna(VALUE(REGEXEXTRACT(E487,""[0-9.]+[,]+[0-9]+"")))"),"")</f>
        <v/>
      </c>
      <c r="O487" s="194"/>
      <c r="P487" s="194"/>
      <c r="Q487" s="194"/>
      <c r="R487" s="194"/>
      <c r="S487" s="194"/>
      <c r="T487" s="194"/>
      <c r="U487" s="194"/>
      <c r="V487" s="194"/>
      <c r="W487" s="194"/>
    </row>
    <row r="488" ht="14.25" customHeight="1">
      <c r="A488" s="31"/>
      <c r="B488" s="287"/>
      <c r="C488" s="286"/>
      <c r="D488" s="204"/>
      <c r="E488" s="288"/>
      <c r="F488" s="204"/>
      <c r="G488" s="289"/>
      <c r="H488" s="204"/>
      <c r="I488" s="204"/>
      <c r="J488" s="202"/>
      <c r="K488" s="202"/>
      <c r="L488" s="192" t="str">
        <f>IFERROR(__xludf.DUMMYFUNCTION("IF(
  AND(D488=""Saída"", J488=""Sangria""),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197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94" t="str">
        <f>IFERROR(__xludf.DUMMYFUNCTION("ifna(VALUE(REGEXEXTRACT(E488,""[0-9.]+[,]+[0-9]+"")))"),"")</f>
        <v/>
      </c>
      <c r="O488" s="194"/>
      <c r="P488" s="194"/>
      <c r="Q488" s="194"/>
      <c r="R488" s="194"/>
      <c r="S488" s="194"/>
      <c r="T488" s="194"/>
      <c r="U488" s="194"/>
      <c r="V488" s="194"/>
      <c r="W488" s="194"/>
    </row>
    <row r="489" ht="14.25" customHeight="1">
      <c r="A489" s="31"/>
      <c r="B489" s="287"/>
      <c r="C489" s="286"/>
      <c r="D489" s="204"/>
      <c r="E489" s="288"/>
      <c r="F489" s="204"/>
      <c r="G489" s="289"/>
      <c r="H489" s="204"/>
      <c r="I489" s="204"/>
      <c r="J489" s="202"/>
      <c r="K489" s="202"/>
      <c r="L489" s="192" t="str">
        <f>IFERROR(__xludf.DUMMYFUNCTION("IF(
  AND(D489=""Saída"", J489=""Sangria""),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198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94" t="str">
        <f>IFERROR(__xludf.DUMMYFUNCTION("ifna(VALUE(REGEXEXTRACT(E489,""[0-9.]+[,]+[0-9]+"")))"),"")</f>
        <v/>
      </c>
      <c r="O489" s="194"/>
      <c r="P489" s="194"/>
      <c r="Q489" s="194"/>
      <c r="R489" s="194"/>
      <c r="S489" s="194"/>
      <c r="T489" s="194"/>
      <c r="U489" s="194"/>
      <c r="V489" s="194"/>
      <c r="W489" s="194"/>
    </row>
    <row r="490" ht="14.25" customHeight="1">
      <c r="A490" s="31"/>
      <c r="B490" s="287"/>
      <c r="C490" s="286"/>
      <c r="D490" s="204"/>
      <c r="E490" s="288"/>
      <c r="F490" s="204"/>
      <c r="G490" s="289"/>
      <c r="H490" s="204"/>
      <c r="I490" s="204"/>
      <c r="J490" s="202"/>
      <c r="K490" s="202"/>
      <c r="L490" s="192" t="str">
        <f>IFERROR(__xludf.DUMMYFUNCTION("IF(
  AND(D490=""Saída"", J490=""Sangria""),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197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94" t="str">
        <f>IFERROR(__xludf.DUMMYFUNCTION("ifna(VALUE(REGEXEXTRACT(E490,""[0-9.]+[,]+[0-9]+"")))"),"")</f>
        <v/>
      </c>
      <c r="O490" s="194"/>
      <c r="P490" s="194"/>
      <c r="Q490" s="194"/>
      <c r="R490" s="194"/>
      <c r="S490" s="194"/>
      <c r="T490" s="194"/>
      <c r="U490" s="194"/>
      <c r="V490" s="194"/>
      <c r="W490" s="194"/>
    </row>
    <row r="491" ht="14.25" customHeight="1">
      <c r="A491" s="31"/>
      <c r="B491" s="287"/>
      <c r="C491" s="286"/>
      <c r="D491" s="204"/>
      <c r="E491" s="288"/>
      <c r="F491" s="204"/>
      <c r="G491" s="289"/>
      <c r="H491" s="204"/>
      <c r="I491" s="204"/>
      <c r="J491" s="202"/>
      <c r="K491" s="202"/>
      <c r="L491" s="192" t="str">
        <f>IFERROR(__xludf.DUMMYFUNCTION("IF(
  AND(D491=""Saída"", J491=""Sangria""),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198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94" t="str">
        <f>IFERROR(__xludf.DUMMYFUNCTION("ifna(VALUE(REGEXEXTRACT(E491,""[0-9.]+[,]+[0-9]+"")))"),"")</f>
        <v/>
      </c>
      <c r="O491" s="194"/>
      <c r="P491" s="194"/>
      <c r="Q491" s="194"/>
      <c r="R491" s="194"/>
      <c r="S491" s="194"/>
      <c r="T491" s="194"/>
      <c r="U491" s="194"/>
      <c r="V491" s="194"/>
      <c r="W491" s="194"/>
    </row>
    <row r="492" ht="14.25" customHeight="1">
      <c r="A492" s="31"/>
      <c r="B492" s="287"/>
      <c r="C492" s="286"/>
      <c r="D492" s="204"/>
      <c r="E492" s="288"/>
      <c r="F492" s="204"/>
      <c r="G492" s="289"/>
      <c r="H492" s="204"/>
      <c r="I492" s="204"/>
      <c r="J492" s="202"/>
      <c r="K492" s="202"/>
      <c r="L492" s="192" t="str">
        <f>IFERROR(__xludf.DUMMYFUNCTION("IF(
  AND(D492=""Saída"", J492=""Sangria""),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197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94" t="str">
        <f>IFERROR(__xludf.DUMMYFUNCTION("ifna(VALUE(REGEXEXTRACT(E492,""[0-9.]+[,]+[0-9]+"")))"),"")</f>
        <v/>
      </c>
      <c r="O492" s="194"/>
      <c r="P492" s="194"/>
      <c r="Q492" s="194"/>
      <c r="R492" s="194"/>
      <c r="S492" s="194"/>
      <c r="T492" s="194"/>
      <c r="U492" s="194"/>
      <c r="V492" s="194"/>
      <c r="W492" s="194"/>
    </row>
    <row r="493" ht="14.25" customHeight="1">
      <c r="A493" s="31"/>
      <c r="B493" s="287"/>
      <c r="C493" s="286"/>
      <c r="D493" s="204"/>
      <c r="E493" s="288"/>
      <c r="F493" s="204"/>
      <c r="G493" s="289"/>
      <c r="H493" s="204"/>
      <c r="I493" s="204"/>
      <c r="J493" s="202"/>
      <c r="K493" s="202"/>
      <c r="L493" s="192" t="str">
        <f>IFERROR(__xludf.DUMMYFUNCTION("IF(
  AND(D493=""Saída"", J493=""Sangria""),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198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94" t="str">
        <f>IFERROR(__xludf.DUMMYFUNCTION("ifna(VALUE(REGEXEXTRACT(E493,""[0-9.]+[,]+[0-9]+"")))"),"")</f>
        <v/>
      </c>
      <c r="O493" s="194"/>
      <c r="P493" s="194"/>
      <c r="Q493" s="194"/>
      <c r="R493" s="194"/>
      <c r="S493" s="194"/>
      <c r="T493" s="194"/>
      <c r="U493" s="194"/>
      <c r="V493" s="194"/>
      <c r="W493" s="194"/>
    </row>
    <row r="494" ht="14.25" customHeight="1">
      <c r="A494" s="31"/>
      <c r="B494" s="287"/>
      <c r="C494" s="286"/>
      <c r="D494" s="204"/>
      <c r="E494" s="288"/>
      <c r="F494" s="204"/>
      <c r="G494" s="289"/>
      <c r="H494" s="204"/>
      <c r="I494" s="204"/>
      <c r="J494" s="202"/>
      <c r="K494" s="202"/>
      <c r="L494" s="192" t="str">
        <f>IFERROR(__xludf.DUMMYFUNCTION("IF(
  AND(D494=""Saída"", J494=""Sangria""),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197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94" t="str">
        <f>IFERROR(__xludf.DUMMYFUNCTION("ifna(VALUE(REGEXEXTRACT(E494,""[0-9.]+[,]+[0-9]+"")))"),"")</f>
        <v/>
      </c>
      <c r="O494" s="194"/>
      <c r="P494" s="194"/>
      <c r="Q494" s="194"/>
      <c r="R494" s="194"/>
      <c r="S494" s="194"/>
      <c r="T494" s="194"/>
      <c r="U494" s="194"/>
      <c r="V494" s="194"/>
      <c r="W494" s="194"/>
    </row>
    <row r="495" ht="14.25" customHeight="1">
      <c r="A495" s="31"/>
      <c r="B495" s="287"/>
      <c r="C495" s="286"/>
      <c r="D495" s="204"/>
      <c r="E495" s="288"/>
      <c r="F495" s="204"/>
      <c r="G495" s="289"/>
      <c r="H495" s="204"/>
      <c r="I495" s="204"/>
      <c r="J495" s="202"/>
      <c r="K495" s="202"/>
      <c r="L495" s="192" t="str">
        <f>IFERROR(__xludf.DUMMYFUNCTION("IF(
  AND(D495=""Saída"", J495=""Sangria""),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198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94" t="str">
        <f>IFERROR(__xludf.DUMMYFUNCTION("ifna(VALUE(REGEXEXTRACT(E495,""[0-9.]+[,]+[0-9]+"")))"),"")</f>
        <v/>
      </c>
      <c r="O495" s="194"/>
      <c r="P495" s="194"/>
      <c r="Q495" s="194"/>
      <c r="R495" s="194"/>
      <c r="S495" s="194"/>
      <c r="T495" s="194"/>
      <c r="U495" s="194"/>
      <c r="V495" s="194"/>
      <c r="W495" s="194"/>
    </row>
    <row r="496" ht="14.25" customHeight="1">
      <c r="A496" s="31"/>
      <c r="B496" s="287"/>
      <c r="C496" s="286"/>
      <c r="D496" s="204"/>
      <c r="E496" s="288"/>
      <c r="F496" s="204"/>
      <c r="G496" s="289"/>
      <c r="H496" s="204"/>
      <c r="I496" s="204"/>
      <c r="J496" s="202"/>
      <c r="K496" s="202"/>
      <c r="L496" s="192" t="str">
        <f>IFERROR(__xludf.DUMMYFUNCTION("IF(
  AND(D496=""Saída"", J496=""Sangria""),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197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94" t="str">
        <f>IFERROR(__xludf.DUMMYFUNCTION("ifna(VALUE(REGEXEXTRACT(E496,""[0-9.]+[,]+[0-9]+"")))"),"")</f>
        <v/>
      </c>
      <c r="O496" s="194"/>
      <c r="P496" s="194"/>
      <c r="Q496" s="194"/>
      <c r="R496" s="194"/>
      <c r="S496" s="194"/>
      <c r="T496" s="194"/>
      <c r="U496" s="194"/>
      <c r="V496" s="194"/>
      <c r="W496" s="194"/>
    </row>
    <row r="497" ht="14.25" customHeight="1">
      <c r="A497" s="31"/>
      <c r="B497" s="287"/>
      <c r="C497" s="286"/>
      <c r="D497" s="204"/>
      <c r="E497" s="288"/>
      <c r="F497" s="204"/>
      <c r="G497" s="289"/>
      <c r="H497" s="204"/>
      <c r="I497" s="204"/>
      <c r="J497" s="202"/>
      <c r="K497" s="202"/>
      <c r="L497" s="192" t="str">
        <f>IFERROR(__xludf.DUMMYFUNCTION("IF(
  AND(D497=""Saída"", J497=""Sangria""),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198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94" t="str">
        <f>IFERROR(__xludf.DUMMYFUNCTION("ifna(VALUE(REGEXEXTRACT(E497,""[0-9.]+[,]+[0-9]+"")))"),"")</f>
        <v/>
      </c>
      <c r="O497" s="194"/>
      <c r="P497" s="194"/>
      <c r="Q497" s="194"/>
      <c r="R497" s="194"/>
      <c r="S497" s="194"/>
      <c r="T497" s="194"/>
      <c r="U497" s="194"/>
      <c r="V497" s="194"/>
      <c r="W497" s="194"/>
    </row>
    <row r="498" ht="14.25" customHeight="1">
      <c r="A498" s="31"/>
      <c r="B498" s="287"/>
      <c r="C498" s="286"/>
      <c r="D498" s="204"/>
      <c r="E498" s="288"/>
      <c r="F498" s="204"/>
      <c r="G498" s="289"/>
      <c r="H498" s="204"/>
      <c r="I498" s="204"/>
      <c r="J498" s="202"/>
      <c r="K498" s="202"/>
      <c r="L498" s="192" t="str">
        <f>IFERROR(__xludf.DUMMYFUNCTION("IF(
  AND(D498=""Saída"", J498=""Sangria""),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197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94" t="str">
        <f>IFERROR(__xludf.DUMMYFUNCTION("ifna(VALUE(REGEXEXTRACT(E498,""[0-9.]+[,]+[0-9]+"")))"),"")</f>
        <v/>
      </c>
      <c r="O498" s="194"/>
      <c r="P498" s="194"/>
      <c r="Q498" s="194"/>
      <c r="R498" s="194"/>
      <c r="S498" s="194"/>
      <c r="T498" s="194"/>
      <c r="U498" s="194"/>
      <c r="V498" s="194"/>
      <c r="W498" s="194"/>
    </row>
    <row r="499" ht="14.25" customHeight="1">
      <c r="A499" s="31"/>
      <c r="B499" s="287"/>
      <c r="C499" s="286"/>
      <c r="D499" s="204"/>
      <c r="E499" s="288"/>
      <c r="F499" s="204"/>
      <c r="G499" s="289"/>
      <c r="H499" s="204"/>
      <c r="I499" s="204"/>
      <c r="J499" s="202"/>
      <c r="K499" s="202"/>
      <c r="L499" s="192" t="str">
        <f>IFERROR(__xludf.DUMMYFUNCTION("IF(
  AND(D499=""Saída"", J499=""Sangria""),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198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94" t="str">
        <f>IFERROR(__xludf.DUMMYFUNCTION("ifna(VALUE(REGEXEXTRACT(E499,""[0-9.]+[,]+[0-9]+"")))"),"")</f>
        <v/>
      </c>
      <c r="O499" s="194"/>
      <c r="P499" s="194"/>
      <c r="Q499" s="194"/>
      <c r="R499" s="194"/>
      <c r="S499" s="194"/>
      <c r="T499" s="194"/>
      <c r="U499" s="194"/>
      <c r="V499" s="194"/>
      <c r="W499" s="194"/>
    </row>
    <row r="500" ht="14.25" customHeight="1">
      <c r="A500" s="31"/>
      <c r="B500" s="287"/>
      <c r="C500" s="286"/>
      <c r="D500" s="204"/>
      <c r="E500" s="288"/>
      <c r="F500" s="204"/>
      <c r="G500" s="289"/>
      <c r="H500" s="204"/>
      <c r="I500" s="204"/>
      <c r="J500" s="202"/>
      <c r="K500" s="202"/>
      <c r="L500" s="192" t="str">
        <f>IFERROR(__xludf.DUMMYFUNCTION("IF(
  AND(D500=""Saída"", J500=""Sangria""),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197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94" t="str">
        <f>IFERROR(__xludf.DUMMYFUNCTION("ifna(VALUE(REGEXEXTRACT(E500,""[0-9.]+[,]+[0-9]+"")))"),"")</f>
        <v/>
      </c>
      <c r="O500" s="194"/>
      <c r="P500" s="194"/>
      <c r="Q500" s="194"/>
      <c r="R500" s="194"/>
      <c r="S500" s="194"/>
      <c r="T500" s="194"/>
      <c r="U500" s="194"/>
      <c r="V500" s="194"/>
      <c r="W500" s="194"/>
    </row>
    <row r="501" ht="14.25" customHeight="1">
      <c r="A501" s="31"/>
      <c r="B501" s="287"/>
      <c r="C501" s="286"/>
      <c r="D501" s="204"/>
      <c r="E501" s="288"/>
      <c r="F501" s="204"/>
      <c r="G501" s="289"/>
      <c r="H501" s="204"/>
      <c r="I501" s="204"/>
      <c r="J501" s="202"/>
      <c r="K501" s="202"/>
      <c r="L501" s="192" t="str">
        <f>IFERROR(__xludf.DUMMYFUNCTION("IF(
  AND(D501=""Saída"", J501=""Sangria""),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198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94" t="str">
        <f>IFERROR(__xludf.DUMMYFUNCTION("ifna(VALUE(REGEXEXTRACT(E501,""[0-9.]+[,]+[0-9]+"")))"),"")</f>
        <v/>
      </c>
      <c r="O501" s="194"/>
      <c r="P501" s="194"/>
      <c r="Q501" s="194"/>
      <c r="R501" s="194"/>
      <c r="S501" s="194"/>
      <c r="T501" s="194"/>
      <c r="U501" s="194"/>
      <c r="V501" s="194"/>
      <c r="W501" s="194"/>
    </row>
    <row r="502" ht="14.25" customHeight="1">
      <c r="A502" s="31"/>
      <c r="B502" s="287"/>
      <c r="C502" s="286"/>
      <c r="D502" s="204"/>
      <c r="E502" s="288"/>
      <c r="F502" s="204"/>
      <c r="G502" s="289"/>
      <c r="H502" s="204"/>
      <c r="I502" s="204"/>
      <c r="J502" s="202"/>
      <c r="K502" s="202"/>
      <c r="L502" s="192" t="str">
        <f>IFERROR(__xludf.DUMMYFUNCTION("IF(
  AND(D502=""Saída"", J502=""Sangria""),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197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94" t="str">
        <f>IFERROR(__xludf.DUMMYFUNCTION("ifna(VALUE(REGEXEXTRACT(E502,""[0-9.]+[,]+[0-9]+"")))"),"")</f>
        <v/>
      </c>
      <c r="O502" s="194"/>
      <c r="P502" s="194"/>
      <c r="Q502" s="194"/>
      <c r="R502" s="194"/>
      <c r="S502" s="194"/>
      <c r="T502" s="194"/>
      <c r="U502" s="194"/>
      <c r="V502" s="194"/>
      <c r="W502" s="194"/>
    </row>
    <row r="503" ht="14.25" customHeight="1">
      <c r="A503" s="31"/>
      <c r="B503" s="287"/>
      <c r="C503" s="286"/>
      <c r="D503" s="204"/>
      <c r="E503" s="288"/>
      <c r="F503" s="204"/>
      <c r="G503" s="289"/>
      <c r="H503" s="204"/>
      <c r="I503" s="204"/>
      <c r="J503" s="202"/>
      <c r="K503" s="202"/>
      <c r="L503" s="192" t="str">
        <f>IFERROR(__xludf.DUMMYFUNCTION("IF(
  AND(D503=""Saída"", J503=""Sangria""),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198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94" t="str">
        <f>IFERROR(__xludf.DUMMYFUNCTION("ifna(VALUE(REGEXEXTRACT(E503,""[0-9.]+[,]+[0-9]+"")))"),"")</f>
        <v/>
      </c>
      <c r="O503" s="194"/>
      <c r="P503" s="194"/>
      <c r="Q503" s="194"/>
      <c r="R503" s="194"/>
      <c r="S503" s="194"/>
      <c r="T503" s="194"/>
      <c r="U503" s="194"/>
      <c r="V503" s="194"/>
      <c r="W503" s="194"/>
    </row>
    <row r="504" ht="14.25" customHeight="1">
      <c r="A504" s="31"/>
      <c r="B504" s="293"/>
      <c r="C504" s="294"/>
      <c r="D504" s="295"/>
      <c r="E504" s="296"/>
      <c r="F504" s="295"/>
      <c r="G504" s="297"/>
      <c r="H504" s="295"/>
      <c r="I504" s="295"/>
      <c r="J504" s="298"/>
      <c r="K504" s="298"/>
      <c r="L504" s="192" t="str">
        <f>IFERROR(__xludf.DUMMYFUNCTION("IF(
  AND(D504=""Saída"", J504=""Sangria""),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197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94" t="str">
        <f>IFERROR(__xludf.DUMMYFUNCTION("ifna(VALUE(REGEXEXTRACT(E504,""[0-9.]+[,]+[0-9]+"")))"),"")</f>
        <v/>
      </c>
      <c r="O504" s="194"/>
      <c r="P504" s="194"/>
      <c r="Q504" s="194"/>
      <c r="R504" s="194"/>
      <c r="S504" s="194"/>
      <c r="T504" s="194"/>
      <c r="U504" s="194"/>
      <c r="V504" s="194"/>
      <c r="W504" s="194"/>
    </row>
    <row r="505" ht="14.25" customHeight="1">
      <c r="A505" s="31"/>
      <c r="B505" s="299"/>
      <c r="C505" s="286"/>
      <c r="D505" s="204"/>
      <c r="E505" s="288"/>
      <c r="F505" s="204"/>
      <c r="G505" s="289"/>
      <c r="H505" s="204"/>
      <c r="I505" s="204"/>
      <c r="J505" s="202"/>
      <c r="K505" s="202"/>
      <c r="L505" s="192" t="str">
        <f>IFERROR(__xludf.DUMMYFUNCTION("IF(
  AND(D505=""Saída"", J505=""Sangria""),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198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</row>
    <row r="506" ht="14.25" customHeight="1">
      <c r="A506" s="31"/>
      <c r="B506" s="299"/>
      <c r="C506" s="286"/>
      <c r="D506" s="204"/>
      <c r="E506" s="288"/>
      <c r="F506" s="204"/>
      <c r="G506" s="289"/>
      <c r="H506" s="204"/>
      <c r="I506" s="204"/>
      <c r="J506" s="202"/>
      <c r="K506" s="202"/>
      <c r="L506" s="192" t="str">
        <f>IFERROR(__xludf.DUMMYFUNCTION("IF(
  AND(D506=""Saída"", J506=""Sangria""),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197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</row>
    <row r="507" ht="14.25" customHeight="1">
      <c r="A507" s="31"/>
      <c r="B507" s="299"/>
      <c r="C507" s="286"/>
      <c r="D507" s="204"/>
      <c r="E507" s="288"/>
      <c r="F507" s="204"/>
      <c r="G507" s="289"/>
      <c r="H507" s="204"/>
      <c r="I507" s="204"/>
      <c r="J507" s="202"/>
      <c r="K507" s="202"/>
      <c r="L507" s="192" t="str">
        <f>IFERROR(__xludf.DUMMYFUNCTION("IF(
  AND(D507=""Saída"", J507=""Sangria""),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198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</row>
  </sheetData>
  <mergeCells count="100">
    <mergeCell ref="O93:T94"/>
    <mergeCell ref="S95:T95"/>
    <mergeCell ref="O140:V140"/>
    <mergeCell ref="S141:U141"/>
    <mergeCell ref="S142:U142"/>
    <mergeCell ref="S143:U143"/>
    <mergeCell ref="S144:U144"/>
    <mergeCell ref="S145:U145"/>
    <mergeCell ref="S146:U146"/>
    <mergeCell ref="S147:U147"/>
    <mergeCell ref="S148:U148"/>
    <mergeCell ref="S149:U149"/>
    <mergeCell ref="S150:U150"/>
    <mergeCell ref="S151:U151"/>
    <mergeCell ref="S152:U152"/>
    <mergeCell ref="S153:U153"/>
    <mergeCell ref="S154:U154"/>
    <mergeCell ref="S155:U155"/>
    <mergeCell ref="S156:U156"/>
    <mergeCell ref="S157:U157"/>
    <mergeCell ref="S158:U158"/>
    <mergeCell ref="S159:U159"/>
    <mergeCell ref="S160:U160"/>
    <mergeCell ref="S161:U161"/>
    <mergeCell ref="S162:U162"/>
    <mergeCell ref="S163:U163"/>
    <mergeCell ref="S164:U164"/>
    <mergeCell ref="S165:U165"/>
    <mergeCell ref="S166:U166"/>
    <mergeCell ref="S167:U167"/>
    <mergeCell ref="S168:U168"/>
    <mergeCell ref="S169:U169"/>
    <mergeCell ref="S170:U170"/>
    <mergeCell ref="S171:U171"/>
    <mergeCell ref="S172:U172"/>
    <mergeCell ref="S173:U173"/>
    <mergeCell ref="S174:U174"/>
    <mergeCell ref="S175:U175"/>
    <mergeCell ref="S176:U176"/>
    <mergeCell ref="S177:U177"/>
    <mergeCell ref="S178:U178"/>
    <mergeCell ref="S179:U179"/>
    <mergeCell ref="S187:U187"/>
    <mergeCell ref="S188:U188"/>
    <mergeCell ref="S189:U189"/>
    <mergeCell ref="S190:U190"/>
    <mergeCell ref="S191:U191"/>
    <mergeCell ref="S192:U192"/>
    <mergeCell ref="S180:U180"/>
    <mergeCell ref="S181:U181"/>
    <mergeCell ref="S182:U182"/>
    <mergeCell ref="S183:U183"/>
    <mergeCell ref="S184:U184"/>
    <mergeCell ref="S185:U185"/>
    <mergeCell ref="S186:U186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C19:D19"/>
    <mergeCell ref="C23:D23"/>
    <mergeCell ref="E23:F23"/>
    <mergeCell ref="G23:H23"/>
    <mergeCell ref="I23:J23"/>
    <mergeCell ref="I24:J24"/>
    <mergeCell ref="I25:J25"/>
    <mergeCell ref="B27:M27"/>
    <mergeCell ref="G14:H14"/>
    <mergeCell ref="I14:J14"/>
    <mergeCell ref="C18:D18"/>
    <mergeCell ref="E18:H18"/>
    <mergeCell ref="I18:J18"/>
    <mergeCell ref="E19:F19"/>
    <mergeCell ref="I22:J22"/>
    <mergeCell ref="K18:L18"/>
    <mergeCell ref="K19:L19"/>
    <mergeCell ref="T19:W19"/>
    <mergeCell ref="O48:R48"/>
    <mergeCell ref="T48:W48"/>
    <mergeCell ref="O68:R68"/>
    <mergeCell ref="T68:W68"/>
  </mergeCells>
  <conditionalFormatting sqref="M29:M507">
    <cfRule type="cellIs" dxfId="5" priority="1" operator="equal">
      <formula>"Não Encontrada"</formula>
    </cfRule>
  </conditionalFormatting>
  <conditionalFormatting sqref="E29:E198">
    <cfRule type="expression" dxfId="6" priority="2">
      <formula>and($J$22:$J$497="Sangria",$D$22:$D$497="Saída")</formula>
    </cfRule>
  </conditionalFormatting>
  <conditionalFormatting sqref="D4 D11">
    <cfRule type="cellIs" dxfId="7" priority="3" operator="greaterThanOrEqual">
      <formula>500</formula>
    </cfRule>
  </conditionalFormatting>
  <conditionalFormatting sqref="D4 D11">
    <cfRule type="cellIs" dxfId="8" priority="4" operator="between">
      <formula>400</formula>
      <formula>500</formula>
    </cfRule>
  </conditionalFormatting>
  <conditionalFormatting sqref="F4 F11">
    <cfRule type="cellIs" dxfId="7" priority="5" operator="greaterThanOrEqual">
      <formula>500</formula>
    </cfRule>
  </conditionalFormatting>
  <conditionalFormatting sqref="F4 F11">
    <cfRule type="cellIs" dxfId="5" priority="6" operator="between">
      <formula>400</formula>
      <formula>500</formula>
    </cfRule>
  </conditionalFormatting>
  <conditionalFormatting sqref="H4 H11">
    <cfRule type="cellIs" dxfId="7" priority="7" operator="greaterThanOrEqual">
      <formula>500</formula>
    </cfRule>
  </conditionalFormatting>
  <conditionalFormatting sqref="H4 H11">
    <cfRule type="cellIs" dxfId="5" priority="8" operator="between">
      <formula>400</formula>
      <formula>500</formula>
    </cfRule>
  </conditionalFormatting>
  <conditionalFormatting sqref="J4 J11">
    <cfRule type="cellIs" dxfId="7" priority="9" operator="greaterThanOrEqual">
      <formula>500</formula>
    </cfRule>
  </conditionalFormatting>
  <conditionalFormatting sqref="J4 J11">
    <cfRule type="cellIs" dxfId="8" priority="10" operator="between">
      <formula>400</formula>
      <formula>500</formula>
    </cfRule>
  </conditionalFormatting>
  <conditionalFormatting sqref="L4:W4 L11 D20 S20:W20 O49:W49 O69:W69">
    <cfRule type="cellIs" dxfId="7" priority="11" operator="greaterThanOrEqual">
      <formula>500</formula>
    </cfRule>
  </conditionalFormatting>
  <conditionalFormatting sqref="L4:W4 L11 D20 S20:W20 O49:W49 O69:W69">
    <cfRule type="cellIs" dxfId="8" priority="12" operator="between">
      <formula>400</formula>
      <formula>500</formula>
    </cfRule>
  </conditionalFormatting>
  <conditionalFormatting sqref="E29:E507">
    <cfRule type="containsText" dxfId="9" priority="13" operator="containsText" text="R$">
      <formula>NOT(ISERROR(SEARCH(("R$"),(E29))))</formula>
    </cfRule>
  </conditionalFormatting>
  <conditionalFormatting sqref="B29:K507">
    <cfRule type="expression" dxfId="6" priority="14">
      <formula>and($J$29:$J$504="Sangria",$D$29:$D$504="Saída")</formula>
    </cfRule>
  </conditionalFormatting>
  <conditionalFormatting sqref="K29:K507">
    <cfRule type="expression" dxfId="10" priority="15">
      <formula>or($J$29:$J$218="Compra Moedas",$J$29:$J$218="Cortesias",$J$29:$J$218="Troco")</formula>
    </cfRule>
  </conditionalFormatting>
  <conditionalFormatting sqref="K29:K507">
    <cfRule type="expression" dxfId="11" priority="16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7">
    <cfRule type="expression" dxfId="5" priority="17">
      <formula>and(SEARCH("Vale",G29),or(J29="Consumo",J29="Sangria",J29="Compra Moedas",J29="Cortesia",J29="Troco",J29="Estorno Cliente",J29="Outros Pagamentos",J29="Inadimplência"))</formula>
    </cfRule>
  </conditionalFormatting>
  <conditionalFormatting sqref="I29:I507">
    <cfRule type="expression" dxfId="5" priority="18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9">
      <formula>LEN(TRIM(I43))&gt;0</formula>
    </cfRule>
  </conditionalFormatting>
  <conditionalFormatting sqref="I29:I507">
    <cfRule type="expression" dxfId="5" priority="20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7">
    <cfRule type="expression" dxfId="5" priority="21">
      <formula>and(SEARCH("Cortesia",G29),or(J29="Consumo",J29="Sangria",J29="Adiantamento",J29="Troco",J29="Estorno Cliente",J29="Outros Pagamentos",J29="Inadimplência"))</formula>
    </cfRule>
  </conditionalFormatting>
  <conditionalFormatting sqref="C29:C507">
    <cfRule type="expression" dxfId="11" priority="22">
      <formula>and($C$29:$C$218="",or($D$29:$D$218="Entrada",$D$29:$D$218="Saída"))</formula>
    </cfRule>
  </conditionalFormatting>
  <conditionalFormatting sqref="I29:I507">
    <cfRule type="expression" dxfId="5" priority="23">
      <formula>and(K29 = "",or(J29="Consumo",J29="Adiantamento"))</formula>
    </cfRule>
  </conditionalFormatting>
  <conditionalFormatting sqref="L29:L507">
    <cfRule type="cellIs" dxfId="5" priority="24" operator="equal">
      <formula>"Caixa Sangria"</formula>
    </cfRule>
  </conditionalFormatting>
  <dataValidations>
    <dataValidation type="list" allowBlank="1" showErrorMessage="1" sqref="K29:K507">
      <formula1>'FEVEREIRO 2026'!$B$4:$B$16</formula1>
    </dataValidation>
    <dataValidation type="list" allowBlank="1" showErrorMessage="1" sqref="J29:J176 J178:J179 J181:J190 J192:J195 J197:J208 J210:J267 J269:J286 J288:J303 J306:J308 J310:J376 J378:J388 J390:J507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4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5.75"/>
    <col customWidth="1" min="14" max="14" width="3.88"/>
    <col customWidth="1" min="15" max="15" width="10.13"/>
    <col customWidth="1" min="16" max="16" width="12.0"/>
    <col customWidth="1" min="17" max="17" width="12.75"/>
    <col customWidth="1" min="18" max="18" width="12.38"/>
    <col customWidth="1" min="19" max="19" width="0.63"/>
    <col customWidth="1" min="20" max="20" width="10.13"/>
    <col customWidth="1" min="21" max="21" width="21.13"/>
    <col customWidth="1" min="22" max="22" width="12.5"/>
    <col customWidth="1" min="23" max="23" width="13.63"/>
  </cols>
  <sheetData>
    <row r="1" ht="8.25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1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>
      <c r="A2" s="33" t="s">
        <v>5940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5"/>
      <c r="M2" s="32"/>
      <c r="N2" s="32"/>
      <c r="O2" s="36" t="s">
        <v>5945</v>
      </c>
      <c r="P2" s="34"/>
      <c r="Q2" s="34"/>
      <c r="R2" s="34"/>
      <c r="S2" s="34"/>
      <c r="T2" s="34"/>
      <c r="U2" s="34"/>
      <c r="V2" s="34"/>
      <c r="W2" s="35"/>
    </row>
    <row r="3">
      <c r="A3" s="37" t="s">
        <v>5950</v>
      </c>
      <c r="B3" s="38"/>
      <c r="C3" s="39" t="str">
        <f>B4</f>
        <v>Mariselma</v>
      </c>
      <c r="D3" s="38"/>
      <c r="E3" s="40" t="str">
        <f>B5</f>
        <v>Jeniffer</v>
      </c>
      <c r="F3" s="38"/>
      <c r="G3" s="40" t="str">
        <f>B6</f>
        <v>Sabrina</v>
      </c>
      <c r="H3" s="38"/>
      <c r="I3" s="40" t="str">
        <f>B7</f>
        <v>Renata</v>
      </c>
      <c r="J3" s="38"/>
      <c r="K3" s="40" t="str">
        <f>B8</f>
        <v>Joice</v>
      </c>
      <c r="L3" s="41"/>
      <c r="M3" s="42"/>
      <c r="N3" s="42"/>
      <c r="O3" s="43" t="str">
        <f>B4</f>
        <v>Mariselma</v>
      </c>
      <c r="P3" s="34"/>
      <c r="Q3" s="34"/>
      <c r="R3" s="35"/>
      <c r="S3" s="44"/>
      <c r="T3" s="45" t="str">
        <f>B5</f>
        <v>Jeniffer</v>
      </c>
      <c r="U3" s="34"/>
      <c r="V3" s="34"/>
      <c r="W3" s="35"/>
    </row>
    <row r="4" ht="15.75" customHeight="1">
      <c r="A4" s="46" t="s">
        <v>225</v>
      </c>
      <c r="B4" s="47" t="s">
        <v>5991</v>
      </c>
      <c r="C4" s="48" t="s">
        <v>783</v>
      </c>
      <c r="D4" s="49">
        <f>SUMIFS(N29:N504,J29:J504,C4,K29:K504,C3)+SUMIF(Q96:Q138,A4,R96:R138)+D9</f>
        <v>275</v>
      </c>
      <c r="E4" s="50" t="s">
        <v>783</v>
      </c>
      <c r="F4" s="49">
        <f>SUMIFS(N29:N504,J29:J504,E4,K29:K504,E3)+SUMIF(Q96:Q138,A5,R96:R138)+F9</f>
        <v>0</v>
      </c>
      <c r="G4" s="50" t="s">
        <v>783</v>
      </c>
      <c r="H4" s="49">
        <f>SUMIFS(N29:N504,J29:J504,C4,K29:K504,G3)+SUMIF(Q96:Q138,A6,R96:R138)+H9</f>
        <v>500</v>
      </c>
      <c r="I4" s="50" t="s">
        <v>783</v>
      </c>
      <c r="J4" s="49">
        <f>SUMIFS(N29:N504,J29:J504,C4,K29:K504,I3)+SUMIF(Q96:Q138,A7,R96:R138)+J9</f>
        <v>500</v>
      </c>
      <c r="K4" s="50" t="s">
        <v>783</v>
      </c>
      <c r="L4" s="51">
        <f>SUMIFS(N29:N504,J29:J504,C4,K29:K504,K3)+SUMIF(Q96:Q138,A8,R96:R138)+L9</f>
        <v>0</v>
      </c>
      <c r="M4" s="32"/>
      <c r="N4" s="32"/>
      <c r="O4" s="52" t="str">
        <f>IFERROR(__xludf.DUMMYFUNCTION("query(C28:L507,""select Col1,Col3,Col8,Col9 where (Col8 = 'Adiantamento' or Col8 = 'Consumo') and Col9 = '""&amp;B4&amp;""'"",1)"),"Data")</f>
        <v>Data</v>
      </c>
      <c r="P4" s="53" t="str">
        <f>IFERROR(__xludf.DUMMYFUNCTION("""COMPUTED_VALUE"""),"Valor ")</f>
        <v>Valor </v>
      </c>
      <c r="Q4" s="53" t="str">
        <f>IFERROR(__xludf.DUMMYFUNCTION("""COMPUTED_VALUE"""),"Tipo")</f>
        <v>Tipo</v>
      </c>
      <c r="R4" s="54" t="str">
        <f>IFERROR(__xludf.DUMMYFUNCTION("""COMPUTED_VALUE"""),"Funcionário")</f>
        <v>Funcionário</v>
      </c>
      <c r="S4" s="55"/>
      <c r="T4" s="56" t="str">
        <f>IFERROR(__xludf.DUMMYFUNCTION("query(C28:L507,""select Col1,Col3,Col8,Col9 where (Col8 = 'Adiantamento' or Col8 = 'Consumo') and Col9 = '""&amp;B5&amp;""'"",1)"),"Data")</f>
        <v>Data</v>
      </c>
      <c r="U4" s="56" t="str">
        <f>IFERROR(__xludf.DUMMYFUNCTION("""COMPUTED_VALUE"""),"Valor ")</f>
        <v>Valor </v>
      </c>
      <c r="V4" s="56" t="str">
        <f>IFERROR(__xludf.DUMMYFUNCTION("""COMPUTED_VALUE"""),"Tipo")</f>
        <v>Tipo</v>
      </c>
      <c r="W4" s="57" t="str">
        <f>IFERROR(__xludf.DUMMYFUNCTION("""COMPUTED_VALUE"""),"Funcionário")</f>
        <v>Funcionário</v>
      </c>
    </row>
    <row r="5" ht="15.0" customHeight="1">
      <c r="A5" s="46" t="s">
        <v>145</v>
      </c>
      <c r="B5" s="47" t="s">
        <v>6198</v>
      </c>
      <c r="C5" s="48" t="s">
        <v>6080</v>
      </c>
      <c r="D5" s="49">
        <f>SUMIFS(N29:N504,J29:J504,C5,K29:K504,C3)</f>
        <v>27.93</v>
      </c>
      <c r="E5" s="50" t="s">
        <v>6080</v>
      </c>
      <c r="F5" s="49">
        <f>SUMIFS(N29:N504,J29:J504,C5,K29:K504,E3)</f>
        <v>0</v>
      </c>
      <c r="G5" s="50" t="s">
        <v>6080</v>
      </c>
      <c r="H5" s="49">
        <f>SUMIFS(N29:N504,J29:J504,C5,K29:K504,G3)</f>
        <v>303.8</v>
      </c>
      <c r="I5" s="50" t="s">
        <v>6080</v>
      </c>
      <c r="J5" s="49">
        <f>SUMIFS(N29:N504,J29:J504,C5,K29:K504,I3)</f>
        <v>0</v>
      </c>
      <c r="K5" s="50" t="s">
        <v>6080</v>
      </c>
      <c r="L5" s="51">
        <f>SUMIFS(N29:N504,J29:J504,C5,K29:K504,K3)</f>
        <v>0</v>
      </c>
      <c r="M5" s="32"/>
      <c r="N5" s="32"/>
      <c r="O5" s="58">
        <f>IFERROR(__xludf.DUMMYFUNCTION("""COMPUTED_VALUE"""),46096.77737268519)</f>
        <v>46096.77737</v>
      </c>
      <c r="P5" s="59" t="str">
        <f>IFERROR(__xludf.DUMMYFUNCTION("""COMPUTED_VALUE"""),"R$ 27,93")</f>
        <v>R$ 27,93</v>
      </c>
      <c r="Q5" s="59" t="str">
        <f>IFERROR(__xludf.DUMMYFUNCTION("""COMPUTED_VALUE"""),"Consumo")</f>
        <v>Consumo</v>
      </c>
      <c r="R5" s="60" t="str">
        <f>IFERROR(__xludf.DUMMYFUNCTION("""COMPUTED_VALUE"""),"Mariselma")</f>
        <v>Mariselma</v>
      </c>
      <c r="S5" s="61"/>
      <c r="T5" s="59"/>
      <c r="U5" s="59"/>
      <c r="V5" s="59"/>
      <c r="W5" s="60"/>
    </row>
    <row r="6" ht="16.5" customHeight="1">
      <c r="A6" s="46" t="s">
        <v>126</v>
      </c>
      <c r="B6" s="47" t="s">
        <v>6111</v>
      </c>
      <c r="C6" s="48" t="s">
        <v>6112</v>
      </c>
      <c r="D6" s="49">
        <f>D5*0.8</f>
        <v>22.344</v>
      </c>
      <c r="E6" s="50" t="s">
        <v>6112</v>
      </c>
      <c r="F6" s="49">
        <f>F5*0.8</f>
        <v>0</v>
      </c>
      <c r="G6" s="50" t="s">
        <v>6112</v>
      </c>
      <c r="H6" s="49">
        <f>H5*0.8</f>
        <v>243.04</v>
      </c>
      <c r="I6" s="50" t="s">
        <v>6112</v>
      </c>
      <c r="J6" s="49">
        <f>J5*0.8</f>
        <v>0</v>
      </c>
      <c r="K6" s="62" t="s">
        <v>6112</v>
      </c>
      <c r="L6" s="51">
        <f>L5*0.8</f>
        <v>0</v>
      </c>
      <c r="M6" s="32"/>
      <c r="N6" s="32"/>
      <c r="O6" s="58"/>
      <c r="P6" s="59"/>
      <c r="Q6" s="59"/>
      <c r="R6" s="60"/>
      <c r="S6" s="61"/>
      <c r="T6" s="59"/>
      <c r="U6" s="59"/>
      <c r="V6" s="59"/>
      <c r="W6" s="60"/>
    </row>
    <row r="7" ht="14.25" customHeight="1">
      <c r="A7" s="46" t="s">
        <v>113</v>
      </c>
      <c r="B7" s="47" t="s">
        <v>6159</v>
      </c>
      <c r="C7" s="63" t="s">
        <v>6160</v>
      </c>
      <c r="D7" s="64"/>
      <c r="E7" s="65" t="s">
        <v>6160</v>
      </c>
      <c r="F7" s="64"/>
      <c r="G7" s="65" t="s">
        <v>6160</v>
      </c>
      <c r="H7" s="64"/>
      <c r="I7" s="65" t="s">
        <v>6160</v>
      </c>
      <c r="J7" s="64"/>
      <c r="K7" s="65" t="s">
        <v>6160</v>
      </c>
      <c r="L7" s="67"/>
      <c r="M7" s="68"/>
      <c r="N7" s="68"/>
      <c r="O7" s="58"/>
      <c r="P7" s="59"/>
      <c r="Q7" s="59"/>
      <c r="R7" s="60"/>
      <c r="S7" s="61"/>
      <c r="T7" s="59"/>
      <c r="U7" s="59"/>
      <c r="V7" s="59"/>
      <c r="W7" s="60"/>
    </row>
    <row r="8" ht="14.25" customHeight="1">
      <c r="A8" s="11" t="s">
        <v>877</v>
      </c>
      <c r="B8" s="47" t="s">
        <v>6180</v>
      </c>
      <c r="C8" s="69" t="s">
        <v>6182</v>
      </c>
      <c r="D8" s="73">
        <v>46115.0</v>
      </c>
      <c r="E8" s="71" t="s">
        <v>6182</v>
      </c>
      <c r="F8" s="72"/>
      <c r="G8" s="71" t="s">
        <v>6182</v>
      </c>
      <c r="H8" s="70"/>
      <c r="I8" s="71" t="s">
        <v>6182</v>
      </c>
      <c r="J8" s="73"/>
      <c r="K8" s="71" t="s">
        <v>6182</v>
      </c>
      <c r="L8" s="74"/>
      <c r="M8" s="75"/>
      <c r="N8" s="75"/>
      <c r="O8" s="58"/>
      <c r="P8" s="59"/>
      <c r="Q8" s="59"/>
      <c r="R8" s="60"/>
      <c r="S8" s="61"/>
      <c r="T8" s="59"/>
      <c r="U8" s="59"/>
      <c r="V8" s="59"/>
      <c r="W8" s="60"/>
    </row>
    <row r="9">
      <c r="A9" s="46" t="s">
        <v>3739</v>
      </c>
      <c r="B9" s="47" t="s">
        <v>6197</v>
      </c>
      <c r="C9" s="76" t="s">
        <v>51</v>
      </c>
      <c r="D9" s="77">
        <v>275.0</v>
      </c>
      <c r="E9" s="78" t="s">
        <v>51</v>
      </c>
      <c r="F9" s="79"/>
      <c r="G9" s="78" t="s">
        <v>51</v>
      </c>
      <c r="H9" s="77"/>
      <c r="I9" s="78" t="s">
        <v>51</v>
      </c>
      <c r="J9" s="77"/>
      <c r="K9" s="78" t="s">
        <v>51</v>
      </c>
      <c r="L9" s="80"/>
      <c r="M9" s="75"/>
      <c r="N9" s="75"/>
      <c r="O9" s="58"/>
      <c r="P9" s="59"/>
      <c r="Q9" s="59"/>
      <c r="R9" s="60"/>
      <c r="S9" s="61"/>
      <c r="T9" s="59"/>
      <c r="U9" s="59"/>
      <c r="V9" s="59"/>
      <c r="W9" s="60"/>
    </row>
    <row r="10" ht="21.75" customHeight="1">
      <c r="A10" s="46"/>
      <c r="B10" s="47"/>
      <c r="C10" s="81" t="str">
        <f>B9</f>
        <v>Fernando</v>
      </c>
      <c r="D10" s="82"/>
      <c r="E10" s="83" t="str">
        <f>B10</f>
        <v/>
      </c>
      <c r="F10" s="82"/>
      <c r="G10" s="83" t="str">
        <f>B11</f>
        <v/>
      </c>
      <c r="H10" s="82"/>
      <c r="I10" s="83" t="str">
        <f>B12</f>
        <v/>
      </c>
      <c r="J10" s="82"/>
      <c r="K10" s="83" t="str">
        <f>B13</f>
        <v/>
      </c>
      <c r="L10" s="84"/>
      <c r="M10" s="31"/>
      <c r="N10" s="31"/>
      <c r="O10" s="58"/>
      <c r="P10" s="85"/>
      <c r="Q10" s="85"/>
      <c r="R10" s="86"/>
      <c r="S10" s="87"/>
      <c r="T10" s="85"/>
      <c r="U10" s="85"/>
      <c r="V10" s="85"/>
      <c r="W10" s="86"/>
    </row>
    <row r="11">
      <c r="A11" s="88"/>
      <c r="B11" s="89"/>
      <c r="C11" s="90" t="s">
        <v>783</v>
      </c>
      <c r="D11" s="91">
        <f>SUMIFS(N29:N514,J29:J514,C11,K29:K514,C10)+SUMIF(Q96:Q138,A9,R96:R138)+D16</f>
        <v>0</v>
      </c>
      <c r="E11" s="92" t="s">
        <v>783</v>
      </c>
      <c r="F11" s="91">
        <f>SUMIFS(N29:N514,J29:J514,E11,K29:K514,E10)+SUMIF(Q96:Q138,A10,R96:R138)+F16</f>
        <v>0</v>
      </c>
      <c r="G11" s="92" t="s">
        <v>783</v>
      </c>
      <c r="H11" s="91">
        <f>SUMIFS(N29:N514,J29:J514,C11,K29:K514,G10)+SUMIF(Q96:Q138,A11,R96:R138)+H16</f>
        <v>0</v>
      </c>
      <c r="I11" s="92" t="s">
        <v>783</v>
      </c>
      <c r="J11" s="91">
        <f>SUMIFS(N29:N514,J29:J514,C11,K29:K514,I10)+SUMIF(Q96:Q138,A11,R96:R138)+J16</f>
        <v>0</v>
      </c>
      <c r="K11" s="92" t="s">
        <v>783</v>
      </c>
      <c r="L11" s="93">
        <f>SUMIFS(N29:N514,J29:J514,C11,K29:K514,K10)+SUMIF(Q96:Q138,A13,R96:R138)+L16</f>
        <v>0</v>
      </c>
      <c r="M11" s="31"/>
      <c r="N11" s="31"/>
      <c r="O11" s="94"/>
      <c r="P11" s="95"/>
      <c r="Q11" s="95"/>
      <c r="R11" s="96"/>
      <c r="S11" s="97"/>
      <c r="T11" s="95"/>
      <c r="U11" s="95"/>
      <c r="V11" s="95"/>
      <c r="W11" s="96"/>
    </row>
    <row r="12">
      <c r="A12" s="88"/>
      <c r="B12" s="89"/>
      <c r="C12" s="90" t="s">
        <v>6080</v>
      </c>
      <c r="D12" s="91">
        <f>SUMIFS(N36:N514,J36:J514,C12,K36:K514,C10)</f>
        <v>0</v>
      </c>
      <c r="E12" s="92" t="s">
        <v>6080</v>
      </c>
      <c r="F12" s="91">
        <f>SUMIFS(N29:N514,J29:J514,C12,K29:K514,E10)</f>
        <v>0</v>
      </c>
      <c r="G12" s="92" t="s">
        <v>6080</v>
      </c>
      <c r="H12" s="91">
        <f>SUMIFS(N36:N514,J36:J514,C12,K36:K514,G10)</f>
        <v>0</v>
      </c>
      <c r="I12" s="92" t="s">
        <v>6080</v>
      </c>
      <c r="J12" s="91">
        <f>SUMIFS(N29:N514,J29:J514,C12,K29:K514,I10)</f>
        <v>0</v>
      </c>
      <c r="K12" s="92" t="s">
        <v>6080</v>
      </c>
      <c r="L12" s="93">
        <f>SUMIFS(N29:N514,J29:J514,C12,K29:K514,K10)</f>
        <v>0</v>
      </c>
      <c r="M12" s="31"/>
      <c r="N12" s="31"/>
      <c r="O12" s="94"/>
      <c r="P12" s="95"/>
      <c r="Q12" s="95"/>
      <c r="R12" s="96"/>
      <c r="S12" s="97"/>
      <c r="T12" s="95"/>
      <c r="U12" s="95"/>
      <c r="V12" s="95"/>
      <c r="W12" s="96"/>
    </row>
    <row r="13">
      <c r="A13" s="98"/>
      <c r="B13" s="99"/>
      <c r="C13" s="90" t="s">
        <v>6112</v>
      </c>
      <c r="D13" s="91">
        <f>D12*0.8</f>
        <v>0</v>
      </c>
      <c r="E13" s="92" t="s">
        <v>6112</v>
      </c>
      <c r="F13" s="91">
        <f>F12*0.8</f>
        <v>0</v>
      </c>
      <c r="G13" s="92" t="s">
        <v>6112</v>
      </c>
      <c r="H13" s="91">
        <f>H12*0.8</f>
        <v>0</v>
      </c>
      <c r="I13" s="92" t="s">
        <v>6112</v>
      </c>
      <c r="J13" s="91">
        <f>J12*0.8</f>
        <v>0</v>
      </c>
      <c r="K13" s="100" t="s">
        <v>6112</v>
      </c>
      <c r="L13" s="93">
        <f>L12*0.8</f>
        <v>0</v>
      </c>
      <c r="M13" s="31"/>
      <c r="N13" s="31"/>
      <c r="O13" s="94"/>
      <c r="P13" s="95"/>
      <c r="Q13" s="95"/>
      <c r="R13" s="96"/>
      <c r="S13" s="97"/>
      <c r="T13" s="95"/>
      <c r="U13" s="95"/>
      <c r="V13" s="95"/>
      <c r="W13" s="96"/>
    </row>
    <row r="14">
      <c r="A14" s="98"/>
      <c r="B14" s="99"/>
      <c r="C14" s="63" t="s">
        <v>6160</v>
      </c>
      <c r="D14" s="64"/>
      <c r="E14" s="65" t="s">
        <v>6160</v>
      </c>
      <c r="F14" s="64"/>
      <c r="G14" s="65" t="s">
        <v>6160</v>
      </c>
      <c r="H14" s="64"/>
      <c r="I14" s="65" t="s">
        <v>6160</v>
      </c>
      <c r="J14" s="64"/>
      <c r="K14" s="65" t="s">
        <v>6160</v>
      </c>
      <c r="L14" s="67"/>
      <c r="M14" s="31"/>
      <c r="N14" s="31"/>
      <c r="O14" s="94"/>
      <c r="P14" s="95"/>
      <c r="Q14" s="95"/>
      <c r="R14" s="96"/>
      <c r="S14" s="97"/>
      <c r="T14" s="95"/>
      <c r="U14" s="95"/>
      <c r="V14" s="95"/>
      <c r="W14" s="96"/>
    </row>
    <row r="15">
      <c r="A15" s="98"/>
      <c r="B15" s="99"/>
      <c r="C15" s="69" t="s">
        <v>6182</v>
      </c>
      <c r="D15" s="70"/>
      <c r="E15" s="71" t="s">
        <v>6182</v>
      </c>
      <c r="F15" s="72"/>
      <c r="G15" s="71" t="s">
        <v>6182</v>
      </c>
      <c r="H15" s="73"/>
      <c r="I15" s="71" t="s">
        <v>6182</v>
      </c>
      <c r="J15" s="73"/>
      <c r="K15" s="71" t="s">
        <v>6182</v>
      </c>
      <c r="L15" s="74"/>
      <c r="M15" s="31"/>
      <c r="N15" s="31"/>
      <c r="O15" s="94"/>
      <c r="P15" s="95"/>
      <c r="Q15" s="95"/>
      <c r="R15" s="96"/>
      <c r="S15" s="97"/>
      <c r="T15" s="95"/>
      <c r="U15" s="95"/>
      <c r="V15" s="95"/>
      <c r="W15" s="96"/>
    </row>
    <row r="16">
      <c r="A16" s="101"/>
      <c r="B16" s="102"/>
      <c r="C16" s="103" t="s">
        <v>51</v>
      </c>
      <c r="D16" s="104"/>
      <c r="E16" s="105" t="s">
        <v>51</v>
      </c>
      <c r="F16" s="106"/>
      <c r="G16" s="105" t="s">
        <v>51</v>
      </c>
      <c r="H16" s="104"/>
      <c r="I16" s="105" t="s">
        <v>51</v>
      </c>
      <c r="J16" s="104"/>
      <c r="K16" s="105" t="s">
        <v>51</v>
      </c>
      <c r="L16" s="107"/>
      <c r="M16" s="31"/>
      <c r="N16" s="31"/>
      <c r="O16" s="94"/>
      <c r="P16" s="95"/>
      <c r="Q16" s="95"/>
      <c r="R16" s="96"/>
      <c r="S16" s="97"/>
      <c r="T16" s="95"/>
      <c r="U16" s="95"/>
      <c r="V16" s="95"/>
      <c r="W16" s="96"/>
    </row>
    <row r="17">
      <c r="A17" s="87"/>
      <c r="B17" s="87"/>
      <c r="C17" s="31"/>
      <c r="D17" s="31"/>
      <c r="E17" s="108"/>
      <c r="F17" s="108"/>
      <c r="G17" s="108"/>
      <c r="H17" s="108"/>
      <c r="I17" s="108"/>
      <c r="J17" s="108"/>
      <c r="K17" s="108"/>
      <c r="L17" s="108"/>
      <c r="M17" s="31"/>
      <c r="N17" s="31"/>
      <c r="O17" s="94"/>
      <c r="P17" s="95"/>
      <c r="Q17" s="95"/>
      <c r="R17" s="96"/>
      <c r="S17" s="97"/>
      <c r="T17" s="95"/>
      <c r="U17" s="95"/>
      <c r="V17" s="95"/>
      <c r="W17" s="96"/>
    </row>
    <row r="18">
      <c r="A18" s="87"/>
      <c r="B18" s="87"/>
      <c r="C18" s="109"/>
      <c r="D18" s="110"/>
      <c r="E18" s="111" t="s">
        <v>6285</v>
      </c>
      <c r="F18" s="112"/>
      <c r="G18" s="112"/>
      <c r="H18" s="113"/>
      <c r="I18" s="111" t="s">
        <v>6287</v>
      </c>
      <c r="J18" s="113"/>
      <c r="K18" s="111" t="s">
        <v>6290</v>
      </c>
      <c r="L18" s="113"/>
      <c r="M18" s="31"/>
      <c r="N18" s="31"/>
      <c r="O18" s="114"/>
      <c r="P18" s="115"/>
      <c r="Q18" s="115"/>
      <c r="R18" s="115"/>
      <c r="S18" s="116"/>
      <c r="T18" s="115"/>
      <c r="U18" s="115"/>
      <c r="V18" s="115"/>
      <c r="W18" s="117"/>
    </row>
    <row r="19">
      <c r="A19" s="30"/>
      <c r="B19" s="30"/>
      <c r="C19" s="118"/>
      <c r="D19" s="119"/>
      <c r="E19" s="118"/>
      <c r="F19" s="120"/>
      <c r="G19" s="121" t="s">
        <v>6299</v>
      </c>
      <c r="H19" s="122">
        <f>SUMIF(L29:L499,G19,N29:N499)</f>
        <v>1100</v>
      </c>
      <c r="I19" s="123" t="s">
        <v>6300</v>
      </c>
      <c r="J19" s="124" t="s">
        <v>6302</v>
      </c>
      <c r="K19" s="125" t="s">
        <v>6304</v>
      </c>
      <c r="L19" s="119"/>
      <c r="M19" s="31"/>
      <c r="N19" s="31"/>
      <c r="O19" s="126"/>
      <c r="P19" s="127"/>
      <c r="Q19" s="127"/>
      <c r="R19" s="127"/>
      <c r="S19" s="128"/>
      <c r="T19" s="129" t="str">
        <f>B7</f>
        <v>Renata</v>
      </c>
      <c r="U19" s="112"/>
      <c r="V19" s="112"/>
      <c r="W19" s="130"/>
    </row>
    <row r="20">
      <c r="A20" s="131"/>
      <c r="B20" s="131"/>
      <c r="C20" s="132" t="s">
        <v>783</v>
      </c>
      <c r="D20" s="133">
        <f>SUMIFS(N29:N504,J29:J504,C20,K29:K504,C19)+SUMIF(Q102:Q138,A9,R102:R138)+D25</f>
        <v>0</v>
      </c>
      <c r="E20" s="132" t="s">
        <v>783</v>
      </c>
      <c r="F20" s="134">
        <f>SUMIFS(N29:N504,J29:J504,C20,K29:K504,E19)+SUMIF(Q102:Q138,A10,R102:R138)+F25</f>
        <v>0</v>
      </c>
      <c r="G20" s="135" t="s">
        <v>6328</v>
      </c>
      <c r="H20" s="136">
        <v>0.0</v>
      </c>
      <c r="I20" s="137">
        <f>SUMIF(J29:J504,I19,N29:N504)</f>
        <v>0</v>
      </c>
      <c r="J20" s="138">
        <f>SUMIF(J29:J504,J19,N29:N504)</f>
        <v>70.99</v>
      </c>
      <c r="K20" s="139" t="s">
        <v>6335</v>
      </c>
      <c r="L20" s="140"/>
      <c r="M20" s="31"/>
      <c r="N20" s="31"/>
      <c r="O20" s="141"/>
      <c r="P20" s="142"/>
      <c r="Q20" s="142"/>
      <c r="R20" s="142"/>
      <c r="S20" s="55"/>
      <c r="T20" s="56" t="str">
        <f>IFERROR(__xludf.DUMMYFUNCTION("query(C28:L507,""select Col1,Col3,Col8,Col9 where (Col8 = 'Adiantamento' or Col8 = 'Consumo') and Col9 = '""&amp;B7&amp;""'"",1)"),"Data")</f>
        <v>Data</v>
      </c>
      <c r="U20" s="56" t="str">
        <f>IFERROR(__xludf.DUMMYFUNCTION("""COMPUTED_VALUE"""),"Valor ")</f>
        <v>Valor </v>
      </c>
      <c r="V20" s="56" t="str">
        <f>IFERROR(__xludf.DUMMYFUNCTION("""COMPUTED_VALUE"""),"Tipo")</f>
        <v>Tipo</v>
      </c>
      <c r="W20" s="57" t="str">
        <f>IFERROR(__xludf.DUMMYFUNCTION("""COMPUTED_VALUE"""),"Funcionário")</f>
        <v>Funcionário</v>
      </c>
    </row>
    <row r="21" ht="19.5" customHeight="1">
      <c r="A21" s="143"/>
      <c r="B21" s="143"/>
      <c r="C21" s="132" t="s">
        <v>6080</v>
      </c>
      <c r="D21" s="133">
        <f>SUMIFS(N29:N504,J29:J504,C21,K29:K504,C19)</f>
        <v>0</v>
      </c>
      <c r="E21" s="132" t="s">
        <v>6080</v>
      </c>
      <c r="F21" s="134">
        <f>SUMIFS(N29:N504,J29:J504,E21,K29:K504,E19)</f>
        <v>0</v>
      </c>
      <c r="G21" s="92" t="s">
        <v>6354</v>
      </c>
      <c r="H21" s="133">
        <f>SUMIFS(N29:N504,D29:D504,"Saída",J29:J504,"Sangria")</f>
        <v>7150</v>
      </c>
      <c r="I21" s="144"/>
      <c r="J21" s="145"/>
      <c r="K21" s="139" t="s">
        <v>6364</v>
      </c>
      <c r="L21" s="140"/>
      <c r="M21" s="31"/>
      <c r="N21" s="31"/>
      <c r="O21" s="114"/>
      <c r="P21" s="59"/>
      <c r="Q21" s="59"/>
      <c r="R21" s="60"/>
      <c r="S21" s="61"/>
      <c r="T21" s="59"/>
      <c r="U21" s="59"/>
      <c r="V21" s="59"/>
      <c r="W21" s="60"/>
    </row>
    <row r="22">
      <c r="A22" s="143"/>
      <c r="B22" s="143"/>
      <c r="C22" s="146" t="s">
        <v>6112</v>
      </c>
      <c r="D22" s="133">
        <f>D21*0.8</f>
        <v>0</v>
      </c>
      <c r="E22" s="146" t="s">
        <v>6112</v>
      </c>
      <c r="F22" s="147">
        <f>F21*0.8</f>
        <v>0</v>
      </c>
      <c r="G22" s="148" t="s">
        <v>6369</v>
      </c>
      <c r="H22" s="149">
        <f>SUMIFS(N29:N504,D29:D504,"Entrada",J29:J504,"Sangria")</f>
        <v>0</v>
      </c>
      <c r="I22" s="150" t="s">
        <v>6370</v>
      </c>
      <c r="J22" s="151"/>
      <c r="K22" s="139" t="s">
        <v>6372</v>
      </c>
      <c r="L22" s="140"/>
      <c r="M22" s="31"/>
      <c r="N22" s="31"/>
      <c r="O22" s="58"/>
      <c r="P22" s="59"/>
      <c r="Q22" s="59"/>
      <c r="R22" s="60"/>
      <c r="S22" s="61"/>
      <c r="T22" s="59"/>
      <c r="U22" s="59"/>
      <c r="V22" s="59"/>
      <c r="W22" s="60"/>
    </row>
    <row r="23">
      <c r="A23" s="152"/>
      <c r="B23" s="152"/>
      <c r="C23" s="153" t="s">
        <v>6160</v>
      </c>
      <c r="D23" s="154"/>
      <c r="E23" s="153" t="s">
        <v>6160</v>
      </c>
      <c r="F23" s="154"/>
      <c r="G23" s="155" t="s">
        <v>6380</v>
      </c>
      <c r="H23" s="156"/>
      <c r="I23" s="157">
        <f>SUMIF(J29:J504,I22,N29:N504)</f>
        <v>0</v>
      </c>
      <c r="J23" s="158"/>
      <c r="K23" s="139" t="s">
        <v>6389</v>
      </c>
      <c r="L23" s="140"/>
      <c r="M23" s="31"/>
      <c r="N23" s="31"/>
      <c r="O23" s="58"/>
      <c r="P23" s="59"/>
      <c r="Q23" s="59"/>
      <c r="R23" s="60"/>
      <c r="S23" s="61"/>
      <c r="T23" s="59"/>
      <c r="U23" s="59"/>
      <c r="V23" s="59"/>
      <c r="W23" s="60"/>
    </row>
    <row r="24">
      <c r="A24" s="159"/>
      <c r="B24" s="159"/>
      <c r="C24" s="160" t="s">
        <v>6182</v>
      </c>
      <c r="D24" s="161"/>
      <c r="E24" s="160" t="s">
        <v>6182</v>
      </c>
      <c r="F24" s="161"/>
      <c r="G24" s="92" t="s">
        <v>6398</v>
      </c>
      <c r="H24" s="163">
        <f>SUMIF(L29:L504,G24,N29:N504)</f>
        <v>0</v>
      </c>
      <c r="I24" s="164" t="s">
        <v>6404</v>
      </c>
      <c r="J24" s="156"/>
      <c r="K24" s="139" t="s">
        <v>6407</v>
      </c>
      <c r="L24" s="140"/>
      <c r="M24" s="31"/>
      <c r="N24" s="31"/>
      <c r="O24" s="58"/>
      <c r="P24" s="59"/>
      <c r="Q24" s="59"/>
      <c r="R24" s="60"/>
      <c r="S24" s="61"/>
      <c r="T24" s="59"/>
      <c r="U24" s="59"/>
      <c r="V24" s="59"/>
      <c r="W24" s="60"/>
    </row>
    <row r="25" ht="14.25" customHeight="1">
      <c r="A25" s="159"/>
      <c r="B25" s="159"/>
      <c r="C25" s="165" t="s">
        <v>51</v>
      </c>
      <c r="D25" s="166"/>
      <c r="E25" s="165" t="s">
        <v>51</v>
      </c>
      <c r="F25" s="166"/>
      <c r="G25" s="167" t="s">
        <v>6416</v>
      </c>
      <c r="H25" s="168">
        <f>SUMIF(L29:L504,G25,N29:N504)</f>
        <v>0</v>
      </c>
      <c r="I25" s="157">
        <f>SUMIF(J29:J504,I24,N29:N504)</f>
        <v>0</v>
      </c>
      <c r="J25" s="158"/>
      <c r="K25" s="169"/>
      <c r="L25" s="170"/>
      <c r="M25" s="32"/>
      <c r="N25" s="32"/>
      <c r="O25" s="58"/>
      <c r="P25" s="59"/>
      <c r="Q25" s="59"/>
      <c r="R25" s="60"/>
      <c r="S25" s="61"/>
      <c r="T25" s="59"/>
      <c r="U25" s="59"/>
      <c r="V25" s="59"/>
      <c r="W25" s="60"/>
    </row>
    <row r="26" ht="14.25" customHeight="1">
      <c r="A26" s="171"/>
      <c r="B26" s="171"/>
      <c r="C26" s="171"/>
      <c r="D26" s="171"/>
      <c r="E26" s="171"/>
      <c r="F26" s="171"/>
      <c r="G26" s="172"/>
      <c r="H26" s="171"/>
      <c r="I26" s="171"/>
      <c r="J26" s="173"/>
      <c r="K26" s="173"/>
      <c r="L26" s="173"/>
      <c r="M26" s="174"/>
      <c r="N26" s="174"/>
      <c r="O26" s="58"/>
      <c r="P26" s="85"/>
      <c r="Q26" s="85"/>
      <c r="R26" s="86"/>
      <c r="S26" s="87"/>
      <c r="T26" s="85"/>
      <c r="U26" s="85"/>
      <c r="V26" s="85"/>
      <c r="W26" s="86"/>
    </row>
    <row r="27">
      <c r="A27" s="175"/>
      <c r="B27" s="176" t="s">
        <v>6426</v>
      </c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10"/>
      <c r="N27" s="174"/>
      <c r="O27" s="94"/>
      <c r="P27" s="95"/>
      <c r="Q27" s="95"/>
      <c r="R27" s="96"/>
      <c r="S27" s="97"/>
      <c r="T27" s="95"/>
      <c r="U27" s="95"/>
      <c r="V27" s="95"/>
      <c r="W27" s="96"/>
    </row>
    <row r="28">
      <c r="A28" s="178"/>
      <c r="B28" s="179" t="s">
        <v>0</v>
      </c>
      <c r="C28" s="180" t="s">
        <v>10</v>
      </c>
      <c r="D28" s="181" t="s">
        <v>18</v>
      </c>
      <c r="E28" s="180" t="s">
        <v>21</v>
      </c>
      <c r="F28" s="181"/>
      <c r="G28" s="181" t="s">
        <v>6</v>
      </c>
      <c r="H28" s="182"/>
      <c r="I28" s="183" t="s">
        <v>47</v>
      </c>
      <c r="J28" s="181" t="s">
        <v>52</v>
      </c>
      <c r="K28" s="180" t="s">
        <v>38</v>
      </c>
      <c r="L28" s="184" t="s">
        <v>6443</v>
      </c>
      <c r="M28" s="185" t="s">
        <v>5</v>
      </c>
      <c r="N28" s="174"/>
      <c r="O28" s="94"/>
      <c r="P28" s="95"/>
      <c r="Q28" s="95"/>
      <c r="R28" s="96"/>
      <c r="S28" s="97"/>
      <c r="T28" s="95"/>
      <c r="U28" s="95"/>
      <c r="V28" s="95"/>
      <c r="W28" s="96"/>
    </row>
    <row r="29">
      <c r="A29" s="186"/>
      <c r="B29" s="13">
        <v>2025620.0</v>
      </c>
      <c r="C29" s="14">
        <v>46079.73546296296</v>
      </c>
      <c r="D29" s="187" t="s">
        <v>97</v>
      </c>
      <c r="E29" s="188" t="s">
        <v>6985</v>
      </c>
      <c r="F29" s="189"/>
      <c r="G29" s="187" t="s">
        <v>1042</v>
      </c>
      <c r="H29" s="190"/>
      <c r="I29" s="190"/>
      <c r="J29" s="191" t="s">
        <v>6080</v>
      </c>
      <c r="K29" s="191" t="s">
        <v>6111</v>
      </c>
      <c r="L29" s="192" t="str">
        <f>IFERROR(__xludf.DUMMYFUNCTION("IF(
  AND(D29=""Saída"", J29=""Sangria""),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193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94">
        <f>IFERROR(__xludf.DUMMYFUNCTION("ifna(VALUE(REGEXEXTRACT(E29,""[0-9.]+[,]+[0-9]+"")))"),3.0)</f>
        <v>3</v>
      </c>
      <c r="O29" s="94"/>
      <c r="P29" s="95"/>
      <c r="Q29" s="95"/>
      <c r="R29" s="96"/>
      <c r="S29" s="97"/>
      <c r="T29" s="95"/>
      <c r="U29" s="95"/>
      <c r="V29" s="95"/>
      <c r="W29" s="96"/>
    </row>
    <row r="30" ht="14.25" customHeight="1">
      <c r="A30" s="186"/>
      <c r="B30" s="13">
        <v>2025697.0</v>
      </c>
      <c r="C30" s="14">
        <v>46079.75828703704</v>
      </c>
      <c r="D30" s="187" t="s">
        <v>97</v>
      </c>
      <c r="E30" s="188" t="s">
        <v>402</v>
      </c>
      <c r="F30" s="189"/>
      <c r="G30" s="187" t="s">
        <v>8280</v>
      </c>
      <c r="H30" s="195"/>
      <c r="I30" s="195"/>
      <c r="J30" s="196" t="s">
        <v>6469</v>
      </c>
      <c r="K30" s="196"/>
      <c r="L30" s="192" t="str">
        <f>IFERROR(__xludf.DUMMYFUNCTION("IF(
  AND(D30=""Saída"", J30=""Sangria""),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197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94">
        <f>IFERROR(__xludf.DUMMYFUNCTION("ifna(VALUE(REGEXEXTRACT(E30,""[0-9.]+[,]+[0-9]+"")))"),39.0)</f>
        <v>39</v>
      </c>
      <c r="O30" s="94"/>
      <c r="P30" s="95"/>
      <c r="Q30" s="95"/>
      <c r="R30" s="96"/>
      <c r="S30" s="97"/>
      <c r="T30" s="95"/>
      <c r="U30" s="95"/>
      <c r="V30" s="95"/>
      <c r="W30" s="96"/>
    </row>
    <row r="31" ht="14.25" customHeight="1">
      <c r="A31" s="186"/>
      <c r="B31" s="13">
        <v>2025704.0</v>
      </c>
      <c r="C31" s="14">
        <v>46079.759351851855</v>
      </c>
      <c r="D31" s="187" t="s">
        <v>97</v>
      </c>
      <c r="E31" s="188" t="s">
        <v>8281</v>
      </c>
      <c r="F31" s="200"/>
      <c r="G31" s="187" t="s">
        <v>8282</v>
      </c>
      <c r="H31" s="195"/>
      <c r="I31" s="195"/>
      <c r="J31" s="196" t="s">
        <v>6469</v>
      </c>
      <c r="K31" s="196"/>
      <c r="L31" s="192" t="str">
        <f>IFERROR(__xludf.DUMMYFUNCTION("IF(
  AND(D31=""Saída"", J31=""Sangria""),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198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94">
        <f>IFERROR(__xludf.DUMMYFUNCTION("ifna(VALUE(REGEXEXTRACT(E31,""[0-9.]+[,]+[0-9]+"")))"),70.5)</f>
        <v>70.5</v>
      </c>
      <c r="O31" s="94"/>
      <c r="P31" s="95"/>
      <c r="Q31" s="95"/>
      <c r="R31" s="96"/>
      <c r="S31" s="97"/>
      <c r="T31" s="95"/>
      <c r="U31" s="95"/>
      <c r="V31" s="95"/>
      <c r="W31" s="96"/>
    </row>
    <row r="32" ht="14.25" customHeight="1">
      <c r="A32" s="186"/>
      <c r="B32" s="13">
        <v>2025706.0</v>
      </c>
      <c r="C32" s="14">
        <v>46079.75997685185</v>
      </c>
      <c r="D32" s="187" t="s">
        <v>97</v>
      </c>
      <c r="E32" s="188" t="s">
        <v>650</v>
      </c>
      <c r="F32" s="189"/>
      <c r="G32" s="187" t="s">
        <v>8284</v>
      </c>
      <c r="H32" s="195"/>
      <c r="I32" s="195"/>
      <c r="J32" s="196" t="s">
        <v>6469</v>
      </c>
      <c r="K32" s="196"/>
      <c r="L32" s="192" t="str">
        <f>IFERROR(__xludf.DUMMYFUNCTION("IF(
  AND(D32=""Saída"", J32=""Sangria""),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199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94">
        <f>IFERROR(__xludf.DUMMYFUNCTION("ifna(VALUE(REGEXEXTRACT(E32,""[0-9.]+[,]+[0-9]+"")))"),78.0)</f>
        <v>78</v>
      </c>
      <c r="O32" s="94"/>
      <c r="P32" s="95"/>
      <c r="Q32" s="95"/>
      <c r="R32" s="96"/>
      <c r="S32" s="97"/>
      <c r="T32" s="95"/>
      <c r="U32" s="95"/>
      <c r="V32" s="95"/>
      <c r="W32" s="96"/>
    </row>
    <row r="33" ht="14.25" customHeight="1">
      <c r="A33" s="186"/>
      <c r="B33" s="13">
        <v>2025769.0</v>
      </c>
      <c r="C33" s="14">
        <v>46079.78597222222</v>
      </c>
      <c r="D33" s="187" t="s">
        <v>97</v>
      </c>
      <c r="E33" s="188" t="s">
        <v>8286</v>
      </c>
      <c r="F33" s="189"/>
      <c r="G33" s="187" t="s">
        <v>151</v>
      </c>
      <c r="H33" s="195"/>
      <c r="I33" s="195"/>
      <c r="J33" s="196" t="s">
        <v>6080</v>
      </c>
      <c r="K33" s="196" t="s">
        <v>6111</v>
      </c>
      <c r="L33" s="192" t="str">
        <f>IFERROR(__xludf.DUMMYFUNCTION("IF(
  AND(D33=""Saída"", J33=""Sangria""),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198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94">
        <f>IFERROR(__xludf.DUMMYFUNCTION("ifna(VALUE(REGEXEXTRACT(E33,""[0-9.]+[,]+[0-9]+"")))"),6.42)</f>
        <v>6.42</v>
      </c>
      <c r="O33" s="94"/>
      <c r="P33" s="95"/>
      <c r="Q33" s="95"/>
      <c r="R33" s="96"/>
      <c r="S33" s="97"/>
      <c r="T33" s="95"/>
      <c r="U33" s="95"/>
      <c r="V33" s="95"/>
      <c r="W33" s="96"/>
    </row>
    <row r="34" ht="14.25" customHeight="1">
      <c r="A34" s="186"/>
      <c r="B34" s="13">
        <v>2026892.0</v>
      </c>
      <c r="C34" s="14">
        <v>46080.6015162037</v>
      </c>
      <c r="D34" s="187" t="s">
        <v>97</v>
      </c>
      <c r="E34" s="188" t="s">
        <v>8287</v>
      </c>
      <c r="F34" s="189"/>
      <c r="G34" s="187" t="s">
        <v>7160</v>
      </c>
      <c r="H34" s="195"/>
      <c r="I34" s="195"/>
      <c r="J34" s="196" t="s">
        <v>6446</v>
      </c>
      <c r="K34" s="196"/>
      <c r="L34" s="192" t="str">
        <f>IFERROR(__xludf.DUMMYFUNCTION("IF(
  AND(D34=""Saída"", J34=""Sangria""),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197" t="str">
        <f>IFERROR(__xludf.DUMMYFUNCTION("IF(J34=""Compra de Mercadorias"",
   IF(
      COUNTIF(ARRAYFORMULA(TRIM(CLEAN(TO_TEXT(Notas!BS:BS)))), TRIM(CLEAN(TO_TEXT(B34)))) &gt; 0,
      ""Encontrada"",
      ""Não Encontrada""
   ),
"""")"),"Encontrada")</f>
        <v>Encontrada</v>
      </c>
      <c r="N34" s="194">
        <f>IFERROR(__xludf.DUMMYFUNCTION("ifna(VALUE(REGEXEXTRACT(E34,""[0-9.]+[,]+[0-9]+"")))"),11.25)</f>
        <v>11.25</v>
      </c>
      <c r="O34" s="114"/>
      <c r="P34" s="115"/>
      <c r="Q34" s="115"/>
      <c r="R34" s="115"/>
      <c r="S34" s="116"/>
      <c r="T34" s="115"/>
      <c r="U34" s="115"/>
      <c r="V34" s="115"/>
      <c r="W34" s="117"/>
    </row>
    <row r="35" ht="18.75" customHeight="1">
      <c r="A35" s="186"/>
      <c r="B35" s="13">
        <v>2026894.0</v>
      </c>
      <c r="C35" s="14">
        <v>46080.60208333333</v>
      </c>
      <c r="D35" s="187" t="s">
        <v>97</v>
      </c>
      <c r="E35" s="188" t="s">
        <v>8290</v>
      </c>
      <c r="F35" s="189"/>
      <c r="G35" s="187" t="s">
        <v>8291</v>
      </c>
      <c r="H35" s="195"/>
      <c r="I35" s="195"/>
      <c r="J35" s="196" t="s">
        <v>6446</v>
      </c>
      <c r="K35" s="196"/>
      <c r="L35" s="192" t="str">
        <f>IFERROR(__xludf.DUMMYFUNCTION("IF(
  AND(D35=""Saída"", J35=""Sangria""),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198" t="str">
        <f>IFERROR(__xludf.DUMMYFUNCTION("IF(J35=""Compra de Mercadorias"",
   IF(
      COUNTIF(ARRAYFORMULA(TRIM(CLEAN(TO_TEXT(Notas!BS:BS)))), TRIM(CLEAN(TO_TEXT(B35)))) &gt; 0,
      ""Encontrada"",
      ""Não Encontrada""
   ),
"""")"),"Encontrada")</f>
        <v>Encontrada</v>
      </c>
      <c r="N35" s="194">
        <f>IFERROR(__xludf.DUMMYFUNCTION("ifna(VALUE(REGEXEXTRACT(E35,""[0-9.]+[,]+[0-9]+"")))"),119.4)</f>
        <v>119.4</v>
      </c>
      <c r="O35" s="31"/>
      <c r="P35" s="31"/>
      <c r="Q35" s="31"/>
      <c r="R35" s="31"/>
      <c r="S35" s="31"/>
      <c r="T35" s="31"/>
      <c r="U35" s="31"/>
      <c r="V35" s="31"/>
      <c r="W35" s="31"/>
    </row>
    <row r="36" ht="14.25" customHeight="1">
      <c r="A36" s="186"/>
      <c r="B36" s="13">
        <v>2027120.0</v>
      </c>
      <c r="C36" s="14">
        <v>46080.67655092593</v>
      </c>
      <c r="D36" s="187" t="s">
        <v>97</v>
      </c>
      <c r="E36" s="188" t="s">
        <v>8292</v>
      </c>
      <c r="F36" s="189"/>
      <c r="G36" s="187" t="s">
        <v>6906</v>
      </c>
      <c r="H36" s="195"/>
      <c r="I36" s="195"/>
      <c r="J36" s="196" t="s">
        <v>6446</v>
      </c>
      <c r="K36" s="196"/>
      <c r="L36" s="192" t="str">
        <f>IFERROR(__xludf.DUMMYFUNCTION("IF(
  AND(D36=""Saída"", J36=""Sangria""),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197" t="str">
        <f>IFERROR(__xludf.DUMMYFUNCTION("IF(J36=""Compra de Mercadorias"",
   IF(
      COUNTIF(ARRAYFORMULA(TRIM(CLEAN(TO_TEXT(Notas!BS:BS)))), TRIM(CLEAN(TO_TEXT(B36)))) &gt; 0,
      ""Encontrada"",
      ""Não Encontrada""
   ),
"""")"),"Encontrada")</f>
        <v>Encontrada</v>
      </c>
      <c r="N36" s="194">
        <f>IFERROR(__xludf.DUMMYFUNCTION("ifna(VALUE(REGEXEXTRACT(E36,""[0-9.]+[,]+[0-9]+"")))"),199.5)</f>
        <v>199.5</v>
      </c>
      <c r="O36" s="31"/>
      <c r="P36" s="31"/>
      <c r="Q36" s="31"/>
      <c r="R36" s="31"/>
      <c r="S36" s="31"/>
      <c r="T36" s="31"/>
      <c r="U36" s="31"/>
      <c r="V36" s="31"/>
      <c r="W36" s="31"/>
    </row>
    <row r="37" ht="14.25" customHeight="1">
      <c r="A37" s="186"/>
      <c r="B37" s="13">
        <v>2027127.0</v>
      </c>
      <c r="C37" s="14">
        <v>46080.67841435185</v>
      </c>
      <c r="D37" s="187" t="s">
        <v>97</v>
      </c>
      <c r="E37" s="188" t="s">
        <v>7689</v>
      </c>
      <c r="F37" s="189"/>
      <c r="G37" s="187" t="s">
        <v>8293</v>
      </c>
      <c r="H37" s="195"/>
      <c r="I37" s="195"/>
      <c r="J37" s="196" t="s">
        <v>6469</v>
      </c>
      <c r="K37" s="196"/>
      <c r="L37" s="192" t="str">
        <f>IFERROR(__xludf.DUMMYFUNCTION("IF(
  AND(D37=""Saída"", J37=""Sangria""),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01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94">
        <f>IFERROR(__xludf.DUMMYFUNCTION("ifna(VALUE(REGEXEXTRACT(E37,""[0-9.]+[,]+[0-9]+"")))"),52.0)</f>
        <v>52</v>
      </c>
      <c r="O37" s="31"/>
      <c r="P37" s="31"/>
      <c r="Q37" s="31"/>
      <c r="R37" s="31"/>
      <c r="S37" s="31"/>
      <c r="T37" s="31"/>
      <c r="U37" s="31"/>
      <c r="V37" s="31"/>
      <c r="W37" s="31"/>
    </row>
    <row r="38" ht="14.25" customHeight="1">
      <c r="A38" s="186"/>
      <c r="B38" s="13">
        <v>2027144.0</v>
      </c>
      <c r="C38" s="14">
        <v>46080.68225694444</v>
      </c>
      <c r="D38" s="187" t="s">
        <v>97</v>
      </c>
      <c r="E38" s="188" t="s">
        <v>1143</v>
      </c>
      <c r="F38" s="189"/>
      <c r="G38" s="187" t="s">
        <v>7112</v>
      </c>
      <c r="H38" s="195"/>
      <c r="I38" s="195"/>
      <c r="J38" s="196" t="s">
        <v>6446</v>
      </c>
      <c r="K38" s="196"/>
      <c r="L38" s="192" t="str">
        <f>IFERROR(__xludf.DUMMYFUNCTION("IF(
  AND(D38=""Saída"", J38=""Sangria""),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197" t="str">
        <f>IFERROR(__xludf.DUMMYFUNCTION("IF(J38=""Compra de Mercadorias"",
   IF(
      COUNTIF(ARRAYFORMULA(TRIM(CLEAN(TO_TEXT(Notas!BS:BS)))), TRIM(CLEAN(TO_TEXT(B38)))) &gt; 0,
      ""Encontrada"",
      ""Não Encontrada""
   ),
"""")"),"Encontrada")</f>
        <v>Encontrada</v>
      </c>
      <c r="N38" s="194">
        <f>IFERROR(__xludf.DUMMYFUNCTION("ifna(VALUE(REGEXEXTRACT(E38,""[0-9.]+[,]+[0-9]+"")))"),175.0)</f>
        <v>175</v>
      </c>
      <c r="O38" s="31"/>
      <c r="P38" s="31"/>
      <c r="Q38" s="31"/>
      <c r="R38" s="31"/>
      <c r="S38" s="31"/>
      <c r="T38" s="31"/>
      <c r="U38" s="31"/>
      <c r="V38" s="31"/>
      <c r="W38" s="31"/>
    </row>
    <row r="39" ht="21.75" customHeight="1">
      <c r="A39" s="186"/>
      <c r="B39" s="13">
        <v>2027492.0</v>
      </c>
      <c r="C39" s="14">
        <v>46080.76354166667</v>
      </c>
      <c r="D39" s="187" t="s">
        <v>97</v>
      </c>
      <c r="E39" s="188" t="s">
        <v>650</v>
      </c>
      <c r="F39" s="189"/>
      <c r="G39" s="187" t="s">
        <v>8295</v>
      </c>
      <c r="H39" s="195"/>
      <c r="I39" s="195"/>
      <c r="J39" s="196" t="s">
        <v>6469</v>
      </c>
      <c r="K39" s="196"/>
      <c r="L39" s="192" t="str">
        <f>IFERROR(__xludf.DUMMYFUNCTION("IF(
  AND(D39=""Saída"", J39=""Sangria""),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198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94">
        <f>IFERROR(__xludf.DUMMYFUNCTION("ifna(VALUE(REGEXEXTRACT(E39,""[0-9.]+[,]+[0-9]+"")))"),78.0)</f>
        <v>78</v>
      </c>
      <c r="O39" s="31"/>
      <c r="P39" s="31"/>
      <c r="Q39" s="31"/>
      <c r="R39" s="31"/>
      <c r="S39" s="31"/>
      <c r="T39" s="31"/>
      <c r="U39" s="31"/>
      <c r="V39" s="31"/>
      <c r="W39" s="31"/>
    </row>
    <row r="40" ht="14.25" customHeight="1">
      <c r="A40" s="186"/>
      <c r="B40" s="13">
        <v>2027804.0</v>
      </c>
      <c r="C40" s="14">
        <v>46080.872824074075</v>
      </c>
      <c r="D40" s="187" t="s">
        <v>97</v>
      </c>
      <c r="E40" s="188" t="s">
        <v>8298</v>
      </c>
      <c r="F40" s="189"/>
      <c r="G40" s="187" t="s">
        <v>1042</v>
      </c>
      <c r="H40" s="195"/>
      <c r="I40" s="195"/>
      <c r="J40" s="196" t="s">
        <v>6080</v>
      </c>
      <c r="K40" s="196" t="s">
        <v>6111</v>
      </c>
      <c r="L40" s="192" t="str">
        <f>IFERROR(__xludf.DUMMYFUNCTION("IF(
  AND(D40=""Saída"", J40=""Sangria""),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197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94">
        <f>IFERROR(__xludf.DUMMYFUNCTION("ifna(VALUE(REGEXEXTRACT(E40,""[0-9.]+[,]+[0-9]+"")))"),37.11)</f>
        <v>37.11</v>
      </c>
      <c r="O40" s="31"/>
      <c r="P40" s="31"/>
      <c r="Q40" s="31"/>
      <c r="R40" s="31"/>
      <c r="S40" s="31"/>
      <c r="T40" s="31"/>
      <c r="U40" s="31"/>
      <c r="V40" s="31"/>
      <c r="W40" s="31"/>
    </row>
    <row r="41" ht="14.25" customHeight="1">
      <c r="A41" s="186"/>
      <c r="B41" s="13">
        <v>2027856.0</v>
      </c>
      <c r="C41" s="14">
        <v>46080.884050925924</v>
      </c>
      <c r="D41" s="187" t="s">
        <v>97</v>
      </c>
      <c r="E41" s="188" t="s">
        <v>6985</v>
      </c>
      <c r="F41" s="200"/>
      <c r="G41" s="187" t="s">
        <v>1042</v>
      </c>
      <c r="H41" s="195"/>
      <c r="I41" s="195"/>
      <c r="J41" s="196" t="s">
        <v>6080</v>
      </c>
      <c r="K41" s="196" t="s">
        <v>6111</v>
      </c>
      <c r="L41" s="192" t="str">
        <f>IFERROR(__xludf.DUMMYFUNCTION("IF(
  AND(D41=""Saída"", J41=""Sangria""),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201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94">
        <f>IFERROR(__xludf.DUMMYFUNCTION("ifna(VALUE(REGEXEXTRACT(E41,""[0-9.]+[,]+[0-9]+"")))"),3.0)</f>
        <v>3</v>
      </c>
      <c r="O41" s="31"/>
      <c r="P41" s="31"/>
      <c r="Q41" s="31"/>
      <c r="R41" s="31"/>
      <c r="S41" s="31"/>
      <c r="T41" s="31"/>
      <c r="U41" s="31"/>
      <c r="V41" s="31"/>
      <c r="W41" s="31"/>
    </row>
    <row r="42" ht="14.25" customHeight="1">
      <c r="A42" s="186"/>
      <c r="B42" s="13">
        <v>2029348.0</v>
      </c>
      <c r="C42" s="14">
        <v>46081.73447916667</v>
      </c>
      <c r="D42" s="187" t="s">
        <v>97</v>
      </c>
      <c r="E42" s="188" t="s">
        <v>7689</v>
      </c>
      <c r="F42" s="189"/>
      <c r="G42" s="187" t="s">
        <v>8300</v>
      </c>
      <c r="H42" s="195"/>
      <c r="I42" s="195"/>
      <c r="J42" s="196" t="s">
        <v>6469</v>
      </c>
      <c r="K42" s="196"/>
      <c r="L42" s="192" t="str">
        <f>IFERROR(__xludf.DUMMYFUNCTION("IF(
  AND(D42=""Saída"", J42=""Sangria""),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197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94">
        <f>IFERROR(__xludf.DUMMYFUNCTION("ifna(VALUE(REGEXEXTRACT(E42,""[0-9.]+[,]+[0-9]+"")))"),52.0)</f>
        <v>52</v>
      </c>
      <c r="O42" s="31"/>
      <c r="P42" s="31"/>
      <c r="Q42" s="31"/>
      <c r="R42" s="31"/>
      <c r="S42" s="31"/>
      <c r="T42" s="31"/>
      <c r="U42" s="31"/>
      <c r="V42" s="31"/>
      <c r="W42" s="31"/>
    </row>
    <row r="43" ht="14.25" customHeight="1">
      <c r="A43" s="186"/>
      <c r="B43" s="13">
        <v>2029853.0</v>
      </c>
      <c r="C43" s="14">
        <v>46081.844375</v>
      </c>
      <c r="D43" s="187" t="s">
        <v>97</v>
      </c>
      <c r="E43" s="188" t="s">
        <v>7689</v>
      </c>
      <c r="F43" s="189"/>
      <c r="G43" s="187" t="s">
        <v>8301</v>
      </c>
      <c r="H43" s="202"/>
      <c r="I43" s="202"/>
      <c r="J43" s="196"/>
      <c r="K43" s="196"/>
      <c r="L43" s="192" t="str">
        <f>IFERROR(__xludf.DUMMYFUNCTION("IF(
  AND(D43=""Saída"", J43=""Sangria""),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03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94">
        <f>IFERROR(__xludf.DUMMYFUNCTION("ifna(VALUE(REGEXEXTRACT(E43,""[0-9.]+[,]+[0-9]+"")))"),52.0)</f>
        <v>52</v>
      </c>
      <c r="O43" s="31"/>
      <c r="P43" s="31"/>
      <c r="Q43" s="31"/>
      <c r="R43" s="31"/>
      <c r="S43" s="31"/>
      <c r="T43" s="31"/>
      <c r="U43" s="31"/>
      <c r="V43" s="31"/>
      <c r="W43" s="31"/>
    </row>
    <row r="44" ht="14.25" customHeight="1">
      <c r="A44" s="186"/>
      <c r="B44" s="13">
        <v>2030011.0</v>
      </c>
      <c r="C44" s="14">
        <v>46081.88266203704</v>
      </c>
      <c r="D44" s="187" t="s">
        <v>97</v>
      </c>
      <c r="E44" s="188" t="s">
        <v>6540</v>
      </c>
      <c r="F44" s="189"/>
      <c r="G44" s="187" t="s">
        <v>858</v>
      </c>
      <c r="H44" s="202"/>
      <c r="I44" s="202"/>
      <c r="J44" s="196" t="s">
        <v>6544</v>
      </c>
      <c r="K44" s="196" t="s">
        <v>5991</v>
      </c>
      <c r="L44" s="192" t="str">
        <f>IFERROR(__xludf.DUMMYFUNCTION("IF(
  AND(D44=""Saída"", J44=""Sangria""),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"),"Caixa Sangria")</f>
        <v>Caixa Sangria</v>
      </c>
      <c r="M44" s="197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94">
        <f>IFERROR(__xludf.DUMMYFUNCTION("ifna(VALUE(REGEXEXTRACT(E44,""[0-9.]+[,]+[0-9]+"")))"),1100.0)</f>
        <v>1100</v>
      </c>
      <c r="O44" s="31"/>
      <c r="P44" s="31"/>
      <c r="Q44" s="31"/>
      <c r="R44" s="31"/>
      <c r="S44" s="31"/>
      <c r="T44" s="31"/>
      <c r="U44" s="31"/>
      <c r="V44" s="31"/>
      <c r="W44" s="31"/>
    </row>
    <row r="45" ht="14.25" customHeight="1">
      <c r="A45" s="186"/>
      <c r="B45" s="13">
        <v>2030037.0</v>
      </c>
      <c r="C45" s="14">
        <v>46081.88909722222</v>
      </c>
      <c r="D45" s="187" t="s">
        <v>204</v>
      </c>
      <c r="E45" s="188" t="s">
        <v>7689</v>
      </c>
      <c r="F45" s="189"/>
      <c r="G45" s="187" t="s">
        <v>8303</v>
      </c>
      <c r="H45" s="204"/>
      <c r="I45" s="204"/>
      <c r="J45" s="196"/>
      <c r="K45" s="196"/>
      <c r="L45" s="192" t="str">
        <f>IFERROR(__xludf.DUMMYFUNCTION("IF(
  AND(D45=""Saída"", J45=""Sangria""),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198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94">
        <f>IFERROR(__xludf.DUMMYFUNCTION("ifna(VALUE(REGEXEXTRACT(E45,""[0-9.]+[,]+[0-9]+"")))"),52.0)</f>
        <v>52</v>
      </c>
      <c r="O45" s="31"/>
      <c r="P45" s="31"/>
      <c r="Q45" s="31"/>
      <c r="R45" s="31"/>
      <c r="S45" s="31"/>
      <c r="T45" s="31"/>
      <c r="U45" s="31"/>
      <c r="V45" s="31"/>
      <c r="W45" s="31"/>
    </row>
    <row r="46" ht="18.75" customHeight="1">
      <c r="A46" s="186"/>
      <c r="B46" s="13">
        <v>2032445.0</v>
      </c>
      <c r="C46" s="14">
        <v>46082.846863425926</v>
      </c>
      <c r="D46" s="187" t="s">
        <v>97</v>
      </c>
      <c r="E46" s="188" t="s">
        <v>6561</v>
      </c>
      <c r="F46" s="189"/>
      <c r="G46" s="187" t="s">
        <v>8304</v>
      </c>
      <c r="H46" s="204"/>
      <c r="I46" s="204"/>
      <c r="J46" s="196" t="s">
        <v>6469</v>
      </c>
      <c r="K46" s="196"/>
      <c r="L46" s="192" t="str">
        <f>IFERROR(__xludf.DUMMYFUNCTION("IF(
  AND(D46=""Saída"", J46=""Sangria""),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197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94">
        <f>IFERROR(__xludf.DUMMYFUNCTION("ifna(VALUE(REGEXEXTRACT(E46,""[0-9.]+[,]+[0-9]+"")))"),123.0)</f>
        <v>123</v>
      </c>
      <c r="O46" s="31"/>
      <c r="P46" s="31"/>
      <c r="Q46" s="31"/>
      <c r="R46" s="31"/>
      <c r="S46" s="31"/>
      <c r="T46" s="31"/>
      <c r="U46" s="31"/>
      <c r="V46" s="31"/>
      <c r="W46" s="31"/>
    </row>
    <row r="47" ht="14.25" customHeight="1">
      <c r="A47" s="186"/>
      <c r="B47" s="13">
        <v>2032485.0</v>
      </c>
      <c r="C47" s="14">
        <v>46082.851956018516</v>
      </c>
      <c r="D47" s="187" t="s">
        <v>97</v>
      </c>
      <c r="E47" s="188" t="s">
        <v>1071</v>
      </c>
      <c r="F47" s="189"/>
      <c r="G47" s="187" t="s">
        <v>8306</v>
      </c>
      <c r="H47" s="204"/>
      <c r="I47" s="204"/>
      <c r="J47" s="196" t="s">
        <v>6469</v>
      </c>
      <c r="K47" s="196"/>
      <c r="L47" s="192" t="str">
        <f>IFERROR(__xludf.DUMMYFUNCTION("IF(
  AND(D47=""Saída"", J47=""Sangria""),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198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94">
        <f>IFERROR(__xludf.DUMMYFUNCTION("ifna(VALUE(REGEXEXTRACT(E47,""[0-9.]+[,]+[0-9]+"")))"),110.0)</f>
        <v>110</v>
      </c>
      <c r="O47" s="31"/>
      <c r="P47" s="31"/>
      <c r="Q47" s="31"/>
      <c r="R47" s="31"/>
      <c r="S47" s="31"/>
      <c r="T47" s="31"/>
      <c r="U47" s="31"/>
      <c r="V47" s="31"/>
      <c r="W47" s="31"/>
    </row>
    <row r="48">
      <c r="A48" s="186"/>
      <c r="B48" s="13">
        <v>2032487.0</v>
      </c>
      <c r="C48" s="14">
        <v>46082.852314814816</v>
      </c>
      <c r="D48" s="187" t="s">
        <v>97</v>
      </c>
      <c r="E48" s="188" t="s">
        <v>6561</v>
      </c>
      <c r="F48" s="189"/>
      <c r="G48" s="187" t="s">
        <v>8307</v>
      </c>
      <c r="H48" s="204"/>
      <c r="I48" s="204"/>
      <c r="J48" s="196" t="s">
        <v>6469</v>
      </c>
      <c r="K48" s="196"/>
      <c r="L48" s="192" t="str">
        <f>IFERROR(__xludf.DUMMYFUNCTION("IF(
  AND(D48=""Saída"", J48=""Sangria""),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197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94">
        <f>IFERROR(__xludf.DUMMYFUNCTION("ifna(VALUE(REGEXEXTRACT(E48,""[0-9.]+[,]+[0-9]+"")))"),123.0)</f>
        <v>123</v>
      </c>
      <c r="O48" s="205" t="str">
        <f>B8</f>
        <v>Joice</v>
      </c>
      <c r="P48" s="112"/>
      <c r="Q48" s="112"/>
      <c r="R48" s="112"/>
      <c r="S48" s="128"/>
      <c r="T48" s="129" t="str">
        <f>B9</f>
        <v>Fernando</v>
      </c>
      <c r="U48" s="112"/>
      <c r="V48" s="112"/>
      <c r="W48" s="130"/>
    </row>
    <row r="49" ht="14.25" customHeight="1">
      <c r="A49" s="186"/>
      <c r="B49" s="13">
        <v>2032848.0</v>
      </c>
      <c r="C49" s="14">
        <v>46082.90008101852</v>
      </c>
      <c r="D49" s="187" t="s">
        <v>97</v>
      </c>
      <c r="E49" s="188" t="s">
        <v>8309</v>
      </c>
      <c r="F49" s="200"/>
      <c r="G49" s="187" t="s">
        <v>8310</v>
      </c>
      <c r="H49" s="204"/>
      <c r="I49" s="204"/>
      <c r="J49" s="196" t="s">
        <v>6551</v>
      </c>
      <c r="K49" s="196"/>
      <c r="L49" s="192" t="str">
        <f>IFERROR(__xludf.DUMMYFUNCTION("IF(
  AND(D49=""Saída"", J49=""Sangria""),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198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94">
        <f>IFERROR(__xludf.DUMMYFUNCTION("ifna(VALUE(REGEXEXTRACT(E49,""[0-9.]+[,]+[0-9]+"")))"),642.0)</f>
        <v>642</v>
      </c>
      <c r="O49" s="52" t="str">
        <f>IFERROR(__xludf.DUMMYFUNCTION("query(C28:L507,""select Col1,Col3,Col8,Col9 where (Col8 = 'Adiantamento' or Col8 = 'Consumo') and Col9 = '""&amp;B8&amp;""'"",1)"),"Data")</f>
        <v>Data</v>
      </c>
      <c r="P49" s="53" t="str">
        <f>IFERROR(__xludf.DUMMYFUNCTION("""COMPUTED_VALUE"""),"Valor ")</f>
        <v>Valor </v>
      </c>
      <c r="Q49" s="53" t="str">
        <f>IFERROR(__xludf.DUMMYFUNCTION("""COMPUTED_VALUE"""),"Tipo")</f>
        <v>Tipo</v>
      </c>
      <c r="R49" s="53" t="str">
        <f>IFERROR(__xludf.DUMMYFUNCTION("""COMPUTED_VALUE"""),"Funcionário")</f>
        <v>Funcionário</v>
      </c>
      <c r="S49" s="55"/>
      <c r="T49" s="56" t="str">
        <f>IFERROR(__xludf.DUMMYFUNCTION("query(C28:L507,""select Col1,Col3,Col8,Col9 where (Col8 = 'Adiantamento' or Col8 = 'Consumo') and Col9 = '""&amp;B9&amp;""'"",1)"),"Data")</f>
        <v>Data</v>
      </c>
      <c r="U49" s="56" t="str">
        <f>IFERROR(__xludf.DUMMYFUNCTION("""COMPUTED_VALUE"""),"Valor ")</f>
        <v>Valor </v>
      </c>
      <c r="V49" s="56" t="str">
        <f>IFERROR(__xludf.DUMMYFUNCTION("""COMPUTED_VALUE"""),"Tipo")</f>
        <v>Tipo</v>
      </c>
      <c r="W49" s="57" t="str">
        <f>IFERROR(__xludf.DUMMYFUNCTION("""COMPUTED_VALUE"""),"Funcionário")</f>
        <v>Funcionário</v>
      </c>
    </row>
    <row r="50" ht="14.25" customHeight="1">
      <c r="A50" s="186"/>
      <c r="B50" s="13">
        <v>2032885.0</v>
      </c>
      <c r="C50" s="14">
        <v>46082.903182870374</v>
      </c>
      <c r="D50" s="187" t="s">
        <v>97</v>
      </c>
      <c r="E50" s="188" t="s">
        <v>8312</v>
      </c>
      <c r="F50" s="189"/>
      <c r="G50" s="187" t="s">
        <v>7557</v>
      </c>
      <c r="H50" s="204"/>
      <c r="I50" s="204"/>
      <c r="J50" s="196" t="s">
        <v>6544</v>
      </c>
      <c r="K50" s="196" t="s">
        <v>5991</v>
      </c>
      <c r="L50" s="192" t="str">
        <f>IFERROR(__xludf.DUMMYFUNCTION("IF(
  AND(D50=""Saída"", J50=""Sangria""),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"),"Confirmada")</f>
        <v>Confirmada</v>
      </c>
      <c r="M50" s="201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94">
        <f>IFERROR(__xludf.DUMMYFUNCTION("ifna(VALUE(REGEXEXTRACT(E50,""[0-9.]+[,]+[0-9]+"")))"),750.0)</f>
        <v>750</v>
      </c>
      <c r="O50" s="58"/>
      <c r="P50" s="59"/>
      <c r="Q50" s="59"/>
      <c r="R50" s="59"/>
      <c r="S50" s="61"/>
      <c r="T50" s="59"/>
      <c r="U50" s="59"/>
      <c r="V50" s="59"/>
      <c r="W50" s="60"/>
    </row>
    <row r="51" ht="30.0" customHeight="1">
      <c r="A51" s="186"/>
      <c r="B51" s="13">
        <v>2034706.0</v>
      </c>
      <c r="C51" s="14">
        <v>46083.75048611111</v>
      </c>
      <c r="D51" s="187" t="s">
        <v>97</v>
      </c>
      <c r="E51" s="188" t="s">
        <v>7283</v>
      </c>
      <c r="F51" s="189"/>
      <c r="G51" s="187" t="s">
        <v>8313</v>
      </c>
      <c r="H51" s="204"/>
      <c r="I51" s="204"/>
      <c r="J51" s="196" t="s">
        <v>6469</v>
      </c>
      <c r="K51" s="196"/>
      <c r="L51" s="192" t="str">
        <f>IFERROR(__xludf.DUMMYFUNCTION("IF(
  AND(D51=""Saída"", J51=""Sangria""),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198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94">
        <f>IFERROR(__xludf.DUMMYFUNCTION("ifna(VALUE(REGEXEXTRACT(E51,""[0-9.]+[,]+[0-9]+"")))"),71.0)</f>
        <v>71</v>
      </c>
      <c r="O51" s="58"/>
      <c r="P51" s="59"/>
      <c r="Q51" s="59"/>
      <c r="R51" s="59"/>
      <c r="S51" s="61"/>
      <c r="T51" s="59"/>
      <c r="U51" s="59"/>
      <c r="V51" s="59"/>
      <c r="W51" s="60"/>
    </row>
    <row r="52" ht="14.25" customHeight="1">
      <c r="A52" s="186"/>
      <c r="B52" s="13">
        <v>2035014.0</v>
      </c>
      <c r="C52" s="14">
        <v>46083.831782407404</v>
      </c>
      <c r="D52" s="187" t="s">
        <v>97</v>
      </c>
      <c r="E52" s="188" t="s">
        <v>473</v>
      </c>
      <c r="F52" s="200"/>
      <c r="G52" s="187" t="s">
        <v>8315</v>
      </c>
      <c r="H52" s="204"/>
      <c r="I52" s="204"/>
      <c r="J52" s="196" t="s">
        <v>6469</v>
      </c>
      <c r="K52" s="196"/>
      <c r="L52" s="192" t="str">
        <f>IFERROR(__xludf.DUMMYFUNCTION("IF(
  AND(D52=""Saída"", J52=""Sangria""),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197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94">
        <f>IFERROR(__xludf.DUMMYFUNCTION("ifna(VALUE(REGEXEXTRACT(E52,""[0-9.]+[,]+[0-9]+"")))"),84.0)</f>
        <v>84</v>
      </c>
      <c r="O52" s="58"/>
      <c r="P52" s="59"/>
      <c r="Q52" s="59"/>
      <c r="R52" s="59"/>
      <c r="S52" s="61"/>
      <c r="T52" s="59"/>
      <c r="U52" s="59"/>
      <c r="V52" s="59"/>
      <c r="W52" s="60"/>
    </row>
    <row r="53" ht="14.25" customHeight="1">
      <c r="A53" s="186"/>
      <c r="B53" s="13">
        <v>2036552.0</v>
      </c>
      <c r="C53" s="14">
        <v>46084.709710648145</v>
      </c>
      <c r="D53" s="187" t="s">
        <v>97</v>
      </c>
      <c r="E53" s="188" t="s">
        <v>7689</v>
      </c>
      <c r="F53" s="189"/>
      <c r="G53" s="187" t="s">
        <v>8316</v>
      </c>
      <c r="H53" s="204"/>
      <c r="I53" s="204"/>
      <c r="J53" s="196" t="s">
        <v>6469</v>
      </c>
      <c r="K53" s="196"/>
      <c r="L53" s="192" t="str">
        <f>IFERROR(__xludf.DUMMYFUNCTION("IF(
  AND(D53=""Saída"", J53=""Sangria""),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198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94">
        <f>IFERROR(__xludf.DUMMYFUNCTION("ifna(VALUE(REGEXEXTRACT(E53,""[0-9.]+[,]+[0-9]+"")))"),52.0)</f>
        <v>52</v>
      </c>
      <c r="O53" s="58"/>
      <c r="P53" s="59"/>
      <c r="Q53" s="59"/>
      <c r="R53" s="59"/>
      <c r="S53" s="61"/>
      <c r="T53" s="59"/>
      <c r="U53" s="59"/>
      <c r="V53" s="59"/>
      <c r="W53" s="60"/>
    </row>
    <row r="54" ht="14.25" customHeight="1">
      <c r="A54" s="186"/>
      <c r="B54" s="13">
        <v>2036823.0</v>
      </c>
      <c r="C54" s="14">
        <v>46084.7684375</v>
      </c>
      <c r="D54" s="187" t="s">
        <v>97</v>
      </c>
      <c r="E54" s="188" t="s">
        <v>650</v>
      </c>
      <c r="F54" s="189"/>
      <c r="G54" s="187" t="s">
        <v>8317</v>
      </c>
      <c r="H54" s="204"/>
      <c r="I54" s="204"/>
      <c r="J54" s="196" t="s">
        <v>6469</v>
      </c>
      <c r="K54" s="196"/>
      <c r="L54" s="192" t="str">
        <f>IFERROR(__xludf.DUMMYFUNCTION("IF(
  AND(D54=""Saída"", J54=""Sangria""),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197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94">
        <f>IFERROR(__xludf.DUMMYFUNCTION("ifna(VALUE(REGEXEXTRACT(E54,""[0-9.]+[,]+[0-9]+"")))"),78.0)</f>
        <v>78</v>
      </c>
      <c r="O54" s="58"/>
      <c r="P54" s="59"/>
      <c r="Q54" s="59"/>
      <c r="R54" s="59"/>
      <c r="S54" s="61"/>
      <c r="T54" s="59"/>
      <c r="U54" s="59"/>
      <c r="V54" s="59"/>
      <c r="W54" s="60"/>
    </row>
    <row r="55" ht="14.25" customHeight="1">
      <c r="A55" s="186"/>
      <c r="B55" s="13">
        <v>2038481.0</v>
      </c>
      <c r="C55" s="14">
        <v>46085.707974537036</v>
      </c>
      <c r="D55" s="187" t="s">
        <v>97</v>
      </c>
      <c r="E55" s="188" t="s">
        <v>7689</v>
      </c>
      <c r="F55" s="189"/>
      <c r="G55" s="187" t="s">
        <v>8320</v>
      </c>
      <c r="H55" s="204"/>
      <c r="I55" s="204"/>
      <c r="J55" s="196" t="s">
        <v>6469</v>
      </c>
      <c r="K55" s="196"/>
      <c r="L55" s="192" t="str">
        <f>IFERROR(__xludf.DUMMYFUNCTION("IF(
  AND(D55=""Saída"", J55=""Sangria""),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01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94">
        <f>IFERROR(__xludf.DUMMYFUNCTION("ifna(VALUE(REGEXEXTRACT(E55,""[0-9.]+[,]+[0-9]+"")))"),52.0)</f>
        <v>52</v>
      </c>
      <c r="O55" s="58"/>
      <c r="P55" s="85"/>
      <c r="Q55" s="85"/>
      <c r="R55" s="85"/>
      <c r="S55" s="87"/>
      <c r="T55" s="85"/>
      <c r="U55" s="85"/>
      <c r="V55" s="85"/>
      <c r="W55" s="86"/>
    </row>
    <row r="56" ht="14.25" customHeight="1">
      <c r="A56" s="186"/>
      <c r="B56" s="13">
        <v>2038759.0</v>
      </c>
      <c r="C56" s="14">
        <v>46085.773668981485</v>
      </c>
      <c r="D56" s="187" t="s">
        <v>97</v>
      </c>
      <c r="E56" s="188" t="s">
        <v>650</v>
      </c>
      <c r="F56" s="189"/>
      <c r="G56" s="187" t="s">
        <v>8323</v>
      </c>
      <c r="H56" s="204"/>
      <c r="I56" s="204"/>
      <c r="J56" s="196" t="s">
        <v>6469</v>
      </c>
      <c r="K56" s="196"/>
      <c r="L56" s="192" t="str">
        <f>IFERROR(__xludf.DUMMYFUNCTION("IF(
  AND(D56=""Saída"", J56=""Sangria""),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197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94">
        <f>IFERROR(__xludf.DUMMYFUNCTION("ifna(VALUE(REGEXEXTRACT(E56,""[0-9.]+[,]+[0-9]+"")))"),78.0)</f>
        <v>78</v>
      </c>
      <c r="O56" s="94"/>
      <c r="P56" s="95"/>
      <c r="Q56" s="95"/>
      <c r="R56" s="95"/>
      <c r="S56" s="97"/>
      <c r="T56" s="95"/>
      <c r="U56" s="95"/>
      <c r="V56" s="95"/>
      <c r="W56" s="96"/>
    </row>
    <row r="57" ht="17.25" customHeight="1">
      <c r="A57" s="186"/>
      <c r="B57" s="13">
        <v>2038796.0</v>
      </c>
      <c r="C57" s="14">
        <v>46085.786157407405</v>
      </c>
      <c r="D57" s="187" t="s">
        <v>97</v>
      </c>
      <c r="E57" s="188" t="s">
        <v>1393</v>
      </c>
      <c r="F57" s="189"/>
      <c r="G57" s="187" t="s">
        <v>8324</v>
      </c>
      <c r="H57" s="204"/>
      <c r="I57" s="204"/>
      <c r="J57" s="196" t="s">
        <v>6446</v>
      </c>
      <c r="K57" s="196"/>
      <c r="L57" s="192" t="str">
        <f>IFERROR(__xludf.DUMMYFUNCTION("IF(
  AND(D57=""Saída"", J57=""Sangria""),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198" t="str">
        <f>IFERROR(__xludf.DUMMYFUNCTION("IF(J57=""Compra de Mercadorias"",
   IF(
      COUNTIF(ARRAYFORMULA(TRIM(CLEAN(TO_TEXT(Notas!BS:BS)))), TRIM(CLEAN(TO_TEXT(B57)))) &gt; 0,
      ""Encontrada"",
      ""Não Encontrada""
   ),
"""")"),"Encontrada")</f>
        <v>Encontrada</v>
      </c>
      <c r="N57" s="194">
        <f>IFERROR(__xludf.DUMMYFUNCTION("ifna(VALUE(REGEXEXTRACT(E57,""[0-9.]+[,]+[0-9]+"")))"),125.0)</f>
        <v>125</v>
      </c>
      <c r="O57" s="94"/>
      <c r="P57" s="95"/>
      <c r="Q57" s="95"/>
      <c r="R57" s="95"/>
      <c r="S57" s="97"/>
      <c r="T57" s="95"/>
      <c r="U57" s="95"/>
      <c r="V57" s="95"/>
      <c r="W57" s="96"/>
    </row>
    <row r="58" ht="14.25" customHeight="1">
      <c r="A58" s="186"/>
      <c r="B58" s="13">
        <v>2038811.0</v>
      </c>
      <c r="C58" s="14">
        <v>46085.78952546296</v>
      </c>
      <c r="D58" s="187" t="s">
        <v>97</v>
      </c>
      <c r="E58" s="188" t="s">
        <v>8325</v>
      </c>
      <c r="F58" s="189"/>
      <c r="G58" s="187" t="s">
        <v>8326</v>
      </c>
      <c r="H58" s="204"/>
      <c r="I58" s="204"/>
      <c r="J58" s="196" t="s">
        <v>6446</v>
      </c>
      <c r="K58" s="196"/>
      <c r="L58" s="192" t="str">
        <f>IFERROR(__xludf.DUMMYFUNCTION("IF(
  AND(D58=""Saída"", J58=""Sangria""),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197" t="str">
        <f>IFERROR(__xludf.DUMMYFUNCTION("IF(J58=""Compra de Mercadorias"",
   IF(
      COUNTIF(ARRAYFORMULA(TRIM(CLEAN(TO_TEXT(Notas!BS:BS)))), TRIM(CLEAN(TO_TEXT(B58)))) &gt; 0,
      ""Encontrada"",
      ""Não Encontrada""
   ),
"""")"),"Encontrada")</f>
        <v>Encontrada</v>
      </c>
      <c r="N58" s="194">
        <f>IFERROR(__xludf.DUMMYFUNCTION("ifna(VALUE(REGEXEXTRACT(E58,""[0-9.]+[,]+[0-9]+"")))"),4.6)</f>
        <v>4.6</v>
      </c>
      <c r="O58" s="94"/>
      <c r="P58" s="95"/>
      <c r="Q58" s="95"/>
      <c r="R58" s="95"/>
      <c r="S58" s="97"/>
      <c r="T58" s="95"/>
      <c r="U58" s="95"/>
      <c r="V58" s="95"/>
      <c r="W58" s="96"/>
    </row>
    <row r="59" ht="14.25" customHeight="1">
      <c r="A59" s="186"/>
      <c r="B59" s="13">
        <v>2038818.0</v>
      </c>
      <c r="C59" s="14">
        <v>46085.79244212963</v>
      </c>
      <c r="D59" s="187" t="s">
        <v>97</v>
      </c>
      <c r="E59" s="188" t="s">
        <v>8328</v>
      </c>
      <c r="F59" s="189"/>
      <c r="G59" s="187" t="s">
        <v>8329</v>
      </c>
      <c r="H59" s="204"/>
      <c r="I59" s="204"/>
      <c r="J59" s="196" t="s">
        <v>6446</v>
      </c>
      <c r="K59" s="196"/>
      <c r="L59" s="192" t="str">
        <f>IFERROR(__xludf.DUMMYFUNCTION("IF(
  AND(D59=""Saída"", J59=""Sangria""),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198" t="str">
        <f>IFERROR(__xludf.DUMMYFUNCTION("IF(J59=""Compra de Mercadorias"",
   IF(
      COUNTIF(ARRAYFORMULA(TRIM(CLEAN(TO_TEXT(Notas!BS:BS)))), TRIM(CLEAN(TO_TEXT(B59)))) &gt; 0,
      ""Encontrada"",
      ""Não Encontrada""
   ),
"""")"),"Encontrada")</f>
        <v>Encontrada</v>
      </c>
      <c r="N59" s="194">
        <f>IFERROR(__xludf.DUMMYFUNCTION("ifna(VALUE(REGEXEXTRACT(E59,""[0-9.]+[,]+[0-9]+"")))"),56.48)</f>
        <v>56.48</v>
      </c>
      <c r="O59" s="94"/>
      <c r="P59" s="95"/>
      <c r="Q59" s="95"/>
      <c r="R59" s="95"/>
      <c r="S59" s="97"/>
      <c r="T59" s="95"/>
      <c r="U59" s="95"/>
      <c r="V59" s="95"/>
      <c r="W59" s="96"/>
    </row>
    <row r="60" ht="14.25" customHeight="1">
      <c r="A60" s="186"/>
      <c r="B60" s="13">
        <v>2038822.0</v>
      </c>
      <c r="C60" s="14">
        <v>46085.79311342593</v>
      </c>
      <c r="D60" s="187" t="s">
        <v>97</v>
      </c>
      <c r="E60" s="188" t="s">
        <v>6549</v>
      </c>
      <c r="F60" s="189"/>
      <c r="G60" s="187" t="s">
        <v>8330</v>
      </c>
      <c r="H60" s="204"/>
      <c r="I60" s="204"/>
      <c r="J60" s="196" t="s">
        <v>6446</v>
      </c>
      <c r="K60" s="196"/>
      <c r="L60" s="192" t="str">
        <f>IFERROR(__xludf.DUMMYFUNCTION("IF(
  AND(D60=""Saída"", J60=""Sangria""),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197" t="str">
        <f>IFERROR(__xludf.DUMMYFUNCTION("IF(J60=""Compra de Mercadorias"",
   IF(
      COUNTIF(ARRAYFORMULA(TRIM(CLEAN(TO_TEXT(Notas!BS:BS)))), TRIM(CLEAN(TO_TEXT(B60)))) &gt; 0,
      ""Encontrada"",
      ""Não Encontrada""
   ),
"""")"),"Encontrada")</f>
        <v>Encontrada</v>
      </c>
      <c r="N60" s="194">
        <f>IFERROR(__xludf.DUMMYFUNCTION("ifna(VALUE(REGEXEXTRACT(E60,""[0-9.]+[,]+[0-9]+"")))"),12.0)</f>
        <v>12</v>
      </c>
      <c r="O60" s="207"/>
      <c r="P60" s="208"/>
      <c r="Q60" s="209"/>
      <c r="R60" s="210"/>
      <c r="S60" s="97"/>
      <c r="T60" s="95"/>
      <c r="U60" s="95"/>
      <c r="V60" s="95"/>
      <c r="W60" s="96"/>
    </row>
    <row r="61" ht="14.25" customHeight="1">
      <c r="A61" s="186"/>
      <c r="B61" s="13">
        <v>2039097.0</v>
      </c>
      <c r="C61" s="14">
        <v>46085.89158564815</v>
      </c>
      <c r="D61" s="187" t="s">
        <v>97</v>
      </c>
      <c r="E61" s="188" t="s">
        <v>8331</v>
      </c>
      <c r="F61" s="200"/>
      <c r="G61" s="187" t="s">
        <v>124</v>
      </c>
      <c r="H61" s="204"/>
      <c r="I61" s="204"/>
      <c r="J61" s="196" t="s">
        <v>6080</v>
      </c>
      <c r="K61" s="196" t="s">
        <v>6111</v>
      </c>
      <c r="L61" s="192" t="str">
        <f>IFERROR(__xludf.DUMMYFUNCTION("IF(
  AND(D61=""Saída"", J61=""Sangria""),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198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94">
        <f>IFERROR(__xludf.DUMMYFUNCTION("ifna(VALUE(REGEXEXTRACT(E61,""[0-9.]+[,]+[0-9]+"")))"),57.55)</f>
        <v>57.55</v>
      </c>
      <c r="O61" s="94"/>
      <c r="P61" s="95"/>
      <c r="Q61" s="95"/>
      <c r="R61" s="95"/>
      <c r="S61" s="97"/>
      <c r="T61" s="95"/>
      <c r="U61" s="95"/>
      <c r="V61" s="95"/>
      <c r="W61" s="96"/>
    </row>
    <row r="62" ht="14.25" customHeight="1">
      <c r="A62" s="186"/>
      <c r="B62" s="13">
        <v>2040339.0</v>
      </c>
      <c r="C62" s="14">
        <v>46086.70858796296</v>
      </c>
      <c r="D62" s="187" t="s">
        <v>97</v>
      </c>
      <c r="E62" s="188" t="s">
        <v>8333</v>
      </c>
      <c r="F62" s="189"/>
      <c r="G62" s="187" t="s">
        <v>8334</v>
      </c>
      <c r="H62" s="204"/>
      <c r="I62" s="204"/>
      <c r="J62" s="196" t="s">
        <v>6446</v>
      </c>
      <c r="K62" s="196"/>
      <c r="L62" s="192" t="str">
        <f>IFERROR(__xludf.DUMMYFUNCTION("IF(
  AND(D62=""Saída"", J62=""Sangria""),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197" t="str">
        <f>IFERROR(__xludf.DUMMYFUNCTION("IF(J62=""Compra de Mercadorias"",
   IF(
      COUNTIF(ARRAYFORMULA(TRIM(CLEAN(TO_TEXT(Notas!BS:BS)))), TRIM(CLEAN(TO_TEXT(B62)))) &gt; 0,
      ""Encontrada"",
      ""Não Encontrada""
   ),
"""")"),"Encontrada")</f>
        <v>Encontrada</v>
      </c>
      <c r="N62" s="194">
        <f>IFERROR(__xludf.DUMMYFUNCTION("ifna(VALUE(REGEXEXTRACT(E62,""[0-9.]+[,]+[0-9]+"")))"),188.6)</f>
        <v>188.6</v>
      </c>
      <c r="O62" s="94"/>
      <c r="P62" s="95"/>
      <c r="Q62" s="95"/>
      <c r="R62" s="95"/>
      <c r="S62" s="97"/>
      <c r="T62" s="95"/>
      <c r="U62" s="95"/>
      <c r="V62" s="95"/>
      <c r="W62" s="96"/>
    </row>
    <row r="63" ht="14.25" customHeight="1">
      <c r="A63" s="186"/>
      <c r="B63" s="13">
        <v>2040368.0</v>
      </c>
      <c r="C63" s="14">
        <v>46086.71394675926</v>
      </c>
      <c r="D63" s="187" t="s">
        <v>97</v>
      </c>
      <c r="E63" s="188" t="s">
        <v>6490</v>
      </c>
      <c r="F63" s="189"/>
      <c r="G63" s="187" t="s">
        <v>8335</v>
      </c>
      <c r="H63" s="204"/>
      <c r="I63" s="204"/>
      <c r="J63" s="196" t="s">
        <v>6446</v>
      </c>
      <c r="K63" s="196"/>
      <c r="L63" s="192" t="str">
        <f>IFERROR(__xludf.DUMMYFUNCTION("IF(
  AND(D63=""Saída"", J63=""Sangria""),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198" t="str">
        <f>IFERROR(__xludf.DUMMYFUNCTION("IF(J63=""Compra de Mercadorias"",
   IF(
      COUNTIF(ARRAYFORMULA(TRIM(CLEAN(TO_TEXT(Notas!BS:BS)))), TRIM(CLEAN(TO_TEXT(B63)))) &gt; 0,
      ""Encontrada"",
      ""Não Encontrada""
   ),
"""")"),"Encontrada")</f>
        <v>Encontrada</v>
      </c>
      <c r="N63" s="194">
        <f>IFERROR(__xludf.DUMMYFUNCTION("ifna(VALUE(REGEXEXTRACT(E63,""[0-9.]+[,]+[0-9]+"")))"),500.0)</f>
        <v>500</v>
      </c>
      <c r="O63" s="114"/>
      <c r="P63" s="115"/>
      <c r="Q63" s="115"/>
      <c r="R63" s="115"/>
      <c r="S63" s="116"/>
      <c r="T63" s="115"/>
      <c r="U63" s="115"/>
      <c r="V63" s="115"/>
      <c r="W63" s="117"/>
    </row>
    <row r="64" ht="35.25" customHeight="1">
      <c r="A64" s="186"/>
      <c r="B64" s="13">
        <v>2040667.0</v>
      </c>
      <c r="C64" s="14">
        <v>46086.78701388889</v>
      </c>
      <c r="D64" s="187" t="s">
        <v>97</v>
      </c>
      <c r="E64" s="188" t="s">
        <v>7681</v>
      </c>
      <c r="F64" s="189"/>
      <c r="G64" s="187" t="s">
        <v>8338</v>
      </c>
      <c r="H64" s="204"/>
      <c r="I64" s="204"/>
      <c r="J64" s="196" t="s">
        <v>6469</v>
      </c>
      <c r="K64" s="196"/>
      <c r="L64" s="192" t="str">
        <f>IFERROR(__xludf.DUMMYFUNCTION("IF(
  AND(D64=""Saída"", J64=""Sangria""),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197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94">
        <f>IFERROR(__xludf.DUMMYFUNCTION("ifna(VALUE(REGEXEXTRACT(E64,""[0-9.]+[,]+[0-9]+"")))"),71.5)</f>
        <v>71.5</v>
      </c>
      <c r="S64" s="31"/>
    </row>
    <row r="65" ht="14.25" customHeight="1">
      <c r="A65" s="186"/>
      <c r="B65" s="13">
        <v>2040671.0</v>
      </c>
      <c r="C65" s="14">
        <v>46086.78789351852</v>
      </c>
      <c r="D65" s="187" t="s">
        <v>97</v>
      </c>
      <c r="E65" s="188" t="s">
        <v>6547</v>
      </c>
      <c r="F65" s="200"/>
      <c r="G65" s="187" t="s">
        <v>8339</v>
      </c>
      <c r="H65" s="204"/>
      <c r="I65" s="204"/>
      <c r="J65" s="196" t="s">
        <v>6469</v>
      </c>
      <c r="K65" s="196"/>
      <c r="L65" s="192" t="str">
        <f>IFERROR(__xludf.DUMMYFUNCTION("IF(
  AND(D65=""Saída"", J65=""Sangria""),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198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94">
        <f>IFERROR(__xludf.DUMMYFUNCTION("ifna(VALUE(REGEXEXTRACT(E65,""[0-9.]+[,]+[0-9]+"")))"),117.0)</f>
        <v>117</v>
      </c>
      <c r="S65" s="31"/>
    </row>
    <row r="66" ht="14.25" customHeight="1">
      <c r="A66" s="186"/>
      <c r="B66" s="13">
        <v>2040775.0</v>
      </c>
      <c r="C66" s="14">
        <v>46086.82493055556</v>
      </c>
      <c r="D66" s="187" t="s">
        <v>97</v>
      </c>
      <c r="E66" s="188" t="s">
        <v>6729</v>
      </c>
      <c r="F66" s="189"/>
      <c r="G66" s="187" t="s">
        <v>124</v>
      </c>
      <c r="H66" s="204"/>
      <c r="I66" s="204"/>
      <c r="J66" s="196" t="s">
        <v>6080</v>
      </c>
      <c r="K66" s="196" t="s">
        <v>6111</v>
      </c>
      <c r="L66" s="192" t="str">
        <f>IFERROR(__xludf.DUMMYFUNCTION("IF(
  AND(D66=""Saída"", J66=""Sangria""),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197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94">
        <f>IFERROR(__xludf.DUMMYFUNCTION("ifna(VALUE(REGEXEXTRACT(E66,""[0-9.]+[,]+[0-9]+"")))"),21.0)</f>
        <v>21</v>
      </c>
      <c r="S66" s="31"/>
    </row>
    <row r="67" ht="14.25" customHeight="1">
      <c r="A67" s="186"/>
      <c r="B67" s="13">
        <v>2042606.0</v>
      </c>
      <c r="C67" s="14">
        <v>46087.74082175926</v>
      </c>
      <c r="D67" s="187" t="s">
        <v>97</v>
      </c>
      <c r="E67" s="188" t="s">
        <v>6475</v>
      </c>
      <c r="F67" s="189"/>
      <c r="G67" s="187" t="s">
        <v>6603</v>
      </c>
      <c r="H67" s="204"/>
      <c r="I67" s="204"/>
      <c r="J67" s="196" t="s">
        <v>6446</v>
      </c>
      <c r="K67" s="196"/>
      <c r="L67" s="192" t="str">
        <f>IFERROR(__xludf.DUMMYFUNCTION("IF(
  AND(D67=""Saída"", J67=""Sangria""),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198" t="str">
        <f>IFERROR(__xludf.DUMMYFUNCTION("IF(J67=""Compra de Mercadorias"",
   IF(
      COUNTIF(ARRAYFORMULA(TRIM(CLEAN(TO_TEXT(Notas!BS:BS)))), TRIM(CLEAN(TO_TEXT(B67)))) &gt; 0,
      ""Encontrada"",
      ""Não Encontrada""
   ),
"""")"),"Encontrada")</f>
        <v>Encontrada</v>
      </c>
      <c r="N67" s="194">
        <f>IFERROR(__xludf.DUMMYFUNCTION("ifna(VALUE(REGEXEXTRACT(E67,""[0-9.]+[,]+[0-9]+"")))"),250.0)</f>
        <v>250</v>
      </c>
      <c r="S67" s="31"/>
    </row>
    <row r="68">
      <c r="A68" s="186"/>
      <c r="B68" s="13">
        <v>2042616.0</v>
      </c>
      <c r="C68" s="14">
        <v>46087.74306712963</v>
      </c>
      <c r="D68" s="187" t="s">
        <v>97</v>
      </c>
      <c r="E68" s="188" t="s">
        <v>8341</v>
      </c>
      <c r="F68" s="189"/>
      <c r="G68" s="187" t="s">
        <v>8342</v>
      </c>
      <c r="H68" s="204"/>
      <c r="I68" s="204"/>
      <c r="J68" s="196" t="s">
        <v>6446</v>
      </c>
      <c r="K68" s="196"/>
      <c r="L68" s="192" t="str">
        <f>IFERROR(__xludf.DUMMYFUNCTION("IF(
  AND(D68=""Saída"", J68=""Sangria""),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197" t="str">
        <f>IFERROR(__xludf.DUMMYFUNCTION("IF(J68=""Compra de Mercadorias"",
   IF(
      COUNTIF(ARRAYFORMULA(TRIM(CLEAN(TO_TEXT(Notas!BS:BS)))), TRIM(CLEAN(TO_TEXT(B68)))) &gt; 0,
      ""Encontrada"",
      ""Não Encontrada""
   ),
"""")"),"Encontrada")</f>
        <v>Encontrada</v>
      </c>
      <c r="N68" s="194">
        <f>IFERROR(__xludf.DUMMYFUNCTION("ifna(VALUE(REGEXEXTRACT(E68,""[0-9.]+[,]+[0-9]+"")))"),197.34)</f>
        <v>197.34</v>
      </c>
      <c r="O68" s="205" t="str">
        <f>B10</f>
        <v/>
      </c>
      <c r="P68" s="112"/>
      <c r="Q68" s="112"/>
      <c r="R68" s="112"/>
      <c r="S68" s="128"/>
      <c r="T68" s="129" t="str">
        <f>B11</f>
        <v/>
      </c>
      <c r="U68" s="112"/>
      <c r="V68" s="112"/>
      <c r="W68" s="130"/>
    </row>
    <row r="69" ht="14.25" customHeight="1">
      <c r="A69" s="186"/>
      <c r="B69" s="13">
        <v>2042778.0</v>
      </c>
      <c r="C69" s="14">
        <v>46087.775972222225</v>
      </c>
      <c r="D69" s="187" t="s">
        <v>97</v>
      </c>
      <c r="E69" s="188" t="s">
        <v>650</v>
      </c>
      <c r="F69" s="189"/>
      <c r="G69" s="187" t="s">
        <v>8343</v>
      </c>
      <c r="H69" s="204"/>
      <c r="I69" s="204"/>
      <c r="J69" s="196" t="s">
        <v>6469</v>
      </c>
      <c r="K69" s="196"/>
      <c r="L69" s="192" t="str">
        <f>IFERROR(__xludf.DUMMYFUNCTION("IF(
  AND(D69=""Saída"", J69=""Sangria""),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198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94">
        <f>IFERROR(__xludf.DUMMYFUNCTION("ifna(VALUE(REGEXEXTRACT(E69,""[0-9.]+[,]+[0-9]+"")))"),78.0)</f>
        <v>78</v>
      </c>
      <c r="O69" s="52" t="str">
        <f>IFERROR(__xludf.DUMMYFUNCTION("query(C28:L507,""select Col1,Col3,Col8,Col9 where (Col8 = 'Adiantamento' or Col8 = 'Consumo') and Col9 = '""&amp;B10&amp;""'"",1)"),"Data")</f>
        <v>Data</v>
      </c>
      <c r="P69" s="53" t="str">
        <f>IFERROR(__xludf.DUMMYFUNCTION("""COMPUTED_VALUE"""),"Valor ")</f>
        <v>Valor </v>
      </c>
      <c r="Q69" s="53" t="str">
        <f>IFERROR(__xludf.DUMMYFUNCTION("""COMPUTED_VALUE"""),"Tipo")</f>
        <v>Tipo</v>
      </c>
      <c r="R69" s="53" t="str">
        <f>IFERROR(__xludf.DUMMYFUNCTION("""COMPUTED_VALUE"""),"Funcionário")</f>
        <v>Funcionário</v>
      </c>
      <c r="S69" s="55"/>
      <c r="T69" s="56" t="str">
        <f>IFERROR(__xludf.DUMMYFUNCTION("query(C28:L507,""select Col1,Col3,Col8,Col9 where (Col8 = 'Adiantamento' or Col8 = 'Consumo') and Col9 = '""&amp;B11&amp;""'"",1)"),"Data")</f>
        <v>Data</v>
      </c>
      <c r="U69" s="56" t="str">
        <f>IFERROR(__xludf.DUMMYFUNCTION("""COMPUTED_VALUE"""),"Valor ")</f>
        <v>Valor </v>
      </c>
      <c r="V69" s="56" t="str">
        <f>IFERROR(__xludf.DUMMYFUNCTION("""COMPUTED_VALUE"""),"Tipo")</f>
        <v>Tipo</v>
      </c>
      <c r="W69" s="57" t="str">
        <f>IFERROR(__xludf.DUMMYFUNCTION("""COMPUTED_VALUE"""),"Funcionário")</f>
        <v>Funcionário</v>
      </c>
    </row>
    <row r="70" ht="14.25" customHeight="1">
      <c r="A70" s="186"/>
      <c r="B70" s="13">
        <v>2042796.0</v>
      </c>
      <c r="C70" s="14">
        <v>46087.779490740744</v>
      </c>
      <c r="D70" s="187" t="s">
        <v>97</v>
      </c>
      <c r="E70" s="188" t="s">
        <v>7829</v>
      </c>
      <c r="F70" s="189"/>
      <c r="G70" s="187" t="s">
        <v>8345</v>
      </c>
      <c r="H70" s="204"/>
      <c r="I70" s="204"/>
      <c r="J70" s="196" t="s">
        <v>6469</v>
      </c>
      <c r="K70" s="196"/>
      <c r="L70" s="192" t="str">
        <f>IFERROR(__xludf.DUMMYFUNCTION("IF(
  AND(D70=""Saída"", J70=""Sangria""),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197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94">
        <f>IFERROR(__xludf.DUMMYFUNCTION("ifna(VALUE(REGEXEXTRACT(E70,""[0-9.]+[,]+[0-9]+"")))"),72.0)</f>
        <v>72</v>
      </c>
      <c r="O70" s="58"/>
      <c r="P70" s="59"/>
      <c r="Q70" s="59"/>
      <c r="R70" s="59"/>
      <c r="S70" s="61"/>
      <c r="T70" s="59"/>
      <c r="U70" s="59"/>
      <c r="V70" s="59"/>
      <c r="W70" s="60"/>
    </row>
    <row r="71" ht="14.25" customHeight="1">
      <c r="A71" s="186"/>
      <c r="B71" s="13">
        <v>2045198.0</v>
      </c>
      <c r="C71" s="14">
        <v>46088.83023148148</v>
      </c>
      <c r="D71" s="187" t="s">
        <v>97</v>
      </c>
      <c r="E71" s="188" t="s">
        <v>8346</v>
      </c>
      <c r="F71" s="189"/>
      <c r="G71" s="187" t="s">
        <v>282</v>
      </c>
      <c r="H71" s="204"/>
      <c r="I71" s="204"/>
      <c r="J71" s="196" t="s">
        <v>6080</v>
      </c>
      <c r="K71" s="196" t="s">
        <v>6111</v>
      </c>
      <c r="L71" s="192" t="str">
        <f>IFERROR(__xludf.DUMMYFUNCTION("IF(
  AND(D71=""Saída"", J71=""Sangria""),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198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94">
        <f>IFERROR(__xludf.DUMMYFUNCTION("ifna(VALUE(REGEXEXTRACT(E71,""[0-9.]+[,]+[0-9]+"")))"),39.75)</f>
        <v>39.75</v>
      </c>
      <c r="O71" s="58"/>
      <c r="P71" s="59"/>
      <c r="Q71" s="59"/>
      <c r="R71" s="59"/>
      <c r="S71" s="61"/>
      <c r="T71" s="59"/>
      <c r="U71" s="59"/>
      <c r="V71" s="59"/>
      <c r="W71" s="60"/>
    </row>
    <row r="72" ht="14.25" customHeight="1">
      <c r="A72" s="186"/>
      <c r="B72" s="13">
        <v>2045507.0</v>
      </c>
      <c r="C72" s="14">
        <v>46088.887557870374</v>
      </c>
      <c r="D72" s="187" t="s">
        <v>97</v>
      </c>
      <c r="E72" s="188" t="s">
        <v>8347</v>
      </c>
      <c r="F72" s="189"/>
      <c r="G72" s="187" t="s">
        <v>8348</v>
      </c>
      <c r="H72" s="204"/>
      <c r="I72" s="204"/>
      <c r="J72" s="196" t="s">
        <v>6469</v>
      </c>
      <c r="K72" s="196"/>
      <c r="L72" s="192" t="str">
        <f>IFERROR(__xludf.DUMMYFUNCTION("IF(
  AND(D72=""Saída"", J72=""Sangria""),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197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94">
        <f>IFERROR(__xludf.DUMMYFUNCTION("ifna(VALUE(REGEXEXTRACT(E72,""[0-9.]+[,]+[0-9]+"")))"),40.0)</f>
        <v>40</v>
      </c>
      <c r="O72" s="58"/>
      <c r="P72" s="59"/>
      <c r="Q72" s="59"/>
      <c r="R72" s="59"/>
      <c r="S72" s="61"/>
      <c r="T72" s="59"/>
      <c r="U72" s="59"/>
      <c r="V72" s="59"/>
      <c r="W72" s="60"/>
    </row>
    <row r="73" ht="14.25" customHeight="1">
      <c r="A73" s="186"/>
      <c r="B73" s="13">
        <v>2045514.0</v>
      </c>
      <c r="C73" s="14">
        <v>46088.88826388889</v>
      </c>
      <c r="D73" s="187" t="s">
        <v>97</v>
      </c>
      <c r="E73" s="188" t="s">
        <v>6466</v>
      </c>
      <c r="F73" s="189"/>
      <c r="G73" s="187" t="s">
        <v>8350</v>
      </c>
      <c r="H73" s="204"/>
      <c r="I73" s="204"/>
      <c r="J73" s="196" t="s">
        <v>6469</v>
      </c>
      <c r="K73" s="196"/>
      <c r="L73" s="192" t="str">
        <f>IFERROR(__xludf.DUMMYFUNCTION("IF(
  AND(D73=""Saída"", J73=""Sangria""),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198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94">
        <f>IFERROR(__xludf.DUMMYFUNCTION("ifna(VALUE(REGEXEXTRACT(E73,""[0-9.]+[,]+[0-9]+"")))"),91.0)</f>
        <v>91</v>
      </c>
      <c r="O73" s="58"/>
      <c r="P73" s="59"/>
      <c r="Q73" s="59"/>
      <c r="R73" s="59"/>
      <c r="S73" s="61"/>
      <c r="T73" s="59"/>
      <c r="U73" s="59"/>
      <c r="V73" s="59"/>
      <c r="W73" s="60"/>
    </row>
    <row r="74" ht="17.25" customHeight="1">
      <c r="A74" s="186"/>
      <c r="B74" s="13">
        <v>2045521.0</v>
      </c>
      <c r="C74" s="14">
        <v>46088.88884259259</v>
      </c>
      <c r="D74" s="187" t="s">
        <v>97</v>
      </c>
      <c r="E74" s="188" t="s">
        <v>6561</v>
      </c>
      <c r="F74" s="189"/>
      <c r="G74" s="187" t="s">
        <v>7305</v>
      </c>
      <c r="H74" s="204"/>
      <c r="I74" s="204"/>
      <c r="J74" s="196" t="s">
        <v>6469</v>
      </c>
      <c r="K74" s="196"/>
      <c r="L74" s="192" t="str">
        <f>IFERROR(__xludf.DUMMYFUNCTION("IF(
  AND(D74=""Saída"", J74=""Sangria""),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197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94">
        <f>IFERROR(__xludf.DUMMYFUNCTION("ifna(VALUE(REGEXEXTRACT(E74,""[0-9.]+[,]+[0-9]+"")))"),123.0)</f>
        <v>123</v>
      </c>
      <c r="O74" s="58"/>
      <c r="P74" s="59"/>
      <c r="Q74" s="59"/>
      <c r="R74" s="59"/>
      <c r="S74" s="61"/>
      <c r="T74" s="59"/>
      <c r="U74" s="59"/>
      <c r="V74" s="59"/>
      <c r="W74" s="60"/>
    </row>
    <row r="75">
      <c r="A75" s="186"/>
      <c r="B75" s="13">
        <v>2045543.0</v>
      </c>
      <c r="C75" s="14">
        <v>46088.89173611111</v>
      </c>
      <c r="D75" s="187" t="s">
        <v>97</v>
      </c>
      <c r="E75" s="188" t="s">
        <v>6764</v>
      </c>
      <c r="F75" s="189"/>
      <c r="G75" s="187" t="s">
        <v>8351</v>
      </c>
      <c r="H75" s="204"/>
      <c r="I75" s="204"/>
      <c r="J75" s="196" t="s">
        <v>6469</v>
      </c>
      <c r="K75" s="196"/>
      <c r="L75" s="192" t="str">
        <f>IFERROR(__xludf.DUMMYFUNCTION("IF(
  AND(D75=""Saída"", J75=""Sangria""),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198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94">
        <f>IFERROR(__xludf.DUMMYFUNCTION("ifna(VALUE(REGEXEXTRACT(E75,""[0-9.]+[,]+[0-9]+"")))"),85.0)</f>
        <v>85</v>
      </c>
      <c r="O75" s="58"/>
      <c r="P75" s="85"/>
      <c r="Q75" s="85"/>
      <c r="R75" s="85"/>
      <c r="S75" s="87"/>
      <c r="T75" s="85"/>
      <c r="U75" s="85"/>
      <c r="V75" s="85"/>
      <c r="W75" s="86"/>
    </row>
    <row r="76" ht="28.5" customHeight="1">
      <c r="A76" s="186"/>
      <c r="B76" s="13">
        <v>2045675.0</v>
      </c>
      <c r="C76" s="14">
        <v>46088.90965277778</v>
      </c>
      <c r="D76" s="187" t="s">
        <v>97</v>
      </c>
      <c r="E76" s="188" t="s">
        <v>7499</v>
      </c>
      <c r="F76" s="189"/>
      <c r="G76" s="187" t="s">
        <v>858</v>
      </c>
      <c r="H76" s="204"/>
      <c r="I76" s="204"/>
      <c r="J76" s="196" t="s">
        <v>6544</v>
      </c>
      <c r="K76" s="196" t="s">
        <v>5991</v>
      </c>
      <c r="L76" s="192" t="str">
        <f>IFERROR(__xludf.DUMMYFUNCTION("IF(
  AND(D76=""Saída"", J76=""Sangria""),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"),"Confirmada")</f>
        <v>Confirmada</v>
      </c>
      <c r="M76" s="197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94">
        <f>IFERROR(__xludf.DUMMYFUNCTION("ifna(VALUE(REGEXEXTRACT(E76,""[0-9.]+[,]+[0-9]+"")))"),1700.0)</f>
        <v>1700</v>
      </c>
      <c r="O76" s="94"/>
      <c r="P76" s="95"/>
      <c r="Q76" s="95"/>
      <c r="R76" s="95"/>
      <c r="S76" s="97"/>
      <c r="T76" s="95"/>
      <c r="U76" s="95"/>
      <c r="V76" s="95"/>
      <c r="W76" s="96"/>
    </row>
    <row r="77" ht="14.25" customHeight="1">
      <c r="A77" s="186"/>
      <c r="B77" s="13">
        <v>2047653.0</v>
      </c>
      <c r="C77" s="14">
        <v>46089.78570601852</v>
      </c>
      <c r="D77" s="187" t="s">
        <v>97</v>
      </c>
      <c r="E77" s="188" t="s">
        <v>650</v>
      </c>
      <c r="F77" s="189"/>
      <c r="G77" s="187" t="s">
        <v>8353</v>
      </c>
      <c r="H77" s="204"/>
      <c r="I77" s="204"/>
      <c r="J77" s="196" t="s">
        <v>6469</v>
      </c>
      <c r="K77" s="196"/>
      <c r="L77" s="192" t="str">
        <f>IFERROR(__xludf.DUMMYFUNCTION("IF(
  AND(D77=""Saída"", J77=""Sangria""),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198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94">
        <f>IFERROR(__xludf.DUMMYFUNCTION("ifna(VALUE(REGEXEXTRACT(E77,""[0-9.]+[,]+[0-9]+"")))"),78.0)</f>
        <v>78</v>
      </c>
      <c r="O77" s="207"/>
      <c r="P77" s="208"/>
      <c r="Q77" s="209"/>
      <c r="R77" s="210"/>
      <c r="S77" s="97"/>
      <c r="T77" s="95"/>
      <c r="U77" s="95"/>
      <c r="V77" s="95"/>
      <c r="W77" s="96"/>
    </row>
    <row r="78" ht="34.5" customHeight="1">
      <c r="A78" s="186"/>
      <c r="B78" s="13">
        <v>2048497.0</v>
      </c>
      <c r="C78" s="14">
        <v>46089.91310185185</v>
      </c>
      <c r="D78" s="187" t="s">
        <v>97</v>
      </c>
      <c r="E78" s="188" t="s">
        <v>6547</v>
      </c>
      <c r="F78" s="189"/>
      <c r="G78" s="187" t="s">
        <v>8354</v>
      </c>
      <c r="H78" s="204"/>
      <c r="I78" s="204"/>
      <c r="J78" s="196" t="s">
        <v>6469</v>
      </c>
      <c r="K78" s="196"/>
      <c r="L78" s="192" t="str">
        <f>IFERROR(__xludf.DUMMYFUNCTION("IF(
  AND(D78=""Saída"", J78=""Sangria""),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197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94">
        <f>IFERROR(__xludf.DUMMYFUNCTION("ifna(VALUE(REGEXEXTRACT(E78,""[0-9.]+[,]+[0-9]+"")))"),117.0)</f>
        <v>117</v>
      </c>
      <c r="O78" s="207"/>
      <c r="P78" s="208"/>
      <c r="Q78" s="209"/>
      <c r="R78" s="210"/>
      <c r="S78" s="97"/>
      <c r="T78" s="95"/>
      <c r="U78" s="95"/>
      <c r="V78" s="95"/>
      <c r="W78" s="96"/>
    </row>
    <row r="79" ht="14.25" customHeight="1">
      <c r="A79" s="186"/>
      <c r="B79" s="13">
        <v>2048503.0</v>
      </c>
      <c r="C79" s="14">
        <v>46089.91364583333</v>
      </c>
      <c r="D79" s="187" t="s">
        <v>97</v>
      </c>
      <c r="E79" s="188" t="s">
        <v>6561</v>
      </c>
      <c r="F79" s="200"/>
      <c r="G79" s="187" t="s">
        <v>8355</v>
      </c>
      <c r="H79" s="204"/>
      <c r="I79" s="204"/>
      <c r="J79" s="196" t="s">
        <v>6469</v>
      </c>
      <c r="K79" s="196"/>
      <c r="L79" s="192" t="str">
        <f>IFERROR(__xludf.DUMMYFUNCTION("IF(
  AND(D79=""Saída"", J79=""Sangria""),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198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94">
        <f>IFERROR(__xludf.DUMMYFUNCTION("ifna(VALUE(REGEXEXTRACT(E79,""[0-9.]+[,]+[0-9]+"")))"),123.0)</f>
        <v>123</v>
      </c>
      <c r="O79" s="207"/>
      <c r="P79" s="208"/>
      <c r="Q79" s="209"/>
      <c r="R79" s="210"/>
      <c r="S79" s="97"/>
      <c r="T79" s="95"/>
      <c r="U79" s="95"/>
      <c r="V79" s="95"/>
      <c r="W79" s="96"/>
    </row>
    <row r="80" ht="14.25" customHeight="1">
      <c r="A80" s="186"/>
      <c r="B80" s="13">
        <v>2050186.0</v>
      </c>
      <c r="C80" s="14">
        <v>46090.75471064815</v>
      </c>
      <c r="D80" s="187" t="s">
        <v>97</v>
      </c>
      <c r="E80" s="188" t="s">
        <v>8358</v>
      </c>
      <c r="F80" s="189"/>
      <c r="G80" s="187" t="s">
        <v>8359</v>
      </c>
      <c r="H80" s="204"/>
      <c r="I80" s="204"/>
      <c r="J80" s="196" t="s">
        <v>6551</v>
      </c>
      <c r="K80" s="196"/>
      <c r="L80" s="192" t="str">
        <f>IFERROR(__xludf.DUMMYFUNCTION("IF(
  AND(D80=""Saída"", J80=""Sangria""),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197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94">
        <f>IFERROR(__xludf.DUMMYFUNCTION("ifna(VALUE(REGEXEXTRACT(E80,""[0-9.]+[,]+[0-9]+"")))"),786.0)</f>
        <v>786</v>
      </c>
      <c r="O80" s="207"/>
      <c r="P80" s="208"/>
      <c r="Q80" s="209"/>
      <c r="R80" s="210"/>
      <c r="S80" s="97"/>
      <c r="T80" s="95"/>
      <c r="U80" s="95"/>
      <c r="V80" s="95"/>
      <c r="W80" s="96"/>
    </row>
    <row r="81" ht="14.25" customHeight="1">
      <c r="A81" s="186"/>
      <c r="B81" s="13">
        <v>2050224.0</v>
      </c>
      <c r="C81" s="14">
        <v>46090.76763888889</v>
      </c>
      <c r="D81" s="187" t="s">
        <v>97</v>
      </c>
      <c r="E81" s="188" t="s">
        <v>8362</v>
      </c>
      <c r="F81" s="189"/>
      <c r="G81" s="187" t="s">
        <v>8363</v>
      </c>
      <c r="H81" s="204"/>
      <c r="I81" s="204"/>
      <c r="J81" s="196" t="s">
        <v>6302</v>
      </c>
      <c r="K81" s="196"/>
      <c r="L81" s="192" t="str">
        <f>IFERROR(__xludf.DUMMYFUNCTION("IF(
  AND(D81=""Saída"", J81=""Sangria""),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198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94">
        <f>IFERROR(__xludf.DUMMYFUNCTION("ifna(VALUE(REGEXEXTRACT(E81,""[0-9.]+[,]+[0-9]+"")))"),70.99)</f>
        <v>70.99</v>
      </c>
      <c r="O81" s="94"/>
      <c r="P81" s="95"/>
      <c r="Q81" s="95"/>
      <c r="R81" s="95"/>
      <c r="S81" s="97"/>
      <c r="T81" s="95"/>
      <c r="U81" s="95"/>
      <c r="V81" s="95"/>
      <c r="W81" s="96"/>
    </row>
    <row r="82" ht="14.25" customHeight="1">
      <c r="A82" s="186"/>
      <c r="B82" s="13">
        <v>2050235.0</v>
      </c>
      <c r="C82" s="14">
        <v>46090.77011574074</v>
      </c>
      <c r="D82" s="187" t="s">
        <v>97</v>
      </c>
      <c r="E82" s="188" t="s">
        <v>7829</v>
      </c>
      <c r="F82" s="189"/>
      <c r="G82" s="187" t="s">
        <v>8364</v>
      </c>
      <c r="H82" s="204"/>
      <c r="I82" s="204"/>
      <c r="J82" s="196" t="s">
        <v>6469</v>
      </c>
      <c r="K82" s="196"/>
      <c r="L82" s="192" t="str">
        <f>IFERROR(__xludf.DUMMYFUNCTION("IF(
  AND(D82=""Saída"", J82=""Sangria""),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197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94">
        <f>IFERROR(__xludf.DUMMYFUNCTION("ifna(VALUE(REGEXEXTRACT(E82,""[0-9.]+[,]+[0-9]+"")))"),72.0)</f>
        <v>72</v>
      </c>
      <c r="O82" s="94"/>
      <c r="P82" s="95"/>
      <c r="Q82" s="95"/>
      <c r="R82" s="95"/>
      <c r="S82" s="97"/>
      <c r="T82" s="95"/>
      <c r="U82" s="95"/>
      <c r="V82" s="95"/>
      <c r="W82" s="96"/>
    </row>
    <row r="83" ht="14.25" customHeight="1">
      <c r="A83" s="186"/>
      <c r="B83" s="13">
        <v>2050238.0</v>
      </c>
      <c r="C83" s="14">
        <v>46090.77054398148</v>
      </c>
      <c r="D83" s="187" t="s">
        <v>97</v>
      </c>
      <c r="E83" s="188" t="s">
        <v>721</v>
      </c>
      <c r="F83" s="189"/>
      <c r="G83" s="187" t="s">
        <v>8366</v>
      </c>
      <c r="H83" s="204"/>
      <c r="I83" s="204"/>
      <c r="J83" s="196" t="s">
        <v>6469</v>
      </c>
      <c r="K83" s="196"/>
      <c r="L83" s="192" t="str">
        <f>IFERROR(__xludf.DUMMYFUNCTION("IF(
  AND(D83=""Saída"", J83=""Sangria""),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198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94">
        <f>IFERROR(__xludf.DUMMYFUNCTION("ifna(VALUE(REGEXEXTRACT(E83,""[0-9.]+[,]+[0-9]+"")))"),75.0)</f>
        <v>75</v>
      </c>
      <c r="O83" s="114"/>
      <c r="P83" s="115"/>
      <c r="Q83" s="115"/>
      <c r="R83" s="115"/>
      <c r="S83" s="97"/>
      <c r="T83" s="115"/>
      <c r="U83" s="115"/>
      <c r="V83" s="115"/>
      <c r="W83" s="117"/>
    </row>
    <row r="84" ht="14.25" customHeight="1">
      <c r="A84" s="186"/>
      <c r="B84" s="13">
        <v>2050319.0</v>
      </c>
      <c r="C84" s="14">
        <v>46090.80416666667</v>
      </c>
      <c r="D84" s="187" t="s">
        <v>97</v>
      </c>
      <c r="E84" s="188" t="s">
        <v>1780</v>
      </c>
      <c r="F84" s="200"/>
      <c r="G84" s="187" t="s">
        <v>8367</v>
      </c>
      <c r="H84" s="204"/>
      <c r="I84" s="204"/>
      <c r="J84" s="196" t="s">
        <v>6080</v>
      </c>
      <c r="K84" s="196" t="s">
        <v>6111</v>
      </c>
      <c r="L84" s="192" t="str">
        <f>IFERROR(__xludf.DUMMYFUNCTION("IF(
  AND(D84=""Saída"", J84=""Sangria""),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197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94">
        <f>IFERROR(__xludf.DUMMYFUNCTION("ifna(VALUE(REGEXEXTRACT(E84,""[0-9.]+[,]+[0-9]+"")))"),5.0)</f>
        <v>5</v>
      </c>
      <c r="O84" s="211"/>
      <c r="P84" s="212"/>
      <c r="Q84" s="212"/>
      <c r="R84" s="212"/>
      <c r="S84" s="97"/>
      <c r="T84" s="212"/>
      <c r="U84" s="212"/>
      <c r="V84" s="212"/>
      <c r="W84" s="213"/>
    </row>
    <row r="85" ht="14.25" customHeight="1">
      <c r="A85" s="186"/>
      <c r="B85" s="13">
        <v>2051631.0</v>
      </c>
      <c r="C85" s="14">
        <v>46091.709340277775</v>
      </c>
      <c r="D85" s="187" t="s">
        <v>97</v>
      </c>
      <c r="E85" s="188" t="s">
        <v>7689</v>
      </c>
      <c r="F85" s="189"/>
      <c r="G85" s="187" t="s">
        <v>8368</v>
      </c>
      <c r="H85" s="204"/>
      <c r="I85" s="204"/>
      <c r="J85" s="196" t="s">
        <v>6469</v>
      </c>
      <c r="K85" s="196"/>
      <c r="L85" s="192" t="str">
        <f>IFERROR(__xludf.DUMMYFUNCTION("IF(
  AND(D85=""Saída"", J85=""Sangria""),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198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94">
        <f>IFERROR(__xludf.DUMMYFUNCTION("ifna(VALUE(REGEXEXTRACT(E85,""[0-9.]+[,]+[0-9]+"")))"),52.0)</f>
        <v>52</v>
      </c>
      <c r="O85" s="211"/>
      <c r="P85" s="212"/>
      <c r="Q85" s="212"/>
      <c r="R85" s="212"/>
      <c r="S85" s="97"/>
      <c r="T85" s="212"/>
      <c r="U85" s="212"/>
      <c r="V85" s="212"/>
      <c r="W85" s="213"/>
    </row>
    <row r="86" ht="14.25" customHeight="1">
      <c r="A86" s="186"/>
      <c r="B86" s="13">
        <v>2051694.0</v>
      </c>
      <c r="C86" s="14">
        <v>46091.72681712963</v>
      </c>
      <c r="D86" s="187" t="s">
        <v>97</v>
      </c>
      <c r="E86" s="188" t="s">
        <v>163</v>
      </c>
      <c r="F86" s="200"/>
      <c r="G86" s="187" t="s">
        <v>8369</v>
      </c>
      <c r="H86" s="204"/>
      <c r="I86" s="204"/>
      <c r="J86" s="196"/>
      <c r="K86" s="196"/>
      <c r="L86" s="192" t="str">
        <f>IFERROR(__xludf.DUMMYFUNCTION("IF(
  AND(D86=""Saída"", J86=""Sangria""),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197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94">
        <f>IFERROR(__xludf.DUMMYFUNCTION("ifna(VALUE(REGEXEXTRACT(E86,""[0-9.]+[,]+[0-9]+"")))"),0.01)</f>
        <v>0.01</v>
      </c>
      <c r="O86" s="211"/>
      <c r="P86" s="212"/>
      <c r="Q86" s="212"/>
      <c r="R86" s="212"/>
      <c r="S86" s="97"/>
      <c r="T86" s="212"/>
      <c r="U86" s="212"/>
      <c r="V86" s="212"/>
      <c r="W86" s="213"/>
    </row>
    <row r="87" ht="14.25" customHeight="1">
      <c r="A87" s="186"/>
      <c r="B87" s="13">
        <v>2051842.0</v>
      </c>
      <c r="C87" s="14">
        <v>46091.767800925925</v>
      </c>
      <c r="D87" s="187" t="s">
        <v>97</v>
      </c>
      <c r="E87" s="188" t="s">
        <v>8372</v>
      </c>
      <c r="F87" s="189"/>
      <c r="G87" s="187" t="s">
        <v>1042</v>
      </c>
      <c r="H87" s="204"/>
      <c r="I87" s="204"/>
      <c r="J87" s="196" t="s">
        <v>6080</v>
      </c>
      <c r="K87" s="196" t="s">
        <v>6111</v>
      </c>
      <c r="L87" s="192" t="str">
        <f>IFERROR(__xludf.DUMMYFUNCTION("IF(
  AND(D87=""Saída"", J87=""Sangria""),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198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94">
        <f>IFERROR(__xludf.DUMMYFUNCTION("ifna(VALUE(REGEXEXTRACT(E87,""[0-9.]+[,]+[0-9]+"")))"),12.08)</f>
        <v>12.08</v>
      </c>
      <c r="O87" s="211"/>
      <c r="P87" s="212"/>
      <c r="Q87" s="212"/>
      <c r="R87" s="212"/>
      <c r="S87" s="97"/>
      <c r="T87" s="212"/>
      <c r="U87" s="212"/>
      <c r="V87" s="212"/>
      <c r="W87" s="213"/>
    </row>
    <row r="88" ht="14.25" customHeight="1">
      <c r="A88" s="186"/>
      <c r="B88" s="13">
        <v>2053716.0</v>
      </c>
      <c r="C88" s="14">
        <v>46092.873923611114</v>
      </c>
      <c r="D88" s="187" t="s">
        <v>97</v>
      </c>
      <c r="E88" s="188" t="s">
        <v>8375</v>
      </c>
      <c r="F88" s="189"/>
      <c r="G88" s="187" t="s">
        <v>1042</v>
      </c>
      <c r="H88" s="204"/>
      <c r="I88" s="204"/>
      <c r="J88" s="196" t="s">
        <v>6080</v>
      </c>
      <c r="K88" s="196" t="s">
        <v>6111</v>
      </c>
      <c r="L88" s="192" t="str">
        <f>IFERROR(__xludf.DUMMYFUNCTION("IF(
  AND(D88=""Saída"", J88=""Sangria""),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197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94">
        <f>IFERROR(__xludf.DUMMYFUNCTION("ifna(VALUE(REGEXEXTRACT(E88,""[0-9.]+[,]+[0-9]+"")))"),38.97)</f>
        <v>38.97</v>
      </c>
      <c r="O88" s="214"/>
      <c r="P88" s="215"/>
      <c r="Q88" s="215"/>
      <c r="R88" s="215"/>
      <c r="S88" s="216"/>
      <c r="T88" s="215"/>
      <c r="U88" s="215"/>
      <c r="V88" s="215"/>
      <c r="W88" s="217"/>
    </row>
    <row r="89" ht="14.25" customHeight="1">
      <c r="A89" s="186"/>
      <c r="B89" s="13">
        <v>2053812.0</v>
      </c>
      <c r="C89" s="14">
        <v>46092.9012037037</v>
      </c>
      <c r="D89" s="187" t="s">
        <v>97</v>
      </c>
      <c r="E89" s="188" t="s">
        <v>7689</v>
      </c>
      <c r="F89" s="189"/>
      <c r="G89" s="187" t="s">
        <v>8377</v>
      </c>
      <c r="H89" s="204"/>
      <c r="I89" s="204"/>
      <c r="J89" s="196" t="s">
        <v>6469</v>
      </c>
      <c r="K89" s="196"/>
      <c r="L89" s="192" t="str">
        <f>IFERROR(__xludf.DUMMYFUNCTION("IF(
  AND(D89=""Saída"", J89=""Sangria""),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198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94">
        <f>IFERROR(__xludf.DUMMYFUNCTION("ifna(VALUE(REGEXEXTRACT(E89,""[0-9.]+[,]+[0-9]+"")))"),52.0)</f>
        <v>52</v>
      </c>
      <c r="O89" s="31"/>
      <c r="P89" s="31"/>
      <c r="Q89" s="31"/>
      <c r="R89" s="31"/>
      <c r="S89" s="31"/>
      <c r="T89" s="31"/>
      <c r="U89" s="31"/>
      <c r="V89" s="31"/>
      <c r="W89" s="31"/>
    </row>
    <row r="90" ht="14.25" customHeight="1">
      <c r="A90" s="186"/>
      <c r="B90" s="13">
        <v>2054975.0</v>
      </c>
      <c r="C90" s="14">
        <v>46093.772199074076</v>
      </c>
      <c r="D90" s="187" t="s">
        <v>97</v>
      </c>
      <c r="E90" s="188" t="s">
        <v>7829</v>
      </c>
      <c r="F90" s="189"/>
      <c r="G90" s="187" t="s">
        <v>8379</v>
      </c>
      <c r="H90" s="204"/>
      <c r="I90" s="204"/>
      <c r="J90" s="196" t="s">
        <v>6469</v>
      </c>
      <c r="K90" s="196"/>
      <c r="L90" s="192" t="str">
        <f>IFERROR(__xludf.DUMMYFUNCTION("IF(
  AND(D90=""Saída"", J90=""Sangria""),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197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94">
        <f>IFERROR(__xludf.DUMMYFUNCTION("ifna(VALUE(REGEXEXTRACT(E90,""[0-9.]+[,]+[0-9]+"")))"),72.0)</f>
        <v>72</v>
      </c>
      <c r="O90" s="31"/>
      <c r="P90" s="31"/>
      <c r="Q90" s="31"/>
      <c r="R90" s="31"/>
      <c r="S90" s="31"/>
      <c r="T90" s="31"/>
      <c r="U90" s="31"/>
      <c r="V90" s="31"/>
      <c r="W90" s="31"/>
    </row>
    <row r="91" ht="14.25" customHeight="1">
      <c r="A91" s="186"/>
      <c r="B91" s="13">
        <v>2054998.0</v>
      </c>
      <c r="C91" s="14">
        <v>46093.781863425924</v>
      </c>
      <c r="D91" s="187" t="s">
        <v>97</v>
      </c>
      <c r="E91" s="188" t="s">
        <v>8381</v>
      </c>
      <c r="F91" s="189"/>
      <c r="G91" s="187" t="s">
        <v>1042</v>
      </c>
      <c r="H91" s="204"/>
      <c r="I91" s="204"/>
      <c r="J91" s="196" t="s">
        <v>6080</v>
      </c>
      <c r="K91" s="196" t="s">
        <v>6111</v>
      </c>
      <c r="L91" s="192" t="str">
        <f>IFERROR(__xludf.DUMMYFUNCTION("IF(
  AND(D91=""Saída"", J91=""Sangria""),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198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94">
        <f>IFERROR(__xludf.DUMMYFUNCTION("ifna(VALUE(REGEXEXTRACT(E91,""[0-9.]+[,]+[0-9]+"")))"),8.93)</f>
        <v>8.93</v>
      </c>
      <c r="O91" s="31"/>
      <c r="P91" s="31"/>
      <c r="Q91" s="31"/>
      <c r="R91" s="31"/>
      <c r="S91" s="31"/>
      <c r="T91" s="31"/>
      <c r="U91" s="31"/>
      <c r="V91" s="31"/>
      <c r="W91" s="31"/>
    </row>
    <row r="92" ht="14.25" customHeight="1">
      <c r="A92" s="186"/>
      <c r="B92" s="13">
        <v>2056332.0</v>
      </c>
      <c r="C92" s="14">
        <v>46094.65766203704</v>
      </c>
      <c r="D92" s="187" t="s">
        <v>97</v>
      </c>
      <c r="E92" s="188" t="s">
        <v>7704</v>
      </c>
      <c r="F92" s="189"/>
      <c r="G92" s="187" t="s">
        <v>8382</v>
      </c>
      <c r="H92" s="204"/>
      <c r="I92" s="204"/>
      <c r="J92" s="196" t="s">
        <v>6446</v>
      </c>
      <c r="K92" s="196"/>
      <c r="L92" s="192" t="str">
        <f>IFERROR(__xludf.DUMMYFUNCTION("IF(
  AND(D92=""Saída"", J92=""Sangria""),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197" t="str">
        <f>IFERROR(__xludf.DUMMYFUNCTION("IF(J92=""Compra de Mercadorias"",
   IF(
      COUNTIF(ARRAYFORMULA(TRIM(CLEAN(TO_TEXT(Notas!BS:BS)))), TRIM(CLEAN(TO_TEXT(B92)))) &gt; 0,
      ""Encontrada"",
      ""Não Encontrada""
   ),
"""")"),"Encontrada")</f>
        <v>Encontrada</v>
      </c>
      <c r="N92" s="194">
        <f>IFERROR(__xludf.DUMMYFUNCTION("ifna(VALUE(REGEXEXTRACT(E92,""[0-9.]+[,]+[0-9]+"")))"),200.0)</f>
        <v>200</v>
      </c>
      <c r="O92" s="31"/>
      <c r="P92" s="31"/>
      <c r="Q92" s="31"/>
      <c r="R92" s="31"/>
      <c r="S92" s="31"/>
      <c r="T92" s="31"/>
      <c r="U92" s="194"/>
      <c r="V92" s="194"/>
      <c r="W92" s="194"/>
    </row>
    <row r="93" ht="14.25" customHeight="1">
      <c r="A93" s="186"/>
      <c r="B93" s="13">
        <v>2056684.0</v>
      </c>
      <c r="C93" s="14">
        <v>46094.739432870374</v>
      </c>
      <c r="D93" s="187" t="s">
        <v>97</v>
      </c>
      <c r="E93" s="188" t="s">
        <v>8385</v>
      </c>
      <c r="F93" s="189"/>
      <c r="G93" s="187" t="s">
        <v>8386</v>
      </c>
      <c r="H93" s="204"/>
      <c r="I93" s="204"/>
      <c r="J93" s="196" t="s">
        <v>6446</v>
      </c>
      <c r="K93" s="196"/>
      <c r="L93" s="192" t="str">
        <f>IFERROR(__xludf.DUMMYFUNCTION("IF(
  AND(D93=""Saída"", J93=""Sangria""),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198" t="str">
        <f>IFERROR(__xludf.DUMMYFUNCTION("IF(J93=""Compra de Mercadorias"",
   IF(
      COUNTIF(ARRAYFORMULA(TRIM(CLEAN(TO_TEXT(Notas!BS:BS)))), TRIM(CLEAN(TO_TEXT(B93)))) &gt; 0,
      ""Encontrada"",
      ""Não Encontrada""
   ),
"""")"),"Encontrada")</f>
        <v>Encontrada</v>
      </c>
      <c r="N93" s="194">
        <f>IFERROR(__xludf.DUMMYFUNCTION("ifna(VALUE(REGEXEXTRACT(E93,""[0-9.]+[,]+[0-9]+"")))"),194.15)</f>
        <v>194.15</v>
      </c>
      <c r="O93" s="218" t="s">
        <v>7094</v>
      </c>
      <c r="P93" s="219"/>
      <c r="Q93" s="219"/>
      <c r="R93" s="219"/>
      <c r="S93" s="219"/>
      <c r="T93" s="64"/>
      <c r="U93" s="194"/>
      <c r="V93" s="194"/>
      <c r="W93" s="194"/>
    </row>
    <row r="94" ht="14.25" customHeight="1">
      <c r="A94" s="186"/>
      <c r="B94" s="13">
        <v>2056845.0</v>
      </c>
      <c r="C94" s="14">
        <v>46094.77873842593</v>
      </c>
      <c r="D94" s="187" t="s">
        <v>97</v>
      </c>
      <c r="E94" s="188" t="s">
        <v>6985</v>
      </c>
      <c r="F94" s="189"/>
      <c r="G94" s="187" t="s">
        <v>1042</v>
      </c>
      <c r="H94" s="204"/>
      <c r="I94" s="204"/>
      <c r="J94" s="196" t="s">
        <v>6080</v>
      </c>
      <c r="K94" s="196" t="s">
        <v>6111</v>
      </c>
      <c r="L94" s="192" t="str">
        <f>IFERROR(__xludf.DUMMYFUNCTION("IF(
  AND(D94=""Saída"", J94=""Sangria""),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197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94">
        <f>IFERROR(__xludf.DUMMYFUNCTION("ifna(VALUE(REGEXEXTRACT(E94,""[0-9.]+[,]+[0-9]+"")))"),3.0)</f>
        <v>3</v>
      </c>
      <c r="O94" s="220"/>
      <c r="T94" s="221"/>
      <c r="U94" s="194"/>
      <c r="V94" s="194"/>
      <c r="W94" s="194"/>
    </row>
    <row r="95" ht="14.25" customHeight="1">
      <c r="A95" s="186"/>
      <c r="B95" s="13">
        <v>2057071.0</v>
      </c>
      <c r="C95" s="14">
        <v>46094.85765046296</v>
      </c>
      <c r="D95" s="187" t="s">
        <v>97</v>
      </c>
      <c r="E95" s="188" t="s">
        <v>6547</v>
      </c>
      <c r="F95" s="189"/>
      <c r="G95" s="187" t="s">
        <v>8387</v>
      </c>
      <c r="H95" s="204"/>
      <c r="I95" s="204"/>
      <c r="J95" s="196" t="s">
        <v>6469</v>
      </c>
      <c r="K95" s="196"/>
      <c r="L95" s="192" t="str">
        <f>IFERROR(__xludf.DUMMYFUNCTION("IF(
  AND(D95=""Saída"", J95=""Sangria""),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198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94">
        <f>IFERROR(__xludf.DUMMYFUNCTION("ifna(VALUE(REGEXEXTRACT(E95,""[0-9.]+[,]+[0-9]+"")))"),117.0)</f>
        <v>117</v>
      </c>
      <c r="O95" s="222" t="s">
        <v>0</v>
      </c>
      <c r="P95" s="223" t="s">
        <v>10</v>
      </c>
      <c r="Q95" s="223" t="s">
        <v>7118</v>
      </c>
      <c r="R95" s="223" t="s">
        <v>51</v>
      </c>
      <c r="S95" s="224" t="s">
        <v>38</v>
      </c>
      <c r="T95" s="221"/>
      <c r="U95" s="194"/>
      <c r="V95" s="194"/>
      <c r="W95" s="194"/>
    </row>
    <row r="96" ht="14.25" customHeight="1">
      <c r="A96" s="186"/>
      <c r="B96" s="13">
        <v>2057073.0</v>
      </c>
      <c r="C96" s="14">
        <v>46094.858148148145</v>
      </c>
      <c r="D96" s="187" t="s">
        <v>97</v>
      </c>
      <c r="E96" s="188" t="s">
        <v>7829</v>
      </c>
      <c r="F96" s="189"/>
      <c r="G96" s="187" t="s">
        <v>8389</v>
      </c>
      <c r="H96" s="204"/>
      <c r="I96" s="204"/>
      <c r="J96" s="196" t="s">
        <v>6469</v>
      </c>
      <c r="K96" s="196"/>
      <c r="L96" s="192" t="str">
        <f>IFERROR(__xludf.DUMMYFUNCTION("IF(
  AND(D96=""Saída"", J96=""Sangria""),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197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94">
        <f>IFERROR(__xludf.DUMMYFUNCTION("ifna(VALUE(REGEXEXTRACT(E96,""[0-9.]+[,]+[0-9]+"")))"),72.0)</f>
        <v>72</v>
      </c>
      <c r="O96" s="225" t="s">
        <v>2752</v>
      </c>
      <c r="P96" s="208">
        <v>46079.0</v>
      </c>
      <c r="Q96" s="209" t="s">
        <v>126</v>
      </c>
      <c r="R96" s="210">
        <v>500.0</v>
      </c>
      <c r="S96" s="226"/>
      <c r="T96" s="227" t="str">
        <f t="shared" ref="T96:T116" si="1">IFERROR(VLOOKUP(Q96, $A$4:$B$11, 2, FALSE), "")</f>
        <v>Sabrina</v>
      </c>
      <c r="U96" s="194"/>
      <c r="V96" s="194"/>
      <c r="W96" s="194"/>
    </row>
    <row r="97" ht="14.25" customHeight="1">
      <c r="A97" s="186"/>
      <c r="B97" s="13">
        <v>2057259.0</v>
      </c>
      <c r="C97" s="14">
        <v>46094.90329861111</v>
      </c>
      <c r="D97" s="187" t="s">
        <v>97</v>
      </c>
      <c r="E97" s="188" t="s">
        <v>8390</v>
      </c>
      <c r="F97" s="189"/>
      <c r="G97" s="187" t="s">
        <v>1042</v>
      </c>
      <c r="H97" s="204"/>
      <c r="I97" s="204"/>
      <c r="J97" s="196" t="s">
        <v>6080</v>
      </c>
      <c r="K97" s="196" t="s">
        <v>6111</v>
      </c>
      <c r="L97" s="192" t="str">
        <f>IFERROR(__xludf.DUMMYFUNCTION("IF(
  AND(D97=""Saída"", J97=""Sangria""),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198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94">
        <f>IFERROR(__xludf.DUMMYFUNCTION("ifna(VALUE(REGEXEXTRACT(E97,""[0-9.]+[,]+[0-9]+"")))"),67.99)</f>
        <v>67.99</v>
      </c>
      <c r="O97" s="225"/>
      <c r="P97" s="208">
        <v>46083.0</v>
      </c>
      <c r="Q97" s="209" t="s">
        <v>113</v>
      </c>
      <c r="R97" s="209">
        <v>500.0</v>
      </c>
      <c r="S97" s="228"/>
      <c r="T97" s="227" t="str">
        <f t="shared" si="1"/>
        <v>Renata</v>
      </c>
      <c r="U97" s="194"/>
      <c r="V97" s="194"/>
      <c r="W97" s="194"/>
    </row>
    <row r="98" ht="14.25" customHeight="1">
      <c r="A98" s="186"/>
      <c r="B98" s="13">
        <v>2059563.0</v>
      </c>
      <c r="C98" s="14">
        <v>46095.89945601852</v>
      </c>
      <c r="D98" s="187" t="s">
        <v>97</v>
      </c>
      <c r="E98" s="188" t="s">
        <v>8393</v>
      </c>
      <c r="F98" s="189"/>
      <c r="G98" s="187" t="s">
        <v>8394</v>
      </c>
      <c r="H98" s="204"/>
      <c r="I98" s="204"/>
      <c r="J98" s="196" t="s">
        <v>6469</v>
      </c>
      <c r="K98" s="196"/>
      <c r="L98" s="192" t="str">
        <f>IFERROR(__xludf.DUMMYFUNCTION("IF(
  AND(D98=""Saída"", J98=""Sangria""),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197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94">
        <f>IFERROR(__xludf.DUMMYFUNCTION("ifna(VALUE(REGEXEXTRACT(E98,""[0-9.]+[,]+[0-9]+"")))"),69.0)</f>
        <v>69</v>
      </c>
      <c r="O98" s="225"/>
      <c r="P98" s="208"/>
      <c r="Q98" s="209"/>
      <c r="R98" s="210"/>
      <c r="S98" s="229"/>
      <c r="T98" s="227" t="str">
        <f t="shared" si="1"/>
        <v/>
      </c>
      <c r="U98" s="194"/>
      <c r="V98" s="194"/>
      <c r="W98" s="194"/>
    </row>
    <row r="99" ht="14.25" customHeight="1">
      <c r="A99" s="186"/>
      <c r="B99" s="13">
        <v>2059567.0</v>
      </c>
      <c r="C99" s="14">
        <v>46095.90011574074</v>
      </c>
      <c r="D99" s="187" t="s">
        <v>97</v>
      </c>
      <c r="E99" s="188" t="s">
        <v>556</v>
      </c>
      <c r="F99" s="189"/>
      <c r="G99" s="187" t="s">
        <v>8396</v>
      </c>
      <c r="H99" s="204"/>
      <c r="I99" s="204"/>
      <c r="J99" s="196" t="s">
        <v>6469</v>
      </c>
      <c r="K99" s="196"/>
      <c r="L99" s="192" t="str">
        <f>IFERROR(__xludf.DUMMYFUNCTION("IF(
  AND(D99=""Saída"", J99=""Sangria""),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198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94">
        <f>IFERROR(__xludf.DUMMYFUNCTION("ifna(VALUE(REGEXEXTRACT(E99,""[0-9.]+[,]+[0-9]+"")))"),104.0)</f>
        <v>104</v>
      </c>
      <c r="O99" s="225"/>
      <c r="P99" s="208"/>
      <c r="Q99" s="209"/>
      <c r="R99" s="210"/>
      <c r="S99" s="230"/>
      <c r="T99" s="227" t="str">
        <f t="shared" si="1"/>
        <v/>
      </c>
      <c r="U99" s="194"/>
      <c r="V99" s="194"/>
      <c r="W99" s="194"/>
    </row>
    <row r="100" ht="14.25" customHeight="1">
      <c r="A100" s="186"/>
      <c r="B100" s="13">
        <v>2059576.0</v>
      </c>
      <c r="C100" s="14">
        <v>46095.90064814815</v>
      </c>
      <c r="D100" s="187" t="s">
        <v>97</v>
      </c>
      <c r="E100" s="188" t="s">
        <v>6561</v>
      </c>
      <c r="F100" s="189"/>
      <c r="G100" s="187" t="s">
        <v>8397</v>
      </c>
      <c r="H100" s="204"/>
      <c r="I100" s="204"/>
      <c r="J100" s="196" t="s">
        <v>6469</v>
      </c>
      <c r="K100" s="196"/>
      <c r="L100" s="192" t="str">
        <f>IFERROR(__xludf.DUMMYFUNCTION("IF(
  AND(D100=""Saída"", J100=""Sangria""),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197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94">
        <f>IFERROR(__xludf.DUMMYFUNCTION("ifna(VALUE(REGEXEXTRACT(E100,""[0-9.]+[,]+[0-9]+"")))"),123.0)</f>
        <v>123</v>
      </c>
      <c r="O100" s="225"/>
      <c r="P100" s="208"/>
      <c r="Q100" s="209"/>
      <c r="R100" s="210"/>
      <c r="S100" s="229"/>
      <c r="T100" s="227" t="str">
        <f t="shared" si="1"/>
        <v/>
      </c>
      <c r="U100" s="194"/>
      <c r="V100" s="194"/>
      <c r="W100" s="194"/>
    </row>
    <row r="101" ht="14.25" customHeight="1">
      <c r="A101" s="186"/>
      <c r="B101" s="13">
        <v>2059592.0</v>
      </c>
      <c r="C101" s="14">
        <v>46095.90215277778</v>
      </c>
      <c r="D101" s="187" t="s">
        <v>97</v>
      </c>
      <c r="E101" s="188" t="s">
        <v>8399</v>
      </c>
      <c r="F101" s="189"/>
      <c r="G101" s="187" t="s">
        <v>6752</v>
      </c>
      <c r="H101" s="204"/>
      <c r="I101" s="204"/>
      <c r="J101" s="196" t="s">
        <v>6446</v>
      </c>
      <c r="K101" s="196"/>
      <c r="L101" s="192" t="str">
        <f>IFERROR(__xludf.DUMMYFUNCTION("IF(
  AND(D101=""Saída"", J101=""Sangria""),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198" t="str">
        <f>IFERROR(__xludf.DUMMYFUNCTION("IF(J101=""Compra de Mercadorias"",
   IF(
      COUNTIF(ARRAYFORMULA(TRIM(CLEAN(TO_TEXT(Notas!BS:BS)))), TRIM(CLEAN(TO_TEXT(B101)))) &gt; 0,
      ""Encontrada"",
      ""Não Encontrada""
   ),
"""")"),"Encontrada")</f>
        <v>Encontrada</v>
      </c>
      <c r="N101" s="194">
        <f>IFERROR(__xludf.DUMMYFUNCTION("ifna(VALUE(REGEXEXTRACT(E101,""[0-9.]+[,]+[0-9]+"")))"),77.75)</f>
        <v>77.75</v>
      </c>
      <c r="O101" s="231"/>
      <c r="P101" s="232"/>
      <c r="Q101" s="233"/>
      <c r="R101" s="234"/>
      <c r="S101" s="230"/>
      <c r="T101" s="227" t="str">
        <f t="shared" si="1"/>
        <v/>
      </c>
      <c r="U101" s="194"/>
      <c r="V101" s="194"/>
      <c r="W101" s="194"/>
    </row>
    <row r="102" ht="14.25" customHeight="1">
      <c r="A102" s="186"/>
      <c r="B102" s="13">
        <v>2059906.0</v>
      </c>
      <c r="C102" s="14">
        <v>46095.92679398148</v>
      </c>
      <c r="D102" s="187" t="s">
        <v>97</v>
      </c>
      <c r="E102" s="188" t="s">
        <v>6540</v>
      </c>
      <c r="F102" s="189"/>
      <c r="G102" s="187" t="s">
        <v>858</v>
      </c>
      <c r="H102" s="204"/>
      <c r="I102" s="204"/>
      <c r="J102" s="196" t="s">
        <v>6544</v>
      </c>
      <c r="K102" s="196" t="s">
        <v>5991</v>
      </c>
      <c r="L102" s="192" t="str">
        <f>IFERROR(__xludf.DUMMYFUNCTION("IF(
  AND(D102=""Saída"", J102=""Sangria""),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"),"Confirmada")</f>
        <v>Confirmada</v>
      </c>
      <c r="M102" s="197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94">
        <f>IFERROR(__xludf.DUMMYFUNCTION("ifna(VALUE(REGEXEXTRACT(E102,""[0-9.]+[,]+[0-9]+"")))"),1100.0)</f>
        <v>1100</v>
      </c>
      <c r="O102" s="235"/>
      <c r="P102" s="236"/>
      <c r="Q102" s="229"/>
      <c r="R102" s="237" t="str">
        <f t="shared" ref="R102:R138" si="2">IFERROR(VLOOKUP(Q102, $B$4:$C$18, 2, FALSE), "")</f>
        <v/>
      </c>
      <c r="S102" s="229" t="str">
        <f t="shared" ref="S102:S138" si="3">IFERROR(VLOOKUP(Q102, $A$4:$B$18, 2, FALSE), "")</f>
        <v/>
      </c>
      <c r="T102" s="227" t="str">
        <f t="shared" si="1"/>
        <v/>
      </c>
      <c r="U102" s="194"/>
      <c r="V102" s="194"/>
      <c r="W102" s="194"/>
    </row>
    <row r="103" ht="14.25" customHeight="1">
      <c r="A103" s="186"/>
      <c r="B103" s="13">
        <v>2061740.0</v>
      </c>
      <c r="C103" s="14">
        <v>46096.77737268519</v>
      </c>
      <c r="D103" s="187" t="s">
        <v>97</v>
      </c>
      <c r="E103" s="188" t="s">
        <v>8401</v>
      </c>
      <c r="F103" s="189"/>
      <c r="G103" s="187" t="s">
        <v>8374</v>
      </c>
      <c r="H103" s="204"/>
      <c r="I103" s="204"/>
      <c r="J103" s="196" t="s">
        <v>6080</v>
      </c>
      <c r="K103" s="196" t="s">
        <v>5991</v>
      </c>
      <c r="L103" s="192" t="str">
        <f>IFERROR(__xludf.DUMMYFUNCTION("IF(
  AND(D103=""Saída"", J103=""Sangria""),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198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94">
        <f>IFERROR(__xludf.DUMMYFUNCTION("ifna(VALUE(REGEXEXTRACT(E103,""[0-9.]+[,]+[0-9]+"")))"),27.93)</f>
        <v>27.93</v>
      </c>
      <c r="O103" s="238"/>
      <c r="P103" s="239"/>
      <c r="Q103" s="230"/>
      <c r="R103" s="240" t="str">
        <f t="shared" si="2"/>
        <v/>
      </c>
      <c r="S103" s="230" t="str">
        <f t="shared" si="3"/>
        <v/>
      </c>
      <c r="T103" s="227" t="str">
        <f t="shared" si="1"/>
        <v/>
      </c>
      <c r="U103" s="194"/>
      <c r="V103" s="194"/>
      <c r="W103" s="194"/>
    </row>
    <row r="104" ht="14.25" customHeight="1">
      <c r="A104" s="186"/>
      <c r="B104" s="13">
        <v>2062843.0</v>
      </c>
      <c r="C104" s="14">
        <v>46096.911724537036</v>
      </c>
      <c r="D104" s="187" t="s">
        <v>97</v>
      </c>
      <c r="E104" s="188" t="s">
        <v>6547</v>
      </c>
      <c r="F104" s="189"/>
      <c r="G104" s="187" t="s">
        <v>8402</v>
      </c>
      <c r="H104" s="204"/>
      <c r="I104" s="204"/>
      <c r="J104" s="196" t="s">
        <v>6469</v>
      </c>
      <c r="K104" s="196"/>
      <c r="L104" s="192" t="str">
        <f>IFERROR(__xludf.DUMMYFUNCTION("IF(
  AND(D104=""Saída"", J104=""Sangria""),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197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94">
        <f>IFERROR(__xludf.DUMMYFUNCTION("ifna(VALUE(REGEXEXTRACT(E104,""[0-9.]+[,]+[0-9]+"")))"),117.0)</f>
        <v>117</v>
      </c>
      <c r="O104" s="235"/>
      <c r="P104" s="236"/>
      <c r="Q104" s="229"/>
      <c r="R104" s="237" t="str">
        <f t="shared" si="2"/>
        <v/>
      </c>
      <c r="S104" s="229" t="str">
        <f t="shared" si="3"/>
        <v/>
      </c>
      <c r="T104" s="227" t="str">
        <f t="shared" si="1"/>
        <v/>
      </c>
      <c r="U104" s="194"/>
      <c r="V104" s="194"/>
      <c r="W104" s="194"/>
    </row>
    <row r="105" ht="14.25" customHeight="1">
      <c r="A105" s="186"/>
      <c r="B105" s="13">
        <v>2062857.0</v>
      </c>
      <c r="C105" s="14">
        <v>46096.91229166667</v>
      </c>
      <c r="D105" s="187" t="s">
        <v>97</v>
      </c>
      <c r="E105" s="188" t="s">
        <v>6561</v>
      </c>
      <c r="F105" s="189"/>
      <c r="G105" s="187" t="s">
        <v>8403</v>
      </c>
      <c r="H105" s="204"/>
      <c r="I105" s="204"/>
      <c r="J105" s="196" t="s">
        <v>6469</v>
      </c>
      <c r="K105" s="196"/>
      <c r="L105" s="192" t="str">
        <f>IFERROR(__xludf.DUMMYFUNCTION("IF(
  AND(D105=""Saída"", J105=""Sangria""),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198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94">
        <f>IFERROR(__xludf.DUMMYFUNCTION("ifna(VALUE(REGEXEXTRACT(E105,""[0-9.]+[,]+[0-9]+"")))"),123.0)</f>
        <v>123</v>
      </c>
      <c r="O105" s="238"/>
      <c r="P105" s="239"/>
      <c r="Q105" s="230"/>
      <c r="R105" s="240" t="str">
        <f t="shared" si="2"/>
        <v/>
      </c>
      <c r="S105" s="230" t="str">
        <f t="shared" si="3"/>
        <v/>
      </c>
      <c r="T105" s="227" t="str">
        <f t="shared" si="1"/>
        <v/>
      </c>
      <c r="U105" s="194"/>
      <c r="V105" s="194"/>
      <c r="W105" s="194"/>
    </row>
    <row r="106" ht="14.25" customHeight="1">
      <c r="A106" s="186"/>
      <c r="B106" s="13">
        <v>2063995.0</v>
      </c>
      <c r="C106" s="14">
        <v>46097.47791666666</v>
      </c>
      <c r="D106" s="187" t="s">
        <v>97</v>
      </c>
      <c r="E106" s="188" t="s">
        <v>763</v>
      </c>
      <c r="F106" s="189"/>
      <c r="G106" s="187" t="s">
        <v>858</v>
      </c>
      <c r="H106" s="204"/>
      <c r="I106" s="204"/>
      <c r="J106" s="196" t="s">
        <v>6544</v>
      </c>
      <c r="K106" s="196" t="s">
        <v>5991</v>
      </c>
      <c r="L106" s="192" t="str">
        <f>IFERROR(__xludf.DUMMYFUNCTION("IF(
  AND(D106=""Saída"", J106=""Sangria""),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"),"Confirmada")</f>
        <v>Confirmada</v>
      </c>
      <c r="M106" s="197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94">
        <f>IFERROR(__xludf.DUMMYFUNCTION("ifna(VALUE(REGEXEXTRACT(E106,""[0-9.]+[,]+[0-9]+"")))"),1000.0)</f>
        <v>1000</v>
      </c>
      <c r="O106" s="235"/>
      <c r="P106" s="236"/>
      <c r="Q106" s="229"/>
      <c r="R106" s="237" t="str">
        <f t="shared" si="2"/>
        <v/>
      </c>
      <c r="S106" s="229" t="str">
        <f t="shared" si="3"/>
        <v/>
      </c>
      <c r="T106" s="227" t="str">
        <f t="shared" si="1"/>
        <v/>
      </c>
      <c r="U106" s="194"/>
      <c r="V106" s="194"/>
      <c r="W106" s="194"/>
    </row>
    <row r="107" ht="14.25" customHeight="1">
      <c r="A107" s="186"/>
      <c r="B107" s="13">
        <v>2064121.0</v>
      </c>
      <c r="C107" s="14">
        <v>46097.55107638889</v>
      </c>
      <c r="D107" s="187" t="s">
        <v>97</v>
      </c>
      <c r="E107" s="188" t="s">
        <v>8312</v>
      </c>
      <c r="F107" s="189"/>
      <c r="G107" s="187" t="s">
        <v>8406</v>
      </c>
      <c r="H107" s="204"/>
      <c r="I107" s="204"/>
      <c r="J107" s="196" t="s">
        <v>6551</v>
      </c>
      <c r="K107" s="196"/>
      <c r="L107" s="192" t="str">
        <f>IFERROR(__xludf.DUMMYFUNCTION("IF(
  AND(D107=""Saída"", J107=""Sangria""),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198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94">
        <f>IFERROR(__xludf.DUMMYFUNCTION("ifna(VALUE(REGEXEXTRACT(E107,""[0-9.]+[,]+[0-9]+"")))"),750.0)</f>
        <v>750</v>
      </c>
      <c r="O107" s="238"/>
      <c r="P107" s="230"/>
      <c r="Q107" s="230"/>
      <c r="R107" s="240" t="str">
        <f t="shared" si="2"/>
        <v/>
      </c>
      <c r="S107" s="230" t="str">
        <f t="shared" si="3"/>
        <v/>
      </c>
      <c r="T107" s="227" t="str">
        <f t="shared" si="1"/>
        <v/>
      </c>
      <c r="U107" s="194"/>
      <c r="V107" s="194"/>
      <c r="W107" s="194"/>
    </row>
    <row r="108" ht="14.25" customHeight="1">
      <c r="A108" s="186"/>
      <c r="B108" s="13">
        <v>2064160.0</v>
      </c>
      <c r="C108" s="14">
        <v>46097.56836805555</v>
      </c>
      <c r="D108" s="187" t="s">
        <v>97</v>
      </c>
      <c r="E108" s="188" t="s">
        <v>8407</v>
      </c>
      <c r="F108" s="189"/>
      <c r="G108" s="187" t="s">
        <v>8408</v>
      </c>
      <c r="H108" s="204"/>
      <c r="I108" s="204"/>
      <c r="J108" s="196" t="s">
        <v>6446</v>
      </c>
      <c r="K108" s="196"/>
      <c r="L108" s="192" t="str">
        <f>IFERROR(__xludf.DUMMYFUNCTION("IF(
  AND(D108=""Saída"", J108=""Sangria""),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197" t="str">
        <f>IFERROR(__xludf.DUMMYFUNCTION("IF(J108=""Compra de Mercadorias"",
   IF(
      COUNTIF(ARRAYFORMULA(TRIM(CLEAN(TO_TEXT(Notas!BS:BS)))), TRIM(CLEAN(TO_TEXT(B108)))) &gt; 0,
      ""Encontrada"",
      ""Não Encontrada""
   ),
"""")"),"Encontrada")</f>
        <v>Encontrada</v>
      </c>
      <c r="N108" s="194">
        <f>IFERROR(__xludf.DUMMYFUNCTION("ifna(VALUE(REGEXEXTRACT(E108,""[0-9.]+[,]+[0-9]+"")))"),207.13)</f>
        <v>207.13</v>
      </c>
      <c r="O108" s="235"/>
      <c r="P108" s="229"/>
      <c r="Q108" s="229"/>
      <c r="R108" s="237" t="str">
        <f t="shared" si="2"/>
        <v/>
      </c>
      <c r="S108" s="229" t="str">
        <f t="shared" si="3"/>
        <v/>
      </c>
      <c r="T108" s="227" t="str">
        <f t="shared" si="1"/>
        <v/>
      </c>
      <c r="U108" s="194"/>
      <c r="V108" s="194"/>
      <c r="W108" s="194"/>
    </row>
    <row r="109" ht="14.25" customHeight="1">
      <c r="A109" s="186"/>
      <c r="B109" s="13">
        <v>2064277.0</v>
      </c>
      <c r="C109" s="14">
        <v>46097.621469907404</v>
      </c>
      <c r="D109" s="187" t="s">
        <v>97</v>
      </c>
      <c r="E109" s="188" t="s">
        <v>6475</v>
      </c>
      <c r="F109" s="189"/>
      <c r="G109" s="187" t="s">
        <v>8409</v>
      </c>
      <c r="H109" s="204"/>
      <c r="I109" s="204"/>
      <c r="J109" s="196" t="s">
        <v>6446</v>
      </c>
      <c r="K109" s="196"/>
      <c r="L109" s="192" t="str">
        <f>IFERROR(__xludf.DUMMYFUNCTION("IF(
  AND(D109=""Saída"", J109=""Sangria""),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198" t="str">
        <f>IFERROR(__xludf.DUMMYFUNCTION("IF(J109=""Compra de Mercadorias"",
   IF(
      COUNTIF(ARRAYFORMULA(TRIM(CLEAN(TO_TEXT(Notas!BS:BS)))), TRIM(CLEAN(TO_TEXT(B109)))) &gt; 0,
      ""Encontrada"",
      ""Não Encontrada""
   ),
"""")"),"Encontrada")</f>
        <v>Encontrada</v>
      </c>
      <c r="N109" s="194">
        <f>IFERROR(__xludf.DUMMYFUNCTION("ifna(VALUE(REGEXEXTRACT(E109,""[0-9.]+[,]+[0-9]+"")))"),250.0)</f>
        <v>250</v>
      </c>
      <c r="O109" s="238"/>
      <c r="P109" s="230"/>
      <c r="Q109" s="230"/>
      <c r="R109" s="240" t="str">
        <f t="shared" si="2"/>
        <v/>
      </c>
      <c r="S109" s="230" t="str">
        <f t="shared" si="3"/>
        <v/>
      </c>
      <c r="T109" s="227" t="str">
        <f t="shared" si="1"/>
        <v/>
      </c>
      <c r="U109" s="194"/>
      <c r="V109" s="194"/>
      <c r="W109" s="194"/>
    </row>
    <row r="110" ht="14.25" customHeight="1">
      <c r="A110" s="186"/>
      <c r="B110" s="13">
        <v>2064754.0</v>
      </c>
      <c r="C110" s="14">
        <v>46097.74851851852</v>
      </c>
      <c r="D110" s="187" t="s">
        <v>97</v>
      </c>
      <c r="E110" s="188" t="s">
        <v>532</v>
      </c>
      <c r="F110" s="189"/>
      <c r="G110" s="187" t="s">
        <v>8412</v>
      </c>
      <c r="H110" s="204"/>
      <c r="I110" s="204"/>
      <c r="J110" s="196" t="s">
        <v>6469</v>
      </c>
      <c r="K110" s="196"/>
      <c r="L110" s="192" t="str">
        <f>IFERROR(__xludf.DUMMYFUNCTION("IF(
  AND(D110=""Saída"", J110=""Sangria""),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197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94">
        <f>IFERROR(__xludf.DUMMYFUNCTION("ifna(VALUE(REGEXEXTRACT(E110,""[0-9.]+[,]+[0-9]+"")))"),65.0)</f>
        <v>65</v>
      </c>
      <c r="O110" s="235"/>
      <c r="P110" s="229"/>
      <c r="Q110" s="229"/>
      <c r="R110" s="237" t="str">
        <f t="shared" si="2"/>
        <v/>
      </c>
      <c r="S110" s="229" t="str">
        <f t="shared" si="3"/>
        <v/>
      </c>
      <c r="T110" s="227" t="str">
        <f t="shared" si="1"/>
        <v/>
      </c>
      <c r="U110" s="194"/>
      <c r="V110" s="194"/>
      <c r="W110" s="194"/>
    </row>
    <row r="111" ht="14.25" customHeight="1">
      <c r="A111" s="186"/>
      <c r="B111" s="13">
        <v>2064916.0</v>
      </c>
      <c r="C111" s="14">
        <v>46097.79136574074</v>
      </c>
      <c r="D111" s="187" t="s">
        <v>97</v>
      </c>
      <c r="E111" s="188" t="s">
        <v>7689</v>
      </c>
      <c r="F111" s="189"/>
      <c r="G111" s="187" t="s">
        <v>8415</v>
      </c>
      <c r="H111" s="204"/>
      <c r="I111" s="204"/>
      <c r="J111" s="196" t="s">
        <v>6469</v>
      </c>
      <c r="K111" s="196"/>
      <c r="L111" s="192" t="str">
        <f>IFERROR(__xludf.DUMMYFUNCTION("IF(
  AND(D111=""Saída"", J111=""Sangria""),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198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94">
        <f>IFERROR(__xludf.DUMMYFUNCTION("ifna(VALUE(REGEXEXTRACT(E111,""[0-9.]+[,]+[0-9]+"")))"),52.0)</f>
        <v>52</v>
      </c>
      <c r="O111" s="238"/>
      <c r="P111" s="230"/>
      <c r="Q111" s="230"/>
      <c r="R111" s="240" t="str">
        <f t="shared" si="2"/>
        <v/>
      </c>
      <c r="S111" s="230" t="str">
        <f t="shared" si="3"/>
        <v/>
      </c>
      <c r="T111" s="227" t="str">
        <f t="shared" si="1"/>
        <v/>
      </c>
      <c r="U111" s="194"/>
      <c r="V111" s="194"/>
      <c r="W111" s="194"/>
    </row>
    <row r="112" ht="14.25" customHeight="1">
      <c r="A112" s="186"/>
      <c r="B112" s="13">
        <v>2066609.0</v>
      </c>
      <c r="C112" s="14">
        <v>46098.71349537037</v>
      </c>
      <c r="D112" s="187" t="s">
        <v>97</v>
      </c>
      <c r="E112" s="188" t="s">
        <v>8416</v>
      </c>
      <c r="F112" s="189"/>
      <c r="G112" s="187" t="s">
        <v>8417</v>
      </c>
      <c r="H112" s="204"/>
      <c r="I112" s="204"/>
      <c r="J112" s="196" t="s">
        <v>6446</v>
      </c>
      <c r="K112" s="196"/>
      <c r="L112" s="192" t="str">
        <f>IFERROR(__xludf.DUMMYFUNCTION("IF(
  AND(D112=""Saída"", J112=""Sangria""),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197" t="str">
        <f>IFERROR(__xludf.DUMMYFUNCTION("IF(J112=""Compra de Mercadorias"",
   IF(
      COUNTIF(ARRAYFORMULA(TRIM(CLEAN(TO_TEXT(Notas!BS:BS)))), TRIM(CLEAN(TO_TEXT(B112)))) &gt; 0,
      ""Encontrada"",
      ""Não Encontrada""
   ),
"""")"),"Encontrada")</f>
        <v>Encontrada</v>
      </c>
      <c r="N112" s="194">
        <f>IFERROR(__xludf.DUMMYFUNCTION("ifna(VALUE(REGEXEXTRACT(E112,""[0-9.]+[,]+[0-9]+"")))"),42.0)</f>
        <v>42</v>
      </c>
      <c r="O112" s="235"/>
      <c r="P112" s="229"/>
      <c r="Q112" s="229"/>
      <c r="R112" s="237" t="str">
        <f t="shared" si="2"/>
        <v/>
      </c>
      <c r="S112" s="229" t="str">
        <f t="shared" si="3"/>
        <v/>
      </c>
      <c r="T112" s="227" t="str">
        <f t="shared" si="1"/>
        <v/>
      </c>
      <c r="U112" s="194"/>
      <c r="V112" s="194"/>
      <c r="W112" s="194"/>
    </row>
    <row r="113" ht="14.25" customHeight="1">
      <c r="A113" s="186"/>
      <c r="B113" s="13">
        <v>2066612.0</v>
      </c>
      <c r="C113" s="14">
        <v>46098.71440972222</v>
      </c>
      <c r="D113" s="187" t="s">
        <v>97</v>
      </c>
      <c r="E113" s="188" t="s">
        <v>8419</v>
      </c>
      <c r="F113" s="189"/>
      <c r="G113" s="187" t="s">
        <v>8421</v>
      </c>
      <c r="H113" s="204"/>
      <c r="I113" s="204"/>
      <c r="J113" s="196" t="s">
        <v>6446</v>
      </c>
      <c r="K113" s="196"/>
      <c r="L113" s="192" t="str">
        <f>IFERROR(__xludf.DUMMYFUNCTION("IF(
  AND(D113=""Saída"", J113=""Sangria""),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198" t="str">
        <f>IFERROR(__xludf.DUMMYFUNCTION("IF(J113=""Compra de Mercadorias"",
   IF(
      COUNTIF(ARRAYFORMULA(TRIM(CLEAN(TO_TEXT(Notas!BS:BS)))), TRIM(CLEAN(TO_TEXT(B113)))) &gt; 0,
      ""Encontrada"",
      ""Não Encontrada""
   ),
"""")"),"Encontrada")</f>
        <v>Encontrada</v>
      </c>
      <c r="N113" s="194">
        <f>IFERROR(__xludf.DUMMYFUNCTION("ifna(VALUE(REGEXEXTRACT(E113,""[0-9.]+[,]+[0-9]+"")))"),211.0)</f>
        <v>211</v>
      </c>
      <c r="O113" s="238"/>
      <c r="P113" s="230"/>
      <c r="Q113" s="230"/>
      <c r="R113" s="240" t="str">
        <f t="shared" si="2"/>
        <v/>
      </c>
      <c r="S113" s="230" t="str">
        <f t="shared" si="3"/>
        <v/>
      </c>
      <c r="T113" s="227" t="str">
        <f t="shared" si="1"/>
        <v/>
      </c>
      <c r="U113" s="194"/>
      <c r="V113" s="194"/>
      <c r="W113" s="194"/>
    </row>
    <row r="114" ht="14.25" customHeight="1">
      <c r="A114" s="186"/>
      <c r="B114" s="13">
        <v>2066616.0</v>
      </c>
      <c r="C114" s="14">
        <v>46098.71543981481</v>
      </c>
      <c r="D114" s="187" t="s">
        <v>97</v>
      </c>
      <c r="E114" s="188" t="s">
        <v>8422</v>
      </c>
      <c r="F114" s="189"/>
      <c r="G114" s="187" t="s">
        <v>8423</v>
      </c>
      <c r="H114" s="204"/>
      <c r="I114" s="204"/>
      <c r="J114" s="196" t="s">
        <v>6446</v>
      </c>
      <c r="K114" s="196"/>
      <c r="L114" s="192" t="str">
        <f>IFERROR(__xludf.DUMMYFUNCTION("IF(
  AND(D114=""Saída"", J114=""Sangria""),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197" t="str">
        <f>IFERROR(__xludf.DUMMYFUNCTION("IF(J114=""Compra de Mercadorias"",
   IF(
      COUNTIF(ARRAYFORMULA(TRIM(CLEAN(TO_TEXT(Notas!BS:BS)))), TRIM(CLEAN(TO_TEXT(B114)))) &gt; 0,
      ""Encontrada"",
      ""Não Encontrada""
   ),
"""")"),"Encontrada")</f>
        <v>Encontrada</v>
      </c>
      <c r="N114" s="194">
        <f>IFERROR(__xludf.DUMMYFUNCTION("ifna(VALUE(REGEXEXTRACT(E114,""[0-9.]+[,]+[0-9]+"")))"),52.79)</f>
        <v>52.79</v>
      </c>
      <c r="O114" s="235"/>
      <c r="P114" s="229"/>
      <c r="Q114" s="229"/>
      <c r="R114" s="237" t="str">
        <f t="shared" si="2"/>
        <v/>
      </c>
      <c r="S114" s="229" t="str">
        <f t="shared" si="3"/>
        <v/>
      </c>
      <c r="T114" s="227" t="str">
        <f t="shared" si="1"/>
        <v/>
      </c>
      <c r="U114" s="194"/>
      <c r="V114" s="194"/>
      <c r="W114" s="194"/>
    </row>
    <row r="115" ht="14.25" customHeight="1">
      <c r="A115" s="186"/>
      <c r="B115" s="13">
        <v>2066624.0</v>
      </c>
      <c r="C115" s="14">
        <v>46098.717627314814</v>
      </c>
      <c r="D115" s="187" t="s">
        <v>97</v>
      </c>
      <c r="E115" s="188" t="s">
        <v>8426</v>
      </c>
      <c r="F115" s="189"/>
      <c r="G115" s="187" t="s">
        <v>157</v>
      </c>
      <c r="H115" s="204"/>
      <c r="I115" s="204"/>
      <c r="J115" s="196" t="s">
        <v>6446</v>
      </c>
      <c r="K115" s="196"/>
      <c r="L115" s="192" t="str">
        <f>IFERROR(__xludf.DUMMYFUNCTION("IF(
  AND(D115=""Saída"", J115=""Sangria""),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198" t="str">
        <f>IFERROR(__xludf.DUMMYFUNCTION("IF(J115=""Compra de Mercadorias"",
   IF(
      COUNTIF(ARRAYFORMULA(TRIM(CLEAN(TO_TEXT(Notas!BS:BS)))), TRIM(CLEAN(TO_TEXT(B115)))) &gt; 0,
      ""Encontrada"",
      ""Não Encontrada""
   ),
"""")"),"Encontrada")</f>
        <v>Encontrada</v>
      </c>
      <c r="N115" s="194">
        <f>IFERROR(__xludf.DUMMYFUNCTION("ifna(VALUE(REGEXEXTRACT(E115,""[0-9.]+[,]+[0-9]+"")))"),59.8)</f>
        <v>59.8</v>
      </c>
      <c r="O115" s="238"/>
      <c r="P115" s="230"/>
      <c r="Q115" s="230"/>
      <c r="R115" s="240" t="str">
        <f t="shared" si="2"/>
        <v/>
      </c>
      <c r="S115" s="230" t="str">
        <f t="shared" si="3"/>
        <v/>
      </c>
      <c r="T115" s="227" t="str">
        <f t="shared" si="1"/>
        <v/>
      </c>
      <c r="U115" s="194"/>
      <c r="V115" s="194"/>
      <c r="W115" s="194"/>
    </row>
    <row r="116" ht="14.25" customHeight="1">
      <c r="A116" s="186"/>
      <c r="B116" s="13">
        <v>2066626.0</v>
      </c>
      <c r="C116" s="14">
        <v>46098.71869212963</v>
      </c>
      <c r="D116" s="187" t="s">
        <v>97</v>
      </c>
      <c r="E116" s="188" t="s">
        <v>163</v>
      </c>
      <c r="F116" s="189"/>
      <c r="G116" s="187" t="s">
        <v>8428</v>
      </c>
      <c r="H116" s="204"/>
      <c r="I116" s="204"/>
      <c r="J116" s="196"/>
      <c r="K116" s="196"/>
      <c r="L116" s="192" t="str">
        <f>IFERROR(__xludf.DUMMYFUNCTION("IF(
  AND(D116=""Saída"", J116=""Sangria""),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197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94">
        <f>IFERROR(__xludf.DUMMYFUNCTION("ifna(VALUE(REGEXEXTRACT(E116,""[0-9.]+[,]+[0-9]+"")))"),0.01)</f>
        <v>0.01</v>
      </c>
      <c r="O116" s="235"/>
      <c r="P116" s="229"/>
      <c r="Q116" s="229"/>
      <c r="R116" s="237" t="str">
        <f t="shared" si="2"/>
        <v/>
      </c>
      <c r="S116" s="229" t="str">
        <f t="shared" si="3"/>
        <v/>
      </c>
      <c r="T116" s="227" t="str">
        <f t="shared" si="1"/>
        <v/>
      </c>
      <c r="U116" s="194"/>
      <c r="V116" s="194"/>
      <c r="W116" s="194"/>
    </row>
    <row r="117" ht="14.25" customHeight="1">
      <c r="A117" s="186"/>
      <c r="B117" s="13">
        <v>2066813.0</v>
      </c>
      <c r="C117" s="14">
        <v>46098.76394675926</v>
      </c>
      <c r="D117" s="187" t="s">
        <v>97</v>
      </c>
      <c r="E117" s="188" t="s">
        <v>650</v>
      </c>
      <c r="F117" s="189"/>
      <c r="G117" s="187" t="s">
        <v>8317</v>
      </c>
      <c r="H117" s="204"/>
      <c r="I117" s="204"/>
      <c r="J117" s="196" t="s">
        <v>6469</v>
      </c>
      <c r="K117" s="196"/>
      <c r="L117" s="192" t="str">
        <f>IFERROR(__xludf.DUMMYFUNCTION("IF(
  AND(D117=""Saída"", J117=""Sangria""),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198" t="str">
        <f>IFERROR(__xludf.DUMMYFUNCTION("IF(J117=""Compra de Mercadorias"",
   IF(
      COUNTIF(ARRAYFORMULA(TRIM(CLEAN(TO_TEXT(Notas!BS:BS)))), TRIM(CLEAN(TO_TEXT(#REF!)))) &gt; 0,
      ""Encontrada"",
      ""Não Encontrada""
   ),
"""")"),"")</f>
        <v/>
      </c>
      <c r="N117" s="194">
        <f>IFERROR(__xludf.DUMMYFUNCTION("ifna(VALUE(REGEXEXTRACT(E117,""[0-9.]+[,]+[0-9]+"")))"),78.0)</f>
        <v>78</v>
      </c>
      <c r="O117" s="238"/>
      <c r="P117" s="230"/>
      <c r="Q117" s="230"/>
      <c r="R117" s="240" t="str">
        <f t="shared" si="2"/>
        <v/>
      </c>
      <c r="S117" s="230" t="str">
        <f t="shared" si="3"/>
        <v/>
      </c>
      <c r="T117" s="242" t="str">
        <f t="shared" ref="T117:T138" si="4">IFERROR(VLOOKUP(Q117, $A$4:$B$18, 2, FALSE), "")</f>
        <v/>
      </c>
      <c r="U117" s="194"/>
      <c r="V117" s="194"/>
      <c r="W117" s="194"/>
    </row>
    <row r="118" ht="14.25" customHeight="1">
      <c r="A118" s="186"/>
      <c r="B118" s="13">
        <v>2066968.0</v>
      </c>
      <c r="C118" s="14">
        <v>46098.81737268518</v>
      </c>
      <c r="D118" s="187" t="s">
        <v>97</v>
      </c>
      <c r="E118" s="188" t="s">
        <v>7689</v>
      </c>
      <c r="F118" s="189"/>
      <c r="G118" s="187" t="s">
        <v>8431</v>
      </c>
      <c r="H118" s="204"/>
      <c r="I118" s="204"/>
      <c r="J118" s="196" t="s">
        <v>6469</v>
      </c>
      <c r="K118" s="196"/>
      <c r="L118" s="192" t="str">
        <f>IFERROR(__xludf.DUMMYFUNCTION("IF(
  AND(D118=""Saída"", J118=""Sangria""),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197" t="str">
        <f>IFERROR(__xludf.DUMMYFUNCTION("IF(J118=""Compra de Mercadorias"",
   IF(
      COUNTIF(ARRAYFORMULA(TRIM(CLEAN(TO_TEXT(Notas!BS:BS)))), TRIM(CLEAN(TO_TEXT(B117)))) &gt; 0,
      ""Encontrada"",
      ""Não Encontrada""
   ),
"""")"),"")</f>
        <v/>
      </c>
      <c r="N118" s="194">
        <f>IFERROR(__xludf.DUMMYFUNCTION("ifna(VALUE(REGEXEXTRACT(E118,""[0-9.]+[,]+[0-9]+"")))"),52.0)</f>
        <v>52</v>
      </c>
      <c r="O118" s="235"/>
      <c r="P118" s="229"/>
      <c r="Q118" s="229"/>
      <c r="R118" s="237" t="str">
        <f t="shared" si="2"/>
        <v/>
      </c>
      <c r="S118" s="229" t="str">
        <f t="shared" si="3"/>
        <v/>
      </c>
      <c r="T118" s="242" t="str">
        <f t="shared" si="4"/>
        <v/>
      </c>
      <c r="U118" s="194"/>
      <c r="V118" s="194"/>
      <c r="W118" s="194"/>
    </row>
    <row r="119" ht="14.25" customHeight="1">
      <c r="A119" s="186"/>
      <c r="B119" s="13">
        <v>2067087.0</v>
      </c>
      <c r="C119" s="14">
        <v>46098.869409722225</v>
      </c>
      <c r="D119" s="187" t="s">
        <v>97</v>
      </c>
      <c r="E119" s="188" t="s">
        <v>7765</v>
      </c>
      <c r="F119" s="200"/>
      <c r="G119" s="187" t="s">
        <v>8433</v>
      </c>
      <c r="H119" s="204"/>
      <c r="I119" s="204"/>
      <c r="J119" s="196" t="s">
        <v>6446</v>
      </c>
      <c r="K119" s="196"/>
      <c r="L119" s="192" t="str">
        <f>IFERROR(__xludf.DUMMYFUNCTION("IF(
  AND(D119=""Saída"", J119=""Sangria""),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198" t="str">
        <f>IFERROR(__xludf.DUMMYFUNCTION("IF(J119=""Compra de Mercadorias"",
   IF(
      COUNTIF(ARRAYFORMULA(TRIM(CLEAN(TO_TEXT(Notas!BS:BS)))), TRIM(CLEAN(TO_TEXT(B119)))) &gt; 0,
      ""Encontrada"",
      ""Não Encontrada""
   ),
"""")"),"Encontrada")</f>
        <v>Encontrada</v>
      </c>
      <c r="N119" s="194">
        <f>IFERROR(__xludf.DUMMYFUNCTION("ifna(VALUE(REGEXEXTRACT(E119,""[0-9.]+[,]+[0-9]+"")))"),60.0)</f>
        <v>60</v>
      </c>
      <c r="O119" s="238"/>
      <c r="P119" s="230"/>
      <c r="Q119" s="230"/>
      <c r="R119" s="240" t="str">
        <f t="shared" si="2"/>
        <v/>
      </c>
      <c r="S119" s="230" t="str">
        <f t="shared" si="3"/>
        <v/>
      </c>
      <c r="T119" s="242" t="str">
        <f t="shared" si="4"/>
        <v/>
      </c>
      <c r="U119" s="194"/>
      <c r="V119" s="194"/>
      <c r="W119" s="194"/>
    </row>
    <row r="120" ht="14.25" customHeight="1">
      <c r="A120" s="186"/>
      <c r="B120" s="13">
        <v>2068346.0</v>
      </c>
      <c r="C120" s="14">
        <v>46099.699849537035</v>
      </c>
      <c r="D120" s="187" t="s">
        <v>97</v>
      </c>
      <c r="E120" s="188" t="s">
        <v>7689</v>
      </c>
      <c r="F120" s="200"/>
      <c r="G120" s="187" t="s">
        <v>8316</v>
      </c>
      <c r="H120" s="204"/>
      <c r="I120" s="204"/>
      <c r="J120" s="196" t="s">
        <v>6469</v>
      </c>
      <c r="K120" s="196"/>
      <c r="L120" s="192" t="str">
        <f>IFERROR(__xludf.DUMMYFUNCTION("IF(
  AND(D120=""Saída"", J120=""Sangria""),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197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94">
        <f>IFERROR(__xludf.DUMMYFUNCTION("ifna(VALUE(REGEXEXTRACT(E120,""[0-9.]+[,]+[0-9]+"")))"),52.0)</f>
        <v>52</v>
      </c>
      <c r="O120" s="235"/>
      <c r="P120" s="229"/>
      <c r="Q120" s="229"/>
      <c r="R120" s="237" t="str">
        <f t="shared" si="2"/>
        <v/>
      </c>
      <c r="S120" s="229" t="str">
        <f t="shared" si="3"/>
        <v/>
      </c>
      <c r="T120" s="242" t="str">
        <f t="shared" si="4"/>
        <v/>
      </c>
      <c r="U120" s="194"/>
      <c r="V120" s="194"/>
      <c r="W120" s="194"/>
    </row>
    <row r="121" ht="14.25" customHeight="1">
      <c r="A121" s="186"/>
      <c r="B121" s="13">
        <v>2068900.0</v>
      </c>
      <c r="C121" s="14">
        <v>46099.89109953704</v>
      </c>
      <c r="D121" s="187" t="s">
        <v>97</v>
      </c>
      <c r="E121" s="188" t="s">
        <v>343</v>
      </c>
      <c r="F121" s="189"/>
      <c r="G121" s="187" t="s">
        <v>8436</v>
      </c>
      <c r="H121" s="204"/>
      <c r="I121" s="204"/>
      <c r="J121" s="196" t="s">
        <v>6469</v>
      </c>
      <c r="K121" s="196"/>
      <c r="L121" s="192" t="str">
        <f>IFERROR(__xludf.DUMMYFUNCTION("IF(
  AND(D121=""Saída"", J121=""Sangria""),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198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94">
        <f>IFERROR(__xludf.DUMMYFUNCTION("ifna(VALUE(REGEXEXTRACT(E121,""[0-9.]+[,]+[0-9]+"")))"),50.0)</f>
        <v>50</v>
      </c>
      <c r="O121" s="238"/>
      <c r="P121" s="230"/>
      <c r="Q121" s="230"/>
      <c r="R121" s="240" t="str">
        <f t="shared" si="2"/>
        <v/>
      </c>
      <c r="S121" s="230" t="str">
        <f t="shared" si="3"/>
        <v/>
      </c>
      <c r="T121" s="242" t="str">
        <f t="shared" si="4"/>
        <v/>
      </c>
      <c r="U121" s="194"/>
      <c r="V121" s="194"/>
      <c r="W121" s="194"/>
    </row>
    <row r="122" ht="14.25" customHeight="1">
      <c r="A122" s="186"/>
      <c r="B122" s="13">
        <v>2070494.0</v>
      </c>
      <c r="C122" s="14">
        <v>46100.755277777775</v>
      </c>
      <c r="D122" s="187" t="s">
        <v>97</v>
      </c>
      <c r="E122" s="188" t="s">
        <v>650</v>
      </c>
      <c r="F122" s="189"/>
      <c r="G122" s="187" t="s">
        <v>8439</v>
      </c>
      <c r="H122" s="204"/>
      <c r="I122" s="204"/>
      <c r="J122" s="196" t="s">
        <v>6469</v>
      </c>
      <c r="K122" s="196"/>
      <c r="L122" s="192" t="str">
        <f>IFERROR(__xludf.DUMMYFUNCTION("IF(
  AND(D122=""Saída"", J122=""Sangria""),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197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94">
        <f>IFERROR(__xludf.DUMMYFUNCTION("ifna(VALUE(REGEXEXTRACT(E122,""[0-9.]+[,]+[0-9]+"")))"),78.0)</f>
        <v>78</v>
      </c>
      <c r="O122" s="235"/>
      <c r="P122" s="229"/>
      <c r="Q122" s="229"/>
      <c r="R122" s="237" t="str">
        <f t="shared" si="2"/>
        <v/>
      </c>
      <c r="S122" s="229" t="str">
        <f t="shared" si="3"/>
        <v/>
      </c>
      <c r="T122" s="242" t="str">
        <f t="shared" si="4"/>
        <v/>
      </c>
      <c r="U122" s="194"/>
      <c r="V122" s="194"/>
      <c r="W122" s="194"/>
    </row>
    <row r="123" ht="14.25" customHeight="1">
      <c r="A123" s="186"/>
      <c r="B123" s="13">
        <v>2070497.0</v>
      </c>
      <c r="C123" s="14">
        <v>46100.75575231481</v>
      </c>
      <c r="D123" s="187" t="s">
        <v>97</v>
      </c>
      <c r="E123" s="188" t="s">
        <v>7689</v>
      </c>
      <c r="F123" s="200"/>
      <c r="G123" s="187" t="s">
        <v>8441</v>
      </c>
      <c r="H123" s="204"/>
      <c r="I123" s="204"/>
      <c r="J123" s="196" t="s">
        <v>6469</v>
      </c>
      <c r="K123" s="196"/>
      <c r="L123" s="192" t="str">
        <f>IFERROR(__xludf.DUMMYFUNCTION("IF(
  AND(D123=""Saída"", J123=""Sangria""),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198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94">
        <f>IFERROR(__xludf.DUMMYFUNCTION("ifna(VALUE(REGEXEXTRACT(E123,""[0-9.]+[,]+[0-9]+"")))"),52.0)</f>
        <v>52</v>
      </c>
      <c r="O123" s="238"/>
      <c r="P123" s="230"/>
      <c r="Q123" s="230"/>
      <c r="R123" s="240" t="str">
        <f t="shared" si="2"/>
        <v/>
      </c>
      <c r="S123" s="230" t="str">
        <f t="shared" si="3"/>
        <v/>
      </c>
      <c r="T123" s="242" t="str">
        <f t="shared" si="4"/>
        <v/>
      </c>
      <c r="U123" s="194"/>
      <c r="V123" s="194"/>
      <c r="W123" s="194"/>
    </row>
    <row r="124" ht="14.25" customHeight="1">
      <c r="A124" s="186"/>
      <c r="B124" s="13">
        <v>2072127.0</v>
      </c>
      <c r="C124" s="14">
        <v>46101.69261574074</v>
      </c>
      <c r="D124" s="187" t="s">
        <v>97</v>
      </c>
      <c r="E124" s="188" t="s">
        <v>8442</v>
      </c>
      <c r="F124" s="189"/>
      <c r="G124" s="187" t="s">
        <v>8443</v>
      </c>
      <c r="H124" s="204"/>
      <c r="I124" s="204"/>
      <c r="J124" s="196" t="s">
        <v>6446</v>
      </c>
      <c r="K124" s="196"/>
      <c r="L124" s="192" t="str">
        <f>IFERROR(__xludf.DUMMYFUNCTION("IF(
  AND(D124=""Saída"", J124=""Sangria""),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197" t="str">
        <f>IFERROR(__xludf.DUMMYFUNCTION("IF(J124=""Compra de Mercadorias"",
   IF(
      COUNTIF(ARRAYFORMULA(TRIM(CLEAN(TO_TEXT(Notas!BS:BS)))), TRIM(CLEAN(TO_TEXT(B124)))) &gt; 0,
      ""Encontrada"",
      ""Não Encontrada""
   ),
"""")"),"Encontrada")</f>
        <v>Encontrada</v>
      </c>
      <c r="N124" s="194">
        <f>IFERROR(__xludf.DUMMYFUNCTION("ifna(VALUE(REGEXEXTRACT(E124,""[0-9.]+[,]+[0-9]+"")))"),188.74)</f>
        <v>188.74</v>
      </c>
      <c r="O124" s="235"/>
      <c r="P124" s="229"/>
      <c r="Q124" s="229"/>
      <c r="R124" s="237" t="str">
        <f t="shared" si="2"/>
        <v/>
      </c>
      <c r="S124" s="229" t="str">
        <f t="shared" si="3"/>
        <v/>
      </c>
      <c r="T124" s="242" t="str">
        <f t="shared" si="4"/>
        <v/>
      </c>
      <c r="U124" s="194"/>
      <c r="V124" s="194"/>
      <c r="W124" s="194"/>
    </row>
    <row r="125" ht="14.25" customHeight="1">
      <c r="A125" s="186"/>
      <c r="B125" s="13">
        <v>2072167.0</v>
      </c>
      <c r="C125" s="14">
        <v>46101.70202546296</v>
      </c>
      <c r="D125" s="187" t="s">
        <v>97</v>
      </c>
      <c r="E125" s="188" t="s">
        <v>7058</v>
      </c>
      <c r="F125" s="189"/>
      <c r="G125" s="187" t="s">
        <v>8446</v>
      </c>
      <c r="H125" s="204"/>
      <c r="I125" s="204"/>
      <c r="J125" s="196" t="s">
        <v>6446</v>
      </c>
      <c r="K125" s="196"/>
      <c r="L125" s="192" t="str">
        <f>IFERROR(__xludf.DUMMYFUNCTION("IF(
  AND(D125=""Saída"", J125=""Sangria""),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198" t="str">
        <f>IFERROR(__xludf.DUMMYFUNCTION("IF(J125=""Compra de Mercadorias"",
   IF(
      COUNTIF(ARRAYFORMULA(TRIM(CLEAN(TO_TEXT(Notas!BS:BS)))), TRIM(CLEAN(TO_TEXT(B125)))) &gt; 0,
      ""Encontrada"",
      ""Não Encontrada""
   ),
"""")"),"Encontrada")</f>
        <v>Encontrada</v>
      </c>
      <c r="N125" s="194">
        <f>IFERROR(__xludf.DUMMYFUNCTION("ifna(VALUE(REGEXEXTRACT(E125,""[0-9.]+[,]+[0-9]+"")))"),375.0)</f>
        <v>375</v>
      </c>
      <c r="O125" s="238"/>
      <c r="P125" s="230"/>
      <c r="Q125" s="230"/>
      <c r="R125" s="240" t="str">
        <f t="shared" si="2"/>
        <v/>
      </c>
      <c r="S125" s="230" t="str">
        <f t="shared" si="3"/>
        <v/>
      </c>
      <c r="T125" s="242" t="str">
        <f t="shared" si="4"/>
        <v/>
      </c>
      <c r="U125" s="194"/>
      <c r="V125" s="194"/>
      <c r="W125" s="194"/>
    </row>
    <row r="126" ht="14.25" customHeight="1">
      <c r="A126" s="186"/>
      <c r="B126" s="13">
        <v>2072183.0</v>
      </c>
      <c r="C126" s="14">
        <v>46101.70358796296</v>
      </c>
      <c r="D126" s="187" t="s">
        <v>97</v>
      </c>
      <c r="E126" s="188" t="s">
        <v>8448</v>
      </c>
      <c r="F126" s="189"/>
      <c r="G126" s="187" t="s">
        <v>8449</v>
      </c>
      <c r="H126" s="204"/>
      <c r="I126" s="204"/>
      <c r="J126" s="196" t="s">
        <v>6446</v>
      </c>
      <c r="K126" s="196"/>
      <c r="L126" s="192" t="str">
        <f>IFERROR(__xludf.DUMMYFUNCTION("IF(
  AND(D126=""Saída"", J126=""Sangria""),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197" t="str">
        <f>IFERROR(__xludf.DUMMYFUNCTION("IF(J126=""Compra de Mercadorias"",
   IF(
      COUNTIF(ARRAYFORMULA(TRIM(CLEAN(TO_TEXT(Notas!BS:BS)))), TRIM(CLEAN(TO_TEXT(B126)))) &gt; 0,
      ""Encontrada"",
      ""Não Encontrada""
   ),
"""")"),"Encontrada")</f>
        <v>Encontrada</v>
      </c>
      <c r="N126" s="194">
        <f>IFERROR(__xludf.DUMMYFUNCTION("ifna(VALUE(REGEXEXTRACT(E126,""[0-9.]+[,]+[0-9]+"")))"),221.6)</f>
        <v>221.6</v>
      </c>
      <c r="O126" s="235"/>
      <c r="P126" s="229"/>
      <c r="Q126" s="229"/>
      <c r="R126" s="237" t="str">
        <f t="shared" si="2"/>
        <v/>
      </c>
      <c r="S126" s="229" t="str">
        <f t="shared" si="3"/>
        <v/>
      </c>
      <c r="T126" s="242" t="str">
        <f t="shared" si="4"/>
        <v/>
      </c>
      <c r="U126" s="194"/>
      <c r="V126" s="194"/>
      <c r="W126" s="194"/>
    </row>
    <row r="127" ht="14.25" customHeight="1">
      <c r="A127" s="186"/>
      <c r="B127" s="13">
        <v>2072531.0</v>
      </c>
      <c r="C127" s="14">
        <v>46101.76689814815</v>
      </c>
      <c r="D127" s="187" t="s">
        <v>97</v>
      </c>
      <c r="E127" s="188" t="s">
        <v>7829</v>
      </c>
      <c r="F127" s="189"/>
      <c r="G127" s="187" t="s">
        <v>8451</v>
      </c>
      <c r="H127" s="204"/>
      <c r="I127" s="204"/>
      <c r="J127" s="196" t="s">
        <v>6469</v>
      </c>
      <c r="K127" s="196"/>
      <c r="L127" s="192" t="str">
        <f>IFERROR(__xludf.DUMMYFUNCTION("IF(
  AND(D127=""Saída"", J127=""Sangria""),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198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94">
        <f>IFERROR(__xludf.DUMMYFUNCTION("ifna(VALUE(REGEXEXTRACT(E127,""[0-9.]+[,]+[0-9]+"")))"),72.0)</f>
        <v>72</v>
      </c>
      <c r="O127" s="238"/>
      <c r="P127" s="230"/>
      <c r="Q127" s="230"/>
      <c r="R127" s="240" t="str">
        <f t="shared" si="2"/>
        <v/>
      </c>
      <c r="S127" s="230" t="str">
        <f t="shared" si="3"/>
        <v/>
      </c>
      <c r="T127" s="242" t="str">
        <f t="shared" si="4"/>
        <v/>
      </c>
      <c r="U127" s="194"/>
      <c r="V127" s="194"/>
      <c r="W127" s="194"/>
    </row>
    <row r="128" ht="14.25" customHeight="1">
      <c r="A128" s="186"/>
      <c r="B128" s="13">
        <v>2072538.0</v>
      </c>
      <c r="C128" s="14">
        <v>46101.767604166664</v>
      </c>
      <c r="D128" s="187" t="s">
        <v>97</v>
      </c>
      <c r="E128" s="188" t="s">
        <v>7689</v>
      </c>
      <c r="F128" s="189"/>
      <c r="G128" s="187" t="s">
        <v>8452</v>
      </c>
      <c r="H128" s="204"/>
      <c r="I128" s="204"/>
      <c r="J128" s="196" t="s">
        <v>6469</v>
      </c>
      <c r="K128" s="196"/>
      <c r="L128" s="192" t="str">
        <f>IFERROR(__xludf.DUMMYFUNCTION("IF(
  AND(D128=""Saída"", J128=""Sangria""),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197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94">
        <f>IFERROR(__xludf.DUMMYFUNCTION("ifna(VALUE(REGEXEXTRACT(E128,""[0-9.]+[,]+[0-9]+"")))"),52.0)</f>
        <v>52</v>
      </c>
      <c r="O128" s="235"/>
      <c r="P128" s="229"/>
      <c r="Q128" s="229"/>
      <c r="R128" s="237" t="str">
        <f t="shared" si="2"/>
        <v/>
      </c>
      <c r="S128" s="229" t="str">
        <f t="shared" si="3"/>
        <v/>
      </c>
      <c r="T128" s="242" t="str">
        <f t="shared" si="4"/>
        <v/>
      </c>
      <c r="U128" s="194"/>
      <c r="V128" s="194"/>
      <c r="W128" s="194"/>
    </row>
    <row r="129" ht="14.25" customHeight="1">
      <c r="A129" s="186"/>
      <c r="B129" s="13">
        <v>2072550.0</v>
      </c>
      <c r="C129" s="14">
        <v>46101.769780092596</v>
      </c>
      <c r="D129" s="187" t="s">
        <v>97</v>
      </c>
      <c r="E129" s="188" t="s">
        <v>262</v>
      </c>
      <c r="F129" s="189"/>
      <c r="G129" s="187" t="s">
        <v>8454</v>
      </c>
      <c r="H129" s="204"/>
      <c r="I129" s="204"/>
      <c r="J129" s="196" t="s">
        <v>6446</v>
      </c>
      <c r="K129" s="196"/>
      <c r="L129" s="192" t="str">
        <f>IFERROR(__xludf.DUMMYFUNCTION("IF(
  AND(D129=""Saída"", J129=""Sangria""),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198" t="str">
        <f>IFERROR(__xludf.DUMMYFUNCTION("IF(J129=""Compra de Mercadorias"",
   IF(
      COUNTIF(ARRAYFORMULA(TRIM(CLEAN(TO_TEXT(Notas!BS:BS)))), TRIM(CLEAN(TO_TEXT(B129)))) &gt; 0,
      ""Encontrada"",
      ""Não Encontrada""
   ),
"""")"),"Não Encontrada")</f>
        <v>Não Encontrada</v>
      </c>
      <c r="N129" s="194">
        <f>IFERROR(__xludf.DUMMYFUNCTION("ifna(VALUE(REGEXEXTRACT(E129,""[0-9.]+[,]+[0-9]+"")))"),4.0)</f>
        <v>4</v>
      </c>
      <c r="O129" s="238"/>
      <c r="P129" s="230"/>
      <c r="Q129" s="230"/>
      <c r="R129" s="240" t="str">
        <f t="shared" si="2"/>
        <v/>
      </c>
      <c r="S129" s="230" t="str">
        <f t="shared" si="3"/>
        <v/>
      </c>
      <c r="T129" s="242" t="str">
        <f t="shared" si="4"/>
        <v/>
      </c>
      <c r="U129" s="194"/>
      <c r="V129" s="194"/>
      <c r="W129" s="194"/>
    </row>
    <row r="130" ht="14.25" customHeight="1">
      <c r="A130" s="186"/>
      <c r="B130" s="13">
        <v>2074386.0</v>
      </c>
      <c r="C130" s="14">
        <v>46102.692395833335</v>
      </c>
      <c r="D130" s="187" t="s">
        <v>97</v>
      </c>
      <c r="E130" s="188" t="s">
        <v>8456</v>
      </c>
      <c r="F130" s="189"/>
      <c r="G130" s="187" t="s">
        <v>8457</v>
      </c>
      <c r="H130" s="204"/>
      <c r="I130" s="204"/>
      <c r="J130" s="196" t="s">
        <v>6446</v>
      </c>
      <c r="K130" s="196"/>
      <c r="L130" s="192" t="str">
        <f>IFERROR(__xludf.DUMMYFUNCTION("IF(
  AND(D130=""Saída"", J130=""Sangria""),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197" t="str">
        <f>IFERROR(__xludf.DUMMYFUNCTION("IF(J130=""Compra de Mercadorias"",
   IF(
      COUNTIF(ARRAYFORMULA(TRIM(CLEAN(TO_TEXT(Notas!BS:BS)))), TRIM(CLEAN(TO_TEXT(B130)))) &gt; 0,
      ""Encontrada"",
      ""Não Encontrada""
   ),
"""")"),"Encontrada")</f>
        <v>Encontrada</v>
      </c>
      <c r="N130" s="194">
        <f>IFERROR(__xludf.DUMMYFUNCTION("ifna(VALUE(REGEXEXTRACT(E130,""[0-9.]+[,]+[0-9]+"")))"),130.11)</f>
        <v>130.11</v>
      </c>
      <c r="O130" s="235"/>
      <c r="P130" s="229"/>
      <c r="Q130" s="229"/>
      <c r="R130" s="237" t="str">
        <f t="shared" si="2"/>
        <v/>
      </c>
      <c r="S130" s="229" t="str">
        <f t="shared" si="3"/>
        <v/>
      </c>
      <c r="T130" s="242" t="str">
        <f t="shared" si="4"/>
        <v/>
      </c>
      <c r="U130" s="194"/>
      <c r="V130" s="194"/>
      <c r="W130" s="194"/>
    </row>
    <row r="131" ht="14.25" customHeight="1">
      <c r="A131" s="186"/>
      <c r="B131" s="13">
        <v>2075025.0</v>
      </c>
      <c r="C131" s="14">
        <v>46102.81344907408</v>
      </c>
      <c r="D131" s="187" t="s">
        <v>97</v>
      </c>
      <c r="E131" s="188" t="s">
        <v>6561</v>
      </c>
      <c r="F131" s="189"/>
      <c r="G131" s="187" t="s">
        <v>8458</v>
      </c>
      <c r="H131" s="204"/>
      <c r="I131" s="204"/>
      <c r="J131" s="196" t="s">
        <v>6469</v>
      </c>
      <c r="K131" s="196"/>
      <c r="L131" s="192" t="str">
        <f>IFERROR(__xludf.DUMMYFUNCTION("IF(
  AND(D131=""Saída"", J131=""Sangria""),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198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94">
        <f>IFERROR(__xludf.DUMMYFUNCTION("ifna(VALUE(REGEXEXTRACT(E131,""[0-9.]+[,]+[0-9]+"")))"),123.0)</f>
        <v>123</v>
      </c>
      <c r="O131" s="238"/>
      <c r="P131" s="230"/>
      <c r="Q131" s="230"/>
      <c r="R131" s="240" t="str">
        <f t="shared" si="2"/>
        <v/>
      </c>
      <c r="S131" s="230" t="str">
        <f t="shared" si="3"/>
        <v/>
      </c>
      <c r="T131" s="242" t="str">
        <f t="shared" si="4"/>
        <v/>
      </c>
      <c r="U131" s="194"/>
      <c r="V131" s="194"/>
      <c r="W131" s="194"/>
    </row>
    <row r="132" ht="14.25" customHeight="1">
      <c r="A132" s="186"/>
      <c r="B132" s="13">
        <v>2075082.0</v>
      </c>
      <c r="C132" s="14">
        <v>46102.8278587963</v>
      </c>
      <c r="D132" s="187" t="s">
        <v>97</v>
      </c>
      <c r="E132" s="188" t="s">
        <v>7689</v>
      </c>
      <c r="F132" s="189"/>
      <c r="G132" s="187" t="s">
        <v>8459</v>
      </c>
      <c r="H132" s="204"/>
      <c r="I132" s="204"/>
      <c r="J132" s="196" t="s">
        <v>6469</v>
      </c>
      <c r="K132" s="196"/>
      <c r="L132" s="192" t="str">
        <f>IFERROR(__xludf.DUMMYFUNCTION("IF(
  AND(D132=""Saída"", J132=""Sangria""),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197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94">
        <f>IFERROR(__xludf.DUMMYFUNCTION("ifna(VALUE(REGEXEXTRACT(E132,""[0-9.]+[,]+[0-9]+"")))"),52.0)</f>
        <v>52</v>
      </c>
      <c r="O132" s="235"/>
      <c r="P132" s="229"/>
      <c r="Q132" s="229"/>
      <c r="R132" s="237" t="str">
        <f t="shared" si="2"/>
        <v/>
      </c>
      <c r="S132" s="229" t="str">
        <f t="shared" si="3"/>
        <v/>
      </c>
      <c r="T132" s="242" t="str">
        <f t="shared" si="4"/>
        <v/>
      </c>
      <c r="U132" s="194"/>
      <c r="V132" s="194"/>
      <c r="W132" s="194"/>
    </row>
    <row r="133" ht="14.25" customHeight="1">
      <c r="A133" s="186"/>
      <c r="B133" s="13">
        <v>2075506.0</v>
      </c>
      <c r="C133" s="14">
        <v>46102.890856481485</v>
      </c>
      <c r="D133" s="187" t="s">
        <v>97</v>
      </c>
      <c r="E133" s="188" t="s">
        <v>6561</v>
      </c>
      <c r="F133" s="189"/>
      <c r="G133" s="187" t="s">
        <v>8463</v>
      </c>
      <c r="H133" s="204"/>
      <c r="I133" s="204"/>
      <c r="J133" s="196" t="s">
        <v>6469</v>
      </c>
      <c r="K133" s="196"/>
      <c r="L133" s="192" t="str">
        <f>IFERROR(__xludf.DUMMYFUNCTION("IF(
  AND(D133=""Saída"", J133=""Sangria""),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198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94">
        <f>IFERROR(__xludf.DUMMYFUNCTION("ifna(VALUE(REGEXEXTRACT(E133,""[0-9.]+[,]+[0-9]+"")))"),123.0)</f>
        <v>123</v>
      </c>
      <c r="O133" s="243"/>
      <c r="P133" s="244"/>
      <c r="Q133" s="244"/>
      <c r="R133" s="245" t="str">
        <f t="shared" si="2"/>
        <v/>
      </c>
      <c r="S133" s="244" t="str">
        <f t="shared" si="3"/>
        <v/>
      </c>
      <c r="T133" s="242" t="str">
        <f t="shared" si="4"/>
        <v/>
      </c>
      <c r="U133" s="194"/>
      <c r="V133" s="194"/>
      <c r="W133" s="194"/>
    </row>
    <row r="134" ht="14.25" customHeight="1">
      <c r="A134" s="186"/>
      <c r="B134" s="13">
        <v>2078084.0</v>
      </c>
      <c r="C134" s="14">
        <v>46103.84175925926</v>
      </c>
      <c r="D134" s="187" t="s">
        <v>97</v>
      </c>
      <c r="E134" s="188" t="s">
        <v>650</v>
      </c>
      <c r="F134" s="189"/>
      <c r="G134" s="187" t="s">
        <v>8465</v>
      </c>
      <c r="H134" s="204"/>
      <c r="I134" s="204"/>
      <c r="J134" s="196" t="s">
        <v>6469</v>
      </c>
      <c r="K134" s="196"/>
      <c r="L134" s="192" t="str">
        <f>IFERROR(__xludf.DUMMYFUNCTION("IF(
  AND(D134=""Saída"", J134=""Sangria""),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197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94">
        <f>IFERROR(__xludf.DUMMYFUNCTION("ifna(VALUE(REGEXEXTRACT(E134,""[0-9.]+[,]+[0-9]+"")))"),78.0)</f>
        <v>78</v>
      </c>
      <c r="O134" s="243"/>
      <c r="P134" s="244"/>
      <c r="Q134" s="244"/>
      <c r="R134" s="245" t="str">
        <f t="shared" si="2"/>
        <v/>
      </c>
      <c r="S134" s="244" t="str">
        <f t="shared" si="3"/>
        <v/>
      </c>
      <c r="T134" s="242" t="str">
        <f t="shared" si="4"/>
        <v/>
      </c>
      <c r="U134" s="194"/>
      <c r="V134" s="194"/>
      <c r="W134" s="194"/>
    </row>
    <row r="135" ht="14.25" customHeight="1">
      <c r="A135" s="186"/>
      <c r="B135" s="13">
        <v>2078092.0</v>
      </c>
      <c r="C135" s="14">
        <v>46103.842986111114</v>
      </c>
      <c r="D135" s="187" t="s">
        <v>97</v>
      </c>
      <c r="E135" s="188" t="s">
        <v>650</v>
      </c>
      <c r="F135" s="189"/>
      <c r="G135" s="187" t="s">
        <v>8466</v>
      </c>
      <c r="H135" s="204"/>
      <c r="I135" s="204"/>
      <c r="J135" s="196" t="s">
        <v>6469</v>
      </c>
      <c r="K135" s="196"/>
      <c r="L135" s="192" t="str">
        <f>IFERROR(__xludf.DUMMYFUNCTION("IF(
  AND(D135=""Saída"", J135=""Sangria""),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198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94">
        <f>IFERROR(__xludf.DUMMYFUNCTION("ifna(VALUE(REGEXEXTRACT(E135,""[0-9.]+[,]+[0-9]+"")))"),78.0)</f>
        <v>78</v>
      </c>
      <c r="O135" s="243"/>
      <c r="P135" s="244"/>
      <c r="Q135" s="244"/>
      <c r="R135" s="245" t="str">
        <f t="shared" si="2"/>
        <v/>
      </c>
      <c r="S135" s="244" t="str">
        <f t="shared" si="3"/>
        <v/>
      </c>
      <c r="T135" s="242" t="str">
        <f t="shared" si="4"/>
        <v/>
      </c>
      <c r="U135" s="194"/>
      <c r="V135" s="194"/>
      <c r="W135" s="194"/>
    </row>
    <row r="136" ht="14.25" customHeight="1">
      <c r="A136" s="186"/>
      <c r="B136" s="13">
        <v>2078101.0</v>
      </c>
      <c r="C136" s="14">
        <v>46103.84443287037</v>
      </c>
      <c r="D136" s="187" t="s">
        <v>97</v>
      </c>
      <c r="E136" s="188" t="s">
        <v>6561</v>
      </c>
      <c r="F136" s="189"/>
      <c r="G136" s="187" t="s">
        <v>8468</v>
      </c>
      <c r="H136" s="204"/>
      <c r="I136" s="204"/>
      <c r="J136" s="196" t="s">
        <v>6469</v>
      </c>
      <c r="K136" s="196"/>
      <c r="L136" s="192" t="str">
        <f>IFERROR(__xludf.DUMMYFUNCTION("IF(
  AND(D136=""Saída"", J136=""Sangria""),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197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94">
        <f>IFERROR(__xludf.DUMMYFUNCTION("ifna(VALUE(REGEXEXTRACT(E136,""[0-9.]+[,]+[0-9]+"")))"),123.0)</f>
        <v>123</v>
      </c>
      <c r="O136" s="243"/>
      <c r="P136" s="244"/>
      <c r="Q136" s="244"/>
      <c r="R136" s="245" t="str">
        <f t="shared" si="2"/>
        <v/>
      </c>
      <c r="S136" s="244" t="str">
        <f t="shared" si="3"/>
        <v/>
      </c>
      <c r="T136" s="242" t="str">
        <f t="shared" si="4"/>
        <v/>
      </c>
      <c r="U136" s="194"/>
      <c r="V136" s="194"/>
      <c r="W136" s="194"/>
    </row>
    <row r="137" ht="14.25" customHeight="1">
      <c r="A137" s="186"/>
      <c r="B137" s="13">
        <v>2078108.0</v>
      </c>
      <c r="C137" s="14">
        <v>46103.84517361111</v>
      </c>
      <c r="D137" s="187" t="s">
        <v>97</v>
      </c>
      <c r="E137" s="188" t="s">
        <v>6561</v>
      </c>
      <c r="F137" s="189"/>
      <c r="G137" s="187" t="s">
        <v>8470</v>
      </c>
      <c r="H137" s="204"/>
      <c r="I137" s="204"/>
      <c r="J137" s="196" t="s">
        <v>6469</v>
      </c>
      <c r="K137" s="196"/>
      <c r="L137" s="192" t="str">
        <f>IFERROR(__xludf.DUMMYFUNCTION("IF(
  AND(D137=""Saída"", J137=""Sangria""),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198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94">
        <f>IFERROR(__xludf.DUMMYFUNCTION("ifna(VALUE(REGEXEXTRACT(E137,""[0-9.]+[,]+[0-9]+"")))"),123.0)</f>
        <v>123</v>
      </c>
      <c r="O137" s="243"/>
      <c r="P137" s="244"/>
      <c r="Q137" s="244"/>
      <c r="R137" s="245" t="str">
        <f t="shared" si="2"/>
        <v/>
      </c>
      <c r="S137" s="244" t="str">
        <f t="shared" si="3"/>
        <v/>
      </c>
      <c r="T137" s="242" t="str">
        <f t="shared" si="4"/>
        <v/>
      </c>
      <c r="U137" s="194"/>
      <c r="V137" s="194"/>
      <c r="W137" s="194"/>
    </row>
    <row r="138" ht="14.25" customHeight="1">
      <c r="A138" s="186"/>
      <c r="B138" s="13">
        <v>2078116.0</v>
      </c>
      <c r="C138" s="14">
        <v>46103.84649305556</v>
      </c>
      <c r="D138" s="187" t="s">
        <v>97</v>
      </c>
      <c r="E138" s="188" t="s">
        <v>163</v>
      </c>
      <c r="F138" s="189"/>
      <c r="G138" s="187" t="s">
        <v>8473</v>
      </c>
      <c r="H138" s="204"/>
      <c r="I138" s="204"/>
      <c r="J138" s="196"/>
      <c r="K138" s="196"/>
      <c r="L138" s="192" t="str">
        <f>IFERROR(__xludf.DUMMYFUNCTION("IF(
  AND(D138=""Saída"", J138=""Sangria""),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197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94">
        <f>IFERROR(__xludf.DUMMYFUNCTION("ifna(VALUE(REGEXEXTRACT(E138,""[0-9.]+[,]+[0-9]+"")))"),0.01)</f>
        <v>0.01</v>
      </c>
      <c r="O138" s="246"/>
      <c r="P138" s="247"/>
      <c r="Q138" s="247"/>
      <c r="R138" s="248" t="str">
        <f t="shared" si="2"/>
        <v/>
      </c>
      <c r="S138" s="247" t="str">
        <f t="shared" si="3"/>
        <v/>
      </c>
      <c r="T138" s="249" t="str">
        <f t="shared" si="4"/>
        <v/>
      </c>
      <c r="U138" s="194"/>
      <c r="V138" s="194"/>
      <c r="W138" s="194"/>
    </row>
    <row r="139" ht="14.25" customHeight="1">
      <c r="A139" s="186"/>
      <c r="B139" s="13">
        <v>2078194.0</v>
      </c>
      <c r="C139" s="14">
        <v>46103.859293981484</v>
      </c>
      <c r="D139" s="187" t="s">
        <v>97</v>
      </c>
      <c r="E139" s="188" t="s">
        <v>8474</v>
      </c>
      <c r="F139" s="189"/>
      <c r="G139" s="187" t="s">
        <v>8475</v>
      </c>
      <c r="H139" s="204"/>
      <c r="I139" s="204"/>
      <c r="J139" s="196" t="s">
        <v>6446</v>
      </c>
      <c r="K139" s="196"/>
      <c r="L139" s="192" t="str">
        <f>IFERROR(__xludf.DUMMYFUNCTION("IF(
  AND(D139=""Saída"", J139=""Sangria""),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198" t="str">
        <f>IFERROR(__xludf.DUMMYFUNCTION("IF(J139=""Compra de Mercadorias"",
   IF(
      COUNTIF(ARRAYFORMULA(TRIM(CLEAN(TO_TEXT(Notas!BS:BS)))), TRIM(CLEAN(TO_TEXT(B139)))) &gt; 0,
      ""Encontrada"",
      ""Não Encontrada""
   ),
"""")"),"Encontrada")</f>
        <v>Encontrada</v>
      </c>
      <c r="N139" s="194">
        <f>IFERROR(__xludf.DUMMYFUNCTION("ifna(VALUE(REGEXEXTRACT(E139,""[0-9.]+[,]+[0-9]+"")))"),1607.25)</f>
        <v>1607.25</v>
      </c>
      <c r="O139" s="194"/>
      <c r="P139" s="194"/>
      <c r="Q139" s="194"/>
      <c r="R139" s="194"/>
      <c r="S139" s="194"/>
      <c r="T139" s="194"/>
      <c r="U139" s="194"/>
      <c r="V139" s="194"/>
      <c r="W139" s="194"/>
    </row>
    <row r="140" ht="14.25" customHeight="1">
      <c r="A140" s="186"/>
      <c r="B140" s="13">
        <v>2078520.0</v>
      </c>
      <c r="C140" s="14">
        <v>46103.89859953704</v>
      </c>
      <c r="D140" s="187" t="s">
        <v>97</v>
      </c>
      <c r="E140" s="188" t="s">
        <v>8477</v>
      </c>
      <c r="F140" s="200"/>
      <c r="G140" s="187" t="s">
        <v>8478</v>
      </c>
      <c r="H140" s="204"/>
      <c r="I140" s="204"/>
      <c r="J140" s="196" t="s">
        <v>6551</v>
      </c>
      <c r="K140" s="196"/>
      <c r="L140" s="192" t="str">
        <f>IFERROR(__xludf.DUMMYFUNCTION("IF(
  AND(D140=""Saída"", J140=""Sangria""),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197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94">
        <f>IFERROR(__xludf.DUMMYFUNCTION("ifna(VALUE(REGEXEXTRACT(E140,""[0-9.]+[,]+[0-9]+"")))"),678.0)</f>
        <v>678</v>
      </c>
      <c r="O140" s="250" t="s">
        <v>7561</v>
      </c>
      <c r="W140" s="194"/>
    </row>
    <row r="141" ht="14.25" customHeight="1">
      <c r="A141" s="186"/>
      <c r="B141" s="13">
        <v>2080120.0</v>
      </c>
      <c r="C141" s="14">
        <v>46104.67443287037</v>
      </c>
      <c r="D141" s="187" t="s">
        <v>97</v>
      </c>
      <c r="E141" s="188" t="s">
        <v>8479</v>
      </c>
      <c r="F141" s="189"/>
      <c r="G141" s="187" t="s">
        <v>8480</v>
      </c>
      <c r="H141" s="204"/>
      <c r="I141" s="204"/>
      <c r="J141" s="196" t="s">
        <v>6446</v>
      </c>
      <c r="K141" s="196"/>
      <c r="L141" s="192" t="str">
        <f>IFERROR(__xludf.DUMMYFUNCTION("IF(
  AND(D141=""Saída"", J141=""Sangria""),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198" t="str">
        <f>IFERROR(__xludf.DUMMYFUNCTION("IF(J141=""Compra de Mercadorias"",
   IF(
      COUNTIF(ARRAYFORMULA(TRIM(CLEAN(TO_TEXT(Notas!BS:BS)))), TRIM(CLEAN(TO_TEXT(B141)))) &gt; 0,
      ""Encontrada"",
      ""Não Encontrada""
   ),
"""")"),"Encontrada")</f>
        <v>Encontrada</v>
      </c>
      <c r="N141" s="194">
        <f>IFERROR(__xludf.DUMMYFUNCTION("ifna(VALUE(REGEXEXTRACT(E141,""[0-9.]+[,]+[0-9]+"")))"),6.75)</f>
        <v>6.75</v>
      </c>
      <c r="O141" s="251" t="str">
        <f>IFERROR(__xludf.DUMMYFUNCTION("QUERY(B28:M507,""Select B,C,D,E,G,H,I,M where M = 'Não Encontrada'"",1)"),"ID")</f>
        <v>ID</v>
      </c>
      <c r="P141" s="251" t="str">
        <f>IFERROR(__xludf.DUMMYFUNCTION("""COMPUTED_VALUE"""),"Data")</f>
        <v>Data</v>
      </c>
      <c r="Q141" s="251" t="str">
        <f>IFERROR(__xludf.DUMMYFUNCTION("""COMPUTED_VALUE"""),"Entrada/Saída")</f>
        <v>Entrada/Saída</v>
      </c>
      <c r="R141" s="252" t="str">
        <f>IFERROR(__xludf.DUMMYFUNCTION("""COMPUTED_VALUE"""),"Valor ")</f>
        <v>Valor </v>
      </c>
      <c r="S141" s="251" t="str">
        <f>IFERROR(__xludf.DUMMYFUNCTION("""COMPUTED_VALUE"""),"Descrição")</f>
        <v>Descrição</v>
      </c>
      <c r="V141" s="253" t="str">
        <f>IFERROR(__xludf.DUMMYFUNCTION("""COMPUTED_VALUE"""),"Nota")</f>
        <v>Nota</v>
      </c>
      <c r="W141" s="194"/>
    </row>
    <row r="142" ht="14.25" customHeight="1">
      <c r="A142" s="186"/>
      <c r="B142" s="13">
        <v>2080434.0</v>
      </c>
      <c r="C142" s="14">
        <v>46104.760034722225</v>
      </c>
      <c r="D142" s="187" t="s">
        <v>97</v>
      </c>
      <c r="E142" s="188" t="s">
        <v>7689</v>
      </c>
      <c r="F142" s="189"/>
      <c r="G142" s="187" t="s">
        <v>8481</v>
      </c>
      <c r="H142" s="204"/>
      <c r="I142" s="204"/>
      <c r="J142" s="196" t="s">
        <v>6469</v>
      </c>
      <c r="K142" s="196"/>
      <c r="L142" s="192" t="str">
        <f>IFERROR(__xludf.DUMMYFUNCTION("IF(
  AND(D142=""Saída"", J142=""Sangria""),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197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94">
        <f>IFERROR(__xludf.DUMMYFUNCTION("ifna(VALUE(REGEXEXTRACT(E142,""[0-9.]+[,]+[0-9]+"")))"),52.0)</f>
        <v>52</v>
      </c>
      <c r="O142" s="254">
        <f>IFERROR(__xludf.DUMMYFUNCTION("""COMPUTED_VALUE"""),2072550.0)</f>
        <v>2072550</v>
      </c>
      <c r="P142" s="255">
        <f>IFERROR(__xludf.DUMMYFUNCTION("""COMPUTED_VALUE"""),46101.769780092596)</f>
        <v>46101.76978</v>
      </c>
      <c r="Q142" s="254" t="str">
        <f>IFERROR(__xludf.DUMMYFUNCTION("""COMPUTED_VALUE"""),"Saída")</f>
        <v>Saída</v>
      </c>
      <c r="R142" s="256" t="str">
        <f>IFERROR(__xludf.DUMMYFUNCTION("""COMPUTED_VALUE"""),"R$ 4,00")</f>
        <v>R$ 4,00</v>
      </c>
      <c r="S142" s="290" t="str">
        <f>IFERROR(__xludf.DUMMYFUNCTION("""COMPUTED_VALUE"""),"Pagamento referente a embalagem de coca cola retornável para lanche.")</f>
        <v>Pagamento referente a embalagem de coca cola retornável para lanche.</v>
      </c>
      <c r="V142" s="254" t="str">
        <f>IFERROR(__xludf.DUMMYFUNCTION("""COMPUTED_VALUE"""),"Não Encontrada")</f>
        <v>Não Encontrada</v>
      </c>
      <c r="W142" s="194"/>
    </row>
    <row r="143" ht="14.25" customHeight="1">
      <c r="A143" s="186"/>
      <c r="B143" s="13">
        <v>2080442.0</v>
      </c>
      <c r="C143" s="14">
        <v>46104.76244212963</v>
      </c>
      <c r="D143" s="187" t="s">
        <v>97</v>
      </c>
      <c r="E143" s="188" t="s">
        <v>7829</v>
      </c>
      <c r="F143" s="189"/>
      <c r="G143" s="187" t="s">
        <v>8345</v>
      </c>
      <c r="H143" s="204"/>
      <c r="I143" s="204"/>
      <c r="J143" s="196" t="s">
        <v>6469</v>
      </c>
      <c r="K143" s="196"/>
      <c r="L143" s="192" t="str">
        <f>IFERROR(__xludf.DUMMYFUNCTION("IF(
  AND(D143=""Saída"", J143=""Sangria""),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198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94">
        <f>IFERROR(__xludf.DUMMYFUNCTION("ifna(VALUE(REGEXEXTRACT(E143,""[0-9.]+[,]+[0-9]+"")))"),72.0)</f>
        <v>72</v>
      </c>
      <c r="O143" s="258"/>
      <c r="P143" s="259"/>
      <c r="Q143" s="258"/>
      <c r="R143" s="260"/>
      <c r="S143" s="291"/>
      <c r="V143" s="258"/>
      <c r="W143" s="194"/>
    </row>
    <row r="144" ht="14.25" customHeight="1">
      <c r="A144" s="186"/>
      <c r="B144" s="13">
        <v>2081689.0</v>
      </c>
      <c r="C144" s="14">
        <v>46105.610810185186</v>
      </c>
      <c r="D144" s="187" t="s">
        <v>97</v>
      </c>
      <c r="E144" s="188" t="s">
        <v>8485</v>
      </c>
      <c r="F144" s="189"/>
      <c r="G144" s="187" t="s">
        <v>8486</v>
      </c>
      <c r="H144" s="204"/>
      <c r="I144" s="204"/>
      <c r="J144" s="196" t="s">
        <v>6446</v>
      </c>
      <c r="K144" s="196"/>
      <c r="L144" s="192" t="str">
        <f>IFERROR(__xludf.DUMMYFUNCTION("IF(
  AND(D144=""Saída"", J144=""Sangria""),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197" t="str">
        <f>IFERROR(__xludf.DUMMYFUNCTION("IF(J144=""Compra de Mercadorias"",
   IF(
      COUNTIF(ARRAYFORMULA(TRIM(CLEAN(TO_TEXT(Notas!BS:BS)))), TRIM(CLEAN(TO_TEXT(B144)))) &gt; 0,
      ""Encontrada"",
      ""Não Encontrada""
   ),
"""")"),"Encontrada")</f>
        <v>Encontrada</v>
      </c>
      <c r="N144" s="194">
        <f>IFERROR(__xludf.DUMMYFUNCTION("ifna(VALUE(REGEXEXTRACT(E144,""[0-9.]+[,]+[0-9]+"")))"),195.05)</f>
        <v>195.05</v>
      </c>
      <c r="O144" s="254"/>
      <c r="P144" s="255"/>
      <c r="Q144" s="254"/>
      <c r="R144" s="256"/>
      <c r="S144" s="292"/>
      <c r="V144" s="254"/>
      <c r="W144" s="194"/>
    </row>
    <row r="145" ht="14.25" customHeight="1">
      <c r="A145" s="186"/>
      <c r="B145" s="13">
        <v>2082001.0</v>
      </c>
      <c r="C145" s="14">
        <v>46105.70134259259</v>
      </c>
      <c r="D145" s="187" t="s">
        <v>97</v>
      </c>
      <c r="E145" s="188" t="s">
        <v>6545</v>
      </c>
      <c r="F145" s="189"/>
      <c r="G145" s="187" t="s">
        <v>8489</v>
      </c>
      <c r="H145" s="204"/>
      <c r="I145" s="204"/>
      <c r="J145" s="196" t="s">
        <v>6544</v>
      </c>
      <c r="K145" s="196" t="s">
        <v>5991</v>
      </c>
      <c r="L145" s="192" t="str">
        <f>IFERROR(__xludf.DUMMYFUNCTION("IF(
  AND(D145=""Saída"", J145=""Sangria""),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"),"Confirmada")</f>
        <v>Confirmada</v>
      </c>
      <c r="M145" s="198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94">
        <f>IFERROR(__xludf.DUMMYFUNCTION("ifna(VALUE(REGEXEXTRACT(E145,""[0-9.]+[,]+[0-9]+"")))"),1500.0)</f>
        <v>1500</v>
      </c>
      <c r="O145" s="258"/>
      <c r="P145" s="259"/>
      <c r="Q145" s="258"/>
      <c r="R145" s="260"/>
      <c r="S145" s="291"/>
      <c r="V145" s="258"/>
      <c r="W145" s="194"/>
    </row>
    <row r="146" ht="14.25" customHeight="1">
      <c r="A146" s="186"/>
      <c r="B146" s="13">
        <v>2082186.0</v>
      </c>
      <c r="C146" s="14">
        <v>46105.7512037037</v>
      </c>
      <c r="D146" s="187" t="s">
        <v>97</v>
      </c>
      <c r="E146" s="188" t="s">
        <v>7829</v>
      </c>
      <c r="F146" s="189"/>
      <c r="G146" s="187" t="s">
        <v>8491</v>
      </c>
      <c r="H146" s="204"/>
      <c r="I146" s="204"/>
      <c r="J146" s="196" t="s">
        <v>6469</v>
      </c>
      <c r="K146" s="196"/>
      <c r="L146" s="192" t="str">
        <f>IFERROR(__xludf.DUMMYFUNCTION("IF(
  AND(D146=""Saída"", J146=""Sangria""),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197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94">
        <f>IFERROR(__xludf.DUMMYFUNCTION("ifna(VALUE(REGEXEXTRACT(E146,""[0-9.]+[,]+[0-9]+"")))"),72.0)</f>
        <v>72</v>
      </c>
      <c r="O146" s="254"/>
      <c r="P146" s="255"/>
      <c r="Q146" s="254"/>
      <c r="R146" s="256"/>
      <c r="S146" s="292"/>
      <c r="V146" s="254"/>
      <c r="W146" s="194"/>
    </row>
    <row r="147" ht="14.25" customHeight="1">
      <c r="A147" s="186"/>
      <c r="B147" s="13">
        <v>2082192.0</v>
      </c>
      <c r="C147" s="14">
        <v>46105.75177083333</v>
      </c>
      <c r="D147" s="187" t="s">
        <v>97</v>
      </c>
      <c r="E147" s="188" t="s">
        <v>7689</v>
      </c>
      <c r="F147" s="200"/>
      <c r="G147" s="187" t="s">
        <v>8493</v>
      </c>
      <c r="H147" s="204"/>
      <c r="I147" s="204"/>
      <c r="J147" s="196" t="s">
        <v>6469</v>
      </c>
      <c r="K147" s="196"/>
      <c r="L147" s="192" t="str">
        <f>IFERROR(__xludf.DUMMYFUNCTION("IF(
  AND(D147=""Saída"", J147=""Sangria""),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198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94">
        <f>IFERROR(__xludf.DUMMYFUNCTION("ifna(VALUE(REGEXEXTRACT(E147,""[0-9.]+[,]+[0-9]+"")))"),52.0)</f>
        <v>52</v>
      </c>
      <c r="O147" s="258"/>
      <c r="P147" s="259"/>
      <c r="Q147" s="258"/>
      <c r="R147" s="260"/>
      <c r="S147" s="291"/>
      <c r="V147" s="258"/>
      <c r="W147" s="194"/>
    </row>
    <row r="148" ht="14.25" customHeight="1">
      <c r="A148" s="186"/>
      <c r="B148" s="13">
        <v>2083551.0</v>
      </c>
      <c r="C148" s="14">
        <v>46106.63253472222</v>
      </c>
      <c r="D148" s="187" t="s">
        <v>97</v>
      </c>
      <c r="E148" s="188" t="s">
        <v>8494</v>
      </c>
      <c r="F148" s="189"/>
      <c r="G148" s="187" t="s">
        <v>8495</v>
      </c>
      <c r="H148" s="204"/>
      <c r="I148" s="204"/>
      <c r="J148" s="196" t="s">
        <v>6446</v>
      </c>
      <c r="K148" s="196"/>
      <c r="L148" s="192" t="str">
        <f>IFERROR(__xludf.DUMMYFUNCTION("IF(
  AND(D148=""Saída"", J148=""Sangria""),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197" t="str">
        <f>IFERROR(__xludf.DUMMYFUNCTION("IF(J148=""Compra de Mercadorias"",
   IF(
      COUNTIF(ARRAYFORMULA(TRIM(CLEAN(TO_TEXT(Notas!BS:BS)))), TRIM(CLEAN(TO_TEXT(B148)))) &gt; 0,
      ""Encontrada"",
      ""Não Encontrada""
   ),
"""")"),"Encontrada")</f>
        <v>Encontrada</v>
      </c>
      <c r="N148" s="194">
        <f>IFERROR(__xludf.DUMMYFUNCTION("ifna(VALUE(REGEXEXTRACT(E148,""[0-9.]+[,]+[0-9]+"")))"),74.5)</f>
        <v>74.5</v>
      </c>
      <c r="O148" s="254"/>
      <c r="P148" s="255"/>
      <c r="Q148" s="254"/>
      <c r="R148" s="256"/>
      <c r="S148" s="292"/>
      <c r="V148" s="254"/>
      <c r="W148" s="194"/>
    </row>
    <row r="149" ht="14.25" customHeight="1">
      <c r="A149" s="186"/>
      <c r="B149" s="13">
        <v>2083957.0</v>
      </c>
      <c r="C149" s="14">
        <v>46106.75332175926</v>
      </c>
      <c r="D149" s="187" t="s">
        <v>97</v>
      </c>
      <c r="E149" s="188" t="s">
        <v>1393</v>
      </c>
      <c r="F149" s="189"/>
      <c r="G149" s="187" t="s">
        <v>8496</v>
      </c>
      <c r="H149" s="204"/>
      <c r="I149" s="204"/>
      <c r="J149" s="196" t="s">
        <v>6446</v>
      </c>
      <c r="K149" s="196"/>
      <c r="L149" s="192" t="str">
        <f>IFERROR(__xludf.DUMMYFUNCTION("IF(
  AND(D149=""Saída"", J149=""Sangria""),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198" t="str">
        <f>IFERROR(__xludf.DUMMYFUNCTION("IF(J149=""Compra de Mercadorias"",
   IF(
      COUNTIF(ARRAYFORMULA(TRIM(CLEAN(TO_TEXT(Notas!BS:BS)))), TRIM(CLEAN(TO_TEXT(B149)))) &gt; 0,
      ""Encontrada"",
      ""Não Encontrada""
   ),
"""")"),"Encontrada")</f>
        <v>Encontrada</v>
      </c>
      <c r="N149" s="194">
        <f>IFERROR(__xludf.DUMMYFUNCTION("ifna(VALUE(REGEXEXTRACT(E149,""[0-9.]+[,]+[0-9]+"")))"),125.0)</f>
        <v>125</v>
      </c>
      <c r="O149" s="258"/>
      <c r="P149" s="259"/>
      <c r="Q149" s="258"/>
      <c r="R149" s="260"/>
      <c r="S149" s="291"/>
      <c r="V149" s="258"/>
      <c r="W149" s="194"/>
    </row>
    <row r="150" ht="14.25" customHeight="1">
      <c r="A150" s="186"/>
      <c r="B150" s="13">
        <v>2084224.0</v>
      </c>
      <c r="C150" s="14">
        <v>46106.85024305555</v>
      </c>
      <c r="D150" s="187" t="s">
        <v>97</v>
      </c>
      <c r="E150" s="188" t="s">
        <v>343</v>
      </c>
      <c r="F150" s="189"/>
      <c r="G150" s="187" t="s">
        <v>8498</v>
      </c>
      <c r="H150" s="204"/>
      <c r="I150" s="204"/>
      <c r="J150" s="196" t="s">
        <v>6469</v>
      </c>
      <c r="K150" s="196"/>
      <c r="L150" s="192" t="str">
        <f>IFERROR(__xludf.DUMMYFUNCTION("IF(
  AND(D150=""Saída"", J150=""Sangria""),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197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94">
        <f>IFERROR(__xludf.DUMMYFUNCTION("ifna(VALUE(REGEXEXTRACT(E150,""[0-9.]+[,]+[0-9]+"")))"),50.0)</f>
        <v>50</v>
      </c>
      <c r="O150" s="254"/>
      <c r="P150" s="255"/>
      <c r="Q150" s="254"/>
      <c r="R150" s="256"/>
      <c r="S150" s="292"/>
      <c r="V150" s="254"/>
      <c r="W150" s="194"/>
    </row>
    <row r="151" ht="14.25" customHeight="1">
      <c r="A151" s="186"/>
      <c r="B151" s="13">
        <v>2084226.0</v>
      </c>
      <c r="C151" s="14">
        <v>46106.85078703704</v>
      </c>
      <c r="D151" s="187" t="s">
        <v>97</v>
      </c>
      <c r="E151" s="188" t="s">
        <v>343</v>
      </c>
      <c r="F151" s="189"/>
      <c r="G151" s="187" t="s">
        <v>8501</v>
      </c>
      <c r="H151" s="204"/>
      <c r="I151" s="204"/>
      <c r="J151" s="196" t="s">
        <v>6469</v>
      </c>
      <c r="K151" s="196"/>
      <c r="L151" s="192" t="str">
        <f>IFERROR(__xludf.DUMMYFUNCTION("IF(
  AND(D151=""Saída"", J151=""Sangria""),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198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94">
        <f>IFERROR(__xludf.DUMMYFUNCTION("ifna(VALUE(REGEXEXTRACT(E151,""[0-9.]+[,]+[0-9]+"")))"),50.0)</f>
        <v>50</v>
      </c>
      <c r="O151" s="258"/>
      <c r="P151" s="259"/>
      <c r="Q151" s="258"/>
      <c r="R151" s="260"/>
      <c r="S151" s="258"/>
      <c r="V151" s="258"/>
      <c r="W151" s="194"/>
    </row>
    <row r="152" ht="14.25" customHeight="1">
      <c r="A152" s="186"/>
      <c r="B152" s="13"/>
      <c r="C152" s="14"/>
      <c r="D152" s="187"/>
      <c r="E152" s="188"/>
      <c r="F152" s="189"/>
      <c r="G152" s="187"/>
      <c r="H152" s="204"/>
      <c r="I152" s="204"/>
      <c r="J152" s="196"/>
      <c r="K152" s="196"/>
      <c r="L152" s="192" t="str">
        <f>IFERROR(__xludf.DUMMYFUNCTION("IF(
  AND(D152=""Saída"", J152=""Sangria""),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197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94" t="str">
        <f>IFERROR(__xludf.DUMMYFUNCTION("ifna(VALUE(REGEXEXTRACT(E152,""[0-9.]+[,]+[0-9]+"")))"),"")</f>
        <v/>
      </c>
      <c r="O152" s="254"/>
      <c r="P152" s="255"/>
      <c r="Q152" s="254"/>
      <c r="R152" s="256"/>
      <c r="S152" s="254"/>
      <c r="V152" s="254"/>
      <c r="W152" s="194"/>
    </row>
    <row r="153" ht="14.25" customHeight="1">
      <c r="A153" s="186"/>
      <c r="B153" s="13"/>
      <c r="C153" s="14"/>
      <c r="D153" s="187"/>
      <c r="E153" s="188"/>
      <c r="F153" s="189"/>
      <c r="G153" s="187"/>
      <c r="H153" s="204"/>
      <c r="I153" s="204"/>
      <c r="J153" s="196"/>
      <c r="K153" s="196"/>
      <c r="L153" s="192" t="str">
        <f>IFERROR(__xludf.DUMMYFUNCTION("IF(
  AND(D153=""Saída"", J153=""Sangria""),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198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94" t="str">
        <f>IFERROR(__xludf.DUMMYFUNCTION("ifna(VALUE(REGEXEXTRACT(E153,""[0-9.]+[,]+[0-9]+"")))"),"")</f>
        <v/>
      </c>
      <c r="O153" s="258"/>
      <c r="P153" s="259"/>
      <c r="Q153" s="258"/>
      <c r="R153" s="260"/>
      <c r="S153" s="258"/>
      <c r="V153" s="258"/>
      <c r="W153" s="194"/>
    </row>
    <row r="154" ht="14.25" customHeight="1">
      <c r="A154" s="186"/>
      <c r="B154" s="13"/>
      <c r="C154" s="14"/>
      <c r="D154" s="187"/>
      <c r="E154" s="188"/>
      <c r="F154" s="189"/>
      <c r="G154" s="187"/>
      <c r="H154" s="204"/>
      <c r="I154" s="204"/>
      <c r="J154" s="196"/>
      <c r="K154" s="196"/>
      <c r="L154" s="192" t="str">
        <f>IFERROR(__xludf.DUMMYFUNCTION("IF(
  AND(D154=""Saída"", J154=""Sangria""),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197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94" t="str">
        <f>IFERROR(__xludf.DUMMYFUNCTION("ifna(VALUE(REGEXEXTRACT(E154,""[0-9.]+[,]+[0-9]+"")))"),"")</f>
        <v/>
      </c>
      <c r="O154" s="254"/>
      <c r="P154" s="255"/>
      <c r="Q154" s="254"/>
      <c r="R154" s="256"/>
      <c r="S154" s="254"/>
      <c r="V154" s="254"/>
      <c r="W154" s="194"/>
    </row>
    <row r="155" ht="14.25" customHeight="1">
      <c r="A155" s="186"/>
      <c r="B155" s="13"/>
      <c r="C155" s="14"/>
      <c r="D155" s="187"/>
      <c r="E155" s="188"/>
      <c r="F155" s="189"/>
      <c r="G155" s="187"/>
      <c r="H155" s="204"/>
      <c r="I155" s="204"/>
      <c r="J155" s="196"/>
      <c r="K155" s="196"/>
      <c r="L155" s="192" t="str">
        <f>IFERROR(__xludf.DUMMYFUNCTION("IF(
  AND(D155=""Saída"", J155=""Sangria""),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198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94" t="str">
        <f>IFERROR(__xludf.DUMMYFUNCTION("ifna(VALUE(REGEXEXTRACT(E155,""[0-9.]+[,]+[0-9]+"")))"),"")</f>
        <v/>
      </c>
      <c r="O155" s="258"/>
      <c r="P155" s="259"/>
      <c r="Q155" s="258"/>
      <c r="R155" s="260"/>
      <c r="S155" s="258"/>
      <c r="V155" s="258"/>
      <c r="W155" s="194"/>
    </row>
    <row r="156" ht="14.25" customHeight="1">
      <c r="A156" s="186"/>
      <c r="B156" s="13"/>
      <c r="C156" s="14"/>
      <c r="D156" s="187"/>
      <c r="E156" s="188"/>
      <c r="F156" s="189"/>
      <c r="G156" s="187"/>
      <c r="H156" s="204"/>
      <c r="I156" s="204"/>
      <c r="J156" s="196"/>
      <c r="K156" s="196"/>
      <c r="L156" s="192" t="str">
        <f>IFERROR(__xludf.DUMMYFUNCTION("IF(
  AND(D156=""Saída"", J156=""Sangria""),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197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94" t="str">
        <f>IFERROR(__xludf.DUMMYFUNCTION("ifna(VALUE(REGEXEXTRACT(E156,""[0-9.]+[,]+[0-9]+"")))"),"")</f>
        <v/>
      </c>
      <c r="O156" s="254"/>
      <c r="P156" s="255"/>
      <c r="Q156" s="254"/>
      <c r="R156" s="256"/>
      <c r="S156" s="254"/>
      <c r="V156" s="254"/>
      <c r="W156" s="194"/>
    </row>
    <row r="157" ht="14.25" customHeight="1">
      <c r="A157" s="186"/>
      <c r="B157" s="13"/>
      <c r="C157" s="14"/>
      <c r="D157" s="187"/>
      <c r="E157" s="188"/>
      <c r="F157" s="189"/>
      <c r="G157" s="187"/>
      <c r="H157" s="204"/>
      <c r="I157" s="204"/>
      <c r="J157" s="196"/>
      <c r="K157" s="196"/>
      <c r="L157" s="192" t="str">
        <f>IFERROR(__xludf.DUMMYFUNCTION("IF(
  AND(D157=""Saída"", J157=""Sangria""),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198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94" t="str">
        <f>IFERROR(__xludf.DUMMYFUNCTION("ifna(VALUE(REGEXEXTRACT(E157,""[0-9.]+[,]+[0-9]+"")))"),"")</f>
        <v/>
      </c>
      <c r="O157" s="258"/>
      <c r="P157" s="259"/>
      <c r="Q157" s="258"/>
      <c r="R157" s="260"/>
      <c r="S157" s="258"/>
      <c r="V157" s="258"/>
      <c r="W157" s="194"/>
    </row>
    <row r="158" ht="14.25" customHeight="1">
      <c r="A158" s="186"/>
      <c r="B158" s="13"/>
      <c r="C158" s="14"/>
      <c r="D158" s="187"/>
      <c r="E158" s="188"/>
      <c r="F158" s="189"/>
      <c r="G158" s="187"/>
      <c r="H158" s="204"/>
      <c r="I158" s="204"/>
      <c r="J158" s="196"/>
      <c r="K158" s="196"/>
      <c r="L158" s="192" t="str">
        <f>IFERROR(__xludf.DUMMYFUNCTION("IF(
  AND(D158=""Saída"", J158=""Sangria""),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197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94" t="str">
        <f>IFERROR(__xludf.DUMMYFUNCTION("ifna(VALUE(REGEXEXTRACT(E158,""[0-9.]+[,]+[0-9]+"")))"),"")</f>
        <v/>
      </c>
      <c r="O158" s="254"/>
      <c r="P158" s="255"/>
      <c r="Q158" s="254"/>
      <c r="R158" s="256"/>
      <c r="S158" s="254"/>
      <c r="V158" s="254"/>
      <c r="W158" s="194"/>
    </row>
    <row r="159" ht="14.25" customHeight="1">
      <c r="A159" s="186"/>
      <c r="B159" s="13"/>
      <c r="C159" s="14"/>
      <c r="D159" s="187"/>
      <c r="E159" s="188"/>
      <c r="F159" s="189"/>
      <c r="G159" s="187"/>
      <c r="H159" s="204"/>
      <c r="I159" s="204"/>
      <c r="J159" s="196"/>
      <c r="K159" s="196"/>
      <c r="L159" s="192" t="str">
        <f>IFERROR(__xludf.DUMMYFUNCTION("IF(
  AND(D159=""Saída"", J159=""Sangria""),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198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94" t="str">
        <f>IFERROR(__xludf.DUMMYFUNCTION("ifna(VALUE(REGEXEXTRACT(E159,""[0-9.]+[,]+[0-9]+"")))"),"")</f>
        <v/>
      </c>
      <c r="O159" s="258"/>
      <c r="P159" s="259"/>
      <c r="Q159" s="258"/>
      <c r="R159" s="260"/>
      <c r="S159" s="258"/>
      <c r="V159" s="258"/>
      <c r="W159" s="194"/>
    </row>
    <row r="160" ht="14.25" customHeight="1">
      <c r="A160" s="186"/>
      <c r="B160" s="13"/>
      <c r="C160" s="14"/>
      <c r="D160" s="187"/>
      <c r="E160" s="188"/>
      <c r="F160" s="189"/>
      <c r="G160" s="187"/>
      <c r="H160" s="204"/>
      <c r="I160" s="204"/>
      <c r="J160" s="196"/>
      <c r="K160" s="196"/>
      <c r="L160" s="192" t="str">
        <f>IFERROR(__xludf.DUMMYFUNCTION("IF(
  AND(D160=""Saída"", J160=""Sangria""),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197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94" t="str">
        <f>IFERROR(__xludf.DUMMYFUNCTION("ifna(VALUE(REGEXEXTRACT(E160,""[0-9.]+[,]+[0-9]+"")))"),"")</f>
        <v/>
      </c>
      <c r="O160" s="254"/>
      <c r="P160" s="255"/>
      <c r="Q160" s="254"/>
      <c r="R160" s="256"/>
      <c r="S160" s="254"/>
      <c r="V160" s="254"/>
      <c r="W160" s="194"/>
    </row>
    <row r="161" ht="14.25" customHeight="1">
      <c r="A161" s="186"/>
      <c r="B161" s="13"/>
      <c r="C161" s="14"/>
      <c r="D161" s="187"/>
      <c r="E161" s="188"/>
      <c r="F161" s="200"/>
      <c r="G161" s="187"/>
      <c r="H161" s="204"/>
      <c r="I161" s="204"/>
      <c r="J161" s="196"/>
      <c r="K161" s="196"/>
      <c r="L161" s="192" t="str">
        <f>IFERROR(__xludf.DUMMYFUNCTION("IF(
  AND(D161=""Saída"", J161=""Sangria""),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198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94" t="str">
        <f>IFERROR(__xludf.DUMMYFUNCTION("ifna(VALUE(REGEXEXTRACT(E161,""[0-9.]+[,]+[0-9]+"")))"),"")</f>
        <v/>
      </c>
      <c r="O161" s="258"/>
      <c r="P161" s="262"/>
      <c r="Q161" s="258"/>
      <c r="R161" s="260"/>
      <c r="S161" s="258"/>
      <c r="V161" s="258"/>
      <c r="W161" s="194"/>
    </row>
    <row r="162" ht="14.25" customHeight="1">
      <c r="A162" s="186"/>
      <c r="B162" s="13"/>
      <c r="C162" s="14"/>
      <c r="D162" s="187"/>
      <c r="E162" s="188"/>
      <c r="F162" s="200"/>
      <c r="G162" s="187"/>
      <c r="H162" s="204"/>
      <c r="I162" s="204"/>
      <c r="J162" s="196"/>
      <c r="K162" s="196"/>
      <c r="L162" s="192" t="str">
        <f>IFERROR(__xludf.DUMMYFUNCTION("IF(
  AND(D162=""Saída"", J162=""Sangria""),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197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94" t="str">
        <f>IFERROR(__xludf.DUMMYFUNCTION("ifna(VALUE(REGEXEXTRACT(E162,""[0-9.]+[,]+[0-9]+"")))"),"")</f>
        <v/>
      </c>
      <c r="O162" s="254"/>
      <c r="P162" s="263"/>
      <c r="Q162" s="254"/>
      <c r="R162" s="256"/>
      <c r="S162" s="254"/>
      <c r="V162" s="254"/>
      <c r="W162" s="194"/>
    </row>
    <row r="163" ht="14.25" customHeight="1">
      <c r="A163" s="186"/>
      <c r="B163" s="13"/>
      <c r="C163" s="14"/>
      <c r="D163" s="187"/>
      <c r="E163" s="188"/>
      <c r="F163" s="189"/>
      <c r="G163" s="187"/>
      <c r="H163" s="204"/>
      <c r="I163" s="204"/>
      <c r="J163" s="196"/>
      <c r="K163" s="196"/>
      <c r="L163" s="192" t="str">
        <f>IFERROR(__xludf.DUMMYFUNCTION("IF(
  AND(D163=""Saída"", J163=""Sangria""),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198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94" t="str">
        <f>IFERROR(__xludf.DUMMYFUNCTION("ifna(VALUE(REGEXEXTRACT(E163,""[0-9.]+[,]+[0-9]+"")))"),"")</f>
        <v/>
      </c>
      <c r="O163" s="258"/>
      <c r="P163" s="262"/>
      <c r="Q163" s="258"/>
      <c r="R163" s="260"/>
      <c r="S163" s="258"/>
      <c r="V163" s="258"/>
      <c r="W163" s="194"/>
    </row>
    <row r="164" ht="14.25" customHeight="1">
      <c r="A164" s="186"/>
      <c r="B164" s="13"/>
      <c r="C164" s="14"/>
      <c r="D164" s="187"/>
      <c r="E164" s="188"/>
      <c r="F164" s="189"/>
      <c r="G164" s="187"/>
      <c r="H164" s="204"/>
      <c r="I164" s="204"/>
      <c r="J164" s="196"/>
      <c r="K164" s="196"/>
      <c r="L164" s="192" t="str">
        <f>IFERROR(__xludf.DUMMYFUNCTION("IF(
  AND(D164=""Saída"", J164=""Sangria""),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197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94" t="str">
        <f>IFERROR(__xludf.DUMMYFUNCTION("ifna(VALUE(REGEXEXTRACT(E164,""[0-9.]+[,]+[0-9]+"")))"),"")</f>
        <v/>
      </c>
      <c r="O164" s="254"/>
      <c r="P164" s="263"/>
      <c r="Q164" s="254"/>
      <c r="R164" s="256"/>
      <c r="S164" s="254"/>
      <c r="V164" s="254"/>
      <c r="W164" s="194"/>
    </row>
    <row r="165" ht="14.25" customHeight="1">
      <c r="A165" s="186"/>
      <c r="B165" s="13"/>
      <c r="C165" s="14"/>
      <c r="D165" s="187"/>
      <c r="E165" s="188"/>
      <c r="F165" s="200"/>
      <c r="G165" s="187"/>
      <c r="H165" s="204"/>
      <c r="I165" s="204"/>
      <c r="J165" s="196"/>
      <c r="K165" s="196"/>
      <c r="L165" s="192" t="str">
        <f>IFERROR(__xludf.DUMMYFUNCTION("IF(
  AND(D165=""Saída"", J165=""Sangria""),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198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94" t="str">
        <f>IFERROR(__xludf.DUMMYFUNCTION("ifna(VALUE(REGEXEXTRACT(E165,""[0-9.]+[,]+[0-9]+"")))"),"")</f>
        <v/>
      </c>
      <c r="O165" s="264"/>
      <c r="P165" s="262"/>
      <c r="Q165" s="258"/>
      <c r="R165" s="260"/>
      <c r="S165" s="258"/>
      <c r="V165" s="258"/>
      <c r="W165" s="194"/>
    </row>
    <row r="166" ht="14.25" customHeight="1">
      <c r="A166" s="186"/>
      <c r="B166" s="13"/>
      <c r="C166" s="14"/>
      <c r="D166" s="187"/>
      <c r="E166" s="188"/>
      <c r="F166" s="189"/>
      <c r="G166" s="187"/>
      <c r="H166" s="204"/>
      <c r="I166" s="204"/>
      <c r="J166" s="196"/>
      <c r="K166" s="196"/>
      <c r="L166" s="192" t="str">
        <f>IFERROR(__xludf.DUMMYFUNCTION("IF(
  AND(D166=""Saída"", J166=""Sangria""),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197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94" t="str">
        <f>IFERROR(__xludf.DUMMYFUNCTION("ifna(VALUE(REGEXEXTRACT(E166,""[0-9.]+[,]+[0-9]+"")))"),"")</f>
        <v/>
      </c>
      <c r="O166" s="254"/>
      <c r="P166" s="263"/>
      <c r="Q166" s="254"/>
      <c r="R166" s="256"/>
      <c r="S166" s="254"/>
      <c r="V166" s="254"/>
      <c r="W166" s="194"/>
    </row>
    <row r="167" ht="14.25" customHeight="1">
      <c r="A167" s="186"/>
      <c r="B167" s="13"/>
      <c r="C167" s="14"/>
      <c r="D167" s="187"/>
      <c r="E167" s="188"/>
      <c r="F167" s="189"/>
      <c r="G167" s="187"/>
      <c r="H167" s="204"/>
      <c r="I167" s="204"/>
      <c r="J167" s="196"/>
      <c r="K167" s="196"/>
      <c r="L167" s="192" t="str">
        <f>IFERROR(__xludf.DUMMYFUNCTION("IF(
  AND(D167=""Saída"", J167=""Sangria""),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198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94" t="str">
        <f>IFERROR(__xludf.DUMMYFUNCTION("ifna(VALUE(REGEXEXTRACT(E167,""[0-9.]+[,]+[0-9]+"")))"),"")</f>
        <v/>
      </c>
      <c r="O167" s="258"/>
      <c r="P167" s="262"/>
      <c r="Q167" s="258"/>
      <c r="R167" s="260"/>
      <c r="S167" s="258"/>
      <c r="V167" s="258"/>
      <c r="W167" s="194"/>
    </row>
    <row r="168" ht="14.25" customHeight="1">
      <c r="A168" s="186"/>
      <c r="B168" s="13"/>
      <c r="C168" s="14"/>
      <c r="D168" s="187"/>
      <c r="E168" s="188"/>
      <c r="F168" s="189"/>
      <c r="G168" s="187"/>
      <c r="H168" s="204"/>
      <c r="I168" s="204"/>
      <c r="J168" s="196"/>
      <c r="K168" s="196"/>
      <c r="L168" s="192" t="str">
        <f>IFERROR(__xludf.DUMMYFUNCTION("IF(
  AND(D168=""Saída"", J168=""Sangria""),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197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94" t="str">
        <f>IFERROR(__xludf.DUMMYFUNCTION("ifna(VALUE(REGEXEXTRACT(E168,""[0-9.]+[,]+[0-9]+"")))"),"")</f>
        <v/>
      </c>
      <c r="O168" s="254"/>
      <c r="P168" s="263"/>
      <c r="Q168" s="254"/>
      <c r="R168" s="256"/>
      <c r="S168" s="254"/>
      <c r="V168" s="254"/>
      <c r="W168" s="194"/>
    </row>
    <row r="169" ht="14.25" customHeight="1">
      <c r="A169" s="186"/>
      <c r="B169" s="13"/>
      <c r="C169" s="14"/>
      <c r="D169" s="187"/>
      <c r="E169" s="188"/>
      <c r="F169" s="200"/>
      <c r="G169" s="187"/>
      <c r="H169" s="204"/>
      <c r="I169" s="204"/>
      <c r="J169" s="196"/>
      <c r="K169" s="196"/>
      <c r="L169" s="192" t="str">
        <f>IFERROR(__xludf.DUMMYFUNCTION("IF(
  AND(D169=""Saída"", J169=""Sangria""),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198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94" t="str">
        <f>IFERROR(__xludf.DUMMYFUNCTION("ifna(VALUE(REGEXEXTRACT(E169,""[0-9.]+[,]+[0-9]+"")))"),"")</f>
        <v/>
      </c>
      <c r="O169" s="258"/>
      <c r="P169" s="262"/>
      <c r="Q169" s="258"/>
      <c r="R169" s="258"/>
      <c r="S169" s="258"/>
      <c r="V169" s="258"/>
      <c r="W169" s="194"/>
    </row>
    <row r="170" ht="14.25" customHeight="1">
      <c r="A170" s="186"/>
      <c r="B170" s="13"/>
      <c r="C170" s="14"/>
      <c r="D170" s="187"/>
      <c r="E170" s="188"/>
      <c r="F170" s="189"/>
      <c r="G170" s="187"/>
      <c r="H170" s="204"/>
      <c r="I170" s="204"/>
      <c r="J170" s="196"/>
      <c r="K170" s="196"/>
      <c r="L170" s="192" t="str">
        <f>IFERROR(__xludf.DUMMYFUNCTION("IF(
  AND(D170=""Saída"", J170=""Sangria""),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197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94" t="str">
        <f>IFERROR(__xludf.DUMMYFUNCTION("ifna(VALUE(REGEXEXTRACT(E170,""[0-9.]+[,]+[0-9]+"")))"),"")</f>
        <v/>
      </c>
      <c r="O170" s="254"/>
      <c r="P170" s="263"/>
      <c r="Q170" s="254"/>
      <c r="R170" s="254"/>
      <c r="S170" s="254"/>
      <c r="V170" s="254"/>
      <c r="W170" s="194"/>
    </row>
    <row r="171" ht="14.25" customHeight="1">
      <c r="A171" s="186"/>
      <c r="B171" s="13"/>
      <c r="C171" s="14"/>
      <c r="D171" s="187"/>
      <c r="E171" s="188"/>
      <c r="F171" s="189"/>
      <c r="G171" s="187"/>
      <c r="H171" s="204"/>
      <c r="I171" s="204"/>
      <c r="J171" s="196"/>
      <c r="K171" s="196"/>
      <c r="L171" s="192" t="str">
        <f>IFERROR(__xludf.DUMMYFUNCTION("IF(
  AND(D171=""Saída"", J171=""Sangria""),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198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94" t="str">
        <f>IFERROR(__xludf.DUMMYFUNCTION("ifna(VALUE(REGEXEXTRACT(E171,""[0-9.]+[,]+[0-9]+"")))"),"")</f>
        <v/>
      </c>
      <c r="O171" s="258"/>
      <c r="P171" s="262"/>
      <c r="Q171" s="258"/>
      <c r="R171" s="258"/>
      <c r="S171" s="258"/>
      <c r="V171" s="258"/>
      <c r="W171" s="194"/>
    </row>
    <row r="172" ht="14.25" customHeight="1">
      <c r="A172" s="186"/>
      <c r="B172" s="13"/>
      <c r="C172" s="14"/>
      <c r="D172" s="187"/>
      <c r="E172" s="188"/>
      <c r="F172" s="200"/>
      <c r="G172" s="187"/>
      <c r="H172" s="204"/>
      <c r="I172" s="204"/>
      <c r="J172" s="196"/>
      <c r="K172" s="196"/>
      <c r="L172" s="192" t="str">
        <f>IFERROR(__xludf.DUMMYFUNCTION("IF(
  AND(D172=""Saída"", J172=""Sangria""),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197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94" t="str">
        <f>IFERROR(__xludf.DUMMYFUNCTION("ifna(VALUE(REGEXEXTRACT(E172,""[0-9.]+[,]+[0-9]+"")))"),"")</f>
        <v/>
      </c>
      <c r="O172" s="254"/>
      <c r="P172" s="263"/>
      <c r="Q172" s="254"/>
      <c r="R172" s="254"/>
      <c r="S172" s="254"/>
      <c r="V172" s="254"/>
      <c r="W172" s="194"/>
    </row>
    <row r="173" ht="14.25" customHeight="1">
      <c r="A173" s="186"/>
      <c r="B173" s="13"/>
      <c r="C173" s="14"/>
      <c r="D173" s="187"/>
      <c r="E173" s="188"/>
      <c r="F173" s="189"/>
      <c r="G173" s="187"/>
      <c r="H173" s="204"/>
      <c r="I173" s="204"/>
      <c r="J173" s="196"/>
      <c r="K173" s="196"/>
      <c r="L173" s="192" t="str">
        <f>IFERROR(__xludf.DUMMYFUNCTION("IF(
  AND(D173=""Saída"", J173=""Sangria""),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198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94" t="str">
        <f>IFERROR(__xludf.DUMMYFUNCTION("ifna(VALUE(REGEXEXTRACT(E173,""[0-9.]+[,]+[0-9]+"")))"),"")</f>
        <v/>
      </c>
      <c r="O173" s="258"/>
      <c r="P173" s="265"/>
      <c r="Q173" s="258"/>
      <c r="R173" s="258"/>
      <c r="S173" s="258"/>
      <c r="V173" s="258"/>
      <c r="W173" s="194"/>
    </row>
    <row r="174" ht="14.25" customHeight="1">
      <c r="A174" s="186"/>
      <c r="B174" s="13"/>
      <c r="C174" s="14"/>
      <c r="D174" s="187"/>
      <c r="E174" s="188"/>
      <c r="F174" s="189"/>
      <c r="G174" s="187"/>
      <c r="H174" s="204"/>
      <c r="I174" s="204"/>
      <c r="J174" s="196"/>
      <c r="K174" s="196"/>
      <c r="L174" s="192" t="str">
        <f>IFERROR(__xludf.DUMMYFUNCTION("IF(
  AND(D174=""Saída"", J174=""Sangria""),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197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94" t="str">
        <f>IFERROR(__xludf.DUMMYFUNCTION("ifna(VALUE(REGEXEXTRACT(E174,""[0-9.]+[,]+[0-9]+"")))"),"")</f>
        <v/>
      </c>
      <c r="O174" s="254"/>
      <c r="P174" s="263"/>
      <c r="Q174" s="254"/>
      <c r="R174" s="254"/>
      <c r="S174" s="254"/>
      <c r="V174" s="254"/>
      <c r="W174" s="194"/>
    </row>
    <row r="175" ht="14.25" customHeight="1">
      <c r="A175" s="186"/>
      <c r="B175" s="13"/>
      <c r="C175" s="14"/>
      <c r="D175" s="187"/>
      <c r="E175" s="188"/>
      <c r="F175" s="200"/>
      <c r="G175" s="187"/>
      <c r="H175" s="204"/>
      <c r="I175" s="204"/>
      <c r="J175" s="196"/>
      <c r="K175" s="196"/>
      <c r="L175" s="192" t="str">
        <f>IFERROR(__xludf.DUMMYFUNCTION("IF(
  AND(D175=""Saída"", J175=""Sangria""),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198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94" t="str">
        <f>IFERROR(__xludf.DUMMYFUNCTION("ifna(VALUE(REGEXEXTRACT(E175,""[0-9.]+[,]+[0-9]+"")))"),"")</f>
        <v/>
      </c>
      <c r="O175" s="258"/>
      <c r="P175" s="262"/>
      <c r="Q175" s="258"/>
      <c r="R175" s="258"/>
      <c r="S175" s="258"/>
      <c r="V175" s="258"/>
      <c r="W175" s="194"/>
    </row>
    <row r="176" ht="14.25" customHeight="1">
      <c r="A176" s="186"/>
      <c r="B176" s="13"/>
      <c r="C176" s="14"/>
      <c r="D176" s="187"/>
      <c r="E176" s="188"/>
      <c r="F176" s="189"/>
      <c r="G176" s="187"/>
      <c r="H176" s="204"/>
      <c r="I176" s="204"/>
      <c r="J176" s="196"/>
      <c r="K176" s="196"/>
      <c r="L176" s="192" t="str">
        <f>IFERROR(__xludf.DUMMYFUNCTION("IF(
  AND(D176=""Saída"", J176=""Sangria""),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197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94" t="str">
        <f>IFERROR(__xludf.DUMMYFUNCTION("ifna(VALUE(REGEXEXTRACT(E176,""[0-9.]+[,]+[0-9]+"")))"),"")</f>
        <v/>
      </c>
      <c r="O176" s="254"/>
      <c r="P176" s="263"/>
      <c r="Q176" s="254"/>
      <c r="R176" s="254"/>
      <c r="S176" s="254"/>
      <c r="V176" s="254"/>
      <c r="W176" s="194"/>
    </row>
    <row r="177" ht="14.25" customHeight="1">
      <c r="A177" s="186"/>
      <c r="B177" s="13"/>
      <c r="C177" s="14"/>
      <c r="D177" s="187"/>
      <c r="E177" s="188"/>
      <c r="F177" s="189"/>
      <c r="G177" s="187"/>
      <c r="H177" s="204"/>
      <c r="I177" s="204"/>
      <c r="K177" s="196"/>
      <c r="L177" s="192" t="str">
        <f>IFERROR(__xludf.DUMMYFUNCTION("IF(
  AND(D177=""Saída"", J177=""Sangria""),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198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94" t="str">
        <f>IFERROR(__xludf.DUMMYFUNCTION("ifna(VALUE(REGEXEXTRACT(E177,""[0-9.]+[,]+[0-9]+"")))"),"")</f>
        <v/>
      </c>
      <c r="O177" s="258"/>
      <c r="P177" s="262"/>
      <c r="Q177" s="258"/>
      <c r="R177" s="258"/>
      <c r="S177" s="258"/>
      <c r="V177" s="258"/>
      <c r="W177" s="194"/>
    </row>
    <row r="178" ht="14.25" customHeight="1">
      <c r="A178" s="186"/>
      <c r="B178" s="13"/>
      <c r="C178" s="14"/>
      <c r="D178" s="187"/>
      <c r="E178" s="188"/>
      <c r="F178" s="189"/>
      <c r="G178" s="187"/>
      <c r="H178" s="204"/>
      <c r="I178" s="204"/>
      <c r="J178" s="196"/>
      <c r="K178" s="196"/>
      <c r="L178" s="192" t="str">
        <f>IFERROR(__xludf.DUMMYFUNCTION("IF(
  AND(D178=""Saída"", J178=""Sangria""),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197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94" t="str">
        <f>IFERROR(__xludf.DUMMYFUNCTION("ifna(VALUE(REGEXEXTRACT(E178,""[0-9.]+[,]+[0-9]+"")))"),"")</f>
        <v/>
      </c>
      <c r="O178" s="254"/>
      <c r="P178" s="263"/>
      <c r="Q178" s="254"/>
      <c r="R178" s="254"/>
      <c r="S178" s="254"/>
      <c r="V178" s="254"/>
      <c r="W178" s="194"/>
    </row>
    <row r="179" ht="14.25" customHeight="1">
      <c r="A179" s="186"/>
      <c r="B179" s="13"/>
      <c r="C179" s="14"/>
      <c r="D179" s="187"/>
      <c r="E179" s="188"/>
      <c r="F179" s="200"/>
      <c r="G179" s="187"/>
      <c r="H179" s="204"/>
      <c r="I179" s="204"/>
      <c r="J179" s="196"/>
      <c r="K179" s="196"/>
      <c r="L179" s="192" t="str">
        <f>IFERROR(__xludf.DUMMYFUNCTION("IF(
  AND(D179=""Saída"", J179=""Sangria""),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198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94" t="str">
        <f>IFERROR(__xludf.DUMMYFUNCTION("ifna(VALUE(REGEXEXTRACT(E179,""[0-9.]+[,]+[0-9]+"")))"),"")</f>
        <v/>
      </c>
      <c r="O179" s="258"/>
      <c r="P179" s="262"/>
      <c r="Q179" s="258"/>
      <c r="R179" s="258"/>
      <c r="S179" s="258"/>
      <c r="V179" s="258"/>
      <c r="W179" s="194"/>
    </row>
    <row r="180" ht="14.25" customHeight="1">
      <c r="A180" s="186"/>
      <c r="B180" s="13"/>
      <c r="C180" s="14"/>
      <c r="D180" s="187"/>
      <c r="E180" s="188"/>
      <c r="F180" s="189"/>
      <c r="G180" s="187"/>
      <c r="H180" s="204"/>
      <c r="I180" s="204"/>
      <c r="K180" s="196"/>
      <c r="L180" s="192" t="str">
        <f>IFERROR(__xludf.DUMMYFUNCTION("IF(
  AND(D180=""Saída"", J180=""Sangria""),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197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94" t="str">
        <f>IFERROR(__xludf.DUMMYFUNCTION("ifna(VALUE(REGEXEXTRACT(E180,""[0-9.]+[,]+[0-9]+"")))"),"")</f>
        <v/>
      </c>
      <c r="O180" s="254"/>
      <c r="P180" s="263"/>
      <c r="Q180" s="254"/>
      <c r="R180" s="254"/>
      <c r="S180" s="254"/>
      <c r="V180" s="254"/>
      <c r="W180" s="194"/>
    </row>
    <row r="181" ht="14.25" customHeight="1">
      <c r="A181" s="186"/>
      <c r="B181" s="13"/>
      <c r="C181" s="14"/>
      <c r="D181" s="187"/>
      <c r="E181" s="188"/>
      <c r="F181" s="189"/>
      <c r="G181" s="187"/>
      <c r="H181" s="204"/>
      <c r="I181" s="204"/>
      <c r="J181" s="196"/>
      <c r="K181" s="196"/>
      <c r="L181" s="192" t="str">
        <f>IFERROR(__xludf.DUMMYFUNCTION("IF(
  AND(D181=""Saída"", J181=""Sangria""),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198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94" t="str">
        <f>IFERROR(__xludf.DUMMYFUNCTION("ifna(VALUE(REGEXEXTRACT(E181,""[0-9.]+[,]+[0-9]+"")))"),"")</f>
        <v/>
      </c>
      <c r="O181" s="258"/>
      <c r="P181" s="262"/>
      <c r="Q181" s="258"/>
      <c r="R181" s="258"/>
      <c r="S181" s="258"/>
      <c r="V181" s="258"/>
      <c r="W181" s="194"/>
    </row>
    <row r="182" ht="14.25" customHeight="1">
      <c r="A182" s="186"/>
      <c r="B182" s="13"/>
      <c r="C182" s="14"/>
      <c r="D182" s="187"/>
      <c r="E182" s="188"/>
      <c r="F182" s="189"/>
      <c r="G182" s="187"/>
      <c r="H182" s="204"/>
      <c r="I182" s="204"/>
      <c r="J182" s="196"/>
      <c r="K182" s="196"/>
      <c r="L182" s="192" t="str">
        <f>IFERROR(__xludf.DUMMYFUNCTION("IF(
  AND(D182=""Saída"", J182=""Sangria""),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197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94" t="str">
        <f>IFERROR(__xludf.DUMMYFUNCTION("ifna(VALUE(REGEXEXTRACT(E182,""[0-9.]+[,]+[0-9]+"")))"),"")</f>
        <v/>
      </c>
      <c r="O182" s="254"/>
      <c r="P182" s="263"/>
      <c r="Q182" s="254"/>
      <c r="R182" s="254"/>
      <c r="S182" s="254"/>
      <c r="V182" s="254"/>
      <c r="W182" s="194"/>
    </row>
    <row r="183" ht="14.25" customHeight="1">
      <c r="A183" s="186"/>
      <c r="B183" s="13"/>
      <c r="C183" s="14"/>
      <c r="D183" s="187"/>
      <c r="E183" s="188"/>
      <c r="F183" s="200"/>
      <c r="G183" s="187"/>
      <c r="H183" s="204"/>
      <c r="I183" s="204"/>
      <c r="J183" s="196"/>
      <c r="K183" s="196"/>
      <c r="L183" s="192" t="str">
        <f>IFERROR(__xludf.DUMMYFUNCTION("IF(
  AND(D183=""Saída"", J183=""Sangria""),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198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94" t="str">
        <f>IFERROR(__xludf.DUMMYFUNCTION("ifna(VALUE(REGEXEXTRACT(E183,""[0-9.]+[,]+[0-9]+"")))"),"")</f>
        <v/>
      </c>
      <c r="O183" s="258"/>
      <c r="P183" s="262"/>
      <c r="Q183" s="258"/>
      <c r="R183" s="258"/>
      <c r="S183" s="258"/>
      <c r="V183" s="258"/>
      <c r="W183" s="194"/>
    </row>
    <row r="184" ht="14.25" customHeight="1">
      <c r="A184" s="186"/>
      <c r="B184" s="13"/>
      <c r="C184" s="14"/>
      <c r="D184" s="187"/>
      <c r="E184" s="188"/>
      <c r="F184" s="200"/>
      <c r="G184" s="187"/>
      <c r="H184" s="204"/>
      <c r="I184" s="204"/>
      <c r="J184" s="196"/>
      <c r="K184" s="196"/>
      <c r="L184" s="192" t="str">
        <f>IFERROR(__xludf.DUMMYFUNCTION("IF(
  AND(D184=""Saída"", J184=""Sangria""),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197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94" t="str">
        <f>IFERROR(__xludf.DUMMYFUNCTION("ifna(VALUE(REGEXEXTRACT(E184,""[0-9.]+[,]+[0-9]+"")))"),"")</f>
        <v/>
      </c>
      <c r="O184" s="254"/>
      <c r="P184" s="263"/>
      <c r="Q184" s="254"/>
      <c r="R184" s="254"/>
      <c r="S184" s="254"/>
      <c r="V184" s="254"/>
      <c r="W184" s="194"/>
    </row>
    <row r="185" ht="14.25" customHeight="1">
      <c r="A185" s="186"/>
      <c r="B185" s="13"/>
      <c r="C185" s="14"/>
      <c r="D185" s="187"/>
      <c r="E185" s="188"/>
      <c r="F185" s="189"/>
      <c r="G185" s="187"/>
      <c r="H185" s="204"/>
      <c r="I185" s="204"/>
      <c r="J185" s="196"/>
      <c r="K185" s="196"/>
      <c r="L185" s="192" t="str">
        <f>IFERROR(__xludf.DUMMYFUNCTION("IF(
  AND(D185=""Saída"", J185=""Sangria""),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198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94" t="str">
        <f>IFERROR(__xludf.DUMMYFUNCTION("ifna(VALUE(REGEXEXTRACT(E185,""[0-9.]+[,]+[0-9]+"")))"),"")</f>
        <v/>
      </c>
      <c r="O185" s="258"/>
      <c r="P185" s="262"/>
      <c r="Q185" s="258"/>
      <c r="R185" s="258"/>
      <c r="S185" s="258"/>
      <c r="V185" s="258"/>
      <c r="W185" s="194"/>
    </row>
    <row r="186" ht="14.25" customHeight="1">
      <c r="A186" s="186"/>
      <c r="B186" s="13"/>
      <c r="C186" s="14"/>
      <c r="D186" s="187"/>
      <c r="E186" s="188"/>
      <c r="F186" s="200"/>
      <c r="G186" s="187"/>
      <c r="H186" s="204"/>
      <c r="I186" s="204"/>
      <c r="J186" s="196"/>
      <c r="K186" s="196"/>
      <c r="L186" s="192" t="str">
        <f>IFERROR(__xludf.DUMMYFUNCTION("IF(
  AND(D186=""Saída"", J186=""Sangria""),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197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94" t="str">
        <f>IFERROR(__xludf.DUMMYFUNCTION("ifna(VALUE(REGEXEXTRACT(E186,""[0-9.]+[,]+[0-9]+"")))"),"")</f>
        <v/>
      </c>
      <c r="O186" s="254"/>
      <c r="P186" s="263"/>
      <c r="Q186" s="254"/>
      <c r="R186" s="254"/>
      <c r="S186" s="254"/>
      <c r="V186" s="254"/>
      <c r="W186" s="194"/>
    </row>
    <row r="187" ht="14.25" customHeight="1">
      <c r="A187" s="186"/>
      <c r="B187" s="13"/>
      <c r="C187" s="14"/>
      <c r="D187" s="187"/>
      <c r="E187" s="188"/>
      <c r="F187" s="189"/>
      <c r="G187" s="187"/>
      <c r="H187" s="204"/>
      <c r="I187" s="204"/>
      <c r="J187" s="196"/>
      <c r="K187" s="196"/>
      <c r="L187" s="192" t="str">
        <f>IFERROR(__xludf.DUMMYFUNCTION("IF(
  AND(D187=""Saída"", J187=""Sangria""),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198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94" t="str">
        <f>IFERROR(__xludf.DUMMYFUNCTION("ifna(VALUE(REGEXEXTRACT(E187,""[0-9.]+[,]+[0-9]+"")))"),"")</f>
        <v/>
      </c>
      <c r="O187" s="258"/>
      <c r="P187" s="262"/>
      <c r="Q187" s="258"/>
      <c r="R187" s="258"/>
      <c r="S187" s="258"/>
      <c r="V187" s="258"/>
      <c r="W187" s="194"/>
    </row>
    <row r="188" ht="14.25" customHeight="1">
      <c r="A188" s="186"/>
      <c r="B188" s="13"/>
      <c r="C188" s="14"/>
      <c r="D188" s="187"/>
      <c r="E188" s="188"/>
      <c r="F188" s="189"/>
      <c r="G188" s="187"/>
      <c r="H188" s="204"/>
      <c r="I188" s="204"/>
      <c r="J188" s="196"/>
      <c r="K188" s="196"/>
      <c r="L188" s="192" t="str">
        <f>IFERROR(__xludf.DUMMYFUNCTION("IF(
  AND(D188=""Saída"", J188=""Sangria""),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197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94" t="str">
        <f>IFERROR(__xludf.DUMMYFUNCTION("ifna(VALUE(REGEXEXTRACT(E188,""[0-9.]+[,]+[0-9]+"")))"),"")</f>
        <v/>
      </c>
      <c r="O188" s="254"/>
      <c r="P188" s="263"/>
      <c r="Q188" s="254"/>
      <c r="R188" s="254"/>
      <c r="S188" s="254"/>
      <c r="V188" s="254"/>
      <c r="W188" s="194"/>
    </row>
    <row r="189" ht="14.25" customHeight="1">
      <c r="A189" s="186"/>
      <c r="B189" s="13"/>
      <c r="C189" s="14"/>
      <c r="D189" s="187"/>
      <c r="E189" s="188"/>
      <c r="F189" s="189"/>
      <c r="G189" s="187"/>
      <c r="H189" s="204"/>
      <c r="I189" s="204"/>
      <c r="J189" s="196"/>
      <c r="K189" s="196"/>
      <c r="L189" s="192" t="str">
        <f>IFERROR(__xludf.DUMMYFUNCTION("IF(
  AND(D189=""Saída"", J189=""Sangria""),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198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94" t="str">
        <f>IFERROR(__xludf.DUMMYFUNCTION("ifna(VALUE(REGEXEXTRACT(E189,""[0-9.]+[,]+[0-9]+"")))"),"")</f>
        <v/>
      </c>
      <c r="O189" s="258"/>
      <c r="P189" s="262"/>
      <c r="Q189" s="258"/>
      <c r="R189" s="258"/>
      <c r="S189" s="258"/>
      <c r="V189" s="258"/>
      <c r="W189" s="194"/>
    </row>
    <row r="190" ht="14.25" customHeight="1">
      <c r="A190" s="186"/>
      <c r="B190" s="13"/>
      <c r="C190" s="14"/>
      <c r="D190" s="187"/>
      <c r="E190" s="188"/>
      <c r="F190" s="189"/>
      <c r="G190" s="187"/>
      <c r="H190" s="204"/>
      <c r="I190" s="204"/>
      <c r="J190" s="196"/>
      <c r="K190" s="196"/>
      <c r="L190" s="192" t="str">
        <f>IFERROR(__xludf.DUMMYFUNCTION("IF(
  AND(D190=""Saída"", J190=""Sangria""),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197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94" t="str">
        <f>IFERROR(__xludf.DUMMYFUNCTION("ifna(VALUE(REGEXEXTRACT(E190,""[0-9.]+[,]+[0-9]+"")))"),"")</f>
        <v/>
      </c>
      <c r="O190" s="254"/>
      <c r="P190" s="263"/>
      <c r="Q190" s="254"/>
      <c r="R190" s="254"/>
      <c r="S190" s="254"/>
      <c r="V190" s="254"/>
      <c r="W190" s="194"/>
    </row>
    <row r="191" ht="14.25" customHeight="1">
      <c r="A191" s="186"/>
      <c r="B191" s="13"/>
      <c r="C191" s="14"/>
      <c r="D191" s="187"/>
      <c r="E191" s="188"/>
      <c r="F191" s="189"/>
      <c r="G191" s="187"/>
      <c r="H191" s="204"/>
      <c r="I191" s="204"/>
      <c r="J191" s="266"/>
      <c r="K191" s="196"/>
      <c r="L191" s="192" t="str">
        <f>IFERROR(__xludf.DUMMYFUNCTION("IF(
  AND(D191=""Saída"", J191=""Sangria""),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198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94" t="str">
        <f>IFERROR(__xludf.DUMMYFUNCTION("ifna(VALUE(REGEXEXTRACT(E191,""[0-9.]+[,]+[0-9]+"")))"),"")</f>
        <v/>
      </c>
      <c r="O191" s="258"/>
      <c r="P191" s="262"/>
      <c r="Q191" s="258"/>
      <c r="R191" s="258"/>
      <c r="S191" s="258"/>
      <c r="V191" s="258"/>
      <c r="W191" s="194"/>
    </row>
    <row r="192" ht="14.25" customHeight="1">
      <c r="A192" s="186"/>
      <c r="B192" s="13"/>
      <c r="C192" s="14"/>
      <c r="D192" s="187"/>
      <c r="E192" s="188"/>
      <c r="F192" s="200"/>
      <c r="G192" s="187"/>
      <c r="H192" s="204"/>
      <c r="I192" s="204"/>
      <c r="J192" s="196"/>
      <c r="K192" s="196"/>
      <c r="L192" s="192" t="str">
        <f>IFERROR(__xludf.DUMMYFUNCTION("IF(
  AND(D192=""Saída"", J192=""Sangria""),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197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94" t="str">
        <f>IFERROR(__xludf.DUMMYFUNCTION("ifna(VALUE(REGEXEXTRACT(E192,""[0-9.]+[,]+[0-9]+"")))"),"")</f>
        <v/>
      </c>
      <c r="O192" s="254"/>
      <c r="P192" s="263"/>
      <c r="Q192" s="254"/>
      <c r="R192" s="254"/>
      <c r="S192" s="254"/>
      <c r="V192" s="254"/>
      <c r="W192" s="194"/>
    </row>
    <row r="193" ht="14.25" customHeight="1">
      <c r="A193" s="186"/>
      <c r="B193" s="13"/>
      <c r="C193" s="14"/>
      <c r="D193" s="187"/>
      <c r="E193" s="188"/>
      <c r="F193" s="189"/>
      <c r="G193" s="187"/>
      <c r="H193" s="204"/>
      <c r="I193" s="204"/>
      <c r="J193" s="196"/>
      <c r="K193" s="196"/>
      <c r="L193" s="192" t="str">
        <f>IFERROR(__xludf.DUMMYFUNCTION("IF(
  AND(D193=""Saída"", J193=""Sangria""),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198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94" t="str">
        <f>IFERROR(__xludf.DUMMYFUNCTION("ifna(VALUE(REGEXEXTRACT(E193,""[0-9.]+[,]+[0-9]+"")))"),"")</f>
        <v/>
      </c>
      <c r="O193" s="194"/>
      <c r="P193" s="194"/>
      <c r="Q193" s="194"/>
      <c r="R193" s="194"/>
      <c r="S193" s="194"/>
      <c r="T193" s="194"/>
      <c r="U193" s="194"/>
      <c r="V193" s="194"/>
      <c r="W193" s="194"/>
    </row>
    <row r="194" ht="14.25" customHeight="1">
      <c r="A194" s="186"/>
      <c r="B194" s="13"/>
      <c r="C194" s="14"/>
      <c r="D194" s="187"/>
      <c r="E194" s="188"/>
      <c r="F194" s="189"/>
      <c r="G194" s="187"/>
      <c r="H194" s="204"/>
      <c r="I194" s="204"/>
      <c r="J194" s="196"/>
      <c r="K194" s="196"/>
      <c r="L194" s="192" t="str">
        <f>IFERROR(__xludf.DUMMYFUNCTION("IF(
  AND(D194=""Saída"", J194=""Sangria""),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197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94" t="str">
        <f>IFERROR(__xludf.DUMMYFUNCTION("ifna(VALUE(REGEXEXTRACT(E194,""[0-9.]+[,]+[0-9]+"")))"),"")</f>
        <v/>
      </c>
      <c r="O194" s="194"/>
      <c r="P194" s="194"/>
      <c r="Q194" s="194"/>
      <c r="R194" s="194"/>
      <c r="S194" s="194"/>
      <c r="T194" s="194"/>
      <c r="U194" s="194"/>
      <c r="V194" s="194"/>
      <c r="W194" s="194"/>
    </row>
    <row r="195" ht="14.25" customHeight="1">
      <c r="A195" s="186"/>
      <c r="B195" s="13"/>
      <c r="C195" s="14"/>
      <c r="D195" s="187"/>
      <c r="E195" s="188"/>
      <c r="F195" s="200"/>
      <c r="G195" s="187"/>
      <c r="H195" s="204"/>
      <c r="I195" s="204"/>
      <c r="J195" s="196"/>
      <c r="K195" s="196"/>
      <c r="L195" s="192" t="str">
        <f>IFERROR(__xludf.DUMMYFUNCTION("IF(
  AND(D195=""Saída"", J195=""Sangria""),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198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94" t="str">
        <f>IFERROR(__xludf.DUMMYFUNCTION("ifna(VALUE(REGEXEXTRACT(E195,""[0-9.]+[,]+[0-9]+"")))"),"")</f>
        <v/>
      </c>
      <c r="O195" s="194"/>
      <c r="P195" s="194"/>
      <c r="Q195" s="194"/>
      <c r="R195" s="194"/>
      <c r="S195" s="194"/>
      <c r="T195" s="194"/>
      <c r="U195" s="194"/>
      <c r="V195" s="194"/>
      <c r="W195" s="194"/>
    </row>
    <row r="196" ht="14.25" customHeight="1">
      <c r="A196" s="186"/>
      <c r="B196" s="13"/>
      <c r="C196" s="14"/>
      <c r="D196" s="187"/>
      <c r="E196" s="188"/>
      <c r="F196" s="189"/>
      <c r="G196" s="187"/>
      <c r="H196" s="204"/>
      <c r="I196" s="204"/>
      <c r="K196" s="196"/>
      <c r="L196" s="192" t="str">
        <f>IFERROR(__xludf.DUMMYFUNCTION("IF(
  AND(D196=""Saída"", J196=""Sangria""),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197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94" t="str">
        <f>IFERROR(__xludf.DUMMYFUNCTION("ifna(VALUE(REGEXEXTRACT(E196,""[0-9.]+[,]+[0-9]+"")))"),"")</f>
        <v/>
      </c>
      <c r="O196" s="194"/>
      <c r="P196" s="194"/>
      <c r="Q196" s="194"/>
      <c r="R196" s="194"/>
      <c r="S196" s="194"/>
      <c r="T196" s="194"/>
      <c r="U196" s="194"/>
      <c r="V196" s="194"/>
      <c r="W196" s="194"/>
    </row>
    <row r="197" ht="14.25" customHeight="1">
      <c r="A197" s="186"/>
      <c r="B197" s="13"/>
      <c r="C197" s="14"/>
      <c r="D197" s="187"/>
      <c r="E197" s="188"/>
      <c r="F197" s="189"/>
      <c r="G197" s="187"/>
      <c r="H197" s="204"/>
      <c r="I197" s="204"/>
      <c r="J197" s="196"/>
      <c r="K197" s="196"/>
      <c r="L197" s="192" t="str">
        <f>IFERROR(__xludf.DUMMYFUNCTION("IF(
  AND(D197=""Saída"", J197=""Sangria""),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198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94" t="str">
        <f>IFERROR(__xludf.DUMMYFUNCTION("ifna(VALUE(REGEXEXTRACT(E197,""[0-9.]+[,]+[0-9]+"")))"),"")</f>
        <v/>
      </c>
      <c r="O197" s="194"/>
      <c r="P197" s="194"/>
      <c r="Q197" s="194"/>
      <c r="R197" s="194"/>
      <c r="S197" s="194"/>
      <c r="T197" s="194"/>
      <c r="U197" s="194"/>
      <c r="V197" s="194"/>
      <c r="W197" s="194"/>
    </row>
    <row r="198" ht="14.25" customHeight="1">
      <c r="A198" s="186"/>
      <c r="B198" s="13"/>
      <c r="C198" s="14"/>
      <c r="D198" s="187"/>
      <c r="E198" s="188"/>
      <c r="F198" s="189"/>
      <c r="G198" s="187"/>
      <c r="H198" s="204"/>
      <c r="I198" s="204"/>
      <c r="J198" s="196"/>
      <c r="K198" s="196"/>
      <c r="L198" s="192" t="str">
        <f>IFERROR(__xludf.DUMMYFUNCTION("IF(
  AND(D198=""Saída"", J198=""Sangria""),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197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94" t="str">
        <f>IFERROR(__xludf.DUMMYFUNCTION("ifna(VALUE(REGEXEXTRACT(E198,""[0-9.]+[,]+[0-9]+"")))"),"")</f>
        <v/>
      </c>
      <c r="O198" s="194"/>
      <c r="P198" s="194"/>
      <c r="Q198" s="194"/>
      <c r="R198" s="194"/>
      <c r="S198" s="194"/>
      <c r="T198" s="194"/>
      <c r="U198" s="194"/>
      <c r="V198" s="194"/>
      <c r="W198" s="194"/>
    </row>
    <row r="199" ht="14.25" customHeight="1">
      <c r="A199" s="186"/>
      <c r="B199" s="13"/>
      <c r="C199" s="14"/>
      <c r="D199" s="187"/>
      <c r="E199" s="188"/>
      <c r="F199" s="189"/>
      <c r="G199" s="187"/>
      <c r="H199" s="204"/>
      <c r="I199" s="204"/>
      <c r="J199" s="196"/>
      <c r="K199" s="196"/>
      <c r="L199" s="192" t="str">
        <f>IFERROR(__xludf.DUMMYFUNCTION("IF(
  AND(D199=""Saída"", J199=""Sangria""),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198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94" t="str">
        <f>IFERROR(__xludf.DUMMYFUNCTION("ifna(VALUE(REGEXEXTRACT(E199,""[0-9.]+[,]+[0-9]+"")))"),"")</f>
        <v/>
      </c>
      <c r="O199" s="194"/>
      <c r="P199" s="194"/>
      <c r="Q199" s="194"/>
      <c r="R199" s="194"/>
      <c r="S199" s="194"/>
      <c r="T199" s="194"/>
      <c r="U199" s="194"/>
      <c r="V199" s="194"/>
      <c r="W199" s="194"/>
    </row>
    <row r="200" ht="14.25" customHeight="1">
      <c r="A200" s="186"/>
      <c r="B200" s="13"/>
      <c r="C200" s="14"/>
      <c r="D200" s="187"/>
      <c r="E200" s="188"/>
      <c r="F200" s="189"/>
      <c r="G200" s="187"/>
      <c r="H200" s="204"/>
      <c r="I200" s="204"/>
      <c r="J200" s="196"/>
      <c r="K200" s="196"/>
      <c r="L200" s="192" t="str">
        <f>IFERROR(__xludf.DUMMYFUNCTION("IF(
  AND(D200=""Saída"", J200=""Sangria""),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197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94" t="str">
        <f>IFERROR(__xludf.DUMMYFUNCTION("ifna(VALUE(REGEXEXTRACT(E200,""[0-9.]+[,]+[0-9]+"")))"),"")</f>
        <v/>
      </c>
      <c r="O200" s="194"/>
      <c r="P200" s="194"/>
      <c r="Q200" s="194"/>
      <c r="R200" s="194"/>
      <c r="S200" s="194"/>
      <c r="T200" s="194"/>
      <c r="U200" s="194"/>
      <c r="V200" s="194"/>
      <c r="W200" s="194"/>
    </row>
    <row r="201" ht="14.25" customHeight="1">
      <c r="A201" s="186"/>
      <c r="B201" s="13"/>
      <c r="C201" s="14"/>
      <c r="D201" s="187"/>
      <c r="E201" s="188"/>
      <c r="F201" s="189"/>
      <c r="G201" s="187"/>
      <c r="H201" s="204"/>
      <c r="I201" s="204"/>
      <c r="J201" s="196"/>
      <c r="K201" s="196"/>
      <c r="L201" s="192" t="str">
        <f>IFERROR(__xludf.DUMMYFUNCTION("IF(
  AND(D201=""Saída"", J201=""Sangria""),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198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94" t="str">
        <f>IFERROR(__xludf.DUMMYFUNCTION("ifna(VALUE(REGEXEXTRACT(E201,""[0-9.]+[,]+[0-9]+"")))"),"")</f>
        <v/>
      </c>
      <c r="O201" s="194"/>
      <c r="P201" s="194"/>
      <c r="Q201" s="194"/>
      <c r="R201" s="194"/>
      <c r="S201" s="194"/>
      <c r="T201" s="194"/>
      <c r="U201" s="194"/>
      <c r="V201" s="194"/>
      <c r="W201" s="194"/>
    </row>
    <row r="202" ht="14.25" customHeight="1">
      <c r="A202" s="186"/>
      <c r="B202" s="13"/>
      <c r="C202" s="14"/>
      <c r="D202" s="187"/>
      <c r="E202" s="188"/>
      <c r="F202" s="189"/>
      <c r="G202" s="187"/>
      <c r="H202" s="204"/>
      <c r="I202" s="204"/>
      <c r="J202" s="196"/>
      <c r="K202" s="196"/>
      <c r="L202" s="192" t="str">
        <f>IFERROR(__xludf.DUMMYFUNCTION("IF(
  AND(D202=""Saída"", J202=""Sangria""),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197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94" t="str">
        <f>IFERROR(__xludf.DUMMYFUNCTION("ifna(VALUE(REGEXEXTRACT(E202,""[0-9.]+[,]+[0-9]+"")))"),"")</f>
        <v/>
      </c>
      <c r="O202" s="194"/>
      <c r="P202" s="194"/>
      <c r="Q202" s="194"/>
      <c r="R202" s="194"/>
      <c r="S202" s="194"/>
      <c r="T202" s="194"/>
      <c r="U202" s="194"/>
      <c r="V202" s="194"/>
      <c r="W202" s="194"/>
    </row>
    <row r="203" ht="14.25" customHeight="1">
      <c r="A203" s="186"/>
      <c r="B203" s="13"/>
      <c r="C203" s="14"/>
      <c r="D203" s="187"/>
      <c r="E203" s="188"/>
      <c r="F203" s="189"/>
      <c r="G203" s="187"/>
      <c r="H203" s="204"/>
      <c r="I203" s="204"/>
      <c r="J203" s="196"/>
      <c r="K203" s="196"/>
      <c r="L203" s="192" t="str">
        <f>IFERROR(__xludf.DUMMYFUNCTION("IF(
  AND(D203=""Saída"", J203=""Sangria""),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198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94" t="str">
        <f>IFERROR(__xludf.DUMMYFUNCTION("ifna(VALUE(REGEXEXTRACT(E203,""[0-9.]+[,]+[0-9]+"")))"),"")</f>
        <v/>
      </c>
      <c r="O203" s="194"/>
      <c r="P203" s="194"/>
      <c r="Q203" s="194"/>
      <c r="R203" s="194"/>
      <c r="S203" s="194"/>
      <c r="T203" s="194"/>
      <c r="U203" s="194"/>
      <c r="V203" s="194"/>
      <c r="W203" s="194"/>
    </row>
    <row r="204" ht="14.25" customHeight="1">
      <c r="A204" s="186"/>
      <c r="B204" s="13"/>
      <c r="C204" s="14"/>
      <c r="D204" s="187"/>
      <c r="E204" s="188"/>
      <c r="F204" s="189"/>
      <c r="G204" s="187"/>
      <c r="H204" s="204"/>
      <c r="I204" s="204"/>
      <c r="J204" s="196"/>
      <c r="K204" s="196"/>
      <c r="L204" s="192" t="str">
        <f>IFERROR(__xludf.DUMMYFUNCTION("IF(
  AND(D204=""Saída"", J204=""Sangria""),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197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94" t="str">
        <f>IFERROR(__xludf.DUMMYFUNCTION("ifna(VALUE(REGEXEXTRACT(E204,""[0-9.]+[,]+[0-9]+"")))"),"")</f>
        <v/>
      </c>
      <c r="O204" s="194"/>
      <c r="P204" s="194"/>
      <c r="Q204" s="194"/>
      <c r="R204" s="194"/>
      <c r="S204" s="194"/>
      <c r="T204" s="194"/>
      <c r="U204" s="194"/>
      <c r="V204" s="194"/>
      <c r="W204" s="194"/>
    </row>
    <row r="205" ht="14.25" customHeight="1">
      <c r="A205" s="186"/>
      <c r="B205" s="13"/>
      <c r="C205" s="14"/>
      <c r="D205" s="187"/>
      <c r="E205" s="188"/>
      <c r="F205" s="200"/>
      <c r="G205" s="187"/>
      <c r="H205" s="204"/>
      <c r="I205" s="204"/>
      <c r="J205" s="196"/>
      <c r="K205" s="196"/>
      <c r="L205" s="192" t="str">
        <f>IFERROR(__xludf.DUMMYFUNCTION("IF(
  AND(D205=""Saída"", J205=""Sangria""),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198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94" t="str">
        <f>IFERROR(__xludf.DUMMYFUNCTION("ifna(VALUE(REGEXEXTRACT(E205,""[0-9.]+[,]+[0-9]+"")))"),"")</f>
        <v/>
      </c>
      <c r="O205" s="194"/>
      <c r="P205" s="194"/>
      <c r="Q205" s="194"/>
      <c r="R205" s="194"/>
      <c r="S205" s="194"/>
      <c r="T205" s="194"/>
      <c r="U205" s="194"/>
      <c r="V205" s="194"/>
      <c r="W205" s="194"/>
    </row>
    <row r="206" ht="14.25" customHeight="1">
      <c r="A206" s="186"/>
      <c r="B206" s="13"/>
      <c r="C206" s="14"/>
      <c r="D206" s="187"/>
      <c r="E206" s="188"/>
      <c r="F206" s="189"/>
      <c r="G206" s="187"/>
      <c r="H206" s="204"/>
      <c r="I206" s="204"/>
      <c r="J206" s="196"/>
      <c r="K206" s="196"/>
      <c r="L206" s="192" t="str">
        <f>IFERROR(__xludf.DUMMYFUNCTION("IF(
  AND(D206=""Saída"", J206=""Sangria""),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197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94" t="str">
        <f>IFERROR(__xludf.DUMMYFUNCTION("ifna(VALUE(REGEXEXTRACT(E206,""[0-9.]+[,]+[0-9]+"")))"),"")</f>
        <v/>
      </c>
      <c r="O206" s="194"/>
      <c r="P206" s="194"/>
      <c r="Q206" s="194"/>
      <c r="R206" s="194"/>
      <c r="S206" s="194"/>
      <c r="T206" s="194"/>
      <c r="U206" s="194"/>
      <c r="V206" s="194"/>
      <c r="W206" s="194"/>
    </row>
    <row r="207" ht="14.25" customHeight="1">
      <c r="A207" s="186"/>
      <c r="B207" s="13"/>
      <c r="C207" s="14"/>
      <c r="D207" s="187"/>
      <c r="E207" s="188"/>
      <c r="F207" s="189"/>
      <c r="G207" s="187"/>
      <c r="H207" s="204"/>
      <c r="I207" s="204"/>
      <c r="J207" s="196"/>
      <c r="K207" s="196"/>
      <c r="L207" s="192" t="str">
        <f>IFERROR(__xludf.DUMMYFUNCTION("IF(
  AND(D207=""Saída"", J207=""Sangria""),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198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94" t="str">
        <f>IFERROR(__xludf.DUMMYFUNCTION("ifna(VALUE(REGEXEXTRACT(E207,""[0-9.]+[,]+[0-9]+"")))"),"")</f>
        <v/>
      </c>
      <c r="O207" s="194"/>
      <c r="P207" s="194"/>
      <c r="Q207" s="194"/>
      <c r="R207" s="194"/>
      <c r="S207" s="194"/>
      <c r="T207" s="194"/>
      <c r="U207" s="194"/>
      <c r="V207" s="194"/>
      <c r="W207" s="194"/>
    </row>
    <row r="208" ht="14.25" customHeight="1">
      <c r="A208" s="186"/>
      <c r="B208" s="13"/>
      <c r="C208" s="14"/>
      <c r="D208" s="187"/>
      <c r="E208" s="188"/>
      <c r="F208" s="189"/>
      <c r="G208" s="187"/>
      <c r="H208" s="204"/>
      <c r="I208" s="204"/>
      <c r="J208" s="196"/>
      <c r="K208" s="196"/>
      <c r="L208" s="192" t="str">
        <f>IFERROR(__xludf.DUMMYFUNCTION("IF(
  AND(D208=""Saída"", J208=""Sangria""),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197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94" t="str">
        <f>IFERROR(__xludf.DUMMYFUNCTION("ifna(VALUE(REGEXEXTRACT(E208,""[0-9.]+[,]+[0-9]+"")))"),"")</f>
        <v/>
      </c>
      <c r="O208" s="194"/>
      <c r="P208" s="194"/>
      <c r="Q208" s="194"/>
      <c r="R208" s="194"/>
      <c r="S208" s="194"/>
      <c r="T208" s="194"/>
      <c r="U208" s="194"/>
      <c r="V208" s="194"/>
      <c r="W208" s="194"/>
    </row>
    <row r="209" ht="14.25" customHeight="1">
      <c r="A209" s="186"/>
      <c r="B209" s="13"/>
      <c r="C209" s="14"/>
      <c r="D209" s="187"/>
      <c r="E209" s="188"/>
      <c r="F209" s="189"/>
      <c r="G209" s="187"/>
      <c r="H209" s="204"/>
      <c r="I209" s="204"/>
      <c r="K209" s="196"/>
      <c r="L209" s="192" t="str">
        <f>IFERROR(__xludf.DUMMYFUNCTION("IF(
  AND(D209=""Saída"", J209=""Sangria""),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198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94" t="str">
        <f>IFERROR(__xludf.DUMMYFUNCTION("ifna(VALUE(REGEXEXTRACT(E209,""[0-9.]+[,]+[0-9]+"")))"),"")</f>
        <v/>
      </c>
      <c r="O209" s="194"/>
      <c r="P209" s="194"/>
      <c r="Q209" s="194"/>
      <c r="R209" s="194"/>
      <c r="S209" s="194"/>
      <c r="T209" s="194"/>
      <c r="U209" s="194"/>
      <c r="V209" s="194"/>
      <c r="W209" s="194"/>
    </row>
    <row r="210" ht="14.25" customHeight="1">
      <c r="A210" s="186"/>
      <c r="B210" s="13"/>
      <c r="C210" s="14"/>
      <c r="D210" s="187"/>
      <c r="E210" s="188"/>
      <c r="F210" s="200"/>
      <c r="G210" s="187"/>
      <c r="H210" s="204"/>
      <c r="I210" s="204"/>
      <c r="J210" s="196"/>
      <c r="K210" s="196"/>
      <c r="L210" s="192" t="str">
        <f>IFERROR(__xludf.DUMMYFUNCTION("IF(
  AND(D210=""Saída"", J210=""Sangria""),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197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94" t="str">
        <f>IFERROR(__xludf.DUMMYFUNCTION("ifna(VALUE(REGEXEXTRACT(E210,""[0-9.]+[,]+[0-9]+"")))"),"")</f>
        <v/>
      </c>
      <c r="O210" s="194"/>
      <c r="P210" s="194"/>
      <c r="Q210" s="194"/>
      <c r="R210" s="194"/>
      <c r="S210" s="194"/>
      <c r="T210" s="194"/>
      <c r="U210" s="194"/>
      <c r="V210" s="194"/>
      <c r="W210" s="194"/>
    </row>
    <row r="211" ht="14.25" customHeight="1">
      <c r="A211" s="186"/>
      <c r="B211" s="13"/>
      <c r="C211" s="14"/>
      <c r="D211" s="187"/>
      <c r="E211" s="188"/>
      <c r="F211" s="189"/>
      <c r="G211" s="187"/>
      <c r="H211" s="204"/>
      <c r="I211" s="204"/>
      <c r="J211" s="196"/>
      <c r="K211" s="196"/>
      <c r="L211" s="192" t="str">
        <f>IFERROR(__xludf.DUMMYFUNCTION("IF(
  AND(D211=""Saída"", J211=""Sangria""),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198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94" t="str">
        <f>IFERROR(__xludf.DUMMYFUNCTION("ifna(VALUE(REGEXEXTRACT(E211,""[0-9.]+[,]+[0-9]+"")))"),"")</f>
        <v/>
      </c>
      <c r="O211" s="194"/>
      <c r="P211" s="194"/>
      <c r="Q211" s="194"/>
      <c r="R211" s="194"/>
      <c r="S211" s="194"/>
      <c r="T211" s="194"/>
      <c r="U211" s="194"/>
      <c r="V211" s="194"/>
      <c r="W211" s="194"/>
    </row>
    <row r="212" ht="14.25" customHeight="1">
      <c r="A212" s="186"/>
      <c r="B212" s="13"/>
      <c r="C212" s="14"/>
      <c r="D212" s="187"/>
      <c r="E212" s="188"/>
      <c r="F212" s="200"/>
      <c r="G212" s="187"/>
      <c r="H212" s="204"/>
      <c r="I212" s="204"/>
      <c r="J212" s="196"/>
      <c r="K212" s="196"/>
      <c r="L212" s="192" t="str">
        <f>IFERROR(__xludf.DUMMYFUNCTION("IF(
  AND(D212=""Saída"", J212=""Sangria""),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197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94" t="str">
        <f>IFERROR(__xludf.DUMMYFUNCTION("ifna(VALUE(REGEXEXTRACT(E212,""[0-9.]+[,]+[0-9]+"")))"),"")</f>
        <v/>
      </c>
      <c r="O212" s="194"/>
      <c r="P212" s="194"/>
      <c r="Q212" s="194"/>
      <c r="R212" s="194"/>
      <c r="S212" s="194"/>
      <c r="T212" s="194"/>
      <c r="U212" s="194"/>
      <c r="V212" s="194"/>
      <c r="W212" s="194"/>
    </row>
    <row r="213" ht="14.25" customHeight="1">
      <c r="A213" s="186"/>
      <c r="B213" s="13"/>
      <c r="C213" s="14"/>
      <c r="D213" s="187"/>
      <c r="E213" s="188"/>
      <c r="F213" s="189"/>
      <c r="G213" s="187"/>
      <c r="H213" s="204"/>
      <c r="I213" s="204"/>
      <c r="J213" s="196"/>
      <c r="K213" s="196"/>
      <c r="L213" s="192" t="str">
        <f>IFERROR(__xludf.DUMMYFUNCTION("IF(
  AND(D213=""Saída"", J213=""Sangria""),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198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94" t="str">
        <f>IFERROR(__xludf.DUMMYFUNCTION("ifna(VALUE(REGEXEXTRACT(E213,""[0-9.]+[,]+[0-9]+"")))"),"")</f>
        <v/>
      </c>
      <c r="O213" s="194"/>
      <c r="P213" s="194"/>
      <c r="Q213" s="194"/>
      <c r="R213" s="194"/>
      <c r="S213" s="194"/>
      <c r="T213" s="194"/>
      <c r="U213" s="194"/>
      <c r="V213" s="194"/>
      <c r="W213" s="194"/>
    </row>
    <row r="214" ht="14.25" customHeight="1">
      <c r="A214" s="186"/>
      <c r="B214" s="13"/>
      <c r="C214" s="14"/>
      <c r="D214" s="187"/>
      <c r="E214" s="188"/>
      <c r="F214" s="189"/>
      <c r="G214" s="187"/>
      <c r="H214" s="204"/>
      <c r="I214" s="204"/>
      <c r="J214" s="196"/>
      <c r="K214" s="196"/>
      <c r="L214" s="192" t="str">
        <f>IFERROR(__xludf.DUMMYFUNCTION("IF(
  AND(D214=""Saída"", J214=""Sangria""),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197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94" t="str">
        <f>IFERROR(__xludf.DUMMYFUNCTION("ifna(VALUE(REGEXEXTRACT(E214,""[0-9.]+[,]+[0-9]+"")))"),"")</f>
        <v/>
      </c>
      <c r="O214" s="194"/>
      <c r="P214" s="194"/>
      <c r="Q214" s="194"/>
      <c r="R214" s="194"/>
      <c r="S214" s="194"/>
      <c r="T214" s="194"/>
      <c r="U214" s="194"/>
      <c r="V214" s="194"/>
      <c r="W214" s="194"/>
    </row>
    <row r="215" ht="14.25" customHeight="1">
      <c r="A215" s="186"/>
      <c r="B215" s="13"/>
      <c r="C215" s="14"/>
      <c r="D215" s="187"/>
      <c r="E215" s="188"/>
      <c r="F215" s="189"/>
      <c r="G215" s="187"/>
      <c r="H215" s="204"/>
      <c r="I215" s="204"/>
      <c r="J215" s="196"/>
      <c r="K215" s="196"/>
      <c r="L215" s="192" t="str">
        <f>IFERROR(__xludf.DUMMYFUNCTION("IF(
  AND(D215=""Saída"", J215=""Sangria""),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198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94" t="str">
        <f>IFERROR(__xludf.DUMMYFUNCTION("ifna(VALUE(REGEXEXTRACT(E215,""[0-9.]+[,]+[0-9]+"")))"),"")</f>
        <v/>
      </c>
      <c r="O215" s="194"/>
      <c r="P215" s="194"/>
      <c r="Q215" s="194"/>
      <c r="R215" s="194"/>
      <c r="S215" s="194"/>
      <c r="T215" s="194"/>
      <c r="U215" s="194"/>
      <c r="V215" s="194"/>
      <c r="W215" s="194"/>
    </row>
    <row r="216" ht="14.25" customHeight="1">
      <c r="A216" s="186"/>
      <c r="B216" s="13"/>
      <c r="C216" s="14"/>
      <c r="D216" s="187"/>
      <c r="E216" s="188"/>
      <c r="F216" s="200"/>
      <c r="G216" s="187"/>
      <c r="H216" s="204"/>
      <c r="I216" s="204"/>
      <c r="J216" s="196"/>
      <c r="K216" s="196"/>
      <c r="L216" s="192" t="str">
        <f>IFERROR(__xludf.DUMMYFUNCTION("IF(
  AND(D216=""Saída"", J216=""Sangria""),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197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94" t="str">
        <f>IFERROR(__xludf.DUMMYFUNCTION("ifna(VALUE(REGEXEXTRACT(E216,""[0-9.]+[,]+[0-9]+"")))"),"")</f>
        <v/>
      </c>
      <c r="O216" s="194"/>
      <c r="P216" s="194"/>
      <c r="Q216" s="194"/>
      <c r="R216" s="194"/>
      <c r="S216" s="194"/>
      <c r="T216" s="194"/>
      <c r="U216" s="194"/>
      <c r="V216" s="194"/>
      <c r="W216" s="194"/>
    </row>
    <row r="217" ht="14.25" customHeight="1">
      <c r="A217" s="186"/>
      <c r="B217" s="13"/>
      <c r="C217" s="14"/>
      <c r="D217" s="187"/>
      <c r="E217" s="188"/>
      <c r="F217" s="189"/>
      <c r="G217" s="187"/>
      <c r="H217" s="204"/>
      <c r="I217" s="204"/>
      <c r="J217" s="196"/>
      <c r="K217" s="196"/>
      <c r="L217" s="192" t="str">
        <f>IFERROR(__xludf.DUMMYFUNCTION("IF(
  AND(D217=""Saída"", J217=""Sangria""),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198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94" t="str">
        <f>IFERROR(__xludf.DUMMYFUNCTION("ifna(VALUE(REGEXEXTRACT(E217,""[0-9.]+[,]+[0-9]+"")))"),"")</f>
        <v/>
      </c>
      <c r="O217" s="194"/>
      <c r="P217" s="194"/>
      <c r="Q217" s="194"/>
      <c r="R217" s="194"/>
      <c r="S217" s="194"/>
      <c r="T217" s="194"/>
      <c r="U217" s="194"/>
      <c r="V217" s="194"/>
      <c r="W217" s="194"/>
    </row>
    <row r="218" ht="14.25" customHeight="1">
      <c r="A218" s="186"/>
      <c r="B218" s="13"/>
      <c r="C218" s="14"/>
      <c r="D218" s="187"/>
      <c r="E218" s="188"/>
      <c r="F218" s="189"/>
      <c r="G218" s="187"/>
      <c r="H218" s="204"/>
      <c r="I218" s="204"/>
      <c r="J218" s="196"/>
      <c r="K218" s="196"/>
      <c r="L218" s="192" t="str">
        <f>IFERROR(__xludf.DUMMYFUNCTION("IF(
  AND(D218=""Saída"", J218=""Sangria""),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197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94" t="str">
        <f>IFERROR(__xludf.DUMMYFUNCTION("ifna(VALUE(REGEXEXTRACT(E218,""[0-9.]+[,]+[0-9]+"")))"),"")</f>
        <v/>
      </c>
      <c r="O218" s="194"/>
      <c r="P218" s="194"/>
      <c r="Q218" s="194"/>
      <c r="R218" s="194"/>
      <c r="S218" s="194"/>
      <c r="T218" s="194"/>
      <c r="U218" s="194"/>
      <c r="V218" s="194"/>
      <c r="W218" s="194"/>
    </row>
    <row r="219" ht="14.25" customHeight="1">
      <c r="A219" s="186"/>
      <c r="B219" s="13"/>
      <c r="C219" s="14"/>
      <c r="D219" s="187"/>
      <c r="E219" s="188"/>
      <c r="F219" s="189"/>
      <c r="G219" s="187"/>
      <c r="H219" s="204"/>
      <c r="I219" s="204"/>
      <c r="J219" s="196"/>
      <c r="K219" s="196"/>
      <c r="L219" s="192" t="str">
        <f>IFERROR(__xludf.DUMMYFUNCTION("IF(
  AND(D219=""Saída"", J219=""Sangria""),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198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94" t="str">
        <f>IFERROR(__xludf.DUMMYFUNCTION("ifna(VALUE(REGEXEXTRACT(E219,""[0-9.]+[,]+[0-9]+"")))"),"")</f>
        <v/>
      </c>
      <c r="O219" s="194"/>
      <c r="P219" s="194"/>
      <c r="Q219" s="194"/>
      <c r="R219" s="194"/>
      <c r="S219" s="194"/>
      <c r="T219" s="194"/>
      <c r="U219" s="194"/>
      <c r="V219" s="194"/>
      <c r="W219" s="194"/>
    </row>
    <row r="220" ht="14.25" customHeight="1">
      <c r="A220" s="186"/>
      <c r="B220" s="13"/>
      <c r="C220" s="14"/>
      <c r="D220" s="187"/>
      <c r="E220" s="188"/>
      <c r="F220" s="189"/>
      <c r="G220" s="187"/>
      <c r="H220" s="204"/>
      <c r="I220" s="204"/>
      <c r="J220" s="196"/>
      <c r="K220" s="196"/>
      <c r="L220" s="192" t="str">
        <f>IFERROR(__xludf.DUMMYFUNCTION("IF(
  AND(D220=""Saída"", J220=""Sangria""),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197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94" t="str">
        <f>IFERROR(__xludf.DUMMYFUNCTION("ifna(VALUE(REGEXEXTRACT(E220,""[0-9.]+[,]+[0-9]+"")))"),"")</f>
        <v/>
      </c>
      <c r="O220" s="194"/>
      <c r="P220" s="194"/>
      <c r="Q220" s="194"/>
      <c r="R220" s="194"/>
      <c r="S220" s="194"/>
      <c r="T220" s="194"/>
      <c r="U220" s="194"/>
      <c r="V220" s="194"/>
      <c r="W220" s="194"/>
    </row>
    <row r="221" ht="14.25" customHeight="1">
      <c r="A221" s="186"/>
      <c r="B221" s="13"/>
      <c r="C221" s="14"/>
      <c r="D221" s="187"/>
      <c r="E221" s="188"/>
      <c r="F221" s="189"/>
      <c r="G221" s="187"/>
      <c r="H221" s="204"/>
      <c r="I221" s="204"/>
      <c r="J221" s="196"/>
      <c r="K221" s="196"/>
      <c r="L221" s="192" t="str">
        <f>IFERROR(__xludf.DUMMYFUNCTION("IF(
  AND(D221=""Saída"", J221=""Sangria""),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198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94" t="str">
        <f>IFERROR(__xludf.DUMMYFUNCTION("ifna(VALUE(REGEXEXTRACT(E221,""[0-9.]+[,]+[0-9]+"")))"),"")</f>
        <v/>
      </c>
      <c r="O221" s="194"/>
      <c r="P221" s="194"/>
      <c r="Q221" s="194"/>
      <c r="R221" s="194"/>
      <c r="S221" s="194"/>
      <c r="T221" s="194"/>
      <c r="U221" s="194"/>
      <c r="V221" s="194"/>
      <c r="W221" s="194"/>
    </row>
    <row r="222" ht="14.25" customHeight="1">
      <c r="A222" s="186"/>
      <c r="B222" s="13"/>
      <c r="C222" s="14"/>
      <c r="D222" s="187"/>
      <c r="E222" s="188"/>
      <c r="F222" s="189"/>
      <c r="G222" s="187"/>
      <c r="H222" s="204"/>
      <c r="I222" s="204"/>
      <c r="J222" s="196"/>
      <c r="K222" s="196"/>
      <c r="L222" s="192" t="str">
        <f>IFERROR(__xludf.DUMMYFUNCTION("IF(
  AND(D222=""Saída"", J222=""Sangria""),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197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94" t="str">
        <f>IFERROR(__xludf.DUMMYFUNCTION("ifna(VALUE(REGEXEXTRACT(E222,""[0-9.]+[,]+[0-9]+"")))"),"")</f>
        <v/>
      </c>
      <c r="O222" s="194"/>
      <c r="P222" s="194"/>
      <c r="Q222" s="194"/>
      <c r="R222" s="194"/>
      <c r="S222" s="194"/>
      <c r="T222" s="194"/>
      <c r="U222" s="194"/>
      <c r="V222" s="194"/>
      <c r="W222" s="194"/>
    </row>
    <row r="223" ht="14.25" customHeight="1">
      <c r="A223" s="186"/>
      <c r="B223" s="13"/>
      <c r="C223" s="14"/>
      <c r="D223" s="187"/>
      <c r="E223" s="188"/>
      <c r="F223" s="189"/>
      <c r="G223" s="187"/>
      <c r="H223" s="204"/>
      <c r="I223" s="204"/>
      <c r="J223" s="196"/>
      <c r="K223" s="196"/>
      <c r="L223" s="192" t="str">
        <f>IFERROR(__xludf.DUMMYFUNCTION("IF(
  AND(D223=""Saída"", J223=""Sangria""),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198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94" t="str">
        <f>IFERROR(__xludf.DUMMYFUNCTION("ifna(VALUE(REGEXEXTRACT(E223,""[0-9.]+[,]+[0-9]+"")))"),"")</f>
        <v/>
      </c>
      <c r="O223" s="194"/>
      <c r="P223" s="194"/>
      <c r="Q223" s="194"/>
      <c r="R223" s="194"/>
      <c r="S223" s="194"/>
      <c r="T223" s="194"/>
      <c r="U223" s="194"/>
      <c r="V223" s="194"/>
      <c r="W223" s="194"/>
    </row>
    <row r="224" ht="14.25" customHeight="1">
      <c r="A224" s="186"/>
      <c r="B224" s="13"/>
      <c r="C224" s="14"/>
      <c r="D224" s="187"/>
      <c r="E224" s="188"/>
      <c r="F224" s="189"/>
      <c r="G224" s="187"/>
      <c r="H224" s="204"/>
      <c r="I224" s="204"/>
      <c r="J224" s="196"/>
      <c r="K224" s="196"/>
      <c r="L224" s="192" t="str">
        <f>IFERROR(__xludf.DUMMYFUNCTION("IF(
  AND(D224=""Saída"", J224=""Sangria""),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197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94" t="str">
        <f>IFERROR(__xludf.DUMMYFUNCTION("ifna(VALUE(REGEXEXTRACT(E224,""[0-9.]+[,]+[0-9]+"")))"),"")</f>
        <v/>
      </c>
      <c r="O224" s="194"/>
      <c r="P224" s="194"/>
      <c r="Q224" s="194"/>
      <c r="R224" s="194"/>
      <c r="S224" s="194"/>
      <c r="T224" s="194"/>
      <c r="U224" s="194"/>
      <c r="V224" s="194"/>
      <c r="W224" s="194"/>
    </row>
    <row r="225" ht="14.25" customHeight="1">
      <c r="A225" s="186"/>
      <c r="B225" s="13"/>
      <c r="C225" s="14"/>
      <c r="D225" s="187"/>
      <c r="E225" s="188"/>
      <c r="F225" s="189"/>
      <c r="G225" s="187"/>
      <c r="H225" s="204"/>
      <c r="I225" s="204"/>
      <c r="J225" s="196"/>
      <c r="K225" s="202"/>
      <c r="L225" s="192" t="str">
        <f>IFERROR(__xludf.DUMMYFUNCTION("IF(
  AND(D225=""Saída"", J225=""Sangria""),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198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94" t="str">
        <f>IFERROR(__xludf.DUMMYFUNCTION("ifna(VALUE(REGEXEXTRACT(E225,""[0-9.]+[,]+[0-9]+"")))"),"")</f>
        <v/>
      </c>
      <c r="O225" s="194"/>
      <c r="P225" s="194"/>
      <c r="Q225" s="194"/>
      <c r="R225" s="194"/>
      <c r="S225" s="194"/>
      <c r="T225" s="194"/>
      <c r="U225" s="194"/>
      <c r="V225" s="194"/>
      <c r="W225" s="194"/>
    </row>
    <row r="226" ht="14.25" customHeight="1">
      <c r="A226" s="186"/>
      <c r="B226" s="13"/>
      <c r="C226" s="14"/>
      <c r="D226" s="187"/>
      <c r="E226" s="188"/>
      <c r="F226" s="200"/>
      <c r="G226" s="187"/>
      <c r="H226" s="204"/>
      <c r="I226" s="204"/>
      <c r="J226" s="196"/>
      <c r="K226" s="196"/>
      <c r="L226" s="192" t="str">
        <f>IFERROR(__xludf.DUMMYFUNCTION("IF(
  AND(D226=""Saída"", J226=""Sangria""),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197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94" t="str">
        <f>IFERROR(__xludf.DUMMYFUNCTION("ifna(VALUE(REGEXEXTRACT(E226,""[0-9.]+[,]+[0-9]+"")))"),"")</f>
        <v/>
      </c>
      <c r="O226" s="194"/>
      <c r="P226" s="194"/>
      <c r="Q226" s="194"/>
      <c r="R226" s="194"/>
      <c r="S226" s="194"/>
      <c r="T226" s="194"/>
      <c r="U226" s="194"/>
      <c r="V226" s="194"/>
      <c r="W226" s="194"/>
    </row>
    <row r="227" ht="14.25" customHeight="1">
      <c r="A227" s="186"/>
      <c r="B227" s="13"/>
      <c r="C227" s="14"/>
      <c r="D227" s="187"/>
      <c r="E227" s="188"/>
      <c r="F227" s="189"/>
      <c r="G227" s="187"/>
      <c r="H227" s="204"/>
      <c r="I227" s="204"/>
      <c r="J227" s="196"/>
      <c r="K227" s="196"/>
      <c r="L227" s="192" t="str">
        <f>IFERROR(__xludf.DUMMYFUNCTION("IF(
  AND(D227=""Saída"", J227=""Sangria""),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198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94" t="str">
        <f>IFERROR(__xludf.DUMMYFUNCTION("ifna(VALUE(REGEXEXTRACT(E227,""[0-9.]+[,]+[0-9]+"")))"),"")</f>
        <v/>
      </c>
      <c r="O227" s="194"/>
      <c r="P227" s="194"/>
      <c r="Q227" s="194"/>
      <c r="R227" s="194"/>
      <c r="S227" s="194"/>
      <c r="T227" s="194"/>
      <c r="U227" s="194"/>
      <c r="V227" s="194"/>
      <c r="W227" s="194"/>
    </row>
    <row r="228" ht="14.25" customHeight="1">
      <c r="A228" s="186"/>
      <c r="B228" s="13"/>
      <c r="C228" s="14"/>
      <c r="D228" s="187"/>
      <c r="E228" s="188"/>
      <c r="F228" s="189"/>
      <c r="G228" s="187"/>
      <c r="H228" s="204"/>
      <c r="I228" s="204"/>
      <c r="J228" s="196"/>
      <c r="K228" s="196"/>
      <c r="L228" s="192" t="str">
        <f>IFERROR(__xludf.DUMMYFUNCTION("IF(
  AND(D228=""Saída"", J228=""Sangria""),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197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94" t="str">
        <f>IFERROR(__xludf.DUMMYFUNCTION("ifna(VALUE(REGEXEXTRACT(E228,""[0-9.]+[,]+[0-9]+"")))"),"")</f>
        <v/>
      </c>
      <c r="O228" s="194"/>
      <c r="P228" s="194"/>
      <c r="Q228" s="194"/>
      <c r="R228" s="194"/>
      <c r="S228" s="194"/>
      <c r="T228" s="194"/>
      <c r="U228" s="194"/>
      <c r="V228" s="194"/>
      <c r="W228" s="194"/>
    </row>
    <row r="229" ht="14.25" customHeight="1">
      <c r="A229" s="186"/>
      <c r="B229" s="13"/>
      <c r="C229" s="14"/>
      <c r="D229" s="187"/>
      <c r="E229" s="188"/>
      <c r="F229" s="189"/>
      <c r="G229" s="187"/>
      <c r="H229" s="204"/>
      <c r="I229" s="204"/>
      <c r="J229" s="196"/>
      <c r="K229" s="196"/>
      <c r="L229" s="192" t="str">
        <f>IFERROR(__xludf.DUMMYFUNCTION("IF(
  AND(D229=""Saída"", J229=""Sangria""),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198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94" t="str">
        <f>IFERROR(__xludf.DUMMYFUNCTION("ifna(VALUE(REGEXEXTRACT(E229,""[0-9.]+[,]+[0-9]+"")))"),"")</f>
        <v/>
      </c>
      <c r="O229" s="194"/>
      <c r="P229" s="194"/>
      <c r="Q229" s="194"/>
      <c r="R229" s="194"/>
      <c r="S229" s="194"/>
      <c r="T229" s="194"/>
      <c r="U229" s="194"/>
      <c r="V229" s="194"/>
      <c r="W229" s="194"/>
    </row>
    <row r="230" ht="14.25" customHeight="1">
      <c r="A230" s="186"/>
      <c r="B230" s="13"/>
      <c r="C230" s="14"/>
      <c r="D230" s="187"/>
      <c r="E230" s="188"/>
      <c r="F230" s="189"/>
      <c r="G230" s="187"/>
      <c r="H230" s="204"/>
      <c r="I230" s="204"/>
      <c r="J230" s="196"/>
      <c r="K230" s="196"/>
      <c r="L230" s="192" t="str">
        <f>IFERROR(__xludf.DUMMYFUNCTION("IF(
  AND(D230=""Saída"", J230=""Sangria""),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197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94" t="str">
        <f>IFERROR(__xludf.DUMMYFUNCTION("ifna(VALUE(REGEXEXTRACT(E230,""[0-9.]+[,]+[0-9]+"")))"),"")</f>
        <v/>
      </c>
      <c r="O230" s="194"/>
      <c r="P230" s="194"/>
      <c r="Q230" s="194"/>
      <c r="R230" s="194"/>
      <c r="S230" s="194"/>
      <c r="T230" s="194"/>
      <c r="U230" s="194"/>
      <c r="V230" s="194"/>
      <c r="W230" s="194"/>
    </row>
    <row r="231" ht="14.25" customHeight="1">
      <c r="A231" s="186"/>
      <c r="B231" s="13"/>
      <c r="C231" s="14"/>
      <c r="D231" s="187"/>
      <c r="E231" s="188"/>
      <c r="F231" s="189"/>
      <c r="G231" s="13"/>
      <c r="H231" s="204"/>
      <c r="I231" s="204"/>
      <c r="J231" s="196"/>
      <c r="K231" s="196"/>
      <c r="L231" s="192" t="str">
        <f>IFERROR(__xludf.DUMMYFUNCTION("IF(
  AND(D231=""Saída"", J231=""Sangria""),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198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94" t="str">
        <f>IFERROR(__xludf.DUMMYFUNCTION("ifna(VALUE(REGEXEXTRACT(E231,""[0-9.]+[,]+[0-9]+"")))"),"")</f>
        <v/>
      </c>
      <c r="O231" s="194"/>
      <c r="P231" s="194"/>
      <c r="Q231" s="194"/>
      <c r="R231" s="194"/>
      <c r="S231" s="194"/>
      <c r="T231" s="194"/>
      <c r="U231" s="194"/>
      <c r="V231" s="194"/>
      <c r="W231" s="194"/>
    </row>
    <row r="232" ht="14.25" customHeight="1">
      <c r="A232" s="186"/>
      <c r="B232" s="13"/>
      <c r="C232" s="14"/>
      <c r="D232" s="187"/>
      <c r="E232" s="188"/>
      <c r="F232" s="200"/>
      <c r="G232" s="187"/>
      <c r="H232" s="204"/>
      <c r="I232" s="204"/>
      <c r="J232" s="196"/>
      <c r="K232" s="196"/>
      <c r="L232" s="192" t="str">
        <f>IFERROR(__xludf.DUMMYFUNCTION("IF(
  AND(D232=""Saída"", J232=""Sangria""),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197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94" t="str">
        <f>IFERROR(__xludf.DUMMYFUNCTION("ifna(VALUE(REGEXEXTRACT(E232,""[0-9.]+[,]+[0-9]+"")))"),"")</f>
        <v/>
      </c>
      <c r="O232" s="194"/>
      <c r="P232" s="194"/>
      <c r="Q232" s="194"/>
      <c r="R232" s="194"/>
      <c r="S232" s="194"/>
      <c r="T232" s="194"/>
      <c r="U232" s="194"/>
      <c r="V232" s="194"/>
      <c r="W232" s="194"/>
    </row>
    <row r="233" ht="14.25" customHeight="1">
      <c r="A233" s="186"/>
      <c r="B233" s="13"/>
      <c r="C233" s="14"/>
      <c r="D233" s="187"/>
      <c r="E233" s="188"/>
      <c r="F233" s="189"/>
      <c r="G233" s="187"/>
      <c r="H233" s="204"/>
      <c r="I233" s="204"/>
      <c r="J233" s="196"/>
      <c r="K233" s="196"/>
      <c r="L233" s="192" t="str">
        <f>IFERROR(__xludf.DUMMYFUNCTION("IF(
  AND(D233=""Saída"", J233=""Sangria""),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198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94" t="str">
        <f>IFERROR(__xludf.DUMMYFUNCTION("ifna(VALUE(REGEXEXTRACT(E233,""[0-9.]+[,]+[0-9]+"")))"),"")</f>
        <v/>
      </c>
      <c r="O233" s="194"/>
      <c r="P233" s="194"/>
      <c r="Q233" s="194"/>
      <c r="R233" s="194"/>
      <c r="S233" s="194"/>
      <c r="T233" s="194"/>
      <c r="U233" s="194"/>
      <c r="V233" s="194"/>
      <c r="W233" s="194"/>
    </row>
    <row r="234" ht="14.25" customHeight="1">
      <c r="A234" s="186"/>
      <c r="B234" s="13"/>
      <c r="C234" s="14"/>
      <c r="D234" s="187"/>
      <c r="E234" s="188"/>
      <c r="F234" s="189"/>
      <c r="G234" s="187"/>
      <c r="H234" s="204"/>
      <c r="I234" s="204"/>
      <c r="J234" s="196"/>
      <c r="K234" s="196"/>
      <c r="L234" s="192" t="str">
        <f>IFERROR(__xludf.DUMMYFUNCTION("IF(
  AND(D234=""Saída"", J234=""Sangria""),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197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94" t="str">
        <f>IFERROR(__xludf.DUMMYFUNCTION("ifna(VALUE(REGEXEXTRACT(E234,""[0-9.]+[,]+[0-9]+"")))"),"")</f>
        <v/>
      </c>
      <c r="O234" s="194"/>
      <c r="P234" s="194"/>
      <c r="Q234" s="194"/>
      <c r="R234" s="194"/>
      <c r="S234" s="194"/>
      <c r="T234" s="194"/>
      <c r="U234" s="194"/>
      <c r="V234" s="194"/>
      <c r="W234" s="194"/>
    </row>
    <row r="235" ht="14.25" customHeight="1">
      <c r="A235" s="186"/>
      <c r="C235" s="14"/>
      <c r="D235" s="187"/>
      <c r="E235" s="188"/>
      <c r="F235" s="189"/>
      <c r="G235" s="187"/>
      <c r="H235" s="204"/>
      <c r="I235" s="204"/>
      <c r="J235" s="196"/>
      <c r="K235" s="196"/>
      <c r="L235" s="192" t="str">
        <f>IFERROR(__xludf.DUMMYFUNCTION("IF(
  AND(D235=""Saída"", J235=""Sangria""),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198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94" t="str">
        <f>IFERROR(__xludf.DUMMYFUNCTION("ifna(VALUE(REGEXEXTRACT(E235,""[0-9.]+[,]+[0-9]+"")))"),"")</f>
        <v/>
      </c>
      <c r="O235" s="194"/>
      <c r="P235" s="194"/>
      <c r="Q235" s="194"/>
      <c r="R235" s="194"/>
      <c r="S235" s="194"/>
      <c r="T235" s="194"/>
      <c r="U235" s="194"/>
      <c r="V235" s="194"/>
      <c r="W235" s="194"/>
    </row>
    <row r="236" ht="14.25" customHeight="1">
      <c r="A236" s="186"/>
      <c r="B236" s="13"/>
      <c r="C236" s="14"/>
      <c r="D236" s="187"/>
      <c r="E236" s="188"/>
      <c r="F236" s="200"/>
      <c r="G236" s="187"/>
      <c r="H236" s="204"/>
      <c r="I236" s="204"/>
      <c r="J236" s="196"/>
      <c r="K236" s="196"/>
      <c r="L236" s="192" t="str">
        <f>IFERROR(__xludf.DUMMYFUNCTION("IF(
  AND(D236=""Saída"", J236=""Sangria""),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197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94" t="str">
        <f>IFERROR(__xludf.DUMMYFUNCTION("ifna(VALUE(REGEXEXTRACT(E236,""[0-9.]+[,]+[0-9]+"")))"),"")</f>
        <v/>
      </c>
      <c r="O236" s="194"/>
      <c r="P236" s="194"/>
      <c r="Q236" s="194"/>
      <c r="R236" s="194"/>
      <c r="S236" s="194"/>
      <c r="T236" s="194"/>
      <c r="U236" s="194"/>
      <c r="V236" s="194"/>
      <c r="W236" s="194"/>
    </row>
    <row r="237" ht="14.25" customHeight="1">
      <c r="A237" s="186"/>
      <c r="B237" s="13"/>
      <c r="C237" s="267"/>
      <c r="D237" s="187"/>
      <c r="E237" s="188"/>
      <c r="F237" s="189"/>
      <c r="G237" s="187"/>
      <c r="H237" s="204"/>
      <c r="I237" s="204"/>
      <c r="J237" s="196"/>
      <c r="K237" s="196"/>
      <c r="L237" s="192" t="str">
        <f>IFERROR(__xludf.DUMMYFUNCTION("IF(
  AND(D237=""Saída"", J237=""Sangria""),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198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94" t="str">
        <f>IFERROR(__xludf.DUMMYFUNCTION("ifna(VALUE(REGEXEXTRACT(E237,""[0-9.]+[,]+[0-9]+"")))"),"")</f>
        <v/>
      </c>
      <c r="O237" s="194"/>
      <c r="P237" s="194"/>
      <c r="Q237" s="194"/>
      <c r="R237" s="194"/>
      <c r="S237" s="194"/>
      <c r="T237" s="194"/>
      <c r="U237" s="194"/>
      <c r="V237" s="194"/>
      <c r="W237" s="194"/>
    </row>
    <row r="238" ht="14.25" customHeight="1">
      <c r="A238" s="186"/>
      <c r="B238" s="13"/>
      <c r="C238" s="14"/>
      <c r="D238" s="187"/>
      <c r="E238" s="188"/>
      <c r="F238" s="189"/>
      <c r="G238" s="187"/>
      <c r="H238" s="204"/>
      <c r="I238" s="204"/>
      <c r="J238" s="196"/>
      <c r="K238" s="196"/>
      <c r="L238" s="192" t="str">
        <f>IFERROR(__xludf.DUMMYFUNCTION("IF(
  AND(D238=""Saída"", J238=""Sangria""),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197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94" t="str">
        <f>IFERROR(__xludf.DUMMYFUNCTION("ifna(VALUE(REGEXEXTRACT(E238,""[0-9.]+[,]+[0-9]+"")))"),"")</f>
        <v/>
      </c>
      <c r="O238" s="194"/>
      <c r="P238" s="194"/>
      <c r="Q238" s="194"/>
      <c r="R238" s="194"/>
      <c r="S238" s="194"/>
      <c r="T238" s="194"/>
      <c r="U238" s="194"/>
      <c r="V238" s="194"/>
      <c r="W238" s="194"/>
    </row>
    <row r="239" ht="14.25" customHeight="1">
      <c r="A239" s="186"/>
      <c r="B239" s="13"/>
      <c r="C239" s="14"/>
      <c r="D239" s="187"/>
      <c r="E239" s="188"/>
      <c r="F239" s="189"/>
      <c r="G239" s="187"/>
      <c r="H239" s="204"/>
      <c r="I239" s="204"/>
      <c r="J239" s="196"/>
      <c r="K239" s="196"/>
      <c r="L239" s="192" t="str">
        <f>IFERROR(__xludf.DUMMYFUNCTION("IF(
  AND(D239=""Saída"", J239=""Sangria""),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198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94" t="str">
        <f>IFERROR(__xludf.DUMMYFUNCTION("ifna(VALUE(REGEXEXTRACT(E239,""[0-9.]+[,]+[0-9]+"")))"),"")</f>
        <v/>
      </c>
      <c r="O239" s="194"/>
      <c r="P239" s="194"/>
      <c r="Q239" s="194"/>
      <c r="R239" s="194"/>
      <c r="S239" s="194"/>
      <c r="T239" s="194"/>
      <c r="U239" s="194"/>
      <c r="V239" s="194"/>
      <c r="W239" s="194"/>
    </row>
    <row r="240" ht="14.25" customHeight="1">
      <c r="A240" s="186"/>
      <c r="B240" s="13"/>
      <c r="C240" s="14"/>
      <c r="D240" s="187"/>
      <c r="E240" s="188"/>
      <c r="F240" s="189"/>
      <c r="G240" s="187"/>
      <c r="H240" s="204"/>
      <c r="I240" s="204"/>
      <c r="J240" s="196"/>
      <c r="K240" s="196"/>
      <c r="L240" s="192" t="str">
        <f>IFERROR(__xludf.DUMMYFUNCTION("IF(
  AND(D240=""Saída"", J240=""Sangria""),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197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94" t="str">
        <f>IFERROR(__xludf.DUMMYFUNCTION("ifna(VALUE(REGEXEXTRACT(E240,""[0-9.]+[,]+[0-9]+"")))"),"")</f>
        <v/>
      </c>
      <c r="O240" s="194"/>
      <c r="P240" s="194"/>
      <c r="Q240" s="194"/>
      <c r="R240" s="194"/>
      <c r="S240" s="194"/>
      <c r="T240" s="194"/>
      <c r="U240" s="194"/>
      <c r="V240" s="194"/>
      <c r="W240" s="194"/>
    </row>
    <row r="241" ht="14.25" customHeight="1">
      <c r="A241" s="186"/>
      <c r="B241" s="13"/>
      <c r="C241" s="14"/>
      <c r="D241" s="187"/>
      <c r="E241" s="188"/>
      <c r="F241" s="189"/>
      <c r="G241" s="187"/>
      <c r="H241" s="204"/>
      <c r="I241" s="204"/>
      <c r="J241" s="196"/>
      <c r="K241" s="196"/>
      <c r="L241" s="192" t="str">
        <f>IFERROR(__xludf.DUMMYFUNCTION("IF(
  AND(D241=""Saída"", J241=""Sangria""),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198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94" t="str">
        <f>IFERROR(__xludf.DUMMYFUNCTION("ifna(VALUE(REGEXEXTRACT(E241,""[0-9.]+[,]+[0-9]+"")))"),"")</f>
        <v/>
      </c>
      <c r="O241" s="194"/>
      <c r="P241" s="194"/>
      <c r="Q241" s="194"/>
      <c r="R241" s="194"/>
      <c r="S241" s="194"/>
      <c r="T241" s="194"/>
      <c r="U241" s="194"/>
      <c r="V241" s="194"/>
      <c r="W241" s="194"/>
    </row>
    <row r="242" ht="14.25" customHeight="1">
      <c r="A242" s="186"/>
      <c r="B242" s="13"/>
      <c r="C242" s="14"/>
      <c r="D242" s="187"/>
      <c r="E242" s="188"/>
      <c r="F242" s="189"/>
      <c r="G242" s="187"/>
      <c r="H242" s="204"/>
      <c r="I242" s="204"/>
      <c r="J242" s="196"/>
      <c r="K242" s="196"/>
      <c r="L242" s="192" t="str">
        <f>IFERROR(__xludf.DUMMYFUNCTION("IF(
  AND(D242=""Saída"", J242=""Sangria""),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197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94" t="str">
        <f>IFERROR(__xludf.DUMMYFUNCTION("ifna(VALUE(REGEXEXTRACT(E242,""[0-9.]+[,]+[0-9]+"")))"),"")</f>
        <v/>
      </c>
      <c r="O242" s="194"/>
      <c r="P242" s="194"/>
      <c r="Q242" s="194"/>
      <c r="R242" s="194"/>
      <c r="S242" s="194"/>
      <c r="T242" s="194"/>
      <c r="U242" s="194"/>
      <c r="V242" s="194"/>
      <c r="W242" s="194"/>
    </row>
    <row r="243" ht="14.25" customHeight="1">
      <c r="A243" s="186"/>
      <c r="B243" s="13"/>
      <c r="C243" s="14"/>
      <c r="D243" s="187"/>
      <c r="E243" s="188"/>
      <c r="F243" s="189"/>
      <c r="G243" s="187"/>
      <c r="H243" s="204"/>
      <c r="I243" s="204"/>
      <c r="J243" s="196"/>
      <c r="K243" s="196"/>
      <c r="L243" s="192" t="str">
        <f>IFERROR(__xludf.DUMMYFUNCTION("IF(
  AND(D243=""Saída"", J243=""Sangria""),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198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94" t="str">
        <f>IFERROR(__xludf.DUMMYFUNCTION("ifna(VALUE(REGEXEXTRACT(E243,""[0-9.]+[,]+[0-9]+"")))"),"")</f>
        <v/>
      </c>
      <c r="O243" s="194"/>
      <c r="P243" s="194"/>
      <c r="Q243" s="194"/>
      <c r="R243" s="194"/>
      <c r="S243" s="194"/>
      <c r="T243" s="194"/>
      <c r="U243" s="194"/>
      <c r="V243" s="194"/>
      <c r="W243" s="194"/>
    </row>
    <row r="244" ht="14.25" customHeight="1">
      <c r="A244" s="186"/>
      <c r="B244" s="13"/>
      <c r="C244" s="14"/>
      <c r="D244" s="187"/>
      <c r="E244" s="188"/>
      <c r="F244" s="189"/>
      <c r="G244" s="187"/>
      <c r="H244" s="204"/>
      <c r="I244" s="204"/>
      <c r="J244" s="196"/>
      <c r="K244" s="196"/>
      <c r="L244" s="192" t="str">
        <f>IFERROR(__xludf.DUMMYFUNCTION("IF(
  AND(D244=""Saída"", J244=""Sangria""),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197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94" t="str">
        <f>IFERROR(__xludf.DUMMYFUNCTION("ifna(VALUE(REGEXEXTRACT(E244,""[0-9.]+[,]+[0-9]+"")))"),"")</f>
        <v/>
      </c>
      <c r="O244" s="194"/>
      <c r="P244" s="194"/>
      <c r="Q244" s="194"/>
      <c r="R244" s="194"/>
      <c r="S244" s="194"/>
      <c r="T244" s="194"/>
      <c r="U244" s="194"/>
      <c r="V244" s="194"/>
      <c r="W244" s="194"/>
    </row>
    <row r="245" ht="14.25" customHeight="1">
      <c r="A245" s="186"/>
      <c r="B245" s="13"/>
      <c r="C245" s="14"/>
      <c r="D245" s="187"/>
      <c r="E245" s="188"/>
      <c r="F245" s="189"/>
      <c r="G245" s="187"/>
      <c r="H245" s="204"/>
      <c r="I245" s="204"/>
      <c r="J245" s="196"/>
      <c r="K245" s="196"/>
      <c r="L245" s="192" t="str">
        <f>IFERROR(__xludf.DUMMYFUNCTION("IF(
  AND(D245=""Saída"", J245=""Sangria""),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198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94" t="str">
        <f>IFERROR(__xludf.DUMMYFUNCTION("ifna(VALUE(REGEXEXTRACT(E245,""[0-9.]+[,]+[0-9]+"")))"),"")</f>
        <v/>
      </c>
      <c r="O245" s="194"/>
      <c r="P245" s="194"/>
      <c r="Q245" s="194"/>
      <c r="R245" s="194"/>
      <c r="S245" s="194"/>
      <c r="T245" s="194"/>
      <c r="U245" s="194"/>
      <c r="V245" s="194"/>
      <c r="W245" s="194"/>
    </row>
    <row r="246" ht="14.25" customHeight="1">
      <c r="A246" s="186"/>
      <c r="C246" s="14"/>
      <c r="D246" s="187"/>
      <c r="E246" s="188"/>
      <c r="F246" s="189"/>
      <c r="G246" s="187"/>
      <c r="H246" s="204"/>
      <c r="I246" s="204"/>
      <c r="J246" s="196"/>
      <c r="K246" s="196"/>
      <c r="L246" s="192" t="str">
        <f>IFERROR(__xludf.DUMMYFUNCTION("IF(
  AND(D246=""Saída"", J246=""Sangria""),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197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94" t="str">
        <f>IFERROR(__xludf.DUMMYFUNCTION("ifna(VALUE(REGEXEXTRACT(E246,""[0-9.]+[,]+[0-9]+"")))"),"")</f>
        <v/>
      </c>
      <c r="O246" s="194"/>
      <c r="P246" s="194"/>
      <c r="Q246" s="194"/>
      <c r="R246" s="194"/>
      <c r="S246" s="194"/>
      <c r="T246" s="194"/>
      <c r="U246" s="194"/>
      <c r="V246" s="194"/>
      <c r="W246" s="194"/>
    </row>
    <row r="247" ht="14.25" customHeight="1">
      <c r="A247" s="186"/>
      <c r="B247" s="13"/>
      <c r="C247" s="14"/>
      <c r="D247" s="187"/>
      <c r="E247" s="188"/>
      <c r="F247" s="200"/>
      <c r="G247" s="187"/>
      <c r="H247" s="204"/>
      <c r="I247" s="204"/>
      <c r="J247" s="196"/>
      <c r="K247" s="196"/>
      <c r="L247" s="192" t="str">
        <f>IFERROR(__xludf.DUMMYFUNCTION("IF(
  AND(D247=""Saída"", J247=""Sangria""),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198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94" t="str">
        <f>IFERROR(__xludf.DUMMYFUNCTION("ifna(VALUE(REGEXEXTRACT(E247,""[0-9.]+[,]+[0-9]+"")))"),"")</f>
        <v/>
      </c>
      <c r="O247" s="194"/>
      <c r="P247" s="194"/>
      <c r="Q247" s="194"/>
      <c r="R247" s="194"/>
      <c r="S247" s="194"/>
      <c r="T247" s="194"/>
      <c r="U247" s="194"/>
      <c r="V247" s="194"/>
      <c r="W247" s="194"/>
    </row>
    <row r="248" ht="14.25" customHeight="1">
      <c r="A248" s="186"/>
      <c r="B248" s="13"/>
      <c r="C248" s="14"/>
      <c r="D248" s="187"/>
      <c r="E248" s="188"/>
      <c r="F248" s="189"/>
      <c r="G248" s="187"/>
      <c r="H248" s="204"/>
      <c r="I248" s="204"/>
      <c r="J248" s="196"/>
      <c r="K248" s="196"/>
      <c r="L248" s="192" t="str">
        <f>IFERROR(__xludf.DUMMYFUNCTION("IF(
  AND(D248=""Saída"", J248=""Sangria""),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197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94" t="str">
        <f>IFERROR(__xludf.DUMMYFUNCTION("ifna(VALUE(REGEXEXTRACT(E248,""[0-9.]+[,]+[0-9]+"")))"),"")</f>
        <v/>
      </c>
      <c r="O248" s="194"/>
      <c r="P248" s="194"/>
      <c r="Q248" s="194"/>
      <c r="R248" s="194"/>
      <c r="S248" s="194"/>
      <c r="T248" s="194"/>
      <c r="U248" s="194"/>
      <c r="V248" s="194"/>
      <c r="W248" s="194"/>
    </row>
    <row r="249" ht="14.25" customHeight="1">
      <c r="A249" s="186"/>
      <c r="B249" s="13"/>
      <c r="C249" s="14"/>
      <c r="D249" s="187"/>
      <c r="E249" s="188"/>
      <c r="F249" s="189"/>
      <c r="G249" s="13"/>
      <c r="H249" s="204"/>
      <c r="I249" s="204"/>
      <c r="J249" s="196"/>
      <c r="K249" s="196"/>
      <c r="L249" s="192" t="str">
        <f>IFERROR(__xludf.DUMMYFUNCTION("IF(
  AND(D249=""Saída"", J249=""Sangria""),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198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94" t="str">
        <f>IFERROR(__xludf.DUMMYFUNCTION("ifna(VALUE(REGEXEXTRACT(E249,""[0-9.]+[,]+[0-9]+"")))"),"")</f>
        <v/>
      </c>
      <c r="O249" s="194"/>
      <c r="P249" s="194"/>
      <c r="Q249" s="194"/>
      <c r="R249" s="194"/>
      <c r="S249" s="194"/>
      <c r="T249" s="194"/>
      <c r="U249" s="194"/>
      <c r="V249" s="194"/>
      <c r="W249" s="194"/>
    </row>
    <row r="250" ht="14.25" customHeight="1">
      <c r="A250" s="186"/>
      <c r="B250" s="13"/>
      <c r="C250" s="14"/>
      <c r="D250" s="187"/>
      <c r="E250" s="188"/>
      <c r="F250" s="200"/>
      <c r="G250" s="187"/>
      <c r="H250" s="204"/>
      <c r="I250" s="204"/>
      <c r="J250" s="196"/>
      <c r="K250" s="196"/>
      <c r="L250" s="192" t="str">
        <f>IFERROR(__xludf.DUMMYFUNCTION("IF(
  AND(D250=""Saída"", J250=""Sangria""),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197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94" t="str">
        <f>IFERROR(__xludf.DUMMYFUNCTION("ifna(VALUE(REGEXEXTRACT(E250,""[0-9.]+[,]+[0-9]+"")))"),"")</f>
        <v/>
      </c>
      <c r="O250" s="194"/>
      <c r="P250" s="194"/>
      <c r="Q250" s="194"/>
      <c r="R250" s="194"/>
      <c r="S250" s="194"/>
      <c r="T250" s="194"/>
      <c r="U250" s="194"/>
      <c r="V250" s="194"/>
      <c r="W250" s="194"/>
    </row>
    <row r="251" ht="14.25" customHeight="1">
      <c r="A251" s="186"/>
      <c r="B251" s="13"/>
      <c r="C251" s="14"/>
      <c r="D251" s="187"/>
      <c r="E251" s="188"/>
      <c r="F251" s="200"/>
      <c r="G251" s="187"/>
      <c r="H251" s="204"/>
      <c r="I251" s="204"/>
      <c r="J251" s="196"/>
      <c r="K251" s="196"/>
      <c r="L251" s="192" t="str">
        <f>IFERROR(__xludf.DUMMYFUNCTION("IF(
  AND(D251=""Saída"", J251=""Sangria""),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198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94" t="str">
        <f>IFERROR(__xludf.DUMMYFUNCTION("ifna(VALUE(REGEXEXTRACT(E251,""[0-9.]+[,]+[0-9]+"")))"),"")</f>
        <v/>
      </c>
      <c r="O251" s="194"/>
      <c r="P251" s="194"/>
      <c r="Q251" s="194"/>
      <c r="R251" s="194"/>
      <c r="S251" s="194"/>
      <c r="T251" s="194"/>
      <c r="U251" s="194"/>
      <c r="V251" s="194"/>
      <c r="W251" s="194"/>
    </row>
    <row r="252" ht="14.25" customHeight="1">
      <c r="A252" s="186"/>
      <c r="B252" s="13"/>
      <c r="C252" s="14"/>
      <c r="D252" s="13"/>
      <c r="E252" s="188"/>
      <c r="F252" s="189"/>
      <c r="G252" s="187"/>
      <c r="H252" s="204"/>
      <c r="I252" s="204"/>
      <c r="J252" s="196"/>
      <c r="K252" s="196"/>
      <c r="L252" s="192" t="str">
        <f>IFERROR(__xludf.DUMMYFUNCTION("IF(
  AND(D252=""Saída"", J252=""Sangria""),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197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94" t="str">
        <f>IFERROR(__xludf.DUMMYFUNCTION("ifna(VALUE(REGEXEXTRACT(E252,""[0-9.]+[,]+[0-9]+"")))"),"")</f>
        <v/>
      </c>
      <c r="O252" s="194"/>
      <c r="P252" s="194"/>
      <c r="Q252" s="194"/>
      <c r="R252" s="194"/>
      <c r="S252" s="194"/>
      <c r="T252" s="194"/>
      <c r="U252" s="194"/>
      <c r="V252" s="194"/>
      <c r="W252" s="194"/>
    </row>
    <row r="253" ht="14.25" customHeight="1">
      <c r="A253" s="186"/>
      <c r="B253" s="13"/>
      <c r="C253" s="14"/>
      <c r="D253" s="187"/>
      <c r="E253" s="188"/>
      <c r="F253" s="189"/>
      <c r="G253" s="187"/>
      <c r="H253" s="204"/>
      <c r="I253" s="204"/>
      <c r="J253" s="196"/>
      <c r="K253" s="196"/>
      <c r="L253" s="192" t="str">
        <f>IFERROR(__xludf.DUMMYFUNCTION("IF(
  AND(D253=""Saída"", J253=""Sangria""),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198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94" t="str">
        <f>IFERROR(__xludf.DUMMYFUNCTION("ifna(VALUE(REGEXEXTRACT(E253,""[0-9.]+[,]+[0-9]+"")))"),"")</f>
        <v/>
      </c>
      <c r="O253" s="194"/>
      <c r="P253" s="194"/>
      <c r="Q253" s="194"/>
      <c r="R253" s="194"/>
      <c r="S253" s="194"/>
      <c r="T253" s="194"/>
      <c r="U253" s="194"/>
      <c r="V253" s="194"/>
      <c r="W253" s="194"/>
    </row>
    <row r="254" ht="14.25" customHeight="1">
      <c r="A254" s="186"/>
      <c r="B254" s="13"/>
      <c r="C254" s="14"/>
      <c r="D254" s="187"/>
      <c r="E254" s="188"/>
      <c r="F254" s="189"/>
      <c r="G254" s="187"/>
      <c r="H254" s="204"/>
      <c r="I254" s="204"/>
      <c r="J254" s="196"/>
      <c r="K254" s="196"/>
      <c r="L254" s="192" t="str">
        <f>IFERROR(__xludf.DUMMYFUNCTION("IF(
  AND(D254=""Saída"", J254=""Sangria""),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197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94" t="str">
        <f>IFERROR(__xludf.DUMMYFUNCTION("ifna(VALUE(REGEXEXTRACT(E254,""[0-9.]+[,]+[0-9]+"")))"),"")</f>
        <v/>
      </c>
      <c r="O254" s="194"/>
      <c r="P254" s="194"/>
      <c r="Q254" s="194"/>
      <c r="R254" s="194"/>
      <c r="S254" s="194"/>
      <c r="T254" s="194"/>
      <c r="U254" s="194"/>
      <c r="V254" s="194"/>
      <c r="W254" s="194"/>
    </row>
    <row r="255" ht="14.25" customHeight="1">
      <c r="A255" s="186"/>
      <c r="B255" s="13"/>
      <c r="C255" s="14"/>
      <c r="D255" s="187"/>
      <c r="E255" s="188"/>
      <c r="F255" s="189"/>
      <c r="G255" s="187"/>
      <c r="H255" s="204"/>
      <c r="I255" s="204"/>
      <c r="J255" s="196"/>
      <c r="K255" s="196"/>
      <c r="L255" s="192" t="str">
        <f>IFERROR(__xludf.DUMMYFUNCTION("IF(
  AND(D255=""Saída"", J255=""Sangria""),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198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94" t="str">
        <f>IFERROR(__xludf.DUMMYFUNCTION("ifna(VALUE(REGEXEXTRACT(E255,""[0-9.]+[,]+[0-9]+"")))"),"")</f>
        <v/>
      </c>
      <c r="O255" s="194"/>
      <c r="P255" s="194"/>
      <c r="Q255" s="194"/>
      <c r="R255" s="194"/>
      <c r="S255" s="194"/>
      <c r="T255" s="194"/>
      <c r="U255" s="194"/>
      <c r="V255" s="194"/>
      <c r="W255" s="194"/>
    </row>
    <row r="256" ht="14.25" customHeight="1">
      <c r="A256" s="186"/>
      <c r="B256" s="13"/>
      <c r="C256" s="14"/>
      <c r="D256" s="187"/>
      <c r="E256" s="188"/>
      <c r="F256" s="189"/>
      <c r="G256" s="187"/>
      <c r="H256" s="204"/>
      <c r="I256" s="204"/>
      <c r="J256" s="196"/>
      <c r="K256" s="196"/>
      <c r="L256" s="192" t="str">
        <f>IFERROR(__xludf.DUMMYFUNCTION("IF(
  AND(D256=""Saída"", J256=""Sangria""),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197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94" t="str">
        <f>IFERROR(__xludf.DUMMYFUNCTION("ifna(VALUE(REGEXEXTRACT(E256,""[0-9.]+[,]+[0-9]+"")))"),"")</f>
        <v/>
      </c>
      <c r="O256" s="194"/>
      <c r="P256" s="194"/>
      <c r="Q256" s="194"/>
      <c r="R256" s="194"/>
      <c r="S256" s="194"/>
      <c r="T256" s="194"/>
      <c r="U256" s="194"/>
      <c r="V256" s="194"/>
      <c r="W256" s="194"/>
    </row>
    <row r="257" ht="14.25" customHeight="1">
      <c r="A257" s="186"/>
      <c r="B257" s="13"/>
      <c r="C257" s="14"/>
      <c r="D257" s="187"/>
      <c r="E257" s="188"/>
      <c r="F257" s="189"/>
      <c r="G257" s="187"/>
      <c r="H257" s="204"/>
      <c r="I257" s="204"/>
      <c r="J257" s="196"/>
      <c r="K257" s="196"/>
      <c r="L257" s="192" t="str">
        <f>IFERROR(__xludf.DUMMYFUNCTION("IF(
  AND(D257=""Saída"", J257=""Sangria""),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198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94" t="str">
        <f>IFERROR(__xludf.DUMMYFUNCTION("ifna(VALUE(REGEXEXTRACT(E257,""[0-9.]+[,]+[0-9]+"")))"),"")</f>
        <v/>
      </c>
      <c r="O257" s="194"/>
      <c r="P257" s="194"/>
      <c r="Q257" s="194"/>
      <c r="R257" s="194"/>
      <c r="S257" s="194"/>
      <c r="T257" s="194"/>
      <c r="U257" s="194"/>
      <c r="V257" s="194"/>
      <c r="W257" s="194"/>
    </row>
    <row r="258" ht="14.25" customHeight="1">
      <c r="A258" s="186"/>
      <c r="B258" s="13"/>
      <c r="C258" s="14"/>
      <c r="D258" s="187"/>
      <c r="E258" s="188"/>
      <c r="F258" s="189"/>
      <c r="G258" s="187"/>
      <c r="H258" s="204"/>
      <c r="I258" s="204"/>
      <c r="J258" s="196"/>
      <c r="K258" s="196"/>
      <c r="L258" s="192" t="str">
        <f>IFERROR(__xludf.DUMMYFUNCTION("IF(
  AND(D258=""Saída"", J258=""Sangria""),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197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94" t="str">
        <f>IFERROR(__xludf.DUMMYFUNCTION("ifna(VALUE(REGEXEXTRACT(E258,""[0-9.]+[,]+[0-9]+"")))"),"")</f>
        <v/>
      </c>
      <c r="O258" s="194"/>
      <c r="P258" s="194"/>
      <c r="Q258" s="194"/>
      <c r="R258" s="194"/>
      <c r="S258" s="194"/>
      <c r="T258" s="194"/>
      <c r="U258" s="194"/>
      <c r="V258" s="194"/>
      <c r="W258" s="194"/>
    </row>
    <row r="259" ht="14.25" customHeight="1">
      <c r="A259" s="186"/>
      <c r="B259" s="13"/>
      <c r="C259" s="14"/>
      <c r="D259" s="187"/>
      <c r="E259" s="188"/>
      <c r="F259" s="189"/>
      <c r="G259" s="187"/>
      <c r="H259" s="204"/>
      <c r="I259" s="204"/>
      <c r="J259" s="196"/>
      <c r="K259" s="196"/>
      <c r="L259" s="192" t="str">
        <f>IFERROR(__xludf.DUMMYFUNCTION("IF(
  AND(D259=""Saída"", J259=""Sangria""),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198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94" t="str">
        <f>IFERROR(__xludf.DUMMYFUNCTION("ifna(VALUE(REGEXEXTRACT(E259,""[0-9.]+[,]+[0-9]+"")))"),"")</f>
        <v/>
      </c>
      <c r="O259" s="194"/>
      <c r="P259" s="194"/>
      <c r="Q259" s="194"/>
      <c r="R259" s="194"/>
      <c r="S259" s="194"/>
      <c r="T259" s="194"/>
      <c r="U259" s="194"/>
      <c r="V259" s="194"/>
      <c r="W259" s="194"/>
    </row>
    <row r="260" ht="14.25" customHeight="1">
      <c r="A260" s="186"/>
      <c r="B260" s="13"/>
      <c r="C260" s="14"/>
      <c r="D260" s="187"/>
      <c r="E260" s="188"/>
      <c r="F260" s="200"/>
      <c r="G260" s="187"/>
      <c r="H260" s="204"/>
      <c r="I260" s="204"/>
      <c r="J260" s="196"/>
      <c r="K260" s="196"/>
      <c r="L260" s="192" t="str">
        <f>IFERROR(__xludf.DUMMYFUNCTION("IF(
  AND(D260=""Saída"", J260=""Sangria""),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197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94" t="str">
        <f>IFERROR(__xludf.DUMMYFUNCTION("ifna(VALUE(REGEXEXTRACT(E260,""[0-9.]+[,]+[0-9]+"")))"),"")</f>
        <v/>
      </c>
      <c r="O260" s="194"/>
      <c r="P260" s="194"/>
      <c r="Q260" s="194"/>
      <c r="R260" s="194"/>
      <c r="S260" s="194"/>
      <c r="T260" s="194"/>
      <c r="U260" s="194"/>
      <c r="V260" s="194"/>
      <c r="W260" s="194"/>
    </row>
    <row r="261" ht="14.25" customHeight="1">
      <c r="A261" s="186"/>
      <c r="B261" s="13"/>
      <c r="C261" s="14"/>
      <c r="D261" s="187"/>
      <c r="E261" s="188"/>
      <c r="F261" s="189"/>
      <c r="G261" s="13"/>
      <c r="H261" s="204"/>
      <c r="I261" s="204"/>
      <c r="J261" s="196"/>
      <c r="K261" s="196"/>
      <c r="L261" s="192" t="str">
        <f>IFERROR(__xludf.DUMMYFUNCTION("IF(
  AND(D261=""Saída"", J261=""Sangria""),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198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94" t="str">
        <f>IFERROR(__xludf.DUMMYFUNCTION("ifna(VALUE(REGEXEXTRACT(E261,""[0-9.]+[,]+[0-9]+"")))"),"")</f>
        <v/>
      </c>
      <c r="O261" s="194"/>
      <c r="P261" s="194"/>
      <c r="Q261" s="194"/>
      <c r="R261" s="194"/>
      <c r="S261" s="194"/>
      <c r="T261" s="194"/>
      <c r="U261" s="194"/>
      <c r="V261" s="194"/>
      <c r="W261" s="194"/>
    </row>
    <row r="262" ht="14.25" customHeight="1">
      <c r="A262" s="186"/>
      <c r="B262" s="13"/>
      <c r="C262" s="14"/>
      <c r="D262" s="187"/>
      <c r="E262" s="188"/>
      <c r="F262" s="189"/>
      <c r="G262" s="13"/>
      <c r="H262" s="204"/>
      <c r="I262" s="204"/>
      <c r="J262" s="196"/>
      <c r="K262" s="196"/>
      <c r="L262" s="192" t="str">
        <f>IFERROR(__xludf.DUMMYFUNCTION("IF(
  AND(D262=""Saída"", J262=""Sangria""),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197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94" t="str">
        <f>IFERROR(__xludf.DUMMYFUNCTION("ifna(VALUE(REGEXEXTRACT(E262,""[0-9.]+[,]+[0-9]+"")))"),"")</f>
        <v/>
      </c>
      <c r="O262" s="194"/>
      <c r="P262" s="194"/>
      <c r="Q262" s="194"/>
      <c r="R262" s="194"/>
      <c r="S262" s="194"/>
      <c r="T262" s="194"/>
      <c r="U262" s="194"/>
      <c r="V262" s="194"/>
      <c r="W262" s="194"/>
    </row>
    <row r="263" ht="14.25" customHeight="1">
      <c r="A263" s="186"/>
      <c r="B263" s="13"/>
      <c r="C263" s="14"/>
      <c r="D263" s="187"/>
      <c r="E263" s="188"/>
      <c r="F263" s="189"/>
      <c r="G263" s="187"/>
      <c r="H263" s="204"/>
      <c r="I263" s="204"/>
      <c r="J263" s="196"/>
      <c r="K263" s="196"/>
      <c r="L263" s="192" t="str">
        <f>IFERROR(__xludf.DUMMYFUNCTION("IF(
  AND(D263=""Saída"", J263=""Sangria""),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198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94" t="str">
        <f>IFERROR(__xludf.DUMMYFUNCTION("ifna(VALUE(REGEXEXTRACT(E263,""[0-9.]+[,]+[0-9]+"")))"),"")</f>
        <v/>
      </c>
      <c r="O263" s="194"/>
      <c r="P263" s="194"/>
      <c r="Q263" s="194"/>
      <c r="R263" s="194"/>
      <c r="S263" s="194"/>
      <c r="T263" s="194"/>
      <c r="U263" s="194"/>
      <c r="V263" s="194"/>
      <c r="W263" s="194"/>
    </row>
    <row r="264" ht="14.25" customHeight="1">
      <c r="A264" s="186"/>
      <c r="B264" s="13"/>
      <c r="C264" s="14"/>
      <c r="D264" s="187"/>
      <c r="E264" s="188"/>
      <c r="F264" s="189"/>
      <c r="G264" s="187"/>
      <c r="H264" s="204"/>
      <c r="I264" s="204"/>
      <c r="J264" s="196"/>
      <c r="K264" s="196"/>
      <c r="L264" s="192" t="str">
        <f>IFERROR(__xludf.DUMMYFUNCTION("IF(
  AND(D264=""Saída"", J264=""Sangria""),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197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94" t="str">
        <f>IFERROR(__xludf.DUMMYFUNCTION("ifna(VALUE(REGEXEXTRACT(E264,""[0-9.]+[,]+[0-9]+"")))"),"")</f>
        <v/>
      </c>
      <c r="O264" s="194"/>
      <c r="P264" s="194"/>
      <c r="Q264" s="194"/>
      <c r="R264" s="194"/>
      <c r="S264" s="194"/>
      <c r="T264" s="194"/>
      <c r="U264" s="194"/>
      <c r="V264" s="194"/>
      <c r="W264" s="194"/>
    </row>
    <row r="265" ht="14.25" customHeight="1">
      <c r="A265" s="186"/>
      <c r="B265" s="13"/>
      <c r="C265" s="14"/>
      <c r="D265" s="187"/>
      <c r="E265" s="188"/>
      <c r="F265" s="200"/>
      <c r="G265" s="187"/>
      <c r="H265" s="204"/>
      <c r="I265" s="204"/>
      <c r="J265" s="196"/>
      <c r="K265" s="196"/>
      <c r="L265" s="192" t="str">
        <f>IFERROR(__xludf.DUMMYFUNCTION("IF(
  AND(D265=""Saída"", J265=""Sangria""),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198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94" t="str">
        <f>IFERROR(__xludf.DUMMYFUNCTION("ifna(VALUE(REGEXEXTRACT(E265,""[0-9.]+[,]+[0-9]+"")))"),"")</f>
        <v/>
      </c>
      <c r="O265" s="194"/>
      <c r="P265" s="194"/>
      <c r="Q265" s="194"/>
      <c r="R265" s="194"/>
      <c r="S265" s="194"/>
      <c r="T265" s="194"/>
      <c r="U265" s="194"/>
      <c r="V265" s="194"/>
      <c r="W265" s="194"/>
    </row>
    <row r="266" ht="14.25" customHeight="1">
      <c r="A266" s="186"/>
      <c r="B266" s="268"/>
      <c r="C266" s="269"/>
      <c r="D266" s="270"/>
      <c r="E266" s="271"/>
      <c r="F266" s="272"/>
      <c r="G266" s="273"/>
      <c r="H266" s="204"/>
      <c r="I266" s="204"/>
      <c r="J266" s="196"/>
      <c r="K266" s="196"/>
      <c r="L266" s="192" t="str">
        <f>IFERROR(__xludf.DUMMYFUNCTION("IF(
  AND(D266=""Saída"", J266=""Sangria""),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197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94" t="str">
        <f>IFERROR(__xludf.DUMMYFUNCTION("ifna(VALUE(REGEXEXTRACT(E266,""[0-9.]+[,]+[0-9]+"")))"),"")</f>
        <v/>
      </c>
      <c r="O266" s="194"/>
      <c r="P266" s="194"/>
      <c r="Q266" s="194"/>
      <c r="R266" s="194"/>
      <c r="S266" s="194"/>
      <c r="T266" s="194"/>
      <c r="U266" s="194"/>
      <c r="V266" s="194"/>
      <c r="W266" s="194"/>
    </row>
    <row r="267" ht="14.25" customHeight="1">
      <c r="A267" s="186"/>
      <c r="B267" s="268"/>
      <c r="C267" s="269"/>
      <c r="D267" s="270"/>
      <c r="E267" s="271"/>
      <c r="F267" s="272"/>
      <c r="G267" s="274"/>
      <c r="H267" s="204"/>
      <c r="I267" s="204"/>
      <c r="J267" s="196"/>
      <c r="K267" s="196"/>
      <c r="L267" s="192" t="str">
        <f>IFERROR(__xludf.DUMMYFUNCTION("IF(
  AND(D267=""Saída"", J267=""Sangria""),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198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94" t="str">
        <f>IFERROR(__xludf.DUMMYFUNCTION("ifna(VALUE(REGEXEXTRACT(E267,""[0-9.]+[,]+[0-9]+"")))"),"")</f>
        <v/>
      </c>
      <c r="O267" s="194"/>
      <c r="P267" s="194"/>
      <c r="Q267" s="194"/>
      <c r="R267" s="194"/>
      <c r="S267" s="194"/>
      <c r="T267" s="194"/>
      <c r="U267" s="194"/>
      <c r="V267" s="194"/>
      <c r="W267" s="194"/>
    </row>
    <row r="268" ht="14.25" customHeight="1">
      <c r="A268" s="186"/>
      <c r="B268" s="268"/>
      <c r="C268" s="269"/>
      <c r="D268" s="270"/>
      <c r="E268" s="271"/>
      <c r="F268" s="272"/>
      <c r="G268" s="273"/>
      <c r="H268" s="204"/>
      <c r="I268" s="204"/>
      <c r="J268" s="212"/>
      <c r="K268" s="196"/>
      <c r="L268" s="192" t="str">
        <f>IFERROR(__xludf.DUMMYFUNCTION("IF(
  AND(D268=""Saída"", J268=""Sangria""),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197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94" t="str">
        <f>IFERROR(__xludf.DUMMYFUNCTION("ifna(VALUE(REGEXEXTRACT(E268,""[0-9.]+[,]+[0-9]+"")))"),"")</f>
        <v/>
      </c>
      <c r="O268" s="194"/>
      <c r="P268" s="194"/>
      <c r="Q268" s="194"/>
      <c r="R268" s="194"/>
      <c r="S268" s="194"/>
      <c r="T268" s="194"/>
      <c r="U268" s="194"/>
      <c r="V268" s="194"/>
      <c r="W268" s="194"/>
    </row>
    <row r="269" ht="14.25" customHeight="1">
      <c r="A269" s="186"/>
      <c r="B269" s="268"/>
      <c r="C269" s="269"/>
      <c r="D269" s="270"/>
      <c r="E269" s="271"/>
      <c r="F269" s="272"/>
      <c r="G269" s="273"/>
      <c r="H269" s="204"/>
      <c r="I269" s="204"/>
      <c r="J269" s="196"/>
      <c r="K269" s="196"/>
      <c r="L269" s="192" t="str">
        <f>IFERROR(__xludf.DUMMYFUNCTION("IF(
  AND(D269=""Saída"", J269=""Sangria""),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198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94" t="str">
        <f>IFERROR(__xludf.DUMMYFUNCTION("ifna(VALUE(REGEXEXTRACT(E269,""[0-9.]+[,]+[0-9]+"")))"),"")</f>
        <v/>
      </c>
      <c r="O269" s="194"/>
      <c r="P269" s="194"/>
      <c r="Q269" s="194"/>
      <c r="R269" s="194"/>
      <c r="S269" s="194"/>
      <c r="T269" s="194"/>
      <c r="U269" s="194"/>
      <c r="V269" s="194"/>
      <c r="W269" s="194"/>
    </row>
    <row r="270" ht="14.25" customHeight="1">
      <c r="A270" s="186"/>
      <c r="B270" s="268"/>
      <c r="C270" s="269"/>
      <c r="D270" s="270"/>
      <c r="E270" s="271"/>
      <c r="F270" s="272"/>
      <c r="G270" s="273"/>
      <c r="H270" s="204"/>
      <c r="I270" s="204"/>
      <c r="J270" s="196"/>
      <c r="K270" s="196"/>
      <c r="L270" s="192" t="str">
        <f>IFERROR(__xludf.DUMMYFUNCTION("IF(
  AND(D270=""Saída"", J270=""Sangria""),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197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94" t="str">
        <f>IFERROR(__xludf.DUMMYFUNCTION("ifna(VALUE(REGEXEXTRACT(E270,""[0-9.]+[,]+[0-9]+"")))"),"")</f>
        <v/>
      </c>
      <c r="O270" s="194"/>
      <c r="P270" s="194"/>
      <c r="Q270" s="194"/>
      <c r="R270" s="194"/>
      <c r="S270" s="194"/>
      <c r="T270" s="194"/>
      <c r="U270" s="194"/>
      <c r="V270" s="194"/>
      <c r="W270" s="194"/>
    </row>
    <row r="271" ht="14.25" customHeight="1">
      <c r="A271" s="186"/>
      <c r="B271" s="268"/>
      <c r="C271" s="269"/>
      <c r="D271" s="270"/>
      <c r="E271" s="275"/>
      <c r="F271" s="276"/>
      <c r="G271" s="273"/>
      <c r="H271" s="204"/>
      <c r="I271" s="204"/>
      <c r="J271" s="196"/>
      <c r="K271" s="196"/>
      <c r="L271" s="192" t="str">
        <f>IFERROR(__xludf.DUMMYFUNCTION("IF(
  AND(D271=""Saída"", J271=""Sangria""),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198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94" t="str">
        <f>IFERROR(__xludf.DUMMYFUNCTION("ifna(VALUE(REGEXEXTRACT(E271,""[0-9.]+[,]+[0-9]+"")))"),"")</f>
        <v/>
      </c>
      <c r="O271" s="194"/>
      <c r="P271" s="194"/>
      <c r="Q271" s="194"/>
      <c r="R271" s="194"/>
      <c r="S271" s="194"/>
      <c r="T271" s="194"/>
      <c r="U271" s="194"/>
      <c r="V271" s="194"/>
      <c r="W271" s="194"/>
    </row>
    <row r="272" ht="14.25" customHeight="1">
      <c r="A272" s="186"/>
      <c r="B272" s="268"/>
      <c r="C272" s="269"/>
      <c r="D272" s="270"/>
      <c r="E272" s="271"/>
      <c r="F272" s="276"/>
      <c r="G272" s="273"/>
      <c r="H272" s="204"/>
      <c r="I272" s="204"/>
      <c r="J272" s="196"/>
      <c r="K272" s="196"/>
      <c r="L272" s="192" t="str">
        <f>IFERROR(__xludf.DUMMYFUNCTION("IF(
  AND(D272=""Saída"", J272=""Sangria""),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197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94" t="str">
        <f>IFERROR(__xludf.DUMMYFUNCTION("ifna(VALUE(REGEXEXTRACT(E272,""[0-9.]+[,]+[0-9]+"")))"),"")</f>
        <v/>
      </c>
      <c r="O272" s="194"/>
      <c r="P272" s="194"/>
      <c r="Q272" s="194"/>
      <c r="R272" s="194"/>
      <c r="S272" s="194"/>
      <c r="T272" s="194"/>
      <c r="U272" s="194"/>
      <c r="V272" s="194"/>
      <c r="W272" s="194"/>
    </row>
    <row r="273" ht="14.25" customHeight="1">
      <c r="A273" s="186"/>
      <c r="B273" s="268"/>
      <c r="C273" s="269"/>
      <c r="D273" s="270"/>
      <c r="E273" s="271"/>
      <c r="F273" s="272"/>
      <c r="G273" s="273"/>
      <c r="H273" s="204"/>
      <c r="I273" s="204"/>
      <c r="J273" s="196"/>
      <c r="K273" s="196"/>
      <c r="L273" s="192" t="str">
        <f>IFERROR(__xludf.DUMMYFUNCTION("IF(
  AND(D273=""Saída"", J273=""Sangria""),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198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94" t="str">
        <f>IFERROR(__xludf.DUMMYFUNCTION("ifna(VALUE(REGEXEXTRACT(E273,""[0-9.]+[,]+[0-9]+"")))"),"")</f>
        <v/>
      </c>
      <c r="O273" s="194"/>
      <c r="P273" s="194"/>
      <c r="Q273" s="194"/>
      <c r="R273" s="194"/>
      <c r="S273" s="194"/>
      <c r="T273" s="194"/>
      <c r="U273" s="194"/>
      <c r="V273" s="194"/>
      <c r="W273" s="194"/>
    </row>
    <row r="274" ht="14.25" customHeight="1">
      <c r="A274" s="186"/>
      <c r="B274" s="268"/>
      <c r="C274" s="269"/>
      <c r="D274" s="270"/>
      <c r="E274" s="271"/>
      <c r="F274" s="272"/>
      <c r="G274" s="273"/>
      <c r="H274" s="204"/>
      <c r="I274" s="204"/>
      <c r="J274" s="196"/>
      <c r="K274" s="196"/>
      <c r="L274" s="192" t="str">
        <f>IFERROR(__xludf.DUMMYFUNCTION("IF(
  AND(D274=""Saída"", J274=""Sangria""),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197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94" t="str">
        <f>IFERROR(__xludf.DUMMYFUNCTION("ifna(VALUE(REGEXEXTRACT(E274,""[0-9.]+[,]+[0-9]+"")))"),"")</f>
        <v/>
      </c>
      <c r="O274" s="194"/>
      <c r="P274" s="194"/>
      <c r="Q274" s="194"/>
      <c r="R274" s="194"/>
      <c r="S274" s="194"/>
      <c r="T274" s="194"/>
      <c r="U274" s="194"/>
      <c r="V274" s="194"/>
      <c r="W274" s="194"/>
    </row>
    <row r="275" ht="14.25" customHeight="1">
      <c r="A275" s="186"/>
      <c r="B275" s="268"/>
      <c r="C275" s="269"/>
      <c r="D275" s="270"/>
      <c r="E275" s="271"/>
      <c r="F275" s="276"/>
      <c r="G275" s="273"/>
      <c r="H275" s="204"/>
      <c r="I275" s="204"/>
      <c r="J275" s="196"/>
      <c r="K275" s="196"/>
      <c r="L275" s="192" t="str">
        <f>IFERROR(__xludf.DUMMYFUNCTION("IF(
  AND(D275=""Saída"", J275=""Sangria""),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198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94" t="str">
        <f>IFERROR(__xludf.DUMMYFUNCTION("ifna(VALUE(REGEXEXTRACT(E275,""[0-9.]+[,]+[0-9]+"")))"),"")</f>
        <v/>
      </c>
      <c r="O275" s="194"/>
      <c r="P275" s="194"/>
      <c r="Q275" s="194"/>
      <c r="R275" s="194"/>
      <c r="S275" s="194"/>
      <c r="T275" s="194"/>
      <c r="U275" s="194"/>
      <c r="V275" s="194"/>
      <c r="W275" s="194"/>
    </row>
    <row r="276" ht="14.25" customHeight="1">
      <c r="A276" s="186"/>
      <c r="B276" s="268"/>
      <c r="C276" s="269"/>
      <c r="D276" s="270"/>
      <c r="E276" s="271"/>
      <c r="F276" s="272"/>
      <c r="G276" s="273"/>
      <c r="H276" s="204"/>
      <c r="I276" s="204"/>
      <c r="J276" s="196"/>
      <c r="K276" s="196"/>
      <c r="L276" s="192" t="str">
        <f>IFERROR(__xludf.DUMMYFUNCTION("IF(
  AND(D276=""Saída"", J276=""Sangria""),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197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94" t="str">
        <f>IFERROR(__xludf.DUMMYFUNCTION("ifna(VALUE(REGEXEXTRACT(E276,""[0-9.]+[,]+[0-9]+"")))"),"")</f>
        <v/>
      </c>
      <c r="O276" s="194"/>
      <c r="P276" s="194"/>
      <c r="Q276" s="194"/>
      <c r="R276" s="194"/>
      <c r="S276" s="194"/>
      <c r="T276" s="194"/>
      <c r="U276" s="194"/>
      <c r="V276" s="194"/>
      <c r="W276" s="194"/>
    </row>
    <row r="277" ht="14.25" customHeight="1">
      <c r="A277" s="186"/>
      <c r="B277" s="268"/>
      <c r="C277" s="269"/>
      <c r="D277" s="270"/>
      <c r="E277" s="271"/>
      <c r="F277" s="272"/>
      <c r="G277" s="273"/>
      <c r="H277" s="204"/>
      <c r="I277" s="204"/>
      <c r="J277" s="196"/>
      <c r="K277" s="196"/>
      <c r="L277" s="192" t="str">
        <f>IFERROR(__xludf.DUMMYFUNCTION("IF(
  AND(D277=""Saída"", J277=""Sangria""),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198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94" t="str">
        <f>IFERROR(__xludf.DUMMYFUNCTION("ifna(VALUE(REGEXEXTRACT(E277,""[0-9.]+[,]+[0-9]+"")))"),"")</f>
        <v/>
      </c>
      <c r="O277" s="194"/>
      <c r="P277" s="194"/>
      <c r="Q277" s="194"/>
      <c r="R277" s="194"/>
      <c r="S277" s="194"/>
      <c r="T277" s="194"/>
      <c r="U277" s="194"/>
      <c r="V277" s="194"/>
      <c r="W277" s="194"/>
    </row>
    <row r="278" ht="14.25" customHeight="1">
      <c r="A278" s="186"/>
      <c r="B278" s="268"/>
      <c r="C278" s="269"/>
      <c r="D278" s="270"/>
      <c r="E278" s="271"/>
      <c r="F278" s="272"/>
      <c r="G278" s="273"/>
      <c r="H278" s="204"/>
      <c r="I278" s="204"/>
      <c r="J278" s="196"/>
      <c r="K278" s="196"/>
      <c r="L278" s="192" t="str">
        <f>IFERROR(__xludf.DUMMYFUNCTION("IF(
  AND(D278=""Saída"", J278=""Sangria""),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197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94" t="str">
        <f>IFERROR(__xludf.DUMMYFUNCTION("ifna(VALUE(REGEXEXTRACT(E278,""[0-9.]+[,]+[0-9]+"")))"),"")</f>
        <v/>
      </c>
      <c r="O278" s="194"/>
      <c r="P278" s="194"/>
      <c r="Q278" s="194"/>
      <c r="R278" s="194"/>
      <c r="S278" s="194"/>
      <c r="T278" s="194"/>
      <c r="U278" s="194"/>
      <c r="V278" s="194"/>
      <c r="W278" s="194"/>
    </row>
    <row r="279" ht="14.25" customHeight="1">
      <c r="A279" s="186"/>
      <c r="B279" s="268"/>
      <c r="C279" s="269"/>
      <c r="D279" s="270"/>
      <c r="E279" s="271"/>
      <c r="F279" s="272"/>
      <c r="G279" s="273"/>
      <c r="H279" s="204"/>
      <c r="I279" s="204"/>
      <c r="J279" s="196"/>
      <c r="K279" s="196"/>
      <c r="L279" s="192" t="str">
        <f>IFERROR(__xludf.DUMMYFUNCTION("IF(
  AND(D279=""Saída"", J279=""Sangria""),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198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94" t="str">
        <f>IFERROR(__xludf.DUMMYFUNCTION("ifna(VALUE(REGEXEXTRACT(E279,""[0-9.]+[,]+[0-9]+"")))"),"")</f>
        <v/>
      </c>
      <c r="O279" s="194"/>
      <c r="P279" s="194"/>
      <c r="Q279" s="194"/>
      <c r="R279" s="194"/>
      <c r="S279" s="194"/>
      <c r="T279" s="194"/>
      <c r="U279" s="194"/>
      <c r="V279" s="194"/>
      <c r="W279" s="194"/>
    </row>
    <row r="280" ht="14.25" customHeight="1">
      <c r="A280" s="186"/>
      <c r="B280" s="268"/>
      <c r="C280" s="269"/>
      <c r="D280" s="270"/>
      <c r="E280" s="271"/>
      <c r="F280" s="272"/>
      <c r="G280" s="273"/>
      <c r="H280" s="204"/>
      <c r="I280" s="204"/>
      <c r="J280" s="196"/>
      <c r="K280" s="202"/>
      <c r="L280" s="192" t="str">
        <f>IFERROR(__xludf.DUMMYFUNCTION("IF(
  AND(D280=""Saída"", J280=""Sangria""),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197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94" t="str">
        <f>IFERROR(__xludf.DUMMYFUNCTION("ifna(VALUE(REGEXEXTRACT(E280,""[0-9.]+[,]+[0-9]+"")))"),"")</f>
        <v/>
      </c>
      <c r="O280" s="194"/>
      <c r="P280" s="194"/>
      <c r="Q280" s="194"/>
      <c r="R280" s="194"/>
      <c r="S280" s="194"/>
      <c r="T280" s="194"/>
      <c r="U280" s="194"/>
      <c r="V280" s="194"/>
      <c r="W280" s="194"/>
    </row>
    <row r="281" ht="14.25" customHeight="1">
      <c r="A281" s="186"/>
      <c r="B281" s="268"/>
      <c r="C281" s="269"/>
      <c r="D281" s="270"/>
      <c r="E281" s="271"/>
      <c r="F281" s="272"/>
      <c r="G281" s="273"/>
      <c r="H281" s="204"/>
      <c r="I281" s="204"/>
      <c r="J281" s="196"/>
      <c r="K281" s="196"/>
      <c r="L281" s="192" t="str">
        <f>IFERROR(__xludf.DUMMYFUNCTION("IF(
  AND(D281=""Saída"", J281=""Sangria""),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198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94" t="str">
        <f>IFERROR(__xludf.DUMMYFUNCTION("ifna(VALUE(REGEXEXTRACT(E281,""[0-9.]+[,]+[0-9]+"")))"),"")</f>
        <v/>
      </c>
      <c r="O281" s="194"/>
      <c r="P281" s="194"/>
      <c r="Q281" s="194"/>
      <c r="R281" s="194"/>
      <c r="S281" s="194"/>
      <c r="T281" s="194"/>
      <c r="U281" s="194"/>
      <c r="V281" s="194"/>
      <c r="W281" s="194"/>
    </row>
    <row r="282" ht="14.25" customHeight="1">
      <c r="A282" s="186"/>
      <c r="B282" s="268"/>
      <c r="C282" s="269"/>
      <c r="D282" s="270"/>
      <c r="E282" s="275"/>
      <c r="F282" s="272"/>
      <c r="G282" s="273"/>
      <c r="H282" s="204"/>
      <c r="I282" s="204"/>
      <c r="J282" s="196"/>
      <c r="K282" s="196"/>
      <c r="L282" s="192" t="str">
        <f>IFERROR(__xludf.DUMMYFUNCTION("IF(
  AND(D282=""Saída"", J282=""Sangria""),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197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94" t="str">
        <f>IFERROR(__xludf.DUMMYFUNCTION("ifna(VALUE(REGEXEXTRACT(E282,""[0-9.]+[,]+[0-9]+"")))"),"")</f>
        <v/>
      </c>
      <c r="O282" s="194"/>
      <c r="P282" s="194"/>
      <c r="Q282" s="194"/>
      <c r="R282" s="194"/>
      <c r="S282" s="194"/>
      <c r="T282" s="194"/>
      <c r="U282" s="194"/>
      <c r="V282" s="194"/>
      <c r="W282" s="194"/>
    </row>
    <row r="283" ht="14.25" customHeight="1">
      <c r="A283" s="186"/>
      <c r="B283" s="268"/>
      <c r="C283" s="269"/>
      <c r="D283" s="270"/>
      <c r="E283" s="271"/>
      <c r="F283" s="272"/>
      <c r="G283" s="273"/>
      <c r="H283" s="204"/>
      <c r="I283" s="204"/>
      <c r="J283" s="196"/>
      <c r="K283" s="196"/>
      <c r="L283" s="192" t="str">
        <f>IFERROR(__xludf.DUMMYFUNCTION("IF(
  AND(D283=""Saída"", J283=""Sangria""),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198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94" t="str">
        <f>IFERROR(__xludf.DUMMYFUNCTION("ifna(VALUE(REGEXEXTRACT(E283,""[0-9.]+[,]+[0-9]+"")))"),"")</f>
        <v/>
      </c>
      <c r="O283" s="194"/>
      <c r="P283" s="194"/>
      <c r="Q283" s="194"/>
      <c r="R283" s="194"/>
      <c r="S283" s="194"/>
      <c r="T283" s="194"/>
      <c r="U283" s="194"/>
      <c r="V283" s="194"/>
      <c r="W283" s="194"/>
    </row>
    <row r="284" ht="14.25" customHeight="1">
      <c r="A284" s="186"/>
      <c r="B284" s="268"/>
      <c r="C284" s="269"/>
      <c r="D284" s="270"/>
      <c r="E284" s="271"/>
      <c r="F284" s="272"/>
      <c r="G284" s="273"/>
      <c r="H284" s="204"/>
      <c r="I284" s="204"/>
      <c r="J284" s="196"/>
      <c r="K284" s="202"/>
      <c r="L284" s="192" t="str">
        <f>IFERROR(__xludf.DUMMYFUNCTION("IF(
  AND(D284=""Saída"", J284=""Sangria""),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197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94" t="str">
        <f>IFERROR(__xludf.DUMMYFUNCTION("ifna(VALUE(REGEXEXTRACT(E284,""[0-9.]+[,]+[0-9]+"")))"),"")</f>
        <v/>
      </c>
      <c r="O284" s="194"/>
      <c r="P284" s="194"/>
      <c r="Q284" s="194"/>
      <c r="R284" s="194"/>
      <c r="S284" s="194"/>
      <c r="T284" s="194"/>
      <c r="U284" s="194"/>
      <c r="V284" s="194"/>
      <c r="W284" s="194"/>
    </row>
    <row r="285" ht="14.25" customHeight="1">
      <c r="A285" s="186"/>
      <c r="B285" s="268"/>
      <c r="C285" s="269"/>
      <c r="D285" s="270"/>
      <c r="E285" s="271"/>
      <c r="F285" s="276"/>
      <c r="G285" s="273"/>
      <c r="H285" s="204"/>
      <c r="I285" s="204"/>
      <c r="J285" s="196"/>
      <c r="K285" s="196"/>
      <c r="L285" s="192" t="str">
        <f>IFERROR(__xludf.DUMMYFUNCTION("IF(
  AND(D285=""Saída"", J285=""Sangria""),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198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94" t="str">
        <f>IFERROR(__xludf.DUMMYFUNCTION("ifna(VALUE(REGEXEXTRACT(E285,""[0-9.]+[,]+[0-9]+"")))"),"")</f>
        <v/>
      </c>
      <c r="O285" s="194"/>
      <c r="P285" s="194"/>
      <c r="Q285" s="194"/>
      <c r="R285" s="194"/>
      <c r="S285" s="194"/>
      <c r="T285" s="194"/>
      <c r="U285" s="194"/>
      <c r="V285" s="194"/>
      <c r="W285" s="194"/>
    </row>
    <row r="286" ht="14.25" customHeight="1">
      <c r="A286" s="186"/>
      <c r="B286" s="268"/>
      <c r="C286" s="269"/>
      <c r="D286" s="270"/>
      <c r="E286" s="271"/>
      <c r="F286" s="276"/>
      <c r="G286" s="273"/>
      <c r="H286" s="204"/>
      <c r="I286" s="204"/>
      <c r="J286" s="196"/>
      <c r="K286" s="196"/>
      <c r="L286" s="192" t="str">
        <f>IFERROR(__xludf.DUMMYFUNCTION("IF(
  AND(D286=""Saída"", J286=""Sangria""),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197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94" t="str">
        <f>IFERROR(__xludf.DUMMYFUNCTION("ifna(VALUE(REGEXEXTRACT(E286,""[0-9.]+[,]+[0-9]+"")))"),"")</f>
        <v/>
      </c>
      <c r="O286" s="194"/>
      <c r="P286" s="194"/>
      <c r="Q286" s="194"/>
      <c r="R286" s="194"/>
      <c r="S286" s="194"/>
      <c r="T286" s="194"/>
      <c r="U286" s="194"/>
      <c r="V286" s="194"/>
      <c r="W286" s="194"/>
    </row>
    <row r="287" ht="14.25" customHeight="1">
      <c r="A287" s="186"/>
      <c r="B287" s="268"/>
      <c r="C287" s="269"/>
      <c r="D287" s="270"/>
      <c r="E287" s="271"/>
      <c r="F287" s="272"/>
      <c r="G287" s="273"/>
      <c r="H287" s="204"/>
      <c r="I287" s="204"/>
      <c r="J287" s="212"/>
      <c r="K287" s="202"/>
      <c r="L287" s="192" t="str">
        <f>IFERROR(__xludf.DUMMYFUNCTION("IF(
  AND(D287=""Saída"", J287=""Sangria""),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198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94" t="str">
        <f>IFERROR(__xludf.DUMMYFUNCTION("ifna(VALUE(REGEXEXTRACT(E287,""[0-9.]+[,]+[0-9]+"")))"),"")</f>
        <v/>
      </c>
      <c r="O287" s="194"/>
      <c r="P287" s="194"/>
      <c r="Q287" s="194"/>
      <c r="R287" s="194"/>
      <c r="S287" s="194"/>
      <c r="T287" s="194"/>
      <c r="U287" s="194"/>
      <c r="V287" s="194"/>
      <c r="W287" s="194"/>
    </row>
    <row r="288" ht="14.25" customHeight="1">
      <c r="A288" s="186"/>
      <c r="B288" s="268"/>
      <c r="C288" s="269"/>
      <c r="D288" s="270"/>
      <c r="E288" s="271"/>
      <c r="F288" s="272"/>
      <c r="G288" s="273"/>
      <c r="H288" s="204"/>
      <c r="I288" s="204"/>
      <c r="J288" s="196"/>
      <c r="K288" s="202"/>
      <c r="L288" s="192" t="str">
        <f>IFERROR(__xludf.DUMMYFUNCTION("IF(
  AND(D288=""Saída"", J288=""Sangria""),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197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94" t="str">
        <f>IFERROR(__xludf.DUMMYFUNCTION("ifna(VALUE(REGEXEXTRACT(E288,""[0-9.]+[,]+[0-9]+"")))"),"")</f>
        <v/>
      </c>
      <c r="O288" s="194"/>
      <c r="P288" s="194"/>
      <c r="Q288" s="194"/>
      <c r="R288" s="194"/>
      <c r="S288" s="194"/>
      <c r="T288" s="194"/>
      <c r="U288" s="194"/>
      <c r="V288" s="194"/>
      <c r="W288" s="194"/>
    </row>
    <row r="289" ht="14.25" customHeight="1">
      <c r="A289" s="186"/>
      <c r="B289" s="268"/>
      <c r="C289" s="269"/>
      <c r="D289" s="270"/>
      <c r="E289" s="271"/>
      <c r="F289" s="272"/>
      <c r="G289" s="273"/>
      <c r="H289" s="204"/>
      <c r="I289" s="204"/>
      <c r="J289" s="196"/>
      <c r="K289" s="196"/>
      <c r="L289" s="192" t="str">
        <f>IFERROR(__xludf.DUMMYFUNCTION("IF(
  AND(D289=""Saída"", J289=""Sangria""),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198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94" t="str">
        <f>IFERROR(__xludf.DUMMYFUNCTION("ifna(VALUE(REGEXEXTRACT(E289,""[0-9.]+[,]+[0-9]+"")))"),"")</f>
        <v/>
      </c>
      <c r="O289" s="194"/>
      <c r="P289" s="194"/>
      <c r="Q289" s="194"/>
      <c r="R289" s="194"/>
      <c r="S289" s="194"/>
      <c r="T289" s="194"/>
      <c r="U289" s="194"/>
      <c r="V289" s="194"/>
      <c r="W289" s="194"/>
    </row>
    <row r="290" ht="14.25" customHeight="1">
      <c r="A290" s="186"/>
      <c r="B290" s="268"/>
      <c r="C290" s="269"/>
      <c r="D290" s="270"/>
      <c r="E290" s="271"/>
      <c r="F290" s="272"/>
      <c r="G290" s="273"/>
      <c r="H290" s="204"/>
      <c r="I290" s="204"/>
      <c r="J290" s="196"/>
      <c r="K290" s="196"/>
      <c r="L290" s="192" t="str">
        <f>IFERROR(__xludf.DUMMYFUNCTION("IF(
  AND(D290=""Saída"", J290=""Sangria""),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197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94" t="str">
        <f>IFERROR(__xludf.DUMMYFUNCTION("ifna(VALUE(REGEXEXTRACT(E290,""[0-9.]+[,]+[0-9]+"")))"),"")</f>
        <v/>
      </c>
      <c r="O290" s="194"/>
      <c r="P290" s="194"/>
      <c r="Q290" s="194"/>
      <c r="R290" s="194"/>
      <c r="S290" s="194"/>
      <c r="T290" s="194"/>
      <c r="U290" s="194"/>
      <c r="V290" s="194"/>
      <c r="W290" s="194"/>
    </row>
    <row r="291" ht="14.25" customHeight="1">
      <c r="A291" s="186"/>
      <c r="B291" s="268"/>
      <c r="C291" s="269"/>
      <c r="D291" s="270"/>
      <c r="E291" s="271"/>
      <c r="F291" s="272"/>
      <c r="G291" s="273"/>
      <c r="H291" s="204"/>
      <c r="I291" s="204"/>
      <c r="J291" s="196"/>
      <c r="K291" s="196"/>
      <c r="L291" s="192" t="str">
        <f>IFERROR(__xludf.DUMMYFUNCTION("IF(
  AND(D291=""Saída"", J291=""Sangria""),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198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94" t="str">
        <f>IFERROR(__xludf.DUMMYFUNCTION("ifna(VALUE(REGEXEXTRACT(E291,""[0-9.]+[,]+[0-9]+"")))"),"")</f>
        <v/>
      </c>
      <c r="O291" s="194"/>
      <c r="P291" s="194"/>
      <c r="Q291" s="194"/>
      <c r="R291" s="194"/>
      <c r="S291" s="194"/>
      <c r="T291" s="194"/>
      <c r="U291" s="194"/>
      <c r="V291" s="194"/>
      <c r="W291" s="194"/>
    </row>
    <row r="292" ht="14.25" customHeight="1">
      <c r="A292" s="31"/>
      <c r="B292" s="268"/>
      <c r="C292" s="269"/>
      <c r="D292" s="270"/>
      <c r="E292" s="271"/>
      <c r="F292" s="272"/>
      <c r="G292" s="273"/>
      <c r="H292" s="204"/>
      <c r="I292" s="204"/>
      <c r="J292" s="196"/>
      <c r="K292" s="196"/>
      <c r="L292" s="192" t="str">
        <f>IFERROR(__xludf.DUMMYFUNCTION("IF(
  AND(D292=""Saída"", J292=""Sangria""),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197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94" t="str">
        <f>IFERROR(__xludf.DUMMYFUNCTION("ifna(VALUE(REGEXEXTRACT(E292,""[0-9.]+[,]+[0-9]+"")))"),"")</f>
        <v/>
      </c>
      <c r="O292" s="194"/>
      <c r="P292" s="194"/>
      <c r="Q292" s="194"/>
      <c r="R292" s="194"/>
      <c r="S292" s="194"/>
      <c r="T292" s="194"/>
      <c r="U292" s="194"/>
      <c r="V292" s="194"/>
      <c r="W292" s="194"/>
    </row>
    <row r="293" ht="14.25" customHeight="1">
      <c r="A293" s="31"/>
      <c r="B293" s="268"/>
      <c r="C293" s="269"/>
      <c r="D293" s="270"/>
      <c r="E293" s="271"/>
      <c r="F293" s="272"/>
      <c r="G293" s="273"/>
      <c r="H293" s="204"/>
      <c r="I293" s="204"/>
      <c r="J293" s="196"/>
      <c r="K293" s="202"/>
      <c r="L293" s="192" t="str">
        <f>IFERROR(__xludf.DUMMYFUNCTION("IF(
  AND(D293=""Saída"", J293=""Sangria""),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198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94" t="str">
        <f>IFERROR(__xludf.DUMMYFUNCTION("ifna(VALUE(REGEXEXTRACT(E293,""[0-9.]+[,]+[0-9]+"")))"),"")</f>
        <v/>
      </c>
      <c r="O293" s="194"/>
      <c r="P293" s="194"/>
      <c r="Q293" s="194"/>
      <c r="R293" s="194"/>
      <c r="S293" s="194"/>
      <c r="T293" s="194"/>
      <c r="U293" s="194"/>
      <c r="V293" s="194"/>
      <c r="W293" s="194"/>
    </row>
    <row r="294" ht="14.25" customHeight="1">
      <c r="A294" s="31"/>
      <c r="B294" s="268"/>
      <c r="C294" s="269"/>
      <c r="D294" s="270"/>
      <c r="E294" s="275"/>
      <c r="F294" s="272"/>
      <c r="G294" s="273"/>
      <c r="H294" s="204"/>
      <c r="I294" s="204"/>
      <c r="J294" s="196"/>
      <c r="K294" s="196"/>
      <c r="L294" s="192" t="str">
        <f>IFERROR(__xludf.DUMMYFUNCTION("IF(
  AND(D294=""Saída"", J294=""Sangria""),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197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94" t="str">
        <f>IFERROR(__xludf.DUMMYFUNCTION("ifna(VALUE(REGEXEXTRACT(E294,""[0-9.]+[,]+[0-9]+"")))"),"")</f>
        <v/>
      </c>
      <c r="O294" s="194"/>
      <c r="P294" s="194"/>
      <c r="Q294" s="194"/>
      <c r="R294" s="194"/>
      <c r="S294" s="194"/>
      <c r="T294" s="194"/>
      <c r="U294" s="194"/>
      <c r="V294" s="194"/>
      <c r="W294" s="194"/>
    </row>
    <row r="295" ht="14.25" customHeight="1">
      <c r="A295" s="31"/>
      <c r="B295" s="268"/>
      <c r="C295" s="269"/>
      <c r="D295" s="270"/>
      <c r="E295" s="271"/>
      <c r="F295" s="272"/>
      <c r="G295" s="273"/>
      <c r="H295" s="204"/>
      <c r="I295" s="204"/>
      <c r="J295" s="196"/>
      <c r="K295" s="196"/>
      <c r="L295" s="192" t="str">
        <f>IFERROR(__xludf.DUMMYFUNCTION("IF(
  AND(D295=""Saída"", J295=""Sangria""),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198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94" t="str">
        <f>IFERROR(__xludf.DUMMYFUNCTION("ifna(VALUE(REGEXEXTRACT(E295,""[0-9.]+[,]+[0-9]+"")))"),"")</f>
        <v/>
      </c>
      <c r="O295" s="194"/>
      <c r="P295" s="194"/>
      <c r="Q295" s="194"/>
      <c r="R295" s="194"/>
      <c r="S295" s="194"/>
      <c r="T295" s="194"/>
      <c r="U295" s="194"/>
      <c r="V295" s="194"/>
      <c r="W295" s="194"/>
    </row>
    <row r="296" ht="14.25" customHeight="1">
      <c r="A296" s="31"/>
      <c r="B296" s="268"/>
      <c r="C296" s="269"/>
      <c r="D296" s="270"/>
      <c r="E296" s="271"/>
      <c r="F296" s="276"/>
      <c r="G296" s="273"/>
      <c r="H296" s="204"/>
      <c r="I296" s="204"/>
      <c r="J296" s="196"/>
      <c r="K296" s="196"/>
      <c r="L296" s="192" t="str">
        <f>IFERROR(__xludf.DUMMYFUNCTION("IF(
  AND(D296=""Saída"", J296=""Sangria""),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197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94" t="str">
        <f>IFERROR(__xludf.DUMMYFUNCTION("ifna(VALUE(REGEXEXTRACT(E296,""[0-9.]+[,]+[0-9]+"")))"),"")</f>
        <v/>
      </c>
      <c r="O296" s="194"/>
      <c r="P296" s="194"/>
      <c r="Q296" s="194"/>
      <c r="R296" s="194"/>
      <c r="S296" s="194"/>
      <c r="T296" s="194"/>
      <c r="U296" s="194"/>
      <c r="V296" s="194"/>
      <c r="W296" s="194"/>
    </row>
    <row r="297" ht="14.25" customHeight="1">
      <c r="A297" s="31"/>
      <c r="B297" s="268"/>
      <c r="C297" s="269"/>
      <c r="D297" s="270"/>
      <c r="E297" s="271"/>
      <c r="F297" s="272"/>
      <c r="G297" s="273"/>
      <c r="H297" s="204"/>
      <c r="I297" s="204"/>
      <c r="J297" s="196"/>
      <c r="K297" s="196"/>
      <c r="L297" s="192" t="str">
        <f>IFERROR(__xludf.DUMMYFUNCTION("IF(
  AND(D297=""Saída"", J297=""Sangria""),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198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94" t="str">
        <f>IFERROR(__xludf.DUMMYFUNCTION("ifna(VALUE(REGEXEXTRACT(E297,""[0-9.]+[,]+[0-9]+"")))"),"")</f>
        <v/>
      </c>
      <c r="O297" s="194"/>
      <c r="P297" s="194"/>
      <c r="Q297" s="194"/>
      <c r="R297" s="194"/>
      <c r="S297" s="194"/>
      <c r="T297" s="194"/>
      <c r="U297" s="194"/>
      <c r="V297" s="194"/>
      <c r="W297" s="194"/>
    </row>
    <row r="298" ht="14.25" customHeight="1">
      <c r="A298" s="31"/>
      <c r="B298" s="268"/>
      <c r="C298" s="269"/>
      <c r="D298" s="270"/>
      <c r="E298" s="271"/>
      <c r="F298" s="272"/>
      <c r="G298" s="273"/>
      <c r="H298" s="204"/>
      <c r="I298" s="204"/>
      <c r="J298" s="196"/>
      <c r="K298" s="196"/>
      <c r="L298" s="192" t="str">
        <f>IFERROR(__xludf.DUMMYFUNCTION("IF(
  AND(D298=""Saída"", J298=""Sangria""),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197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94" t="str">
        <f>IFERROR(__xludf.DUMMYFUNCTION("ifna(VALUE(REGEXEXTRACT(E298,""[0-9.]+[,]+[0-9]+"")))"),"")</f>
        <v/>
      </c>
      <c r="O298" s="194"/>
      <c r="P298" s="194"/>
      <c r="Q298" s="194"/>
      <c r="R298" s="194"/>
      <c r="S298" s="194"/>
      <c r="T298" s="194"/>
      <c r="U298" s="194"/>
      <c r="V298" s="194"/>
      <c r="W298" s="194"/>
    </row>
    <row r="299" ht="14.25" customHeight="1">
      <c r="A299" s="31"/>
      <c r="B299" s="268"/>
      <c r="C299" s="269"/>
      <c r="D299" s="270"/>
      <c r="E299" s="271"/>
      <c r="F299" s="272"/>
      <c r="G299" s="273"/>
      <c r="H299" s="204"/>
      <c r="I299" s="204"/>
      <c r="J299" s="196"/>
      <c r="K299" s="196"/>
      <c r="L299" s="192" t="str">
        <f>IFERROR(__xludf.DUMMYFUNCTION("IF(
  AND(D299=""Saída"", J299=""Sangria""),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198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94" t="str">
        <f>IFERROR(__xludf.DUMMYFUNCTION("ifna(VALUE(REGEXEXTRACT(E299,""[0-9.]+[,]+[0-9]+"")))"),"")</f>
        <v/>
      </c>
      <c r="O299" s="194"/>
      <c r="P299" s="194"/>
      <c r="Q299" s="194"/>
      <c r="R299" s="194"/>
      <c r="S299" s="194"/>
      <c r="T299" s="194"/>
      <c r="U299" s="194"/>
      <c r="V299" s="194"/>
      <c r="W299" s="194"/>
    </row>
    <row r="300" ht="14.25" customHeight="1">
      <c r="A300" s="31"/>
      <c r="B300" s="268"/>
      <c r="C300" s="269"/>
      <c r="D300" s="270"/>
      <c r="E300" s="271"/>
      <c r="F300" s="272"/>
      <c r="G300" s="273"/>
      <c r="H300" s="204"/>
      <c r="I300" s="204"/>
      <c r="J300" s="196"/>
      <c r="K300" s="196"/>
      <c r="L300" s="192" t="str">
        <f>IFERROR(__xludf.DUMMYFUNCTION("IF(
  AND(D300=""Saída"", J300=""Sangria""),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197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94" t="str">
        <f>IFERROR(__xludf.DUMMYFUNCTION("ifna(VALUE(REGEXEXTRACT(E300,""[0-9.]+[,]+[0-9]+"")))"),"")</f>
        <v/>
      </c>
      <c r="O300" s="194"/>
      <c r="P300" s="194"/>
      <c r="Q300" s="194"/>
      <c r="R300" s="194"/>
      <c r="S300" s="194"/>
      <c r="T300" s="194"/>
      <c r="U300" s="194"/>
      <c r="V300" s="194"/>
      <c r="W300" s="194"/>
    </row>
    <row r="301" ht="14.25" customHeight="1">
      <c r="A301" s="31"/>
      <c r="B301" s="268"/>
      <c r="C301" s="269"/>
      <c r="D301" s="270"/>
      <c r="E301" s="271"/>
      <c r="F301" s="276"/>
      <c r="G301" s="273"/>
      <c r="H301" s="204"/>
      <c r="I301" s="204"/>
      <c r="J301" s="196"/>
      <c r="K301" s="196"/>
      <c r="L301" s="192" t="str">
        <f>IFERROR(__xludf.DUMMYFUNCTION("IF(
  AND(D301=""Saída"", J301=""Sangria""),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198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94" t="str">
        <f>IFERROR(__xludf.DUMMYFUNCTION("ifna(VALUE(REGEXEXTRACT(E301,""[0-9.]+[,]+[0-9]+"")))"),"")</f>
        <v/>
      </c>
      <c r="O301" s="194"/>
      <c r="P301" s="194"/>
      <c r="Q301" s="194"/>
      <c r="R301" s="194"/>
      <c r="S301" s="194"/>
      <c r="T301" s="194"/>
      <c r="U301" s="194"/>
      <c r="V301" s="194"/>
      <c r="W301" s="194"/>
    </row>
    <row r="302" ht="14.25" customHeight="1">
      <c r="A302" s="31"/>
      <c r="B302" s="268"/>
      <c r="C302" s="269"/>
      <c r="D302" s="270"/>
      <c r="E302" s="271"/>
      <c r="F302" s="272"/>
      <c r="G302" s="273"/>
      <c r="H302" s="204"/>
      <c r="I302" s="204"/>
      <c r="J302" s="196"/>
      <c r="K302" s="202"/>
      <c r="L302" s="192" t="str">
        <f>IFERROR(__xludf.DUMMYFUNCTION("IF(
  AND(D302=""Saída"", J302=""Sangria""),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197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94" t="str">
        <f>IFERROR(__xludf.DUMMYFUNCTION("ifna(VALUE(REGEXEXTRACT(E302,""[0-9.]+[,]+[0-9]+"")))"),"")</f>
        <v/>
      </c>
      <c r="O302" s="194"/>
      <c r="P302" s="194"/>
      <c r="Q302" s="194"/>
      <c r="R302" s="194"/>
      <c r="S302" s="194"/>
      <c r="T302" s="194"/>
      <c r="U302" s="194"/>
      <c r="V302" s="194"/>
      <c r="W302" s="194"/>
    </row>
    <row r="303" ht="14.25" customHeight="1">
      <c r="A303" s="31"/>
      <c r="B303" s="268"/>
      <c r="C303" s="269"/>
      <c r="D303" s="270"/>
      <c r="E303" s="271"/>
      <c r="F303" s="276"/>
      <c r="G303" s="273"/>
      <c r="H303" s="204"/>
      <c r="I303" s="204"/>
      <c r="J303" s="196"/>
      <c r="K303" s="196"/>
      <c r="L303" s="192" t="str">
        <f>IFERROR(__xludf.DUMMYFUNCTION("IF(
  AND(D303=""Saída"", J303=""Sangria""),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198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94" t="str">
        <f>IFERROR(__xludf.DUMMYFUNCTION("ifna(VALUE(REGEXEXTRACT(E303,""[0-9.]+[,]+[0-9]+"")))"),"")</f>
        <v/>
      </c>
      <c r="O303" s="194"/>
      <c r="P303" s="194"/>
      <c r="Q303" s="194"/>
      <c r="R303" s="194"/>
      <c r="S303" s="194"/>
      <c r="T303" s="194"/>
      <c r="U303" s="194"/>
      <c r="V303" s="194"/>
      <c r="W303" s="194"/>
    </row>
    <row r="304" ht="14.25" customHeight="1">
      <c r="A304" s="31"/>
      <c r="B304" s="268"/>
      <c r="C304" s="269"/>
      <c r="D304" s="270"/>
      <c r="E304" s="271"/>
      <c r="F304" s="272"/>
      <c r="G304" s="273"/>
      <c r="H304" s="204"/>
      <c r="I304" s="204"/>
      <c r="J304" s="212"/>
      <c r="K304" s="196"/>
      <c r="L304" s="192" t="str">
        <f>IFERROR(__xludf.DUMMYFUNCTION("IF(
  AND(D304=""Saída"", J304=""Sangria""),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197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94" t="str">
        <f>IFERROR(__xludf.DUMMYFUNCTION("ifna(VALUE(REGEXEXTRACT(E304,""[0-9.]+[,]+[0-9]+"")))"),"")</f>
        <v/>
      </c>
      <c r="O304" s="194"/>
      <c r="P304" s="194"/>
      <c r="Q304" s="194"/>
      <c r="R304" s="194"/>
      <c r="S304" s="194"/>
      <c r="T304" s="194"/>
      <c r="U304" s="194"/>
      <c r="V304" s="194"/>
      <c r="W304" s="194"/>
    </row>
    <row r="305" ht="14.25" customHeight="1">
      <c r="A305" s="31"/>
      <c r="B305" s="268"/>
      <c r="C305" s="269"/>
      <c r="D305" s="270"/>
      <c r="E305" s="271"/>
      <c r="F305" s="272"/>
      <c r="G305" s="273"/>
      <c r="H305" s="204"/>
      <c r="I305" s="204"/>
      <c r="J305" s="212"/>
      <c r="K305" s="196"/>
      <c r="L305" s="192" t="str">
        <f>IFERROR(__xludf.DUMMYFUNCTION("IF(
  AND(D305=""Saída"", J305=""Sangria""),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198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94" t="str">
        <f>IFERROR(__xludf.DUMMYFUNCTION("ifna(VALUE(REGEXEXTRACT(E305,""[0-9.]+[,]+[0-9]+"")))"),"")</f>
        <v/>
      </c>
      <c r="O305" s="194"/>
      <c r="P305" s="194"/>
      <c r="Q305" s="194"/>
      <c r="R305" s="194"/>
      <c r="S305" s="194"/>
      <c r="T305" s="194"/>
      <c r="U305" s="194"/>
      <c r="V305" s="194"/>
      <c r="W305" s="194"/>
    </row>
    <row r="306" ht="14.25" customHeight="1">
      <c r="A306" s="31"/>
      <c r="B306" s="268"/>
      <c r="C306" s="269"/>
      <c r="D306" s="270"/>
      <c r="E306" s="271"/>
      <c r="F306" s="272"/>
      <c r="G306" s="273"/>
      <c r="H306" s="204"/>
      <c r="I306" s="204"/>
      <c r="J306" s="196"/>
      <c r="K306" s="196"/>
      <c r="L306" s="192" t="str">
        <f>IFERROR(__xludf.DUMMYFUNCTION("IF(
  AND(D306=""Saída"", J306=""Sangria""),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197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94" t="str">
        <f>IFERROR(__xludf.DUMMYFUNCTION("ifna(VALUE(REGEXEXTRACT(E306,""[0-9.]+[,]+[0-9]+"")))"),"")</f>
        <v/>
      </c>
      <c r="O306" s="194"/>
      <c r="P306" s="194"/>
      <c r="Q306" s="194"/>
      <c r="R306" s="194"/>
      <c r="S306" s="194"/>
      <c r="T306" s="194"/>
      <c r="U306" s="194"/>
      <c r="V306" s="194"/>
      <c r="W306" s="194"/>
    </row>
    <row r="307" ht="14.25" customHeight="1">
      <c r="A307" s="31"/>
      <c r="B307" s="268"/>
      <c r="C307" s="269"/>
      <c r="D307" s="270"/>
      <c r="E307" s="271"/>
      <c r="F307" s="272"/>
      <c r="G307" s="273"/>
      <c r="H307" s="204"/>
      <c r="I307" s="204"/>
      <c r="J307" s="196"/>
      <c r="K307" s="202"/>
      <c r="L307" s="192" t="str">
        <f>IFERROR(__xludf.DUMMYFUNCTION("IF(
  AND(D307=""Saída"", J307=""Sangria""),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198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94" t="str">
        <f>IFERROR(__xludf.DUMMYFUNCTION("ifna(VALUE(REGEXEXTRACT(E307,""[0-9.]+[,]+[0-9]+"")))"),"")</f>
        <v/>
      </c>
      <c r="O307" s="194"/>
      <c r="P307" s="194"/>
      <c r="Q307" s="194"/>
      <c r="R307" s="194"/>
      <c r="S307" s="194"/>
      <c r="T307" s="194"/>
      <c r="U307" s="194"/>
      <c r="V307" s="194"/>
      <c r="W307" s="194"/>
    </row>
    <row r="308" ht="14.25" customHeight="1">
      <c r="A308" s="31"/>
      <c r="B308" s="268"/>
      <c r="C308" s="269"/>
      <c r="D308" s="270"/>
      <c r="E308" s="271"/>
      <c r="F308" s="276"/>
      <c r="G308" s="273"/>
      <c r="H308" s="204"/>
      <c r="I308" s="204"/>
      <c r="J308" s="196"/>
      <c r="K308" s="196"/>
      <c r="L308" s="192" t="str">
        <f>IFERROR(__xludf.DUMMYFUNCTION("IF(
  AND(D308=""Saída"", J308=""Sangria""),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197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94" t="str">
        <f>IFERROR(__xludf.DUMMYFUNCTION("ifna(VALUE(REGEXEXTRACT(E308,""[0-9.]+[,]+[0-9]+"")))"),"")</f>
        <v/>
      </c>
      <c r="O308" s="194"/>
      <c r="P308" s="194"/>
      <c r="Q308" s="194"/>
      <c r="R308" s="194"/>
      <c r="S308" s="194"/>
      <c r="T308" s="194"/>
      <c r="U308" s="194"/>
      <c r="V308" s="194"/>
      <c r="W308" s="194"/>
    </row>
    <row r="309" ht="14.25" customHeight="1">
      <c r="A309" s="31"/>
      <c r="B309" s="268"/>
      <c r="C309" s="269"/>
      <c r="D309" s="270"/>
      <c r="E309" s="271"/>
      <c r="F309" s="272"/>
      <c r="G309" s="273"/>
      <c r="H309" s="204"/>
      <c r="I309" s="204"/>
      <c r="J309" s="212"/>
      <c r="K309" s="196"/>
      <c r="L309" s="192" t="str">
        <f>IFERROR(__xludf.DUMMYFUNCTION("IF(
  AND(D309=""Saída"", J309=""Sangria""),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198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94" t="str">
        <f>IFERROR(__xludf.DUMMYFUNCTION("ifna(VALUE(REGEXEXTRACT(E309,""[0-9.]+[,]+[0-9]+"")))"),"")</f>
        <v/>
      </c>
      <c r="O309" s="194"/>
      <c r="P309" s="194"/>
      <c r="Q309" s="194"/>
      <c r="R309" s="194"/>
      <c r="S309" s="194"/>
      <c r="T309" s="194"/>
      <c r="U309" s="194"/>
      <c r="V309" s="194"/>
      <c r="W309" s="194"/>
    </row>
    <row r="310" ht="14.25" customHeight="1">
      <c r="A310" s="31"/>
      <c r="B310" s="268"/>
      <c r="C310" s="269"/>
      <c r="D310" s="270"/>
      <c r="E310" s="271"/>
      <c r="F310" s="272"/>
      <c r="G310" s="273"/>
      <c r="H310" s="204"/>
      <c r="I310" s="204"/>
      <c r="J310" s="196"/>
      <c r="K310" s="196"/>
      <c r="L310" s="192" t="str">
        <f>IFERROR(__xludf.DUMMYFUNCTION("IF(
  AND(D310=""Saída"", J310=""Sangria""),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197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94" t="str">
        <f>IFERROR(__xludf.DUMMYFUNCTION("ifna(VALUE(REGEXEXTRACT(E310,""[0-9.]+[,]+[0-9]+"")))"),"")</f>
        <v/>
      </c>
      <c r="O310" s="194"/>
      <c r="P310" s="194"/>
      <c r="Q310" s="194"/>
      <c r="R310" s="194"/>
      <c r="S310" s="194"/>
      <c r="T310" s="194"/>
      <c r="U310" s="194"/>
      <c r="V310" s="194"/>
      <c r="W310" s="194"/>
    </row>
    <row r="311" ht="14.25" customHeight="1">
      <c r="A311" s="31"/>
      <c r="B311" s="268"/>
      <c r="C311" s="269"/>
      <c r="D311" s="270"/>
      <c r="E311" s="271"/>
      <c r="F311" s="272"/>
      <c r="G311" s="273"/>
      <c r="H311" s="204"/>
      <c r="I311" s="204"/>
      <c r="J311" s="196"/>
      <c r="K311" s="196"/>
      <c r="L311" s="192" t="str">
        <f>IFERROR(__xludf.DUMMYFUNCTION("IF(
  AND(D311=""Saída"", J311=""Sangria""),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198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94" t="str">
        <f>IFERROR(__xludf.DUMMYFUNCTION("ifna(VALUE(REGEXEXTRACT(E311,""[0-9.]+[,]+[0-9]+"")))"),"")</f>
        <v/>
      </c>
      <c r="O311" s="194"/>
      <c r="P311" s="194"/>
      <c r="Q311" s="194"/>
      <c r="R311" s="194"/>
      <c r="S311" s="194"/>
      <c r="T311" s="194"/>
      <c r="U311" s="194"/>
      <c r="V311" s="194"/>
      <c r="W311" s="194"/>
    </row>
    <row r="312" ht="14.25" customHeight="1">
      <c r="A312" s="31"/>
      <c r="B312" s="268"/>
      <c r="C312" s="269"/>
      <c r="D312" s="270"/>
      <c r="E312" s="271"/>
      <c r="F312" s="272"/>
      <c r="G312" s="273"/>
      <c r="H312" s="204"/>
      <c r="I312" s="204"/>
      <c r="J312" s="196"/>
      <c r="K312" s="196"/>
      <c r="L312" s="192" t="str">
        <f>IFERROR(__xludf.DUMMYFUNCTION("IF(
  AND(D312=""Saída"", J312=""Sangria""),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197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94" t="str">
        <f>IFERROR(__xludf.DUMMYFUNCTION("ifna(VALUE(REGEXEXTRACT(E312,""[0-9.]+[,]+[0-9]+"")))"),"")</f>
        <v/>
      </c>
      <c r="O312" s="194"/>
      <c r="P312" s="194"/>
      <c r="Q312" s="194"/>
      <c r="R312" s="194"/>
      <c r="S312" s="194"/>
      <c r="T312" s="194"/>
      <c r="U312" s="194"/>
      <c r="V312" s="194"/>
      <c r="W312" s="194"/>
    </row>
    <row r="313" ht="14.25" customHeight="1">
      <c r="A313" s="31"/>
      <c r="B313" s="268"/>
      <c r="C313" s="269"/>
      <c r="D313" s="270"/>
      <c r="E313" s="271"/>
      <c r="F313" s="272"/>
      <c r="G313" s="273"/>
      <c r="H313" s="204"/>
      <c r="I313" s="204"/>
      <c r="J313" s="196"/>
      <c r="K313" s="196"/>
      <c r="L313" s="192" t="str">
        <f>IFERROR(__xludf.DUMMYFUNCTION("IF(
  AND(D313=""Saída"", J313=""Sangria""),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198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94" t="str">
        <f>IFERROR(__xludf.DUMMYFUNCTION("ifna(VALUE(REGEXEXTRACT(E313,""[0-9.]+[,]+[0-9]+"")))"),"")</f>
        <v/>
      </c>
      <c r="O313" s="194"/>
      <c r="P313" s="194"/>
      <c r="Q313" s="194"/>
      <c r="R313" s="194"/>
      <c r="S313" s="194"/>
      <c r="T313" s="194"/>
      <c r="U313" s="194"/>
      <c r="V313" s="194"/>
      <c r="W313" s="194"/>
    </row>
    <row r="314" ht="14.25" customHeight="1">
      <c r="A314" s="31"/>
      <c r="B314" s="268"/>
      <c r="C314" s="269"/>
      <c r="D314" s="270"/>
      <c r="E314" s="271"/>
      <c r="F314" s="276"/>
      <c r="G314" s="273"/>
      <c r="H314" s="204"/>
      <c r="I314" s="204"/>
      <c r="J314" s="196"/>
      <c r="K314" s="196"/>
      <c r="L314" s="192" t="str">
        <f>IFERROR(__xludf.DUMMYFUNCTION("IF(
  AND(D314=""Saída"", J314=""Sangria""),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197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94" t="str">
        <f>IFERROR(__xludf.DUMMYFUNCTION("ifna(VALUE(REGEXEXTRACT(E314,""[0-9.]+[,]+[0-9]+"")))"),"")</f>
        <v/>
      </c>
      <c r="O314" s="194"/>
      <c r="P314" s="194"/>
      <c r="Q314" s="194"/>
      <c r="R314" s="194"/>
      <c r="S314" s="194"/>
      <c r="T314" s="194"/>
      <c r="U314" s="194"/>
      <c r="V314" s="194"/>
      <c r="W314" s="194"/>
    </row>
    <row r="315" ht="14.25" customHeight="1">
      <c r="A315" s="31"/>
      <c r="B315" s="268"/>
      <c r="C315" s="269"/>
      <c r="D315" s="270"/>
      <c r="E315" s="271"/>
      <c r="F315" s="272"/>
      <c r="G315" s="273"/>
      <c r="H315" s="204"/>
      <c r="I315" s="204"/>
      <c r="J315" s="196"/>
      <c r="K315" s="196"/>
      <c r="L315" s="192" t="str">
        <f>IFERROR(__xludf.DUMMYFUNCTION("IF(
  AND(D315=""Saída"", J315=""Sangria""),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198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94" t="str">
        <f>IFERROR(__xludf.DUMMYFUNCTION("ifna(VALUE(REGEXEXTRACT(E315,""[0-9.]+[,]+[0-9]+"")))"),"")</f>
        <v/>
      </c>
      <c r="O315" s="194"/>
      <c r="P315" s="194"/>
      <c r="Q315" s="194"/>
      <c r="R315" s="194"/>
      <c r="S315" s="194"/>
      <c r="T315" s="194"/>
      <c r="U315" s="194"/>
      <c r="V315" s="194"/>
      <c r="W315" s="194"/>
    </row>
    <row r="316" ht="14.25" customHeight="1">
      <c r="A316" s="31"/>
      <c r="B316" s="268"/>
      <c r="C316" s="269"/>
      <c r="D316" s="270"/>
      <c r="E316" s="271"/>
      <c r="F316" s="276"/>
      <c r="G316" s="273"/>
      <c r="H316" s="204"/>
      <c r="I316" s="204"/>
      <c r="J316" s="196"/>
      <c r="K316" s="196"/>
      <c r="L316" s="192" t="str">
        <f>IFERROR(__xludf.DUMMYFUNCTION("IF(
  AND(D316=""Saída"", J316=""Sangria""),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197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94" t="str">
        <f>IFERROR(__xludf.DUMMYFUNCTION("ifna(VALUE(REGEXEXTRACT(E316,""[0-9.]+[,]+[0-9]+"")))"),"")</f>
        <v/>
      </c>
      <c r="O316" s="194"/>
      <c r="P316" s="194"/>
      <c r="Q316" s="194"/>
      <c r="R316" s="194"/>
      <c r="S316" s="194"/>
      <c r="T316" s="194"/>
      <c r="U316" s="194"/>
      <c r="V316" s="194"/>
      <c r="W316" s="194"/>
    </row>
    <row r="317" ht="14.25" customHeight="1">
      <c r="A317" s="31"/>
      <c r="B317" s="268"/>
      <c r="C317" s="269"/>
      <c r="D317" s="270"/>
      <c r="E317" s="271"/>
      <c r="F317" s="272"/>
      <c r="G317" s="273"/>
      <c r="H317" s="204"/>
      <c r="I317" s="204"/>
      <c r="J317" s="196"/>
      <c r="K317" s="196"/>
      <c r="L317" s="192" t="str">
        <f>IFERROR(__xludf.DUMMYFUNCTION("IF(
  AND(D317=""Saída"", J317=""Sangria""),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198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94" t="str">
        <f>IFERROR(__xludf.DUMMYFUNCTION("ifna(VALUE(REGEXEXTRACT(E317,""[0-9.]+[,]+[0-9]+"")))"),"")</f>
        <v/>
      </c>
      <c r="O317" s="194"/>
      <c r="P317" s="194"/>
      <c r="Q317" s="194"/>
      <c r="R317" s="194"/>
      <c r="S317" s="194"/>
      <c r="T317" s="194"/>
      <c r="U317" s="194"/>
      <c r="V317" s="194"/>
      <c r="W317" s="194"/>
    </row>
    <row r="318" ht="14.25" customHeight="1">
      <c r="A318" s="31"/>
      <c r="B318" s="268"/>
      <c r="C318" s="269"/>
      <c r="D318" s="270"/>
      <c r="E318" s="271"/>
      <c r="F318" s="272"/>
      <c r="G318" s="273"/>
      <c r="H318" s="204"/>
      <c r="I318" s="204"/>
      <c r="J318" s="196"/>
      <c r="K318" s="196"/>
      <c r="L318" s="192" t="str">
        <f>IFERROR(__xludf.DUMMYFUNCTION("IF(
  AND(D318=""Saída"", J318=""Sangria""),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197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94" t="str">
        <f>IFERROR(__xludf.DUMMYFUNCTION("ifna(VALUE(REGEXEXTRACT(E318,""[0-9.]+[,]+[0-9]+"")))"),"")</f>
        <v/>
      </c>
      <c r="O318" s="194"/>
      <c r="P318" s="194"/>
      <c r="Q318" s="194"/>
      <c r="R318" s="194"/>
      <c r="S318" s="194"/>
      <c r="T318" s="194"/>
      <c r="U318" s="194"/>
      <c r="V318" s="194"/>
      <c r="W318" s="194"/>
    </row>
    <row r="319" ht="14.25" customHeight="1">
      <c r="A319" s="31"/>
      <c r="B319" s="268"/>
      <c r="C319" s="269"/>
      <c r="D319" s="270"/>
      <c r="E319" s="271"/>
      <c r="F319" s="272"/>
      <c r="G319" s="273"/>
      <c r="H319" s="204"/>
      <c r="I319" s="204"/>
      <c r="J319" s="196"/>
      <c r="K319" s="196"/>
      <c r="L319" s="192" t="str">
        <f>IFERROR(__xludf.DUMMYFUNCTION("IF(
  AND(D319=""Saída"", J319=""Sangria""),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198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94" t="str">
        <f>IFERROR(__xludf.DUMMYFUNCTION("ifna(VALUE(REGEXEXTRACT(E319,""[0-9.]+[,]+[0-9]+"")))"),"")</f>
        <v/>
      </c>
      <c r="O319" s="194"/>
      <c r="P319" s="194"/>
      <c r="Q319" s="194"/>
      <c r="R319" s="194"/>
      <c r="S319" s="194"/>
      <c r="T319" s="194"/>
      <c r="U319" s="194"/>
      <c r="V319" s="194"/>
      <c r="W319" s="194"/>
    </row>
    <row r="320" ht="14.25" customHeight="1">
      <c r="A320" s="31"/>
      <c r="B320" s="268"/>
      <c r="C320" s="269"/>
      <c r="D320" s="270"/>
      <c r="E320" s="271"/>
      <c r="F320" s="272"/>
      <c r="G320" s="273"/>
      <c r="H320" s="204"/>
      <c r="I320" s="204"/>
      <c r="J320" s="196"/>
      <c r="K320" s="196"/>
      <c r="L320" s="192" t="str">
        <f>IFERROR(__xludf.DUMMYFUNCTION("IF(
  AND(D320=""Saída"", J320=""Sangria""),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197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94" t="str">
        <f>IFERROR(__xludf.DUMMYFUNCTION("ifna(VALUE(REGEXEXTRACT(E320,""[0-9.]+[,]+[0-9]+"")))"),"")</f>
        <v/>
      </c>
      <c r="O320" s="194"/>
      <c r="P320" s="194"/>
      <c r="Q320" s="194"/>
      <c r="R320" s="194"/>
      <c r="S320" s="194"/>
      <c r="T320" s="194"/>
      <c r="U320" s="194"/>
      <c r="V320" s="194"/>
      <c r="W320" s="194"/>
    </row>
    <row r="321" ht="14.25" customHeight="1">
      <c r="A321" s="31"/>
      <c r="B321" s="268"/>
      <c r="C321" s="269"/>
      <c r="D321" s="270"/>
      <c r="E321" s="271"/>
      <c r="F321" s="272"/>
      <c r="G321" s="273"/>
      <c r="H321" s="204"/>
      <c r="I321" s="204"/>
      <c r="J321" s="196"/>
      <c r="K321" s="196"/>
      <c r="L321" s="192" t="str">
        <f>IFERROR(__xludf.DUMMYFUNCTION("IF(
  AND(D321=""Saída"", J321=""Sangria""),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198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94" t="str">
        <f>IFERROR(__xludf.DUMMYFUNCTION("ifna(VALUE(REGEXEXTRACT(E321,""[0-9.]+[,]+[0-9]+"")))"),"")</f>
        <v/>
      </c>
      <c r="O321" s="194"/>
      <c r="P321" s="194"/>
      <c r="Q321" s="194"/>
      <c r="R321" s="194"/>
      <c r="S321" s="194"/>
      <c r="T321" s="194"/>
      <c r="U321" s="194"/>
      <c r="V321" s="194"/>
      <c r="W321" s="194"/>
    </row>
    <row r="322" ht="14.25" customHeight="1">
      <c r="A322" s="31"/>
      <c r="B322" s="268"/>
      <c r="C322" s="269"/>
      <c r="D322" s="270"/>
      <c r="E322" s="271"/>
      <c r="F322" s="272"/>
      <c r="G322" s="273"/>
      <c r="H322" s="204"/>
      <c r="I322" s="204"/>
      <c r="J322" s="196"/>
      <c r="K322" s="196"/>
      <c r="L322" s="192" t="str">
        <f>IFERROR(__xludf.DUMMYFUNCTION("IF(
  AND(D322=""Saída"", J322=""Sangria""),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197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94" t="str">
        <f>IFERROR(__xludf.DUMMYFUNCTION("ifna(VALUE(REGEXEXTRACT(E322,""[0-9.]+[,]+[0-9]+"")))"),"")</f>
        <v/>
      </c>
      <c r="O322" s="194"/>
      <c r="P322" s="194"/>
      <c r="Q322" s="194"/>
      <c r="R322" s="194"/>
      <c r="S322" s="194"/>
      <c r="T322" s="194"/>
      <c r="U322" s="194"/>
      <c r="V322" s="194"/>
      <c r="W322" s="194"/>
    </row>
    <row r="323" ht="14.25" customHeight="1">
      <c r="A323" s="31"/>
      <c r="B323" s="268"/>
      <c r="C323" s="269"/>
      <c r="D323" s="270"/>
      <c r="E323" s="271"/>
      <c r="F323" s="272"/>
      <c r="G323" s="273"/>
      <c r="H323" s="204"/>
      <c r="I323" s="204"/>
      <c r="J323" s="196"/>
      <c r="K323" s="196"/>
      <c r="L323" s="192" t="str">
        <f>IFERROR(__xludf.DUMMYFUNCTION("IF(
  AND(D323=""Saída"", J323=""Sangria""),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198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94" t="str">
        <f>IFERROR(__xludf.DUMMYFUNCTION("ifna(VALUE(REGEXEXTRACT(E323,""[0-9.]+[,]+[0-9]+"")))"),"")</f>
        <v/>
      </c>
      <c r="O323" s="194"/>
      <c r="P323" s="194"/>
      <c r="Q323" s="194"/>
      <c r="R323" s="194"/>
      <c r="S323" s="194"/>
      <c r="T323" s="194"/>
      <c r="U323" s="194"/>
      <c r="V323" s="194"/>
      <c r="W323" s="194"/>
    </row>
    <row r="324" ht="14.25" customHeight="1">
      <c r="A324" s="31"/>
      <c r="B324" s="268"/>
      <c r="C324" s="269"/>
      <c r="D324" s="270"/>
      <c r="E324" s="271"/>
      <c r="F324" s="272"/>
      <c r="G324" s="273"/>
      <c r="H324" s="204"/>
      <c r="I324" s="204"/>
      <c r="J324" s="196"/>
      <c r="K324" s="196"/>
      <c r="L324" s="192" t="str">
        <f>IFERROR(__xludf.DUMMYFUNCTION("IF(
  AND(D324=""Saída"", J324=""Sangria""),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197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94" t="str">
        <f>IFERROR(__xludf.DUMMYFUNCTION("ifna(VALUE(REGEXEXTRACT(E324,""[0-9.]+[,]+[0-9]+"")))"),"")</f>
        <v/>
      </c>
      <c r="O324" s="194"/>
      <c r="P324" s="194"/>
      <c r="Q324" s="194"/>
      <c r="R324" s="194"/>
      <c r="S324" s="194"/>
      <c r="T324" s="194"/>
      <c r="U324" s="194"/>
      <c r="V324" s="194"/>
      <c r="W324" s="194"/>
    </row>
    <row r="325" ht="14.25" customHeight="1">
      <c r="A325" s="31"/>
      <c r="B325" s="268"/>
      <c r="C325" s="269"/>
      <c r="D325" s="270"/>
      <c r="E325" s="271"/>
      <c r="F325" s="272"/>
      <c r="G325" s="273"/>
      <c r="H325" s="204"/>
      <c r="I325" s="204"/>
      <c r="J325" s="196"/>
      <c r="K325" s="196"/>
      <c r="L325" s="192" t="str">
        <f>IFERROR(__xludf.DUMMYFUNCTION("IF(
  AND(D325=""Saída"", J325=""Sangria""),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198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94" t="str">
        <f>IFERROR(__xludf.DUMMYFUNCTION("ifna(VALUE(REGEXEXTRACT(E325,""[0-9.]+[,]+[0-9]+"")))"),"")</f>
        <v/>
      </c>
      <c r="O325" s="194"/>
      <c r="P325" s="194"/>
      <c r="Q325" s="194"/>
      <c r="R325" s="194"/>
      <c r="S325" s="194"/>
      <c r="T325" s="194"/>
      <c r="U325" s="194"/>
      <c r="V325" s="194"/>
      <c r="W325" s="194"/>
    </row>
    <row r="326" ht="14.25" customHeight="1">
      <c r="A326" s="31"/>
      <c r="B326" s="268"/>
      <c r="C326" s="269"/>
      <c r="D326" s="270"/>
      <c r="E326" s="271"/>
      <c r="F326" s="276"/>
      <c r="G326" s="273"/>
      <c r="H326" s="204"/>
      <c r="I326" s="204"/>
      <c r="J326" s="196"/>
      <c r="K326" s="196"/>
      <c r="L326" s="192" t="str">
        <f>IFERROR(__xludf.DUMMYFUNCTION("IF(
  AND(D326=""Saída"", J326=""Sangria""),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197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94" t="str">
        <f>IFERROR(__xludf.DUMMYFUNCTION("ifna(VALUE(REGEXEXTRACT(E326,""[0-9.]+[,]+[0-9]+"")))"),"")</f>
        <v/>
      </c>
      <c r="O326" s="194"/>
      <c r="P326" s="194"/>
      <c r="Q326" s="194"/>
      <c r="R326" s="194"/>
      <c r="S326" s="194"/>
      <c r="T326" s="194"/>
      <c r="U326" s="194"/>
      <c r="V326" s="194"/>
      <c r="W326" s="194"/>
    </row>
    <row r="327" ht="14.25" customHeight="1">
      <c r="A327" s="31"/>
      <c r="B327" s="268"/>
      <c r="C327" s="269"/>
      <c r="D327" s="270"/>
      <c r="E327" s="271"/>
      <c r="F327" s="272"/>
      <c r="G327" s="273"/>
      <c r="H327" s="204"/>
      <c r="I327" s="204"/>
      <c r="J327" s="196"/>
      <c r="K327" s="196"/>
      <c r="L327" s="192" t="str">
        <f>IFERROR(__xludf.DUMMYFUNCTION("IF(
  AND(D327=""Saída"", J327=""Sangria""),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198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94" t="str">
        <f>IFERROR(__xludf.DUMMYFUNCTION("ifna(VALUE(REGEXEXTRACT(E327,""[0-9.]+[,]+[0-9]+"")))"),"")</f>
        <v/>
      </c>
      <c r="O327" s="194"/>
      <c r="P327" s="194"/>
      <c r="Q327" s="194"/>
      <c r="R327" s="194"/>
      <c r="S327" s="194"/>
      <c r="T327" s="194"/>
      <c r="U327" s="194"/>
      <c r="V327" s="194"/>
      <c r="W327" s="194"/>
    </row>
    <row r="328" ht="14.25" customHeight="1">
      <c r="A328" s="31"/>
      <c r="B328" s="268"/>
      <c r="C328" s="269"/>
      <c r="D328" s="270"/>
      <c r="E328" s="271"/>
      <c r="F328" s="272"/>
      <c r="G328" s="273"/>
      <c r="H328" s="204"/>
      <c r="I328" s="204"/>
      <c r="J328" s="196"/>
      <c r="K328" s="196"/>
      <c r="L328" s="192" t="str">
        <f>IFERROR(__xludf.DUMMYFUNCTION("IF(
  AND(D328=""Saída"", J328=""Sangria""),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197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94" t="str">
        <f>IFERROR(__xludf.DUMMYFUNCTION("ifna(VALUE(REGEXEXTRACT(E328,""[0-9.]+[,]+[0-9]+"")))"),"")</f>
        <v/>
      </c>
      <c r="O328" s="194"/>
      <c r="P328" s="194"/>
      <c r="Q328" s="194"/>
      <c r="R328" s="194"/>
      <c r="S328" s="194"/>
      <c r="T328" s="194"/>
      <c r="U328" s="194"/>
      <c r="V328" s="194"/>
      <c r="W328" s="194"/>
    </row>
    <row r="329" ht="14.25" customHeight="1">
      <c r="A329" s="31"/>
      <c r="B329" s="268"/>
      <c r="C329" s="269"/>
      <c r="D329" s="270"/>
      <c r="E329" s="271"/>
      <c r="F329" s="272"/>
      <c r="G329" s="273"/>
      <c r="H329" s="204"/>
      <c r="I329" s="204"/>
      <c r="J329" s="196"/>
      <c r="K329" s="196"/>
      <c r="L329" s="192" t="str">
        <f>IFERROR(__xludf.DUMMYFUNCTION("IF(
  AND(D329=""Saída"", J329=""Sangria""),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198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94" t="str">
        <f>IFERROR(__xludf.DUMMYFUNCTION("ifna(VALUE(REGEXEXTRACT(E329,""[0-9.]+[,]+[0-9]+"")))"),"")</f>
        <v/>
      </c>
      <c r="O329" s="194"/>
      <c r="P329" s="194"/>
      <c r="Q329" s="194"/>
      <c r="R329" s="194"/>
      <c r="S329" s="194"/>
      <c r="T329" s="194"/>
      <c r="U329" s="194"/>
      <c r="V329" s="194"/>
      <c r="W329" s="194"/>
    </row>
    <row r="330" ht="14.25" customHeight="1">
      <c r="A330" s="31"/>
      <c r="B330" s="268"/>
      <c r="C330" s="269"/>
      <c r="D330" s="270"/>
      <c r="E330" s="271"/>
      <c r="F330" s="272"/>
      <c r="G330" s="273"/>
      <c r="H330" s="204"/>
      <c r="I330" s="204"/>
      <c r="J330" s="196"/>
      <c r="K330" s="196"/>
      <c r="L330" s="192" t="str">
        <f>IFERROR(__xludf.DUMMYFUNCTION("IF(
  AND(D330=""Saída"", J330=""Sangria""),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197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94" t="str">
        <f>IFERROR(__xludf.DUMMYFUNCTION("ifna(VALUE(REGEXEXTRACT(E330,""[0-9.]+[,]+[0-9]+"")))"),"")</f>
        <v/>
      </c>
      <c r="O330" s="194"/>
      <c r="P330" s="194"/>
      <c r="Q330" s="194"/>
      <c r="R330" s="194"/>
      <c r="S330" s="194"/>
      <c r="T330" s="194"/>
      <c r="U330" s="194"/>
      <c r="V330" s="194"/>
      <c r="W330" s="194"/>
    </row>
    <row r="331" ht="14.25" customHeight="1">
      <c r="A331" s="31"/>
      <c r="B331" s="268"/>
      <c r="C331" s="269"/>
      <c r="D331" s="270"/>
      <c r="E331" s="271"/>
      <c r="F331" s="272"/>
      <c r="G331" s="273"/>
      <c r="H331" s="204"/>
      <c r="I331" s="204"/>
      <c r="J331" s="196"/>
      <c r="K331" s="196"/>
      <c r="L331" s="192" t="str">
        <f>IFERROR(__xludf.DUMMYFUNCTION("IF(
  AND(D331=""Saída"", J331=""Sangria""),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198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94" t="str">
        <f>IFERROR(__xludf.DUMMYFUNCTION("ifna(VALUE(REGEXEXTRACT(E331,""[0-9.]+[,]+[0-9]+"")))"),"")</f>
        <v/>
      </c>
      <c r="O331" s="194"/>
      <c r="P331" s="194"/>
      <c r="Q331" s="194"/>
      <c r="R331" s="194"/>
      <c r="S331" s="194"/>
      <c r="T331" s="194"/>
      <c r="U331" s="194"/>
      <c r="V331" s="194"/>
      <c r="W331" s="194"/>
    </row>
    <row r="332" ht="14.25" customHeight="1">
      <c r="A332" s="31"/>
      <c r="B332" s="268"/>
      <c r="C332" s="269"/>
      <c r="D332" s="270"/>
      <c r="E332" s="271"/>
      <c r="F332" s="272"/>
      <c r="G332" s="273"/>
      <c r="H332" s="204"/>
      <c r="I332" s="204"/>
      <c r="J332" s="196"/>
      <c r="K332" s="202"/>
      <c r="L332" s="192" t="str">
        <f>IFERROR(__xludf.DUMMYFUNCTION("IF(
  AND(D332=""Saída"", J332=""Sangria""),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197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94" t="str">
        <f>IFERROR(__xludf.DUMMYFUNCTION("ifna(VALUE(REGEXEXTRACT(E332,""[0-9.]+[,]+[0-9]+"")))"),"")</f>
        <v/>
      </c>
      <c r="O332" s="194"/>
      <c r="P332" s="194"/>
      <c r="Q332" s="194"/>
      <c r="R332" s="194"/>
      <c r="S332" s="194"/>
      <c r="T332" s="194"/>
      <c r="U332" s="194"/>
      <c r="V332" s="194"/>
      <c r="W332" s="194"/>
    </row>
    <row r="333" ht="14.25" customHeight="1">
      <c r="A333" s="31"/>
      <c r="B333" s="268"/>
      <c r="C333" s="269"/>
      <c r="D333" s="270"/>
      <c r="E333" s="271"/>
      <c r="F333" s="272"/>
      <c r="G333" s="273"/>
      <c r="H333" s="204"/>
      <c r="I333" s="204"/>
      <c r="J333" s="196"/>
      <c r="K333" s="196"/>
      <c r="L333" s="192" t="str">
        <f>IFERROR(__xludf.DUMMYFUNCTION("IF(
  AND(D333=""Saída"", J333=""Sangria""),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198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94" t="str">
        <f>IFERROR(__xludf.DUMMYFUNCTION("ifna(VALUE(REGEXEXTRACT(E333,""[0-9.]+[,]+[0-9]+"")))"),"")</f>
        <v/>
      </c>
      <c r="O333" s="194"/>
      <c r="P333" s="194"/>
      <c r="Q333" s="194"/>
      <c r="R333" s="194"/>
      <c r="S333" s="194"/>
      <c r="T333" s="194"/>
      <c r="U333" s="194"/>
      <c r="V333" s="194"/>
      <c r="W333" s="194"/>
    </row>
    <row r="334" ht="14.25" customHeight="1">
      <c r="A334" s="31"/>
      <c r="B334" s="268"/>
      <c r="C334" s="269"/>
      <c r="D334" s="270"/>
      <c r="E334" s="271"/>
      <c r="F334" s="272"/>
      <c r="G334" s="273"/>
      <c r="H334" s="204"/>
      <c r="I334" s="204"/>
      <c r="J334" s="196"/>
      <c r="K334" s="196"/>
      <c r="L334" s="192" t="str">
        <f>IFERROR(__xludf.DUMMYFUNCTION("IF(
  AND(D334=""Saída"", J334=""Sangria""),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197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94" t="str">
        <f>IFERROR(__xludf.DUMMYFUNCTION("ifna(VALUE(REGEXEXTRACT(E334,""[0-9.]+[,]+[0-9]+"")))"),"")</f>
        <v/>
      </c>
      <c r="O334" s="194"/>
      <c r="P334" s="194"/>
      <c r="Q334" s="194"/>
      <c r="R334" s="194"/>
      <c r="S334" s="194"/>
      <c r="T334" s="194"/>
      <c r="U334" s="194"/>
      <c r="V334" s="194"/>
      <c r="W334" s="194"/>
    </row>
    <row r="335" ht="14.25" customHeight="1">
      <c r="A335" s="31"/>
      <c r="B335" s="268"/>
      <c r="C335" s="269"/>
      <c r="D335" s="270"/>
      <c r="E335" s="271"/>
      <c r="F335" s="272"/>
      <c r="G335" s="273"/>
      <c r="H335" s="204"/>
      <c r="I335" s="204"/>
      <c r="J335" s="196"/>
      <c r="K335" s="196"/>
      <c r="L335" s="192" t="str">
        <f>IFERROR(__xludf.DUMMYFUNCTION("IF(
  AND(D335=""Saída"", J335=""Sangria""),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198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94" t="str">
        <f>IFERROR(__xludf.DUMMYFUNCTION("ifna(VALUE(REGEXEXTRACT(E335,""[0-9.]+[,]+[0-9]+"")))"),"")</f>
        <v/>
      </c>
      <c r="O335" s="194"/>
      <c r="P335" s="194"/>
      <c r="Q335" s="194"/>
      <c r="R335" s="194"/>
      <c r="S335" s="194"/>
      <c r="T335" s="194"/>
      <c r="U335" s="194"/>
      <c r="V335" s="194"/>
      <c r="W335" s="194"/>
    </row>
    <row r="336" ht="14.25" customHeight="1">
      <c r="A336" s="31"/>
      <c r="B336" s="268"/>
      <c r="C336" s="269"/>
      <c r="D336" s="270"/>
      <c r="E336" s="271"/>
      <c r="F336" s="276"/>
      <c r="G336" s="273"/>
      <c r="H336" s="204"/>
      <c r="I336" s="204"/>
      <c r="J336" s="196"/>
      <c r="K336" s="196"/>
      <c r="L336" s="192" t="str">
        <f>IFERROR(__xludf.DUMMYFUNCTION("IF(
  AND(D336=""Saída"", J336=""Sangria""),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197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94" t="str">
        <f>IFERROR(__xludf.DUMMYFUNCTION("ifna(VALUE(REGEXEXTRACT(E336,""[0-9.]+[,]+[0-9]+"")))"),"")</f>
        <v/>
      </c>
      <c r="O336" s="194"/>
      <c r="P336" s="194"/>
      <c r="Q336" s="194"/>
      <c r="R336" s="194"/>
      <c r="S336" s="194"/>
      <c r="T336" s="194"/>
      <c r="U336" s="194"/>
      <c r="V336" s="194"/>
      <c r="W336" s="194"/>
    </row>
    <row r="337" ht="14.25" customHeight="1">
      <c r="A337" s="31"/>
      <c r="B337" s="268"/>
      <c r="C337" s="269"/>
      <c r="D337" s="270"/>
      <c r="E337" s="275"/>
      <c r="F337" s="272"/>
      <c r="G337" s="273"/>
      <c r="H337" s="204"/>
      <c r="I337" s="204"/>
      <c r="J337" s="196"/>
      <c r="K337" s="196"/>
      <c r="L337" s="192" t="str">
        <f>IFERROR(__xludf.DUMMYFUNCTION("IF(
  AND(D337=""Saída"", J337=""Sangria""),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198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94" t="str">
        <f>IFERROR(__xludf.DUMMYFUNCTION("ifna(VALUE(REGEXEXTRACT(E337,""[0-9.]+[,]+[0-9]+"")))"),"")</f>
        <v/>
      </c>
      <c r="O337" s="194"/>
      <c r="P337" s="194"/>
      <c r="Q337" s="194"/>
      <c r="R337" s="194"/>
      <c r="S337" s="194"/>
      <c r="T337" s="194"/>
      <c r="U337" s="194"/>
      <c r="V337" s="194"/>
      <c r="W337" s="194"/>
    </row>
    <row r="338" ht="14.25" customHeight="1">
      <c r="A338" s="31"/>
      <c r="B338" s="268"/>
      <c r="C338" s="269"/>
      <c r="D338" s="270"/>
      <c r="E338" s="271"/>
      <c r="F338" s="272"/>
      <c r="G338" s="273"/>
      <c r="H338" s="204"/>
      <c r="I338" s="204"/>
      <c r="J338" s="196"/>
      <c r="K338" s="202"/>
      <c r="L338" s="192" t="str">
        <f>IFERROR(__xludf.DUMMYFUNCTION("IF(
  AND(D338=""Saída"", J338=""Sangria""),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197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94" t="str">
        <f>IFERROR(__xludf.DUMMYFUNCTION("ifna(VALUE(REGEXEXTRACT(E338,""[0-9.]+[,]+[0-9]+"")))"),"")</f>
        <v/>
      </c>
      <c r="O338" s="194"/>
      <c r="P338" s="194"/>
      <c r="Q338" s="194"/>
      <c r="R338" s="194"/>
      <c r="S338" s="194"/>
      <c r="T338" s="194"/>
      <c r="U338" s="194"/>
      <c r="V338" s="194"/>
      <c r="W338" s="194"/>
    </row>
    <row r="339" ht="14.25" customHeight="1">
      <c r="A339" s="31"/>
      <c r="B339" s="268"/>
      <c r="C339" s="269"/>
      <c r="D339" s="270"/>
      <c r="E339" s="271"/>
      <c r="F339" s="272"/>
      <c r="G339" s="273"/>
      <c r="H339" s="204"/>
      <c r="I339" s="204"/>
      <c r="J339" s="196"/>
      <c r="K339" s="196"/>
      <c r="L339" s="192" t="str">
        <f>IFERROR(__xludf.DUMMYFUNCTION("IF(
  AND(D339=""Saída"", J339=""Sangria""),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198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94" t="str">
        <f>IFERROR(__xludf.DUMMYFUNCTION("ifna(VALUE(REGEXEXTRACT(E339,""[0-9.]+[,]+[0-9]+"")))"),"")</f>
        <v/>
      </c>
      <c r="O339" s="194"/>
      <c r="P339" s="194"/>
      <c r="Q339" s="194"/>
      <c r="R339" s="194"/>
      <c r="S339" s="194"/>
      <c r="T339" s="194"/>
      <c r="U339" s="194"/>
      <c r="V339" s="194"/>
      <c r="W339" s="194"/>
    </row>
    <row r="340" ht="14.25" customHeight="1">
      <c r="A340" s="31"/>
      <c r="B340" s="268"/>
      <c r="C340" s="269"/>
      <c r="D340" s="270"/>
      <c r="E340" s="271"/>
      <c r="F340" s="272"/>
      <c r="G340" s="273"/>
      <c r="H340" s="204"/>
      <c r="I340" s="204"/>
      <c r="J340" s="196"/>
      <c r="K340" s="196"/>
      <c r="L340" s="192" t="str">
        <f>IFERROR(__xludf.DUMMYFUNCTION("IF(
  AND(D340=""Saída"", J340=""Sangria""),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197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94" t="str">
        <f>IFERROR(__xludf.DUMMYFUNCTION("ifna(VALUE(REGEXEXTRACT(E340,""[0-9.]+[,]+[0-9]+"")))"),"")</f>
        <v/>
      </c>
      <c r="O340" s="194"/>
      <c r="P340" s="194"/>
      <c r="Q340" s="194"/>
      <c r="R340" s="194"/>
      <c r="S340" s="194"/>
      <c r="T340" s="194"/>
      <c r="U340" s="194"/>
      <c r="V340" s="194"/>
      <c r="W340" s="194"/>
    </row>
    <row r="341" ht="14.25" customHeight="1">
      <c r="A341" s="31"/>
      <c r="B341" s="268"/>
      <c r="C341" s="269"/>
      <c r="D341" s="270"/>
      <c r="E341" s="271"/>
      <c r="F341" s="276"/>
      <c r="G341" s="273"/>
      <c r="H341" s="204"/>
      <c r="I341" s="204"/>
      <c r="J341" s="196"/>
      <c r="K341" s="196"/>
      <c r="L341" s="192" t="str">
        <f>IFERROR(__xludf.DUMMYFUNCTION("IF(
  AND(D341=""Saída"", J341=""Sangria""),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198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94" t="str">
        <f>IFERROR(__xludf.DUMMYFUNCTION("ifna(VALUE(REGEXEXTRACT(E341,""[0-9.]+[,]+[0-9]+"")))"),"")</f>
        <v/>
      </c>
      <c r="O341" s="194"/>
      <c r="P341" s="194"/>
      <c r="Q341" s="194"/>
      <c r="R341" s="194"/>
      <c r="S341" s="194"/>
      <c r="T341" s="194"/>
      <c r="U341" s="194"/>
      <c r="V341" s="194"/>
      <c r="W341" s="194"/>
    </row>
    <row r="342" ht="14.25" customHeight="1">
      <c r="A342" s="31"/>
      <c r="B342" s="268"/>
      <c r="C342" s="269"/>
      <c r="D342" s="270"/>
      <c r="E342" s="271"/>
      <c r="F342" s="272"/>
      <c r="G342" s="274"/>
      <c r="H342" s="204"/>
      <c r="I342" s="204"/>
      <c r="J342" s="196"/>
      <c r="K342" s="202"/>
      <c r="L342" s="192" t="str">
        <f>IFERROR(__xludf.DUMMYFUNCTION("IF(
  AND(D342=""Saída"", J342=""Sangria""),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197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94" t="str">
        <f>IFERROR(__xludf.DUMMYFUNCTION("ifna(VALUE(REGEXEXTRACT(E342,""[0-9.]+[,]+[0-9]+"")))"),"")</f>
        <v/>
      </c>
      <c r="O342" s="194"/>
      <c r="P342" s="194"/>
      <c r="Q342" s="194"/>
      <c r="R342" s="194"/>
      <c r="S342" s="194"/>
      <c r="T342" s="194"/>
      <c r="U342" s="194"/>
      <c r="V342" s="194"/>
      <c r="W342" s="194"/>
    </row>
    <row r="343" ht="14.25" customHeight="1">
      <c r="A343" s="31"/>
      <c r="B343" s="268"/>
      <c r="C343" s="269"/>
      <c r="D343" s="270"/>
      <c r="E343" s="271"/>
      <c r="F343" s="272"/>
      <c r="G343" s="273"/>
      <c r="H343" s="204"/>
      <c r="I343" s="204"/>
      <c r="J343" s="196"/>
      <c r="K343" s="196"/>
      <c r="L343" s="192" t="str">
        <f>IFERROR(__xludf.DUMMYFUNCTION("IF(
  AND(D343=""Saída"", J343=""Sangria""),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198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94" t="str">
        <f>IFERROR(__xludf.DUMMYFUNCTION("ifna(VALUE(REGEXEXTRACT(E343,""[0-9.]+[,]+[0-9]+"")))"),"")</f>
        <v/>
      </c>
      <c r="O343" s="194"/>
      <c r="P343" s="194"/>
      <c r="Q343" s="194"/>
      <c r="R343" s="194"/>
      <c r="S343" s="194"/>
      <c r="T343" s="194"/>
      <c r="U343" s="194"/>
      <c r="V343" s="194"/>
      <c r="W343" s="194"/>
    </row>
    <row r="344" ht="14.25" customHeight="1">
      <c r="A344" s="31"/>
      <c r="B344" s="268"/>
      <c r="C344" s="269"/>
      <c r="D344" s="270"/>
      <c r="E344" s="271"/>
      <c r="F344" s="272"/>
      <c r="G344" s="273"/>
      <c r="H344" s="204"/>
      <c r="I344" s="204"/>
      <c r="J344" s="196"/>
      <c r="K344" s="196"/>
      <c r="L344" s="192" t="str">
        <f>IFERROR(__xludf.DUMMYFUNCTION("IF(
  AND(D344=""Saída"", J344=""Sangria""),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197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94" t="str">
        <f>IFERROR(__xludf.DUMMYFUNCTION("ifna(VALUE(REGEXEXTRACT(E344,""[0-9.]+[,]+[0-9]+"")))"),"")</f>
        <v/>
      </c>
      <c r="O344" s="194"/>
      <c r="P344" s="194"/>
      <c r="Q344" s="194"/>
      <c r="R344" s="194"/>
      <c r="S344" s="194"/>
      <c r="T344" s="194"/>
      <c r="U344" s="194"/>
      <c r="V344" s="194"/>
      <c r="W344" s="194"/>
    </row>
    <row r="345" ht="14.25" customHeight="1">
      <c r="A345" s="31"/>
      <c r="B345" s="268"/>
      <c r="C345" s="269"/>
      <c r="D345" s="270"/>
      <c r="E345" s="271"/>
      <c r="F345" s="272"/>
      <c r="G345" s="273"/>
      <c r="H345" s="204"/>
      <c r="I345" s="204"/>
      <c r="J345" s="196"/>
      <c r="K345" s="196"/>
      <c r="L345" s="192" t="str">
        <f>IFERROR(__xludf.DUMMYFUNCTION("IF(
  AND(D345=""Saída"", J345=""Sangria""),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198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94" t="str">
        <f>IFERROR(__xludf.DUMMYFUNCTION("ifna(VALUE(REGEXEXTRACT(E345,""[0-9.]+[,]+[0-9]+"")))"),"")</f>
        <v/>
      </c>
      <c r="O345" s="194"/>
      <c r="P345" s="194"/>
      <c r="Q345" s="194"/>
      <c r="R345" s="194"/>
      <c r="S345" s="194"/>
      <c r="T345" s="194"/>
      <c r="U345" s="194"/>
      <c r="V345" s="194"/>
      <c r="W345" s="194"/>
    </row>
    <row r="346" ht="14.25" customHeight="1">
      <c r="A346" s="31"/>
      <c r="B346" s="268"/>
      <c r="C346" s="269"/>
      <c r="D346" s="270"/>
      <c r="E346" s="271"/>
      <c r="F346" s="272"/>
      <c r="G346" s="273"/>
      <c r="H346" s="204"/>
      <c r="I346" s="204"/>
      <c r="J346" s="196"/>
      <c r="K346" s="196"/>
      <c r="L346" s="192" t="str">
        <f>IFERROR(__xludf.DUMMYFUNCTION("IF(
  AND(D346=""Saída"", J346=""Sangria""),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197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94" t="str">
        <f>IFERROR(__xludf.DUMMYFUNCTION("ifna(VALUE(REGEXEXTRACT(E346,""[0-9.]+[,]+[0-9]+"")))"),"")</f>
        <v/>
      </c>
      <c r="O346" s="194"/>
      <c r="P346" s="194"/>
      <c r="Q346" s="194"/>
      <c r="R346" s="194"/>
      <c r="S346" s="194"/>
      <c r="T346" s="194"/>
      <c r="U346" s="194"/>
      <c r="V346" s="194"/>
      <c r="W346" s="194"/>
    </row>
    <row r="347" ht="14.25" customHeight="1">
      <c r="A347" s="31"/>
      <c r="B347" s="268"/>
      <c r="C347" s="269"/>
      <c r="D347" s="270"/>
      <c r="E347" s="271"/>
      <c r="F347" s="272"/>
      <c r="G347" s="273"/>
      <c r="H347" s="204"/>
      <c r="I347" s="204"/>
      <c r="J347" s="196"/>
      <c r="K347" s="202"/>
      <c r="L347" s="192" t="str">
        <f>IFERROR(__xludf.DUMMYFUNCTION("IF(
  AND(D347=""Saída"", J347=""Sangria""),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198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94" t="str">
        <f>IFERROR(__xludf.DUMMYFUNCTION("ifna(VALUE(REGEXEXTRACT(E347,""[0-9.]+[,]+[0-9]+"")))"),"")</f>
        <v/>
      </c>
      <c r="O347" s="194"/>
      <c r="P347" s="194"/>
      <c r="Q347" s="194"/>
      <c r="R347" s="194"/>
      <c r="S347" s="194"/>
      <c r="T347" s="194"/>
      <c r="U347" s="194"/>
      <c r="V347" s="194"/>
      <c r="W347" s="194"/>
    </row>
    <row r="348" ht="14.25" customHeight="1">
      <c r="A348" s="31"/>
      <c r="B348" s="268"/>
      <c r="C348" s="269"/>
      <c r="D348" s="270"/>
      <c r="E348" s="271"/>
      <c r="F348" s="272"/>
      <c r="G348" s="273"/>
      <c r="H348" s="204"/>
      <c r="I348" s="204"/>
      <c r="J348" s="196"/>
      <c r="K348" s="196"/>
      <c r="L348" s="192" t="str">
        <f>IFERROR(__xludf.DUMMYFUNCTION("IF(
  AND(D348=""Saída"", J348=""Sangria""),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197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94" t="str">
        <f>IFERROR(__xludf.DUMMYFUNCTION("ifna(VALUE(REGEXEXTRACT(E348,""[0-9.]+[,]+[0-9]+"")))"),"")</f>
        <v/>
      </c>
      <c r="O348" s="194"/>
      <c r="P348" s="194"/>
      <c r="Q348" s="194"/>
      <c r="R348" s="194"/>
      <c r="S348" s="194"/>
      <c r="T348" s="194"/>
      <c r="U348" s="194"/>
      <c r="V348" s="194"/>
      <c r="W348" s="194"/>
    </row>
    <row r="349" ht="14.25" customHeight="1">
      <c r="A349" s="31"/>
      <c r="B349" s="268"/>
      <c r="C349" s="269"/>
      <c r="D349" s="270"/>
      <c r="E349" s="275"/>
      <c r="F349" s="272"/>
      <c r="G349" s="273"/>
      <c r="H349" s="204"/>
      <c r="I349" s="204"/>
      <c r="J349" s="196"/>
      <c r="K349" s="196"/>
      <c r="L349" s="192" t="str">
        <f>IFERROR(__xludf.DUMMYFUNCTION("IF(
  AND(D349=""Saída"", J349=""Sangria""),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198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94" t="str">
        <f>IFERROR(__xludf.DUMMYFUNCTION("ifna(VALUE(REGEXEXTRACT(E349,""[0-9.]+[,]+[0-9]+"")))"),"")</f>
        <v/>
      </c>
      <c r="O349" s="194"/>
      <c r="P349" s="194"/>
      <c r="Q349" s="194"/>
      <c r="R349" s="194"/>
      <c r="S349" s="194"/>
      <c r="T349" s="194"/>
      <c r="U349" s="194"/>
      <c r="V349" s="194"/>
      <c r="W349" s="194"/>
    </row>
    <row r="350" ht="14.25" customHeight="1">
      <c r="A350" s="31"/>
      <c r="B350" s="268"/>
      <c r="C350" s="269"/>
      <c r="D350" s="270"/>
      <c r="E350" s="271"/>
      <c r="F350" s="272"/>
      <c r="G350" s="273"/>
      <c r="H350" s="204"/>
      <c r="I350" s="204"/>
      <c r="J350" s="196"/>
      <c r="K350" s="202"/>
      <c r="L350" s="192" t="str">
        <f>IFERROR(__xludf.DUMMYFUNCTION("IF(
  AND(D350=""Saída"", J350=""Sangria""),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197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94" t="str">
        <f>IFERROR(__xludf.DUMMYFUNCTION("ifna(VALUE(REGEXEXTRACT(E350,""[0-9.]+[,]+[0-9]+"")))"),"")</f>
        <v/>
      </c>
      <c r="O350" s="194"/>
      <c r="P350" s="194"/>
      <c r="Q350" s="194"/>
      <c r="R350" s="194"/>
      <c r="S350" s="194"/>
      <c r="T350" s="194"/>
      <c r="U350" s="194"/>
      <c r="V350" s="194"/>
      <c r="W350" s="194"/>
    </row>
    <row r="351" ht="14.25" customHeight="1">
      <c r="A351" s="31"/>
      <c r="B351" s="268"/>
      <c r="C351" s="269"/>
      <c r="D351" s="270"/>
      <c r="E351" s="271"/>
      <c r="F351" s="276"/>
      <c r="G351" s="273"/>
      <c r="H351" s="204"/>
      <c r="I351" s="204"/>
      <c r="J351" s="196"/>
      <c r="K351" s="202"/>
      <c r="L351" s="192" t="str">
        <f>IFERROR(__xludf.DUMMYFUNCTION("IF(
  AND(D351=""Saída"", J351=""Sangria""),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198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94" t="str">
        <f>IFERROR(__xludf.DUMMYFUNCTION("ifna(VALUE(REGEXEXTRACT(E351,""[0-9.]+[,]+[0-9]+"")))"),"")</f>
        <v/>
      </c>
      <c r="O351" s="194"/>
      <c r="P351" s="194"/>
      <c r="Q351" s="194"/>
      <c r="R351" s="194"/>
      <c r="S351" s="194"/>
      <c r="T351" s="194"/>
      <c r="U351" s="194"/>
      <c r="V351" s="194"/>
      <c r="W351" s="194"/>
    </row>
    <row r="352" ht="14.25" customHeight="1">
      <c r="A352" s="31"/>
      <c r="B352" s="268"/>
      <c r="C352" s="269"/>
      <c r="D352" s="270"/>
      <c r="E352" s="271"/>
      <c r="F352" s="272"/>
      <c r="G352" s="273"/>
      <c r="H352" s="204"/>
      <c r="I352" s="204"/>
      <c r="J352" s="196"/>
      <c r="K352" s="196"/>
      <c r="L352" s="192" t="str">
        <f>IFERROR(__xludf.DUMMYFUNCTION("IF(
  AND(D352=""Saída"", J352=""Sangria""),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197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94" t="str">
        <f>IFERROR(__xludf.DUMMYFUNCTION("ifna(VALUE(REGEXEXTRACT(E352,""[0-9.]+[,]+[0-9]+"")))"),"")</f>
        <v/>
      </c>
      <c r="O352" s="194"/>
      <c r="P352" s="194"/>
      <c r="Q352" s="194"/>
      <c r="R352" s="194"/>
      <c r="S352" s="194"/>
      <c r="T352" s="194"/>
      <c r="U352" s="194"/>
      <c r="V352" s="194"/>
      <c r="W352" s="194"/>
    </row>
    <row r="353" ht="14.25" customHeight="1">
      <c r="A353" s="31"/>
      <c r="B353" s="268"/>
      <c r="C353" s="269"/>
      <c r="D353" s="270"/>
      <c r="E353" s="271"/>
      <c r="F353" s="276"/>
      <c r="G353" s="273"/>
      <c r="H353" s="204"/>
      <c r="I353" s="204"/>
      <c r="J353" s="196"/>
      <c r="K353" s="196"/>
      <c r="L353" s="192" t="str">
        <f>IFERROR(__xludf.DUMMYFUNCTION("IF(
  AND(D353=""Saída"", J353=""Sangria""),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198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94" t="str">
        <f>IFERROR(__xludf.DUMMYFUNCTION("ifna(VALUE(REGEXEXTRACT(E353,""[0-9.]+[,]+[0-9]+"")))"),"")</f>
        <v/>
      </c>
      <c r="O353" s="194"/>
      <c r="P353" s="194"/>
      <c r="Q353" s="194"/>
      <c r="R353" s="194"/>
      <c r="S353" s="194"/>
      <c r="T353" s="194"/>
      <c r="U353" s="194"/>
      <c r="V353" s="194"/>
      <c r="W353" s="194"/>
    </row>
    <row r="354" ht="14.25" customHeight="1">
      <c r="A354" s="31"/>
      <c r="B354" s="268"/>
      <c r="C354" s="269"/>
      <c r="D354" s="270"/>
      <c r="E354" s="271"/>
      <c r="F354" s="272"/>
      <c r="G354" s="273"/>
      <c r="H354" s="204"/>
      <c r="I354" s="204"/>
      <c r="J354" s="196"/>
      <c r="K354" s="196"/>
      <c r="L354" s="192" t="str">
        <f>IFERROR(__xludf.DUMMYFUNCTION("IF(
  AND(D354=""Saída"", J354=""Sangria""),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197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94" t="str">
        <f>IFERROR(__xludf.DUMMYFUNCTION("ifna(VALUE(REGEXEXTRACT(E354,""[0-9.]+[,]+[0-9]+"")))"),"")</f>
        <v/>
      </c>
      <c r="O354" s="194"/>
      <c r="P354" s="194"/>
      <c r="Q354" s="194"/>
      <c r="R354" s="194"/>
      <c r="S354" s="194"/>
      <c r="T354" s="194"/>
      <c r="U354" s="194"/>
      <c r="V354" s="194"/>
      <c r="W354" s="194"/>
    </row>
    <row r="355" ht="14.25" customHeight="1">
      <c r="A355" s="31"/>
      <c r="B355" s="268"/>
      <c r="C355" s="269"/>
      <c r="D355" s="270"/>
      <c r="E355" s="271"/>
      <c r="F355" s="272"/>
      <c r="G355" s="273"/>
      <c r="H355" s="204"/>
      <c r="I355" s="204"/>
      <c r="J355" s="196"/>
      <c r="K355" s="196"/>
      <c r="L355" s="192" t="str">
        <f>IFERROR(__xludf.DUMMYFUNCTION("IF(
  AND(D355=""Saída"", J355=""Sangria""),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198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94" t="str">
        <f>IFERROR(__xludf.DUMMYFUNCTION("ifna(VALUE(REGEXEXTRACT(E355,""[0-9.]+[,]+[0-9]+"")))"),"")</f>
        <v/>
      </c>
      <c r="O355" s="194"/>
      <c r="P355" s="194"/>
      <c r="Q355" s="194"/>
      <c r="R355" s="194"/>
      <c r="S355" s="194"/>
      <c r="T355" s="194"/>
      <c r="U355" s="194"/>
      <c r="V355" s="194"/>
      <c r="W355" s="194"/>
    </row>
    <row r="356" ht="14.25" customHeight="1">
      <c r="A356" s="31"/>
      <c r="B356" s="268"/>
      <c r="C356" s="269"/>
      <c r="D356" s="270"/>
      <c r="E356" s="271"/>
      <c r="F356" s="272"/>
      <c r="G356" s="273"/>
      <c r="H356" s="204"/>
      <c r="I356" s="204"/>
      <c r="J356" s="196"/>
      <c r="K356" s="196"/>
      <c r="L356" s="192" t="str">
        <f>IFERROR(__xludf.DUMMYFUNCTION("IF(
  AND(D356=""Saída"", J356=""Sangria""),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197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94" t="str">
        <f>IFERROR(__xludf.DUMMYFUNCTION("ifna(VALUE(REGEXEXTRACT(E356,""[0-9.]+[,]+[0-9]+"")))"),"")</f>
        <v/>
      </c>
      <c r="O356" s="194"/>
      <c r="P356" s="194"/>
      <c r="Q356" s="194"/>
      <c r="R356" s="194"/>
      <c r="S356" s="194"/>
      <c r="T356" s="194"/>
      <c r="U356" s="194"/>
      <c r="V356" s="194"/>
      <c r="W356" s="194"/>
    </row>
    <row r="357" ht="14.25" customHeight="1">
      <c r="A357" s="31"/>
      <c r="B357" s="268"/>
      <c r="C357" s="269"/>
      <c r="D357" s="270"/>
      <c r="E357" s="275"/>
      <c r="F357" s="272"/>
      <c r="G357" s="273"/>
      <c r="H357" s="204"/>
      <c r="I357" s="204"/>
      <c r="J357" s="196"/>
      <c r="K357" s="196"/>
      <c r="L357" s="192" t="str">
        <f>IFERROR(__xludf.DUMMYFUNCTION("IF(
  AND(D357=""Saída"", J357=""Sangria""),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198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94" t="str">
        <f>IFERROR(__xludf.DUMMYFUNCTION("ifna(VALUE(REGEXEXTRACT(E357,""[0-9.]+[,]+[0-9]+"")))"),"")</f>
        <v/>
      </c>
      <c r="O357" s="194"/>
      <c r="P357" s="194"/>
      <c r="Q357" s="194"/>
      <c r="R357" s="194"/>
      <c r="S357" s="194"/>
      <c r="T357" s="194"/>
      <c r="U357" s="194"/>
      <c r="V357" s="194"/>
      <c r="W357" s="194"/>
    </row>
    <row r="358" ht="14.25" customHeight="1">
      <c r="A358" s="31"/>
      <c r="B358" s="268"/>
      <c r="C358" s="269"/>
      <c r="D358" s="270"/>
      <c r="E358" s="271"/>
      <c r="F358" s="272"/>
      <c r="G358" s="273"/>
      <c r="H358" s="204"/>
      <c r="I358" s="204"/>
      <c r="J358" s="196"/>
      <c r="K358" s="202"/>
      <c r="L358" s="192" t="str">
        <f>IFERROR(__xludf.DUMMYFUNCTION("IF(
  AND(D358=""Saída"", J358=""Sangria""),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197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94" t="str">
        <f>IFERROR(__xludf.DUMMYFUNCTION("ifna(VALUE(REGEXEXTRACT(E358,""[0-9.]+[,]+[0-9]+"")))"),"")</f>
        <v/>
      </c>
      <c r="O358" s="194"/>
      <c r="P358" s="194"/>
      <c r="Q358" s="194"/>
      <c r="R358" s="194"/>
      <c r="S358" s="194"/>
      <c r="T358" s="194"/>
      <c r="U358" s="194"/>
      <c r="V358" s="194"/>
      <c r="W358" s="194"/>
    </row>
    <row r="359" ht="14.25" customHeight="1">
      <c r="A359" s="31"/>
      <c r="B359" s="268"/>
      <c r="C359" s="269"/>
      <c r="D359" s="270"/>
      <c r="E359" s="271"/>
      <c r="F359" s="272"/>
      <c r="G359" s="273"/>
      <c r="H359" s="204"/>
      <c r="I359" s="204"/>
      <c r="J359" s="196"/>
      <c r="K359" s="202"/>
      <c r="L359" s="192" t="str">
        <f>IFERROR(__xludf.DUMMYFUNCTION("IF(
  AND(D359=""Saída"", J359=""Sangria""),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198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94" t="str">
        <f>IFERROR(__xludf.DUMMYFUNCTION("ifna(VALUE(REGEXEXTRACT(E359,""[0-9.]+[,]+[0-9]+"")))"),"")</f>
        <v/>
      </c>
      <c r="O359" s="194"/>
      <c r="P359" s="194"/>
      <c r="Q359" s="194"/>
      <c r="R359" s="194"/>
      <c r="S359" s="194"/>
      <c r="T359" s="194"/>
      <c r="U359" s="194"/>
      <c r="V359" s="194"/>
      <c r="W359" s="194"/>
    </row>
    <row r="360" ht="14.25" customHeight="1">
      <c r="A360" s="31"/>
      <c r="B360" s="268"/>
      <c r="C360" s="269"/>
      <c r="D360" s="270"/>
      <c r="E360" s="271"/>
      <c r="F360" s="272"/>
      <c r="G360" s="273"/>
      <c r="H360" s="204"/>
      <c r="I360" s="204"/>
      <c r="J360" s="196"/>
      <c r="K360" s="196"/>
      <c r="L360" s="192" t="str">
        <f>IFERROR(__xludf.DUMMYFUNCTION("IF(
  AND(D360=""Saída"", J360=""Sangria""),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197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94" t="str">
        <f>IFERROR(__xludf.DUMMYFUNCTION("ifna(VALUE(REGEXEXTRACT(E360,""[0-9.]+[,]+[0-9]+"")))"),"")</f>
        <v/>
      </c>
      <c r="O360" s="194"/>
      <c r="P360" s="194"/>
      <c r="Q360" s="194"/>
      <c r="R360" s="194"/>
      <c r="S360" s="194"/>
      <c r="T360" s="194"/>
      <c r="U360" s="194"/>
      <c r="V360" s="194"/>
      <c r="W360" s="194"/>
    </row>
    <row r="361" ht="14.25" customHeight="1">
      <c r="A361" s="31"/>
      <c r="B361" s="268"/>
      <c r="C361" s="269"/>
      <c r="D361" s="270"/>
      <c r="E361" s="271"/>
      <c r="F361" s="272"/>
      <c r="G361" s="273"/>
      <c r="H361" s="204"/>
      <c r="I361" s="204"/>
      <c r="J361" s="196"/>
      <c r="K361" s="196"/>
      <c r="L361" s="192" t="str">
        <f>IFERROR(__xludf.DUMMYFUNCTION("IF(
  AND(D361=""Saída"", J361=""Sangria""),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198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94" t="str">
        <f>IFERROR(__xludf.DUMMYFUNCTION("ifna(VALUE(REGEXEXTRACT(E361,""[0-9.]+[,]+[0-9]+"")))"),"")</f>
        <v/>
      </c>
      <c r="O361" s="194"/>
      <c r="P361" s="194"/>
      <c r="Q361" s="194"/>
      <c r="R361" s="194"/>
      <c r="S361" s="194"/>
      <c r="T361" s="194"/>
      <c r="U361" s="194"/>
      <c r="V361" s="194"/>
      <c r="W361" s="194"/>
    </row>
    <row r="362" ht="14.25" customHeight="1">
      <c r="A362" s="31"/>
      <c r="B362" s="268"/>
      <c r="C362" s="269"/>
      <c r="D362" s="270"/>
      <c r="E362" s="271"/>
      <c r="F362" s="272"/>
      <c r="G362" s="273"/>
      <c r="H362" s="204"/>
      <c r="I362" s="204"/>
      <c r="J362" s="196"/>
      <c r="K362" s="196"/>
      <c r="L362" s="192" t="str">
        <f>IFERROR(__xludf.DUMMYFUNCTION("IF(
  AND(D362=""Saída"", J362=""Sangria""),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197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94" t="str">
        <f>IFERROR(__xludf.DUMMYFUNCTION("ifna(VALUE(REGEXEXTRACT(E362,""[0-9.]+[,]+[0-9]+"")))"),"")</f>
        <v/>
      </c>
      <c r="O362" s="194"/>
      <c r="P362" s="194"/>
      <c r="Q362" s="194"/>
      <c r="R362" s="194"/>
      <c r="S362" s="194"/>
      <c r="T362" s="194"/>
      <c r="U362" s="194"/>
      <c r="V362" s="194"/>
      <c r="W362" s="194"/>
    </row>
    <row r="363" ht="14.25" customHeight="1">
      <c r="A363" s="31"/>
      <c r="B363" s="268"/>
      <c r="C363" s="269"/>
      <c r="D363" s="270"/>
      <c r="E363" s="271"/>
      <c r="F363" s="276"/>
      <c r="G363" s="273"/>
      <c r="H363" s="204"/>
      <c r="I363" s="204"/>
      <c r="J363" s="196"/>
      <c r="K363" s="196"/>
      <c r="L363" s="192" t="str">
        <f>IFERROR(__xludf.DUMMYFUNCTION("IF(
  AND(D363=""Saída"", J363=""Sangria""),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198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94" t="str">
        <f>IFERROR(__xludf.DUMMYFUNCTION("ifna(VALUE(REGEXEXTRACT(E363,""[0-9.]+[,]+[0-9]+"")))"),"")</f>
        <v/>
      </c>
      <c r="O363" s="194"/>
      <c r="P363" s="194"/>
      <c r="Q363" s="194"/>
      <c r="R363" s="194"/>
      <c r="S363" s="194"/>
      <c r="T363" s="194"/>
      <c r="U363" s="194"/>
      <c r="V363" s="194"/>
      <c r="W363" s="194"/>
    </row>
    <row r="364" ht="14.25" customHeight="1">
      <c r="A364" s="31"/>
      <c r="B364" s="268"/>
      <c r="C364" s="269"/>
      <c r="D364" s="270"/>
      <c r="E364" s="271"/>
      <c r="F364" s="272"/>
      <c r="G364" s="273"/>
      <c r="H364" s="204"/>
      <c r="I364" s="204"/>
      <c r="J364" s="196"/>
      <c r="K364" s="196"/>
      <c r="L364" s="192" t="str">
        <f>IFERROR(__xludf.DUMMYFUNCTION("IF(
  AND(D364=""Saída"", J364=""Sangria""),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197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94" t="str">
        <f>IFERROR(__xludf.DUMMYFUNCTION("ifna(VALUE(REGEXEXTRACT(E364,""[0-9.]+[,]+[0-9]+"")))"),"")</f>
        <v/>
      </c>
      <c r="O364" s="194"/>
      <c r="P364" s="194"/>
      <c r="Q364" s="194"/>
      <c r="R364" s="194"/>
      <c r="S364" s="194"/>
      <c r="T364" s="194"/>
      <c r="U364" s="194"/>
      <c r="V364" s="194"/>
      <c r="W364" s="194"/>
    </row>
    <row r="365" ht="14.25" customHeight="1">
      <c r="A365" s="31"/>
      <c r="B365" s="268"/>
      <c r="C365" s="269"/>
      <c r="D365" s="270"/>
      <c r="E365" s="271"/>
      <c r="F365" s="272"/>
      <c r="G365" s="273"/>
      <c r="H365" s="204"/>
      <c r="I365" s="204"/>
      <c r="J365" s="196"/>
      <c r="K365" s="196"/>
      <c r="L365" s="192" t="str">
        <f>IFERROR(__xludf.DUMMYFUNCTION("IF(
  AND(D365=""Saída"", J365=""Sangria""),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198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94" t="str">
        <f>IFERROR(__xludf.DUMMYFUNCTION("ifna(VALUE(REGEXEXTRACT(E365,""[0-9.]+[,]+[0-9]+"")))"),"")</f>
        <v/>
      </c>
      <c r="O365" s="194"/>
      <c r="P365" s="194"/>
      <c r="Q365" s="194"/>
      <c r="R365" s="194"/>
      <c r="S365" s="194"/>
      <c r="T365" s="194"/>
      <c r="U365" s="194"/>
      <c r="V365" s="194"/>
      <c r="W365" s="194"/>
    </row>
    <row r="366" ht="14.25" customHeight="1">
      <c r="A366" s="31"/>
      <c r="B366" s="268"/>
      <c r="C366" s="269"/>
      <c r="D366" s="270"/>
      <c r="E366" s="271"/>
      <c r="F366" s="272"/>
      <c r="G366" s="273"/>
      <c r="H366" s="204"/>
      <c r="I366" s="204"/>
      <c r="J366" s="196"/>
      <c r="K366" s="196"/>
      <c r="L366" s="192" t="str">
        <f>IFERROR(__xludf.DUMMYFUNCTION("IF(
  AND(D366=""Saída"", J366=""Sangria""),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197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94" t="str">
        <f>IFERROR(__xludf.DUMMYFUNCTION("ifna(VALUE(REGEXEXTRACT(E366,""[0-9.]+[,]+[0-9]+"")))"),"")</f>
        <v/>
      </c>
      <c r="O366" s="194"/>
      <c r="P366" s="194"/>
      <c r="Q366" s="194"/>
      <c r="R366" s="194"/>
      <c r="S366" s="194"/>
      <c r="T366" s="194"/>
      <c r="U366" s="194"/>
      <c r="V366" s="194"/>
      <c r="W366" s="194"/>
    </row>
    <row r="367" ht="14.25" customHeight="1">
      <c r="A367" s="31"/>
      <c r="B367" s="268"/>
      <c r="C367" s="269"/>
      <c r="D367" s="270"/>
      <c r="E367" s="271"/>
      <c r="F367" s="272"/>
      <c r="G367" s="273"/>
      <c r="H367" s="204"/>
      <c r="I367" s="204"/>
      <c r="J367" s="196"/>
      <c r="K367" s="202"/>
      <c r="L367" s="192" t="str">
        <f>IFERROR(__xludf.DUMMYFUNCTION("IF(
  AND(D367=""Saída"", J367=""Sangria""),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198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94" t="str">
        <f>IFERROR(__xludf.DUMMYFUNCTION("ifna(VALUE(REGEXEXTRACT(E367,""[0-9.]+[,]+[0-9]+"")))"),"")</f>
        <v/>
      </c>
      <c r="O367" s="194"/>
      <c r="P367" s="194"/>
      <c r="Q367" s="194"/>
      <c r="R367" s="194"/>
      <c r="S367" s="194"/>
      <c r="T367" s="194"/>
      <c r="U367" s="194"/>
      <c r="V367" s="194"/>
      <c r="W367" s="194"/>
    </row>
    <row r="368" ht="14.25" customHeight="1">
      <c r="A368" s="31"/>
      <c r="B368" s="268"/>
      <c r="C368" s="269"/>
      <c r="D368" s="270"/>
      <c r="E368" s="271"/>
      <c r="F368" s="272"/>
      <c r="G368" s="273"/>
      <c r="H368" s="204"/>
      <c r="I368" s="204"/>
      <c r="J368" s="196"/>
      <c r="K368" s="202"/>
      <c r="L368" s="192" t="str">
        <f>IFERROR(__xludf.DUMMYFUNCTION("IF(
  AND(D368=""Saída"", J368=""Sangria""),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197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94" t="str">
        <f>IFERROR(__xludf.DUMMYFUNCTION("ifna(VALUE(REGEXEXTRACT(E368,""[0-9.]+[,]+[0-9]+"")))"),"")</f>
        <v/>
      </c>
      <c r="O368" s="194"/>
      <c r="P368" s="194"/>
      <c r="Q368" s="194"/>
      <c r="R368" s="194"/>
      <c r="S368" s="194"/>
      <c r="T368" s="194"/>
      <c r="U368" s="194"/>
      <c r="V368" s="194"/>
      <c r="W368" s="194"/>
    </row>
    <row r="369" ht="14.25" customHeight="1">
      <c r="A369" s="31"/>
      <c r="B369" s="268"/>
      <c r="C369" s="269"/>
      <c r="D369" s="270"/>
      <c r="E369" s="271"/>
      <c r="F369" s="276"/>
      <c r="G369" s="273"/>
      <c r="H369" s="204"/>
      <c r="I369" s="204"/>
      <c r="J369" s="196"/>
      <c r="K369" s="196"/>
      <c r="L369" s="192" t="str">
        <f>IFERROR(__xludf.DUMMYFUNCTION("IF(
  AND(D369=""Saída"", J369=""Sangria""),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198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94" t="str">
        <f>IFERROR(__xludf.DUMMYFUNCTION("ifna(VALUE(REGEXEXTRACT(E369,""[0-9.]+[,]+[0-9]+"")))"),"")</f>
        <v/>
      </c>
      <c r="O369" s="194"/>
      <c r="P369" s="194"/>
      <c r="Q369" s="194"/>
      <c r="R369" s="194"/>
      <c r="S369" s="194"/>
      <c r="T369" s="194"/>
      <c r="U369" s="194"/>
      <c r="V369" s="194"/>
      <c r="W369" s="194"/>
    </row>
    <row r="370" ht="14.25" customHeight="1">
      <c r="A370" s="31"/>
      <c r="B370" s="268"/>
      <c r="C370" s="269"/>
      <c r="D370" s="270"/>
      <c r="E370" s="271"/>
      <c r="F370" s="272"/>
      <c r="G370" s="273"/>
      <c r="H370" s="204"/>
      <c r="I370" s="204"/>
      <c r="J370" s="196"/>
      <c r="K370" s="196"/>
      <c r="L370" s="192" t="str">
        <f>IFERROR(__xludf.DUMMYFUNCTION("IF(
  AND(D370=""Saída"", J370=""Sangria""),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197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94" t="str">
        <f>IFERROR(__xludf.DUMMYFUNCTION("ifna(VALUE(REGEXEXTRACT(E370,""[0-9.]+[,]+[0-9]+"")))"),"")</f>
        <v/>
      </c>
      <c r="O370" s="194"/>
      <c r="P370" s="194"/>
      <c r="Q370" s="194"/>
      <c r="R370" s="194"/>
      <c r="S370" s="194"/>
      <c r="T370" s="194"/>
      <c r="U370" s="194"/>
      <c r="V370" s="194"/>
      <c r="W370" s="194"/>
    </row>
    <row r="371" ht="14.25" customHeight="1">
      <c r="A371" s="31"/>
      <c r="B371" s="268"/>
      <c r="C371" s="269"/>
      <c r="D371" s="270"/>
      <c r="E371" s="271"/>
      <c r="F371" s="272"/>
      <c r="G371" s="273"/>
      <c r="H371" s="204"/>
      <c r="I371" s="204"/>
      <c r="J371" s="196"/>
      <c r="K371" s="196"/>
      <c r="L371" s="192" t="str">
        <f>IFERROR(__xludf.DUMMYFUNCTION("IF(
  AND(D371=""Saída"", J371=""Sangria""),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198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94" t="str">
        <f>IFERROR(__xludf.DUMMYFUNCTION("ifna(VALUE(REGEXEXTRACT(E371,""[0-9.]+[,]+[0-9]+"")))"),"")</f>
        <v/>
      </c>
      <c r="O371" s="194"/>
      <c r="P371" s="194"/>
      <c r="Q371" s="194"/>
      <c r="R371" s="194"/>
      <c r="S371" s="194"/>
      <c r="T371" s="194"/>
      <c r="U371" s="194"/>
      <c r="V371" s="194"/>
      <c r="W371" s="194"/>
    </row>
    <row r="372" ht="14.25" customHeight="1">
      <c r="A372" s="31"/>
      <c r="B372" s="268"/>
      <c r="C372" s="269"/>
      <c r="D372" s="270"/>
      <c r="E372" s="271"/>
      <c r="F372" s="276"/>
      <c r="G372" s="273"/>
      <c r="H372" s="204"/>
      <c r="I372" s="204"/>
      <c r="J372" s="196"/>
      <c r="K372" s="196"/>
      <c r="L372" s="192" t="str">
        <f>IFERROR(__xludf.DUMMYFUNCTION("IF(
  AND(D372=""Saída"", J372=""Sangria""),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197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94" t="str">
        <f>IFERROR(__xludf.DUMMYFUNCTION("ifna(VALUE(REGEXEXTRACT(E372,""[0-9.]+[,]+[0-9]+"")))"),"")</f>
        <v/>
      </c>
      <c r="O372" s="194"/>
      <c r="P372" s="194"/>
      <c r="Q372" s="194"/>
      <c r="R372" s="194"/>
      <c r="S372" s="194"/>
      <c r="T372" s="194"/>
      <c r="U372" s="194"/>
      <c r="V372" s="194"/>
      <c r="W372" s="194"/>
    </row>
    <row r="373" ht="14.25" customHeight="1">
      <c r="A373" s="31"/>
      <c r="B373" s="268"/>
      <c r="C373" s="269"/>
      <c r="D373" s="270"/>
      <c r="E373" s="271"/>
      <c r="F373" s="272"/>
      <c r="G373" s="273"/>
      <c r="H373" s="204"/>
      <c r="I373" s="204"/>
      <c r="J373" s="196"/>
      <c r="K373" s="196"/>
      <c r="L373" s="192" t="str">
        <f>IFERROR(__xludf.DUMMYFUNCTION("IF(
  AND(D373=""Saída"", J373=""Sangria""),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198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94" t="str">
        <f>IFERROR(__xludf.DUMMYFUNCTION("ifna(VALUE(REGEXEXTRACT(E373,""[0-9.]+[,]+[0-9]+"")))"),"")</f>
        <v/>
      </c>
      <c r="O373" s="194"/>
      <c r="P373" s="194"/>
      <c r="Q373" s="194"/>
      <c r="R373" s="194"/>
      <c r="S373" s="194"/>
      <c r="T373" s="194"/>
      <c r="U373" s="194"/>
      <c r="V373" s="194"/>
      <c r="W373" s="194"/>
    </row>
    <row r="374" ht="14.25" customHeight="1">
      <c r="A374" s="31"/>
      <c r="B374" s="268"/>
      <c r="C374" s="212"/>
      <c r="D374" s="270"/>
      <c r="E374" s="271"/>
      <c r="F374" s="272"/>
      <c r="G374" s="273"/>
      <c r="H374" s="204"/>
      <c r="I374" s="204"/>
      <c r="J374" s="196"/>
      <c r="K374" s="202"/>
      <c r="L374" s="192" t="str">
        <f>IFERROR(__xludf.DUMMYFUNCTION("IF(
  AND(D374=""Saída"", J374=""Sangria""),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197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94" t="str">
        <f>IFERROR(__xludf.DUMMYFUNCTION("ifna(VALUE(REGEXEXTRACT(E374,""[0-9.]+[,]+[0-9]+"")))"),"")</f>
        <v/>
      </c>
      <c r="O374" s="194"/>
      <c r="P374" s="194"/>
      <c r="Q374" s="194"/>
      <c r="R374" s="194"/>
      <c r="S374" s="194"/>
      <c r="T374" s="194"/>
      <c r="U374" s="194"/>
      <c r="V374" s="194"/>
      <c r="W374" s="194"/>
    </row>
    <row r="375" ht="14.25" customHeight="1">
      <c r="A375" s="31"/>
      <c r="B375" s="268"/>
      <c r="C375" s="212"/>
      <c r="D375" s="270"/>
      <c r="E375" s="271"/>
      <c r="F375" s="272"/>
      <c r="G375" s="284"/>
      <c r="H375" s="204"/>
      <c r="I375" s="204"/>
      <c r="J375" s="196"/>
      <c r="K375" s="196"/>
      <c r="L375" s="192" t="str">
        <f>IFERROR(__xludf.DUMMYFUNCTION("IF(
  AND(D375=""Saída"", J375=""Sangria""),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198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94" t="str">
        <f>IFERROR(__xludf.DUMMYFUNCTION("ifna(VALUE(REGEXEXTRACT(E375,""[0-9.]+[,]+[0-9]+"")))"),"")</f>
        <v/>
      </c>
      <c r="O375" s="194"/>
      <c r="P375" s="194"/>
      <c r="Q375" s="194"/>
      <c r="R375" s="194"/>
      <c r="S375" s="194"/>
      <c r="T375" s="194"/>
      <c r="U375" s="194"/>
      <c r="V375" s="194"/>
      <c r="W375" s="194"/>
    </row>
    <row r="376" ht="14.25" customHeight="1">
      <c r="A376" s="31"/>
      <c r="B376" s="268"/>
      <c r="C376" s="269"/>
      <c r="D376" s="270"/>
      <c r="E376" s="271"/>
      <c r="F376" s="272"/>
      <c r="G376" s="273"/>
      <c r="H376" s="204"/>
      <c r="I376" s="204"/>
      <c r="J376" s="196"/>
      <c r="K376" s="196"/>
      <c r="L376" s="192" t="str">
        <f>IFERROR(__xludf.DUMMYFUNCTION("IF(
  AND(D376=""Saída"", J376=""Sangria""),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197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94" t="str">
        <f>IFERROR(__xludf.DUMMYFUNCTION("ifna(VALUE(REGEXEXTRACT(E376,""[0-9.]+[,]+[0-9]+"")))"),"")</f>
        <v/>
      </c>
      <c r="O376" s="194"/>
      <c r="P376" s="194"/>
      <c r="Q376" s="194"/>
      <c r="R376" s="194"/>
      <c r="S376" s="194"/>
      <c r="T376" s="194"/>
      <c r="U376" s="194"/>
      <c r="V376" s="194"/>
      <c r="W376" s="194"/>
    </row>
    <row r="377" ht="14.25" customHeight="1">
      <c r="A377" s="31"/>
      <c r="B377" s="268"/>
      <c r="C377" s="269"/>
      <c r="D377" s="270"/>
      <c r="E377" s="271"/>
      <c r="F377" s="272"/>
      <c r="G377" s="273"/>
      <c r="H377" s="204"/>
      <c r="I377" s="204"/>
      <c r="J377" s="212"/>
      <c r="K377" s="196"/>
      <c r="L377" s="192" t="str">
        <f>IFERROR(__xludf.DUMMYFUNCTION("IF(
  AND(D377=""Saída"", J377=""Sangria""),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198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94" t="str">
        <f>IFERROR(__xludf.DUMMYFUNCTION("ifna(VALUE(REGEXEXTRACT(E377,""[0-9.]+[,]+[0-9]+"")))"),"")</f>
        <v/>
      </c>
      <c r="O377" s="194"/>
      <c r="P377" s="194"/>
      <c r="Q377" s="194"/>
      <c r="R377" s="194"/>
      <c r="S377" s="194"/>
      <c r="T377" s="194"/>
      <c r="U377" s="194"/>
      <c r="V377" s="194"/>
      <c r="W377" s="194"/>
    </row>
    <row r="378" ht="14.25" customHeight="1">
      <c r="A378" s="31"/>
      <c r="B378" s="268"/>
      <c r="C378" s="269"/>
      <c r="D378" s="270"/>
      <c r="E378" s="271"/>
      <c r="F378" s="272"/>
      <c r="G378" s="273"/>
      <c r="H378" s="204"/>
      <c r="I378" s="204"/>
      <c r="J378" s="196"/>
      <c r="K378" s="202"/>
      <c r="L378" s="192" t="str">
        <f>IFERROR(__xludf.DUMMYFUNCTION("IF(
  AND(D378=""Saída"", J378=""Sangria""),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197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94" t="str">
        <f>IFERROR(__xludf.DUMMYFUNCTION("ifna(VALUE(REGEXEXTRACT(E378,""[0-9.]+[,]+[0-9]+"")))"),"")</f>
        <v/>
      </c>
      <c r="O378" s="194"/>
      <c r="P378" s="194"/>
      <c r="Q378" s="194"/>
      <c r="R378" s="194"/>
      <c r="S378" s="194"/>
      <c r="T378" s="194"/>
      <c r="U378" s="194"/>
      <c r="V378" s="194"/>
      <c r="W378" s="194"/>
    </row>
    <row r="379" ht="14.25" customHeight="1">
      <c r="A379" s="31"/>
      <c r="B379" s="268"/>
      <c r="C379" s="269"/>
      <c r="D379" s="270"/>
      <c r="E379" s="271"/>
      <c r="F379" s="272"/>
      <c r="G379" s="273"/>
      <c r="H379" s="204"/>
      <c r="I379" s="204"/>
      <c r="J379" s="196"/>
      <c r="K379" s="202"/>
      <c r="L379" s="192" t="str">
        <f>IFERROR(__xludf.DUMMYFUNCTION("IF(
  AND(D379=""Saída"", J379=""Sangria""),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198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94" t="str">
        <f>IFERROR(__xludf.DUMMYFUNCTION("ifna(VALUE(REGEXEXTRACT(E379,""[0-9.]+[,]+[0-9]+"")))"),"")</f>
        <v/>
      </c>
      <c r="O379" s="194"/>
      <c r="P379" s="194"/>
      <c r="Q379" s="194"/>
      <c r="R379" s="194"/>
      <c r="S379" s="194"/>
      <c r="T379" s="194"/>
      <c r="U379" s="194"/>
      <c r="V379" s="194"/>
      <c r="W379" s="194"/>
    </row>
    <row r="380" ht="14.25" customHeight="1">
      <c r="A380" s="31"/>
      <c r="B380" s="285"/>
      <c r="C380" s="212"/>
      <c r="D380" s="270"/>
      <c r="E380" s="271"/>
      <c r="F380" s="272"/>
      <c r="G380" s="273"/>
      <c r="H380" s="204"/>
      <c r="I380" s="204"/>
      <c r="J380" s="196"/>
      <c r="K380" s="196"/>
      <c r="L380" s="192" t="str">
        <f>IFERROR(__xludf.DUMMYFUNCTION("IF(
  AND(D380=""Saída"", J380=""Sangria""),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197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94" t="str">
        <f>IFERROR(__xludf.DUMMYFUNCTION("ifna(VALUE(REGEXEXTRACT(E380,""[0-9.]+[,]+[0-9]+"")))"),"")</f>
        <v/>
      </c>
      <c r="O380" s="194"/>
      <c r="P380" s="194"/>
      <c r="Q380" s="194"/>
      <c r="R380" s="194"/>
      <c r="S380" s="194"/>
      <c r="T380" s="194"/>
      <c r="U380" s="194"/>
      <c r="V380" s="194"/>
      <c r="W380" s="194"/>
    </row>
    <row r="381" ht="14.25" customHeight="1">
      <c r="A381" s="31"/>
      <c r="B381" s="268"/>
      <c r="C381" s="212"/>
      <c r="D381" s="270"/>
      <c r="E381" s="271"/>
      <c r="F381" s="272"/>
      <c r="G381" s="273"/>
      <c r="H381" s="204"/>
      <c r="I381" s="204"/>
      <c r="J381" s="196"/>
      <c r="K381" s="202"/>
      <c r="L381" s="192" t="str">
        <f>IFERROR(__xludf.DUMMYFUNCTION("IF(
  AND(D381=""Saída"", J381=""Sangria""),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198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94" t="str">
        <f>IFERROR(__xludf.DUMMYFUNCTION("ifna(VALUE(REGEXEXTRACT(E381,""[0-9.]+[,]+[0-9]+"")))"),"")</f>
        <v/>
      </c>
      <c r="O381" s="194"/>
      <c r="P381" s="194"/>
      <c r="Q381" s="194"/>
      <c r="R381" s="194"/>
      <c r="S381" s="194"/>
      <c r="T381" s="194"/>
      <c r="U381" s="194"/>
      <c r="V381" s="194"/>
      <c r="W381" s="194"/>
    </row>
    <row r="382" ht="14.25" customHeight="1">
      <c r="A382" s="31"/>
      <c r="B382" s="268"/>
      <c r="C382" s="269"/>
      <c r="D382" s="270"/>
      <c r="E382" s="271"/>
      <c r="F382" s="276"/>
      <c r="G382" s="273"/>
      <c r="H382" s="204"/>
      <c r="I382" s="204"/>
      <c r="J382" s="196"/>
      <c r="K382" s="202"/>
      <c r="L382" s="192" t="str">
        <f>IFERROR(__xludf.DUMMYFUNCTION("IF(
  AND(D382=""Saída"", J382=""Sangria""),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197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94" t="str">
        <f>IFERROR(__xludf.DUMMYFUNCTION("ifna(VALUE(REGEXEXTRACT(E382,""[0-9.]+[,]+[0-9]+"")))"),"")</f>
        <v/>
      </c>
      <c r="O382" s="194"/>
      <c r="P382" s="194"/>
      <c r="Q382" s="194"/>
      <c r="R382" s="194"/>
      <c r="S382" s="194"/>
      <c r="T382" s="194"/>
      <c r="U382" s="194"/>
      <c r="V382" s="194"/>
      <c r="W382" s="194"/>
    </row>
    <row r="383" ht="14.25" customHeight="1">
      <c r="A383" s="31"/>
      <c r="B383" s="268"/>
      <c r="C383" s="212"/>
      <c r="D383" s="270"/>
      <c r="E383" s="271"/>
      <c r="F383" s="272"/>
      <c r="G383" s="273"/>
      <c r="H383" s="204"/>
      <c r="I383" s="204"/>
      <c r="J383" s="196"/>
      <c r="K383" s="196"/>
      <c r="L383" s="192" t="str">
        <f>IFERROR(__xludf.DUMMYFUNCTION("IF(
  AND(D383=""Saída"", J383=""Sangria""),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198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94" t="str">
        <f>IFERROR(__xludf.DUMMYFUNCTION("ifna(VALUE(REGEXEXTRACT(E383,""[0-9.]+[,]+[0-9]+"")))"),"")</f>
        <v/>
      </c>
      <c r="O383" s="194"/>
      <c r="P383" s="194"/>
      <c r="Q383" s="194"/>
      <c r="R383" s="194"/>
      <c r="S383" s="194"/>
      <c r="T383" s="194"/>
      <c r="U383" s="194"/>
      <c r="V383" s="194"/>
      <c r="W383" s="194"/>
    </row>
    <row r="384" ht="14.25" customHeight="1">
      <c r="A384" s="31"/>
      <c r="B384" s="268"/>
      <c r="C384" s="269"/>
      <c r="D384" s="270"/>
      <c r="E384" s="271"/>
      <c r="F384" s="276"/>
      <c r="G384" s="273"/>
      <c r="H384" s="204"/>
      <c r="I384" s="204"/>
      <c r="J384" s="196"/>
      <c r="K384" s="196"/>
      <c r="L384" s="192" t="str">
        <f>IFERROR(__xludf.DUMMYFUNCTION("IF(
  AND(D384=""Saída"", J384=""Sangria""),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197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94" t="str">
        <f>IFERROR(__xludf.DUMMYFUNCTION("ifna(VALUE(REGEXEXTRACT(E384,""[0-9.]+[,]+[0-9]+"")))"),"")</f>
        <v/>
      </c>
      <c r="O384" s="194"/>
      <c r="P384" s="194"/>
      <c r="Q384" s="194"/>
      <c r="R384" s="194"/>
      <c r="S384" s="194"/>
      <c r="T384" s="194"/>
      <c r="U384" s="194"/>
      <c r="V384" s="194"/>
      <c r="W384" s="194"/>
    </row>
    <row r="385" ht="14.25" customHeight="1">
      <c r="A385" s="31"/>
      <c r="B385" s="268"/>
      <c r="C385" s="269"/>
      <c r="D385" s="270"/>
      <c r="E385" s="271"/>
      <c r="F385" s="276"/>
      <c r="G385" s="273"/>
      <c r="H385" s="204"/>
      <c r="I385" s="204"/>
      <c r="J385" s="196"/>
      <c r="K385" s="202"/>
      <c r="L385" s="192" t="str">
        <f>IFERROR(__xludf.DUMMYFUNCTION("IF(
  AND(D385=""Saída"", J385=""Sangria""),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198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94" t="str">
        <f>IFERROR(__xludf.DUMMYFUNCTION("ifna(VALUE(REGEXEXTRACT(E385,""[0-9.]+[,]+[0-9]+"")))"),"")</f>
        <v/>
      </c>
      <c r="O385" s="194"/>
      <c r="P385" s="194"/>
      <c r="Q385" s="194"/>
      <c r="R385" s="194"/>
      <c r="S385" s="194"/>
      <c r="T385" s="194"/>
      <c r="U385" s="194"/>
      <c r="V385" s="194"/>
      <c r="W385" s="194"/>
    </row>
    <row r="386" ht="14.25" customHeight="1">
      <c r="A386" s="31"/>
      <c r="B386" s="268"/>
      <c r="C386" s="269"/>
      <c r="D386" s="270"/>
      <c r="E386" s="271"/>
      <c r="F386" s="276"/>
      <c r="G386" s="273"/>
      <c r="H386" s="204"/>
      <c r="I386" s="204"/>
      <c r="J386" s="196"/>
      <c r="K386" s="202"/>
      <c r="L386" s="192" t="str">
        <f>IFERROR(__xludf.DUMMYFUNCTION("IF(
  AND(D386=""Saída"", J386=""Sangria""),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197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94" t="str">
        <f>IFERROR(__xludf.DUMMYFUNCTION("ifna(VALUE(REGEXEXTRACT(E386,""[0-9.]+[,]+[0-9]+"")))"),"")</f>
        <v/>
      </c>
      <c r="O386" s="194"/>
      <c r="P386" s="194"/>
      <c r="Q386" s="194"/>
      <c r="R386" s="194"/>
      <c r="S386" s="194"/>
      <c r="T386" s="194"/>
      <c r="U386" s="194"/>
      <c r="V386" s="194"/>
      <c r="W386" s="194"/>
    </row>
    <row r="387" ht="14.25" customHeight="1">
      <c r="A387" s="31"/>
      <c r="B387" s="268"/>
      <c r="C387" s="269"/>
      <c r="D387" s="270"/>
      <c r="E387" s="271"/>
      <c r="F387" s="276"/>
      <c r="G387" s="273"/>
      <c r="H387" s="204"/>
      <c r="I387" s="204"/>
      <c r="J387" s="196"/>
      <c r="K387" s="202"/>
      <c r="L387" s="192" t="str">
        <f>IFERROR(__xludf.DUMMYFUNCTION("IF(
  AND(D387=""Saída"", J387=""Sangria""),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198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94" t="str">
        <f>IFERROR(__xludf.DUMMYFUNCTION("ifna(VALUE(REGEXEXTRACT(E387,""[0-9.]+[,]+[0-9]+"")))"),"")</f>
        <v/>
      </c>
      <c r="O387" s="194"/>
      <c r="P387" s="194"/>
      <c r="Q387" s="194"/>
      <c r="R387" s="194"/>
      <c r="S387" s="194"/>
      <c r="T387" s="194"/>
      <c r="U387" s="194"/>
      <c r="V387" s="194"/>
      <c r="W387" s="194"/>
    </row>
    <row r="388" ht="14.25" customHeight="1">
      <c r="A388" s="31"/>
      <c r="B388" s="268"/>
      <c r="C388" s="269"/>
      <c r="D388" s="270"/>
      <c r="E388" s="271"/>
      <c r="F388" s="276"/>
      <c r="G388" s="273"/>
      <c r="H388" s="204"/>
      <c r="I388" s="204"/>
      <c r="J388" s="196"/>
      <c r="K388" s="202"/>
      <c r="L388" s="192" t="str">
        <f>IFERROR(__xludf.DUMMYFUNCTION("IF(
  AND(D388=""Saída"", J388=""Sangria""),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197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94" t="str">
        <f>IFERROR(__xludf.DUMMYFUNCTION("ifna(VALUE(REGEXEXTRACT(E388,""[0-9.]+[,]+[0-9]+"")))"),"")</f>
        <v/>
      </c>
      <c r="O388" s="194"/>
      <c r="P388" s="194"/>
      <c r="Q388" s="194"/>
      <c r="R388" s="194"/>
      <c r="S388" s="194"/>
      <c r="T388" s="194"/>
      <c r="U388" s="194"/>
      <c r="V388" s="194"/>
      <c r="W388" s="194"/>
    </row>
    <row r="389" ht="14.25" customHeight="1">
      <c r="A389" s="31"/>
      <c r="B389" s="268"/>
      <c r="C389" s="269"/>
      <c r="D389" s="270"/>
      <c r="E389" s="271"/>
      <c r="F389" s="276"/>
      <c r="G389" s="273"/>
      <c r="H389" s="204"/>
      <c r="I389" s="204"/>
      <c r="J389" s="212"/>
      <c r="K389" s="202"/>
      <c r="L389" s="192" t="str">
        <f>IFERROR(__xludf.DUMMYFUNCTION("IF(
  AND(D389=""Saída"", J389=""Sangria""),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198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94" t="str">
        <f>IFERROR(__xludf.DUMMYFUNCTION("ifna(VALUE(REGEXEXTRACT(E389,""[0-9.]+[,]+[0-9]+"")))"),"")</f>
        <v/>
      </c>
      <c r="O389" s="194"/>
      <c r="P389" s="194"/>
      <c r="Q389" s="194"/>
      <c r="R389" s="194"/>
      <c r="S389" s="194"/>
      <c r="T389" s="194"/>
      <c r="U389" s="194"/>
      <c r="V389" s="194"/>
      <c r="W389" s="194"/>
    </row>
    <row r="390" ht="14.25" customHeight="1">
      <c r="A390" s="31"/>
      <c r="B390" s="268"/>
      <c r="C390" s="269"/>
      <c r="D390" s="270"/>
      <c r="E390" s="271"/>
      <c r="F390" s="276"/>
      <c r="G390" s="273"/>
      <c r="H390" s="204"/>
      <c r="I390" s="204"/>
      <c r="J390" s="196"/>
      <c r="K390" s="196"/>
      <c r="L390" s="192" t="str">
        <f>IFERROR(__xludf.DUMMYFUNCTION("IF(
  AND(D390=""Saída"", J390=""Sangria""),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197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94" t="str">
        <f>IFERROR(__xludf.DUMMYFUNCTION("ifna(VALUE(REGEXEXTRACT(E390,""[0-9.]+[,]+[0-9]+"")))"),"")</f>
        <v/>
      </c>
      <c r="O390" s="194"/>
      <c r="P390" s="194"/>
      <c r="Q390" s="194"/>
      <c r="R390" s="194"/>
      <c r="S390" s="194"/>
      <c r="T390" s="194"/>
      <c r="U390" s="194"/>
      <c r="V390" s="194"/>
      <c r="W390" s="194"/>
    </row>
    <row r="391" ht="14.25" customHeight="1">
      <c r="A391" s="31"/>
      <c r="B391" s="268"/>
      <c r="C391" s="269"/>
      <c r="D391" s="270"/>
      <c r="E391" s="271"/>
      <c r="F391" s="276"/>
      <c r="G391" s="273"/>
      <c r="H391" s="204"/>
      <c r="I391" s="204"/>
      <c r="J391" s="196"/>
      <c r="K391" s="202"/>
      <c r="L391" s="192" t="str">
        <f>IFERROR(__xludf.DUMMYFUNCTION("IF(
  AND(D391=""Saída"", J391=""Sangria""),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198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94" t="str">
        <f>IFERROR(__xludf.DUMMYFUNCTION("ifna(VALUE(REGEXEXTRACT(E391,""[0-9.]+[,]+[0-9]+"")))"),"")</f>
        <v/>
      </c>
      <c r="O391" s="194"/>
      <c r="P391" s="194"/>
      <c r="Q391" s="194"/>
      <c r="R391" s="194"/>
      <c r="S391" s="194"/>
      <c r="T391" s="194"/>
      <c r="U391" s="194"/>
      <c r="V391" s="194"/>
      <c r="W391" s="194"/>
    </row>
    <row r="392" ht="14.25" customHeight="1">
      <c r="A392" s="31"/>
      <c r="B392" s="268"/>
      <c r="C392" s="269"/>
      <c r="D392" s="270"/>
      <c r="E392" s="271"/>
      <c r="F392" s="276"/>
      <c r="G392" s="273"/>
      <c r="H392" s="204"/>
      <c r="I392" s="204"/>
      <c r="J392" s="196"/>
      <c r="K392" s="196"/>
      <c r="L392" s="192" t="str">
        <f>IFERROR(__xludf.DUMMYFUNCTION("IF(
  AND(D392=""Saída"", J392=""Sangria""),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197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94" t="str">
        <f>IFERROR(__xludf.DUMMYFUNCTION("ifna(VALUE(REGEXEXTRACT(E392,""[0-9.]+[,]+[0-9]+"")))"),"")</f>
        <v/>
      </c>
      <c r="O392" s="194"/>
      <c r="P392" s="194"/>
      <c r="Q392" s="194"/>
      <c r="R392" s="194"/>
      <c r="S392" s="194"/>
      <c r="T392" s="194"/>
      <c r="U392" s="194"/>
      <c r="V392" s="194"/>
      <c r="W392" s="194"/>
    </row>
    <row r="393" ht="14.25" customHeight="1">
      <c r="A393" s="31"/>
      <c r="B393" s="268"/>
      <c r="C393" s="269"/>
      <c r="D393" s="270"/>
      <c r="E393" s="271"/>
      <c r="F393" s="276"/>
      <c r="G393" s="273"/>
      <c r="H393" s="204"/>
      <c r="I393" s="204"/>
      <c r="J393" s="196"/>
      <c r="K393" s="196"/>
      <c r="L393" s="192" t="str">
        <f>IFERROR(__xludf.DUMMYFUNCTION("IF(
  AND(D393=""Saída"", J393=""Sangria""),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198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94" t="str">
        <f>IFERROR(__xludf.DUMMYFUNCTION("ifna(VALUE(REGEXEXTRACT(E393,""[0-9.]+[,]+[0-9]+"")))"),"")</f>
        <v/>
      </c>
      <c r="O393" s="194"/>
      <c r="P393" s="194"/>
      <c r="Q393" s="194"/>
      <c r="R393" s="194"/>
      <c r="S393" s="194"/>
      <c r="T393" s="194"/>
      <c r="U393" s="194"/>
      <c r="V393" s="194"/>
      <c r="W393" s="194"/>
    </row>
    <row r="394" ht="14.25" customHeight="1">
      <c r="A394" s="31"/>
      <c r="B394" s="268"/>
      <c r="C394" s="286"/>
      <c r="D394" s="270"/>
      <c r="E394" s="271"/>
      <c r="F394" s="204"/>
      <c r="G394" s="273"/>
      <c r="H394" s="204"/>
      <c r="I394" s="204"/>
      <c r="J394" s="202"/>
      <c r="K394" s="202"/>
      <c r="L394" s="192" t="str">
        <f>IFERROR(__xludf.DUMMYFUNCTION("IF(
  AND(D394=""Saída"", J394=""Sangria""),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197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94" t="str">
        <f>IFERROR(__xludf.DUMMYFUNCTION("ifna(VALUE(REGEXEXTRACT(E394,""[0-9.]+[,]+[0-9]+"")))"),"")</f>
        <v/>
      </c>
      <c r="O394" s="194"/>
      <c r="P394" s="194"/>
      <c r="Q394" s="194"/>
      <c r="R394" s="194"/>
      <c r="S394" s="194"/>
      <c r="T394" s="194"/>
      <c r="U394" s="194"/>
      <c r="V394" s="194"/>
      <c r="W394" s="194"/>
    </row>
    <row r="395" ht="14.25" customHeight="1">
      <c r="A395" s="31"/>
      <c r="B395" s="287"/>
      <c r="C395" s="286"/>
      <c r="D395" s="270"/>
      <c r="E395" s="271"/>
      <c r="F395" s="204"/>
      <c r="G395" s="273"/>
      <c r="H395" s="204"/>
      <c r="I395" s="204"/>
      <c r="J395" s="202"/>
      <c r="K395" s="202"/>
      <c r="L395" s="192" t="str">
        <f>IFERROR(__xludf.DUMMYFUNCTION("IF(
  AND(D395=""Saída"", J395=""Sangria""),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198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94" t="str">
        <f>IFERROR(__xludf.DUMMYFUNCTION("ifna(VALUE(REGEXEXTRACT(E395,""[0-9.]+[,]+[0-9]+"")))"),"")</f>
        <v/>
      </c>
      <c r="O395" s="194"/>
      <c r="P395" s="194"/>
      <c r="Q395" s="194"/>
      <c r="R395" s="194"/>
      <c r="S395" s="194"/>
      <c r="T395" s="194"/>
      <c r="U395" s="194"/>
      <c r="V395" s="194"/>
      <c r="W395" s="194"/>
    </row>
    <row r="396" ht="14.25" customHeight="1">
      <c r="A396" s="31"/>
      <c r="B396" s="287"/>
      <c r="C396" s="286"/>
      <c r="D396" s="270"/>
      <c r="E396" s="271"/>
      <c r="F396" s="204"/>
      <c r="G396" s="273"/>
      <c r="H396" s="204"/>
      <c r="I396" s="204"/>
      <c r="J396" s="202"/>
      <c r="K396" s="202"/>
      <c r="L396" s="192" t="str">
        <f>IFERROR(__xludf.DUMMYFUNCTION("IF(
  AND(D396=""Saída"", J396=""Sangria""),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197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94" t="str">
        <f>IFERROR(__xludf.DUMMYFUNCTION("ifna(VALUE(REGEXEXTRACT(E396,""[0-9.]+[,]+[0-9]+"")))"),"")</f>
        <v/>
      </c>
      <c r="O396" s="194"/>
      <c r="P396" s="194"/>
      <c r="Q396" s="194"/>
      <c r="R396" s="194"/>
      <c r="S396" s="194"/>
      <c r="T396" s="194"/>
      <c r="U396" s="194"/>
      <c r="V396" s="194"/>
      <c r="W396" s="194"/>
    </row>
    <row r="397" ht="14.25" customHeight="1">
      <c r="A397" s="31"/>
      <c r="B397" s="287"/>
      <c r="C397" s="286"/>
      <c r="D397" s="270"/>
      <c r="E397" s="271"/>
      <c r="F397" s="204"/>
      <c r="G397" s="273"/>
      <c r="H397" s="204"/>
      <c r="I397" s="204"/>
      <c r="J397" s="202"/>
      <c r="K397" s="202"/>
      <c r="L397" s="192" t="str">
        <f>IFERROR(__xludf.DUMMYFUNCTION("IF(
  AND(D397=""Saída"", J397=""Sangria""),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198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94" t="str">
        <f>IFERROR(__xludf.DUMMYFUNCTION("ifna(VALUE(REGEXEXTRACT(E397,""[0-9.]+[,]+[0-9]+"")))"),"")</f>
        <v/>
      </c>
      <c r="O397" s="194"/>
      <c r="P397" s="194"/>
      <c r="Q397" s="194"/>
      <c r="R397" s="194"/>
      <c r="S397" s="194"/>
      <c r="T397" s="194"/>
      <c r="U397" s="194"/>
      <c r="V397" s="194"/>
      <c r="W397" s="194"/>
    </row>
    <row r="398" ht="14.25" customHeight="1">
      <c r="A398" s="31"/>
      <c r="B398" s="287"/>
      <c r="C398" s="286"/>
      <c r="D398" s="270"/>
      <c r="E398" s="271"/>
      <c r="F398" s="204"/>
      <c r="G398" s="273"/>
      <c r="H398" s="204"/>
      <c r="I398" s="204"/>
      <c r="J398" s="202"/>
      <c r="K398" s="202"/>
      <c r="L398" s="192" t="str">
        <f>IFERROR(__xludf.DUMMYFUNCTION("IF(
  AND(D398=""Saída"", J398=""Sangria""),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197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94" t="str">
        <f>IFERROR(__xludf.DUMMYFUNCTION("ifna(VALUE(REGEXEXTRACT(E398,""[0-9.]+[,]+[0-9]+"")))"),"")</f>
        <v/>
      </c>
      <c r="O398" s="194"/>
      <c r="P398" s="194"/>
      <c r="Q398" s="194"/>
      <c r="R398" s="194"/>
      <c r="S398" s="194"/>
      <c r="T398" s="194"/>
      <c r="U398" s="194"/>
      <c r="V398" s="194"/>
      <c r="W398" s="194"/>
    </row>
    <row r="399" ht="14.25" customHeight="1">
      <c r="A399" s="31"/>
      <c r="B399" s="287"/>
      <c r="C399" s="286"/>
      <c r="D399" s="270"/>
      <c r="E399" s="271"/>
      <c r="F399" s="204"/>
      <c r="G399" s="273"/>
      <c r="H399" s="204"/>
      <c r="I399" s="204"/>
      <c r="J399" s="202"/>
      <c r="K399" s="202"/>
      <c r="L399" s="192" t="str">
        <f>IFERROR(__xludf.DUMMYFUNCTION("IF(
  AND(D399=""Saída"", J399=""Sangria""),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198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94" t="str">
        <f>IFERROR(__xludf.DUMMYFUNCTION("ifna(VALUE(REGEXEXTRACT(E399,""[0-9.]+[,]+[0-9]+"")))"),"")</f>
        <v/>
      </c>
      <c r="O399" s="194"/>
      <c r="P399" s="194"/>
      <c r="Q399" s="194"/>
      <c r="R399" s="194"/>
      <c r="S399" s="194"/>
      <c r="T399" s="194"/>
      <c r="U399" s="194"/>
      <c r="V399" s="194"/>
      <c r="W399" s="194"/>
    </row>
    <row r="400" ht="14.25" customHeight="1">
      <c r="A400" s="31"/>
      <c r="B400" s="287"/>
      <c r="C400" s="286"/>
      <c r="D400" s="270"/>
      <c r="E400" s="271"/>
      <c r="F400" s="204"/>
      <c r="G400" s="273"/>
      <c r="H400" s="204"/>
      <c r="I400" s="204"/>
      <c r="J400" s="202"/>
      <c r="K400" s="202"/>
      <c r="L400" s="192" t="str">
        <f>IFERROR(__xludf.DUMMYFUNCTION("IF(
  AND(D400=""Saída"", J400=""Sangria""),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197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94" t="str">
        <f>IFERROR(__xludf.DUMMYFUNCTION("ifna(VALUE(REGEXEXTRACT(E400,""[0-9.]+[,]+[0-9]+"")))"),"")</f>
        <v/>
      </c>
      <c r="O400" s="194"/>
      <c r="P400" s="194"/>
      <c r="Q400" s="194"/>
      <c r="R400" s="194"/>
      <c r="S400" s="194"/>
      <c r="T400" s="194"/>
      <c r="U400" s="194"/>
      <c r="V400" s="194"/>
      <c r="W400" s="194"/>
    </row>
    <row r="401" ht="14.25" customHeight="1">
      <c r="A401" s="31"/>
      <c r="B401" s="287"/>
      <c r="C401" s="286"/>
      <c r="D401" s="270"/>
      <c r="E401" s="271"/>
      <c r="F401" s="204"/>
      <c r="G401" s="273"/>
      <c r="H401" s="204"/>
      <c r="I401" s="204"/>
      <c r="J401" s="202"/>
      <c r="K401" s="202"/>
      <c r="L401" s="192" t="str">
        <f>IFERROR(__xludf.DUMMYFUNCTION("IF(
  AND(D401=""Saída"", J401=""Sangria""),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198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94" t="str">
        <f>IFERROR(__xludf.DUMMYFUNCTION("ifna(VALUE(REGEXEXTRACT(E401,""[0-9.]+[,]+[0-9]+"")))"),"")</f>
        <v/>
      </c>
      <c r="O401" s="194"/>
      <c r="P401" s="194"/>
      <c r="Q401" s="194"/>
      <c r="R401" s="194"/>
      <c r="S401" s="194"/>
      <c r="T401" s="194"/>
      <c r="U401" s="194"/>
      <c r="V401" s="194"/>
      <c r="W401" s="194"/>
    </row>
    <row r="402" ht="14.25" customHeight="1">
      <c r="A402" s="31"/>
      <c r="B402" s="287"/>
      <c r="C402" s="286"/>
      <c r="D402" s="270"/>
      <c r="E402" s="271"/>
      <c r="F402" s="204"/>
      <c r="G402" s="273"/>
      <c r="H402" s="204"/>
      <c r="I402" s="204"/>
      <c r="J402" s="202"/>
      <c r="K402" s="202"/>
      <c r="L402" s="192" t="str">
        <f>IFERROR(__xludf.DUMMYFUNCTION("IF(
  AND(D402=""Saída"", J402=""Sangria""),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197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94" t="str">
        <f>IFERROR(__xludf.DUMMYFUNCTION("ifna(VALUE(REGEXEXTRACT(E402,""[0-9.]+[,]+[0-9]+"")))"),"")</f>
        <v/>
      </c>
      <c r="O402" s="194"/>
      <c r="P402" s="194"/>
      <c r="Q402" s="194"/>
      <c r="R402" s="194"/>
      <c r="S402" s="194"/>
      <c r="T402" s="194"/>
      <c r="U402" s="194"/>
      <c r="V402" s="194"/>
      <c r="W402" s="194"/>
    </row>
    <row r="403" ht="14.25" customHeight="1">
      <c r="A403" s="31"/>
      <c r="B403" s="287"/>
      <c r="C403" s="286"/>
      <c r="D403" s="270"/>
      <c r="E403" s="271"/>
      <c r="F403" s="204"/>
      <c r="G403" s="273"/>
      <c r="H403" s="204"/>
      <c r="I403" s="204"/>
      <c r="J403" s="202"/>
      <c r="K403" s="202"/>
      <c r="L403" s="192" t="str">
        <f>IFERROR(__xludf.DUMMYFUNCTION("IF(
  AND(D403=""Saída"", J403=""Sangria""),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198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94" t="str">
        <f>IFERROR(__xludf.DUMMYFUNCTION("ifna(VALUE(REGEXEXTRACT(E403,""[0-9.]+[,]+[0-9]+"")))"),"")</f>
        <v/>
      </c>
      <c r="O403" s="194"/>
      <c r="P403" s="194"/>
      <c r="Q403" s="194"/>
      <c r="R403" s="194"/>
      <c r="S403" s="194"/>
      <c r="T403" s="194"/>
      <c r="U403" s="194"/>
      <c r="V403" s="194"/>
      <c r="W403" s="194"/>
    </row>
    <row r="404" ht="14.25" customHeight="1">
      <c r="A404" s="31"/>
      <c r="B404" s="287"/>
      <c r="C404" s="286"/>
      <c r="D404" s="270"/>
      <c r="E404" s="271"/>
      <c r="F404" s="204"/>
      <c r="G404" s="273"/>
      <c r="H404" s="204"/>
      <c r="I404" s="204"/>
      <c r="J404" s="202"/>
      <c r="K404" s="202"/>
      <c r="L404" s="192" t="str">
        <f>IFERROR(__xludf.DUMMYFUNCTION("IF(
  AND(D404=""Saída"", J404=""Sangria""),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197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94" t="str">
        <f>IFERROR(__xludf.DUMMYFUNCTION("ifna(VALUE(REGEXEXTRACT(E404,""[0-9.]+[,]+[0-9]+"")))"),"")</f>
        <v/>
      </c>
      <c r="O404" s="194"/>
      <c r="P404" s="194"/>
      <c r="Q404" s="194"/>
      <c r="R404" s="194"/>
      <c r="S404" s="194"/>
      <c r="T404" s="194"/>
      <c r="U404" s="194"/>
      <c r="V404" s="194"/>
      <c r="W404" s="194"/>
    </row>
    <row r="405" ht="14.25" customHeight="1">
      <c r="A405" s="31"/>
      <c r="B405" s="287"/>
      <c r="C405" s="286"/>
      <c r="D405" s="270"/>
      <c r="E405" s="271"/>
      <c r="F405" s="204"/>
      <c r="G405" s="273"/>
      <c r="H405" s="204"/>
      <c r="I405" s="204"/>
      <c r="J405" s="202"/>
      <c r="K405" s="202"/>
      <c r="L405" s="192" t="str">
        <f>IFERROR(__xludf.DUMMYFUNCTION("IF(
  AND(D405=""Saída"", J405=""Sangria""),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198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94" t="str">
        <f>IFERROR(__xludf.DUMMYFUNCTION("ifna(VALUE(REGEXEXTRACT(E405,""[0-9.]+[,]+[0-9]+"")))"),"")</f>
        <v/>
      </c>
      <c r="O405" s="194"/>
      <c r="P405" s="194"/>
      <c r="Q405" s="194"/>
      <c r="R405" s="194"/>
      <c r="S405" s="194"/>
      <c r="T405" s="194"/>
      <c r="U405" s="194"/>
      <c r="V405" s="194"/>
      <c r="W405" s="194"/>
    </row>
    <row r="406" ht="14.25" customHeight="1">
      <c r="A406" s="31"/>
      <c r="B406" s="287"/>
      <c r="C406" s="286"/>
      <c r="D406" s="270"/>
      <c r="E406" s="288"/>
      <c r="F406" s="204"/>
      <c r="G406" s="273"/>
      <c r="H406" s="204"/>
      <c r="I406" s="204"/>
      <c r="J406" s="202"/>
      <c r="K406" s="202"/>
      <c r="L406" s="192" t="str">
        <f>IFERROR(__xludf.DUMMYFUNCTION("IF(
  AND(D406=""Saída"", J406=""Sangria""),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197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94" t="str">
        <f>IFERROR(__xludf.DUMMYFUNCTION("ifna(VALUE(REGEXEXTRACT(E406,""[0-9.]+[,]+[0-9]+"")))"),"")</f>
        <v/>
      </c>
      <c r="O406" s="194"/>
      <c r="P406" s="194"/>
      <c r="Q406" s="194"/>
      <c r="R406" s="194"/>
      <c r="S406" s="194"/>
      <c r="T406" s="194"/>
      <c r="U406" s="194"/>
      <c r="V406" s="194"/>
      <c r="W406" s="194"/>
    </row>
    <row r="407" ht="14.25" customHeight="1">
      <c r="A407" s="31"/>
      <c r="B407" s="287"/>
      <c r="C407" s="286"/>
      <c r="D407" s="270"/>
      <c r="E407" s="288"/>
      <c r="F407" s="204"/>
      <c r="G407" s="289"/>
      <c r="H407" s="204"/>
      <c r="I407" s="204"/>
      <c r="J407" s="202"/>
      <c r="K407" s="202"/>
      <c r="L407" s="192" t="str">
        <f>IFERROR(__xludf.DUMMYFUNCTION("IF(
  AND(D407=""Saída"", J407=""Sangria""),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198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94" t="str">
        <f>IFERROR(__xludf.DUMMYFUNCTION("ifna(VALUE(REGEXEXTRACT(E407,""[0-9.]+[,]+[0-9]+"")))"),"")</f>
        <v/>
      </c>
      <c r="O407" s="194"/>
      <c r="P407" s="194"/>
      <c r="Q407" s="194"/>
      <c r="R407" s="194"/>
      <c r="S407" s="194"/>
      <c r="T407" s="194"/>
      <c r="U407" s="194"/>
      <c r="V407" s="194"/>
      <c r="W407" s="194"/>
    </row>
    <row r="408" ht="14.25" customHeight="1">
      <c r="A408" s="31"/>
      <c r="B408" s="287"/>
      <c r="C408" s="286"/>
      <c r="D408" s="270"/>
      <c r="E408" s="288"/>
      <c r="F408" s="204"/>
      <c r="G408" s="289"/>
      <c r="H408" s="204"/>
      <c r="I408" s="204"/>
      <c r="J408" s="202"/>
      <c r="K408" s="202"/>
      <c r="L408" s="192" t="str">
        <f>IFERROR(__xludf.DUMMYFUNCTION("IF(
  AND(D408=""Saída"", J408=""Sangria""),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197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94" t="str">
        <f>IFERROR(__xludf.DUMMYFUNCTION("ifna(VALUE(REGEXEXTRACT(E408,""[0-9.]+[,]+[0-9]+"")))"),"")</f>
        <v/>
      </c>
      <c r="O408" s="194"/>
      <c r="P408" s="194"/>
      <c r="Q408" s="194"/>
      <c r="R408" s="194"/>
      <c r="S408" s="194"/>
      <c r="T408" s="194"/>
      <c r="U408" s="194"/>
      <c r="V408" s="194"/>
      <c r="W408" s="194"/>
    </row>
    <row r="409" ht="14.25" customHeight="1">
      <c r="A409" s="31"/>
      <c r="B409" s="287"/>
      <c r="C409" s="286"/>
      <c r="D409" s="270"/>
      <c r="E409" s="288"/>
      <c r="F409" s="204"/>
      <c r="G409" s="289"/>
      <c r="H409" s="204"/>
      <c r="I409" s="204"/>
      <c r="J409" s="202"/>
      <c r="K409" s="202"/>
      <c r="L409" s="192" t="str">
        <f>IFERROR(__xludf.DUMMYFUNCTION("IF(
  AND(D409=""Saída"", J409=""Sangria""),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198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94" t="str">
        <f>IFERROR(__xludf.DUMMYFUNCTION("ifna(VALUE(REGEXEXTRACT(E409,""[0-9.]+[,]+[0-9]+"")))"),"")</f>
        <v/>
      </c>
      <c r="O409" s="194"/>
      <c r="P409" s="194"/>
      <c r="Q409" s="194"/>
      <c r="R409" s="194"/>
      <c r="S409" s="194"/>
      <c r="T409" s="194"/>
      <c r="U409" s="194"/>
      <c r="V409" s="194"/>
      <c r="W409" s="194"/>
    </row>
    <row r="410" ht="14.25" customHeight="1">
      <c r="A410" s="31"/>
      <c r="B410" s="287"/>
      <c r="C410" s="286"/>
      <c r="D410" s="270"/>
      <c r="E410" s="288"/>
      <c r="F410" s="204"/>
      <c r="G410" s="289"/>
      <c r="H410" s="204"/>
      <c r="I410" s="204"/>
      <c r="J410" s="202"/>
      <c r="K410" s="202"/>
      <c r="L410" s="192" t="str">
        <f>IFERROR(__xludf.DUMMYFUNCTION("IF(
  AND(D410=""Saída"", J410=""Sangria""),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197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94" t="str">
        <f>IFERROR(__xludf.DUMMYFUNCTION("ifna(VALUE(REGEXEXTRACT(E410,""[0-9.]+[,]+[0-9]+"")))"),"")</f>
        <v/>
      </c>
      <c r="O410" s="194"/>
      <c r="P410" s="194"/>
      <c r="Q410" s="194"/>
      <c r="R410" s="194"/>
      <c r="S410" s="194"/>
      <c r="T410" s="194"/>
      <c r="U410" s="194"/>
      <c r="V410" s="194"/>
      <c r="W410" s="194"/>
    </row>
    <row r="411" ht="14.25" customHeight="1">
      <c r="A411" s="31"/>
      <c r="B411" s="287"/>
      <c r="C411" s="286"/>
      <c r="D411" s="204"/>
      <c r="E411" s="288"/>
      <c r="F411" s="204"/>
      <c r="G411" s="289"/>
      <c r="H411" s="204"/>
      <c r="I411" s="204"/>
      <c r="J411" s="202"/>
      <c r="K411" s="202"/>
      <c r="L411" s="192" t="str">
        <f>IFERROR(__xludf.DUMMYFUNCTION("IF(
  AND(D411=""Saída"", J411=""Sangria""),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198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94" t="str">
        <f>IFERROR(__xludf.DUMMYFUNCTION("ifna(VALUE(REGEXEXTRACT(E411,""[0-9.]+[,]+[0-9]+"")))"),"")</f>
        <v/>
      </c>
      <c r="O411" s="194"/>
      <c r="P411" s="194"/>
      <c r="Q411" s="194"/>
      <c r="R411" s="194"/>
      <c r="S411" s="194"/>
      <c r="T411" s="194"/>
      <c r="U411" s="194"/>
      <c r="V411" s="194"/>
      <c r="W411" s="194"/>
    </row>
    <row r="412" ht="14.25" customHeight="1">
      <c r="A412" s="31"/>
      <c r="B412" s="287"/>
      <c r="C412" s="286"/>
      <c r="D412" s="204"/>
      <c r="E412" s="288"/>
      <c r="F412" s="204"/>
      <c r="G412" s="289"/>
      <c r="H412" s="204"/>
      <c r="I412" s="204"/>
      <c r="J412" s="202"/>
      <c r="K412" s="202"/>
      <c r="L412" s="192" t="str">
        <f>IFERROR(__xludf.DUMMYFUNCTION("IF(
  AND(D412=""Saída"", J412=""Sangria""),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197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94" t="str">
        <f>IFERROR(__xludf.DUMMYFUNCTION("ifna(VALUE(REGEXEXTRACT(E412,""[0-9.]+[,]+[0-9]+"")))"),"")</f>
        <v/>
      </c>
      <c r="O412" s="194"/>
      <c r="P412" s="194"/>
      <c r="Q412" s="194"/>
      <c r="R412" s="194"/>
      <c r="S412" s="194"/>
      <c r="T412" s="194"/>
      <c r="U412" s="194"/>
      <c r="V412" s="194"/>
      <c r="W412" s="194"/>
    </row>
    <row r="413" ht="14.25" customHeight="1">
      <c r="A413" s="31"/>
      <c r="B413" s="287"/>
      <c r="C413" s="286"/>
      <c r="D413" s="204"/>
      <c r="E413" s="288"/>
      <c r="F413" s="204"/>
      <c r="G413" s="289"/>
      <c r="H413" s="204"/>
      <c r="I413" s="204"/>
      <c r="J413" s="202"/>
      <c r="K413" s="202"/>
      <c r="L413" s="192" t="str">
        <f>IFERROR(__xludf.DUMMYFUNCTION("IF(
  AND(D413=""Saída"", J413=""Sangria""),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198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94" t="str">
        <f>IFERROR(__xludf.DUMMYFUNCTION("ifna(VALUE(REGEXEXTRACT(E413,""[0-9.]+[,]+[0-9]+"")))"),"")</f>
        <v/>
      </c>
      <c r="O413" s="194"/>
      <c r="P413" s="194"/>
      <c r="Q413" s="194"/>
      <c r="R413" s="194"/>
      <c r="S413" s="194"/>
      <c r="T413" s="194"/>
      <c r="U413" s="194"/>
      <c r="V413" s="194"/>
      <c r="W413" s="194"/>
    </row>
    <row r="414" ht="14.25" customHeight="1">
      <c r="A414" s="31"/>
      <c r="B414" s="287"/>
      <c r="C414" s="286"/>
      <c r="D414" s="204"/>
      <c r="E414" s="288"/>
      <c r="F414" s="204"/>
      <c r="G414" s="289"/>
      <c r="H414" s="204"/>
      <c r="I414" s="204"/>
      <c r="J414" s="202"/>
      <c r="K414" s="202"/>
      <c r="L414" s="192" t="str">
        <f>IFERROR(__xludf.DUMMYFUNCTION("IF(
  AND(D414=""Saída"", J414=""Sangria""),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197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94" t="str">
        <f>IFERROR(__xludf.DUMMYFUNCTION("ifna(VALUE(REGEXEXTRACT(E414,""[0-9.]+[,]+[0-9]+"")))"),"")</f>
        <v/>
      </c>
      <c r="O414" s="194"/>
      <c r="P414" s="194"/>
      <c r="Q414" s="194"/>
      <c r="R414" s="194"/>
      <c r="S414" s="194"/>
      <c r="T414" s="194"/>
      <c r="U414" s="194"/>
      <c r="V414" s="194"/>
      <c r="W414" s="194"/>
    </row>
    <row r="415" ht="14.25" customHeight="1">
      <c r="A415" s="31"/>
      <c r="B415" s="287"/>
      <c r="C415" s="286"/>
      <c r="D415" s="204"/>
      <c r="E415" s="288"/>
      <c r="F415" s="204"/>
      <c r="G415" s="289"/>
      <c r="H415" s="204"/>
      <c r="I415" s="204"/>
      <c r="J415" s="202"/>
      <c r="K415" s="202"/>
      <c r="L415" s="192" t="str">
        <f>IFERROR(__xludf.DUMMYFUNCTION("IF(
  AND(D415=""Saída"", J415=""Sangria""),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198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94" t="str">
        <f>IFERROR(__xludf.DUMMYFUNCTION("ifna(VALUE(REGEXEXTRACT(E415,""[0-9.]+[,]+[0-9]+"")))"),"")</f>
        <v/>
      </c>
      <c r="O415" s="194"/>
      <c r="P415" s="194"/>
      <c r="Q415" s="194"/>
      <c r="R415" s="194"/>
      <c r="S415" s="194"/>
      <c r="T415" s="194"/>
      <c r="U415" s="194"/>
      <c r="V415" s="194"/>
      <c r="W415" s="194"/>
    </row>
    <row r="416" ht="14.25" customHeight="1">
      <c r="A416" s="31"/>
      <c r="B416" s="287"/>
      <c r="C416" s="286"/>
      <c r="D416" s="204"/>
      <c r="E416" s="288"/>
      <c r="F416" s="204"/>
      <c r="G416" s="289"/>
      <c r="H416" s="204"/>
      <c r="I416" s="204"/>
      <c r="J416" s="202"/>
      <c r="K416" s="202"/>
      <c r="L416" s="192" t="str">
        <f>IFERROR(__xludf.DUMMYFUNCTION("IF(
  AND(D416=""Saída"", J416=""Sangria""),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197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94" t="str">
        <f>IFERROR(__xludf.DUMMYFUNCTION("ifna(VALUE(REGEXEXTRACT(E416,""[0-9.]+[,]+[0-9]+"")))"),"")</f>
        <v/>
      </c>
      <c r="O416" s="194"/>
      <c r="P416" s="194"/>
      <c r="Q416" s="194"/>
      <c r="R416" s="194"/>
      <c r="S416" s="194"/>
      <c r="T416" s="194"/>
      <c r="U416" s="194"/>
      <c r="V416" s="194"/>
      <c r="W416" s="194"/>
    </row>
    <row r="417" ht="14.25" customHeight="1">
      <c r="A417" s="31"/>
      <c r="B417" s="287"/>
      <c r="C417" s="286"/>
      <c r="D417" s="204"/>
      <c r="E417" s="288"/>
      <c r="F417" s="204"/>
      <c r="G417" s="289"/>
      <c r="H417" s="204"/>
      <c r="I417" s="204"/>
      <c r="J417" s="202"/>
      <c r="K417" s="202"/>
      <c r="L417" s="192" t="str">
        <f>IFERROR(__xludf.DUMMYFUNCTION("IF(
  AND(D417=""Saída"", J417=""Sangria""),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198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94" t="str">
        <f>IFERROR(__xludf.DUMMYFUNCTION("ifna(VALUE(REGEXEXTRACT(E417,""[0-9.]+[,]+[0-9]+"")))"),"")</f>
        <v/>
      </c>
      <c r="O417" s="194"/>
      <c r="P417" s="194"/>
      <c r="Q417" s="194"/>
      <c r="R417" s="194"/>
      <c r="S417" s="194"/>
      <c r="T417" s="194"/>
      <c r="U417" s="194"/>
      <c r="V417" s="194"/>
      <c r="W417" s="194"/>
    </row>
    <row r="418" ht="14.25" customHeight="1">
      <c r="A418" s="31"/>
      <c r="B418" s="287"/>
      <c r="C418" s="286"/>
      <c r="D418" s="204"/>
      <c r="E418" s="288"/>
      <c r="F418" s="204"/>
      <c r="G418" s="289"/>
      <c r="H418" s="204"/>
      <c r="I418" s="204"/>
      <c r="J418" s="202"/>
      <c r="K418" s="202"/>
      <c r="L418" s="192" t="str">
        <f>IFERROR(__xludf.DUMMYFUNCTION("IF(
  AND(D418=""Saída"", J418=""Sangria""),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197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94" t="str">
        <f>IFERROR(__xludf.DUMMYFUNCTION("ifna(VALUE(REGEXEXTRACT(E418,""[0-9.]+[,]+[0-9]+"")))"),"")</f>
        <v/>
      </c>
      <c r="O418" s="194"/>
      <c r="P418" s="194"/>
      <c r="Q418" s="194"/>
      <c r="R418" s="194"/>
      <c r="S418" s="194"/>
      <c r="T418" s="194"/>
      <c r="U418" s="194"/>
      <c r="V418" s="194"/>
      <c r="W418" s="194"/>
    </row>
    <row r="419" ht="14.25" customHeight="1">
      <c r="A419" s="31"/>
      <c r="B419" s="287"/>
      <c r="C419" s="286"/>
      <c r="D419" s="204"/>
      <c r="E419" s="288"/>
      <c r="F419" s="204"/>
      <c r="G419" s="289"/>
      <c r="H419" s="204"/>
      <c r="I419" s="204"/>
      <c r="J419" s="202"/>
      <c r="K419" s="202"/>
      <c r="L419" s="192" t="str">
        <f>IFERROR(__xludf.DUMMYFUNCTION("IF(
  AND(D419=""Saída"", J419=""Sangria""),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198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94" t="str">
        <f>IFERROR(__xludf.DUMMYFUNCTION("ifna(VALUE(REGEXEXTRACT(E419,""[0-9.]+[,]+[0-9]+"")))"),"")</f>
        <v/>
      </c>
      <c r="O419" s="194"/>
      <c r="P419" s="194"/>
      <c r="Q419" s="194"/>
      <c r="R419" s="194"/>
      <c r="S419" s="194"/>
      <c r="T419" s="194"/>
      <c r="U419" s="194"/>
      <c r="V419" s="194"/>
      <c r="W419" s="194"/>
    </row>
    <row r="420" ht="14.25" customHeight="1">
      <c r="A420" s="31"/>
      <c r="B420" s="287"/>
      <c r="C420" s="286"/>
      <c r="D420" s="204"/>
      <c r="E420" s="288"/>
      <c r="F420" s="204"/>
      <c r="G420" s="289"/>
      <c r="H420" s="204"/>
      <c r="I420" s="204"/>
      <c r="J420" s="202"/>
      <c r="K420" s="202"/>
      <c r="L420" s="192" t="str">
        <f>IFERROR(__xludf.DUMMYFUNCTION("IF(
  AND(D420=""Saída"", J420=""Sangria""),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197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94" t="str">
        <f>IFERROR(__xludf.DUMMYFUNCTION("ifna(VALUE(REGEXEXTRACT(E420,""[0-9.]+[,]+[0-9]+"")))"),"")</f>
        <v/>
      </c>
      <c r="O420" s="194"/>
      <c r="P420" s="194"/>
      <c r="Q420" s="194"/>
      <c r="R420" s="194"/>
      <c r="S420" s="194"/>
      <c r="T420" s="194"/>
      <c r="U420" s="194"/>
      <c r="V420" s="194"/>
      <c r="W420" s="194"/>
    </row>
    <row r="421" ht="14.25" customHeight="1">
      <c r="A421" s="31"/>
      <c r="B421" s="287"/>
      <c r="C421" s="286"/>
      <c r="D421" s="204"/>
      <c r="E421" s="288"/>
      <c r="F421" s="204"/>
      <c r="G421" s="289"/>
      <c r="H421" s="204"/>
      <c r="I421" s="204"/>
      <c r="J421" s="202"/>
      <c r="K421" s="202"/>
      <c r="L421" s="192" t="str">
        <f>IFERROR(__xludf.DUMMYFUNCTION("IF(
  AND(D421=""Saída"", J421=""Sangria""),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198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94" t="str">
        <f>IFERROR(__xludf.DUMMYFUNCTION("ifna(VALUE(REGEXEXTRACT(E421,""[0-9.]+[,]+[0-9]+"")))"),"")</f>
        <v/>
      </c>
      <c r="O421" s="194"/>
      <c r="P421" s="194"/>
      <c r="Q421" s="194"/>
      <c r="R421" s="194"/>
      <c r="S421" s="194"/>
      <c r="T421" s="194"/>
      <c r="U421" s="194"/>
      <c r="V421" s="194"/>
      <c r="W421" s="194"/>
    </row>
    <row r="422" ht="14.25" customHeight="1">
      <c r="A422" s="31"/>
      <c r="B422" s="287"/>
      <c r="C422" s="286"/>
      <c r="D422" s="204"/>
      <c r="E422" s="288"/>
      <c r="F422" s="204"/>
      <c r="G422" s="289"/>
      <c r="H422" s="204"/>
      <c r="I422" s="204"/>
      <c r="J422" s="202"/>
      <c r="K422" s="202"/>
      <c r="L422" s="192" t="str">
        <f>IFERROR(__xludf.DUMMYFUNCTION("IF(
  AND(D422=""Saída"", J422=""Sangria""),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197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94" t="str">
        <f>IFERROR(__xludf.DUMMYFUNCTION("ifna(VALUE(REGEXEXTRACT(E422,""[0-9.]+[,]+[0-9]+"")))"),"")</f>
        <v/>
      </c>
      <c r="O422" s="194"/>
      <c r="P422" s="194"/>
      <c r="Q422" s="194"/>
      <c r="R422" s="194"/>
      <c r="S422" s="194"/>
      <c r="T422" s="194"/>
      <c r="U422" s="194"/>
      <c r="V422" s="194"/>
      <c r="W422" s="194"/>
    </row>
    <row r="423" ht="14.25" customHeight="1">
      <c r="A423" s="31"/>
      <c r="B423" s="287"/>
      <c r="C423" s="286"/>
      <c r="D423" s="204"/>
      <c r="E423" s="288"/>
      <c r="F423" s="204"/>
      <c r="G423" s="289"/>
      <c r="H423" s="204"/>
      <c r="I423" s="204"/>
      <c r="J423" s="202"/>
      <c r="K423" s="202"/>
      <c r="L423" s="192" t="str">
        <f>IFERROR(__xludf.DUMMYFUNCTION("IF(
  AND(D423=""Saída"", J423=""Sangria""),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198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94" t="str">
        <f>IFERROR(__xludf.DUMMYFUNCTION("ifna(VALUE(REGEXEXTRACT(E423,""[0-9.]+[,]+[0-9]+"")))"),"")</f>
        <v/>
      </c>
      <c r="O423" s="194"/>
      <c r="P423" s="194"/>
      <c r="Q423" s="194"/>
      <c r="R423" s="194"/>
      <c r="S423" s="194"/>
      <c r="T423" s="194"/>
      <c r="U423" s="194"/>
      <c r="V423" s="194"/>
      <c r="W423" s="194"/>
    </row>
    <row r="424" ht="14.25" customHeight="1">
      <c r="A424" s="31"/>
      <c r="B424" s="287"/>
      <c r="C424" s="286"/>
      <c r="D424" s="204"/>
      <c r="E424" s="288"/>
      <c r="F424" s="204"/>
      <c r="G424" s="289"/>
      <c r="H424" s="204"/>
      <c r="I424" s="204"/>
      <c r="J424" s="202"/>
      <c r="K424" s="202"/>
      <c r="L424" s="192" t="str">
        <f>IFERROR(__xludf.DUMMYFUNCTION("IF(
  AND(D424=""Saída"", J424=""Sangria""),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197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94" t="str">
        <f>IFERROR(__xludf.DUMMYFUNCTION("ifna(VALUE(REGEXEXTRACT(E424,""[0-9.]+[,]+[0-9]+"")))"),"")</f>
        <v/>
      </c>
      <c r="O424" s="194"/>
      <c r="P424" s="194"/>
      <c r="Q424" s="194"/>
      <c r="R424" s="194"/>
      <c r="S424" s="194"/>
      <c r="T424" s="194"/>
      <c r="U424" s="194"/>
      <c r="V424" s="194"/>
      <c r="W424" s="194"/>
    </row>
    <row r="425" ht="14.25" customHeight="1">
      <c r="A425" s="31"/>
      <c r="B425" s="287"/>
      <c r="C425" s="286"/>
      <c r="D425" s="204"/>
      <c r="E425" s="288"/>
      <c r="F425" s="204"/>
      <c r="G425" s="289"/>
      <c r="H425" s="204"/>
      <c r="I425" s="204"/>
      <c r="J425" s="202"/>
      <c r="K425" s="202"/>
      <c r="L425" s="192" t="str">
        <f>IFERROR(__xludf.DUMMYFUNCTION("IF(
  AND(D425=""Saída"", J425=""Sangria""),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198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94" t="str">
        <f>IFERROR(__xludf.DUMMYFUNCTION("ifna(VALUE(REGEXEXTRACT(E425,""[0-9.]+[,]+[0-9]+"")))"),"")</f>
        <v/>
      </c>
      <c r="O425" s="194"/>
      <c r="P425" s="194"/>
      <c r="Q425" s="194"/>
      <c r="R425" s="194"/>
      <c r="S425" s="194"/>
      <c r="T425" s="194"/>
      <c r="U425" s="194"/>
      <c r="V425" s="194"/>
      <c r="W425" s="194"/>
    </row>
    <row r="426" ht="14.25" customHeight="1">
      <c r="A426" s="31"/>
      <c r="B426" s="287"/>
      <c r="C426" s="286"/>
      <c r="D426" s="204"/>
      <c r="E426" s="288"/>
      <c r="F426" s="204"/>
      <c r="G426" s="289"/>
      <c r="H426" s="204"/>
      <c r="I426" s="204"/>
      <c r="J426" s="202"/>
      <c r="K426" s="202"/>
      <c r="L426" s="192" t="str">
        <f>IFERROR(__xludf.DUMMYFUNCTION("IF(
  AND(D426=""Saída"", J426=""Sangria""),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197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94" t="str">
        <f>IFERROR(__xludf.DUMMYFUNCTION("ifna(VALUE(REGEXEXTRACT(E426,""[0-9.]+[,]+[0-9]+"")))"),"")</f>
        <v/>
      </c>
      <c r="O426" s="194"/>
      <c r="P426" s="194"/>
      <c r="Q426" s="194"/>
      <c r="R426" s="194"/>
      <c r="S426" s="194"/>
      <c r="T426" s="194"/>
      <c r="U426" s="194"/>
      <c r="V426" s="194"/>
      <c r="W426" s="194"/>
    </row>
    <row r="427" ht="14.25" customHeight="1">
      <c r="A427" s="31"/>
      <c r="B427" s="287"/>
      <c r="C427" s="286"/>
      <c r="D427" s="204"/>
      <c r="E427" s="288"/>
      <c r="F427" s="204"/>
      <c r="G427" s="289"/>
      <c r="H427" s="204"/>
      <c r="I427" s="204"/>
      <c r="J427" s="202"/>
      <c r="K427" s="202"/>
      <c r="L427" s="192" t="str">
        <f>IFERROR(__xludf.DUMMYFUNCTION("IF(
  AND(D427=""Saída"", J427=""Sangria""),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198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94" t="str">
        <f>IFERROR(__xludf.DUMMYFUNCTION("ifna(VALUE(REGEXEXTRACT(E427,""[0-9.]+[,]+[0-9]+"")))"),"")</f>
        <v/>
      </c>
      <c r="O427" s="194"/>
      <c r="P427" s="194"/>
      <c r="Q427" s="194"/>
      <c r="R427" s="194"/>
      <c r="S427" s="194"/>
      <c r="T427" s="194"/>
      <c r="U427" s="194"/>
      <c r="V427" s="194"/>
      <c r="W427" s="194"/>
    </row>
    <row r="428" ht="14.25" customHeight="1">
      <c r="A428" s="31"/>
      <c r="B428" s="287"/>
      <c r="C428" s="286"/>
      <c r="D428" s="204"/>
      <c r="E428" s="288"/>
      <c r="F428" s="204"/>
      <c r="G428" s="289"/>
      <c r="H428" s="204"/>
      <c r="I428" s="204"/>
      <c r="J428" s="202"/>
      <c r="K428" s="202"/>
      <c r="L428" s="192" t="str">
        <f>IFERROR(__xludf.DUMMYFUNCTION("IF(
  AND(D428=""Saída"", J428=""Sangria""),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197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94" t="str">
        <f>IFERROR(__xludf.DUMMYFUNCTION("ifna(VALUE(REGEXEXTRACT(E428,""[0-9.]+[,]+[0-9]+"")))"),"")</f>
        <v/>
      </c>
      <c r="O428" s="194"/>
      <c r="P428" s="194"/>
      <c r="Q428" s="194"/>
      <c r="R428" s="194"/>
      <c r="S428" s="194"/>
      <c r="T428" s="194"/>
      <c r="U428" s="194"/>
      <c r="V428" s="194"/>
      <c r="W428" s="194"/>
    </row>
    <row r="429" ht="14.25" customHeight="1">
      <c r="A429" s="31"/>
      <c r="B429" s="287"/>
      <c r="C429" s="286"/>
      <c r="D429" s="204"/>
      <c r="E429" s="288"/>
      <c r="F429" s="204"/>
      <c r="G429" s="289"/>
      <c r="H429" s="204"/>
      <c r="I429" s="204"/>
      <c r="J429" s="202"/>
      <c r="K429" s="202"/>
      <c r="L429" s="192" t="str">
        <f>IFERROR(__xludf.DUMMYFUNCTION("IF(
  AND(D429=""Saída"", J429=""Sangria""),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198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94" t="str">
        <f>IFERROR(__xludf.DUMMYFUNCTION("ifna(VALUE(REGEXEXTRACT(E429,""[0-9.]+[,]+[0-9]+"")))"),"")</f>
        <v/>
      </c>
      <c r="O429" s="194"/>
      <c r="P429" s="194"/>
      <c r="Q429" s="194"/>
      <c r="R429" s="194"/>
      <c r="S429" s="194"/>
      <c r="T429" s="194"/>
      <c r="U429" s="194"/>
      <c r="V429" s="194"/>
      <c r="W429" s="194"/>
    </row>
    <row r="430" ht="14.25" customHeight="1">
      <c r="A430" s="31"/>
      <c r="B430" s="287"/>
      <c r="C430" s="286"/>
      <c r="D430" s="204"/>
      <c r="E430" s="288"/>
      <c r="F430" s="204"/>
      <c r="G430" s="289"/>
      <c r="H430" s="204"/>
      <c r="I430" s="204"/>
      <c r="J430" s="202"/>
      <c r="K430" s="202"/>
      <c r="L430" s="192" t="str">
        <f>IFERROR(__xludf.DUMMYFUNCTION("IF(
  AND(D430=""Saída"", J430=""Sangria""),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197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94" t="str">
        <f>IFERROR(__xludf.DUMMYFUNCTION("ifna(VALUE(REGEXEXTRACT(E430,""[0-9.]+[,]+[0-9]+"")))"),"")</f>
        <v/>
      </c>
      <c r="O430" s="194"/>
      <c r="P430" s="194"/>
      <c r="Q430" s="194"/>
      <c r="R430" s="194"/>
      <c r="S430" s="194"/>
      <c r="T430" s="194"/>
      <c r="U430" s="194"/>
      <c r="V430" s="194"/>
      <c r="W430" s="194"/>
    </row>
    <row r="431" ht="14.25" customHeight="1">
      <c r="A431" s="31"/>
      <c r="B431" s="287"/>
      <c r="C431" s="286"/>
      <c r="D431" s="204"/>
      <c r="E431" s="288"/>
      <c r="F431" s="204"/>
      <c r="G431" s="289"/>
      <c r="H431" s="204"/>
      <c r="I431" s="204"/>
      <c r="J431" s="202"/>
      <c r="K431" s="202"/>
      <c r="L431" s="192" t="str">
        <f>IFERROR(__xludf.DUMMYFUNCTION("IF(
  AND(D431=""Saída"", J431=""Sangria""),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198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94" t="str">
        <f>IFERROR(__xludf.DUMMYFUNCTION("ifna(VALUE(REGEXEXTRACT(E431,""[0-9.]+[,]+[0-9]+"")))"),"")</f>
        <v/>
      </c>
      <c r="O431" s="194"/>
      <c r="P431" s="194"/>
      <c r="Q431" s="194"/>
      <c r="R431" s="194"/>
      <c r="S431" s="194"/>
      <c r="T431" s="194"/>
      <c r="U431" s="194"/>
      <c r="V431" s="194"/>
      <c r="W431" s="194"/>
    </row>
    <row r="432" ht="14.25" customHeight="1">
      <c r="A432" s="31"/>
      <c r="B432" s="287"/>
      <c r="C432" s="286"/>
      <c r="D432" s="204"/>
      <c r="E432" s="288"/>
      <c r="F432" s="204"/>
      <c r="G432" s="289"/>
      <c r="H432" s="204"/>
      <c r="I432" s="204"/>
      <c r="J432" s="202"/>
      <c r="K432" s="202"/>
      <c r="L432" s="192" t="str">
        <f>IFERROR(__xludf.DUMMYFUNCTION("IF(
  AND(D432=""Saída"", J432=""Sangria""),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197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94" t="str">
        <f>IFERROR(__xludf.DUMMYFUNCTION("ifna(VALUE(REGEXEXTRACT(E432,""[0-9.]+[,]+[0-9]+"")))"),"")</f>
        <v/>
      </c>
      <c r="O432" s="194"/>
      <c r="P432" s="194"/>
      <c r="Q432" s="194"/>
      <c r="R432" s="194"/>
      <c r="S432" s="194"/>
      <c r="T432" s="194"/>
      <c r="U432" s="194"/>
      <c r="V432" s="194"/>
      <c r="W432" s="194"/>
    </row>
    <row r="433" ht="14.25" customHeight="1">
      <c r="A433" s="31"/>
      <c r="B433" s="287"/>
      <c r="C433" s="286"/>
      <c r="D433" s="204"/>
      <c r="E433" s="288"/>
      <c r="F433" s="204"/>
      <c r="G433" s="289"/>
      <c r="H433" s="204"/>
      <c r="I433" s="204"/>
      <c r="J433" s="202"/>
      <c r="K433" s="202"/>
      <c r="L433" s="192" t="str">
        <f>IFERROR(__xludf.DUMMYFUNCTION("IF(
  AND(D433=""Saída"", J433=""Sangria""),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198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94" t="str">
        <f>IFERROR(__xludf.DUMMYFUNCTION("ifna(VALUE(REGEXEXTRACT(E433,""[0-9.]+[,]+[0-9]+"")))"),"")</f>
        <v/>
      </c>
      <c r="O433" s="194"/>
      <c r="P433" s="194"/>
      <c r="Q433" s="194"/>
      <c r="R433" s="194"/>
      <c r="S433" s="194"/>
      <c r="T433" s="194"/>
      <c r="U433" s="194"/>
      <c r="V433" s="194"/>
      <c r="W433" s="194"/>
    </row>
    <row r="434" ht="14.25" customHeight="1">
      <c r="A434" s="31"/>
      <c r="B434" s="287"/>
      <c r="C434" s="286"/>
      <c r="D434" s="204"/>
      <c r="E434" s="288"/>
      <c r="F434" s="204"/>
      <c r="G434" s="289"/>
      <c r="H434" s="204"/>
      <c r="I434" s="204"/>
      <c r="J434" s="202"/>
      <c r="K434" s="202"/>
      <c r="L434" s="192" t="str">
        <f>IFERROR(__xludf.DUMMYFUNCTION("IF(
  AND(D434=""Saída"", J434=""Sangria""),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197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94" t="str">
        <f>IFERROR(__xludf.DUMMYFUNCTION("ifna(VALUE(REGEXEXTRACT(E434,""[0-9.]+[,]+[0-9]+"")))"),"")</f>
        <v/>
      </c>
      <c r="O434" s="194"/>
      <c r="P434" s="194"/>
      <c r="Q434" s="194"/>
      <c r="R434" s="194"/>
      <c r="S434" s="194"/>
      <c r="T434" s="194"/>
      <c r="U434" s="194"/>
      <c r="V434" s="194"/>
      <c r="W434" s="194"/>
    </row>
    <row r="435" ht="14.25" customHeight="1">
      <c r="A435" s="31"/>
      <c r="B435" s="287"/>
      <c r="C435" s="286"/>
      <c r="D435" s="204"/>
      <c r="E435" s="288"/>
      <c r="F435" s="204"/>
      <c r="G435" s="289"/>
      <c r="H435" s="204"/>
      <c r="I435" s="204"/>
      <c r="J435" s="202"/>
      <c r="K435" s="202"/>
      <c r="L435" s="192" t="str">
        <f>IFERROR(__xludf.DUMMYFUNCTION("IF(
  AND(D435=""Saída"", J435=""Sangria""),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198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94" t="str">
        <f>IFERROR(__xludf.DUMMYFUNCTION("ifna(VALUE(REGEXEXTRACT(E435,""[0-9.]+[,]+[0-9]+"")))"),"")</f>
        <v/>
      </c>
      <c r="O435" s="194"/>
      <c r="P435" s="194"/>
      <c r="Q435" s="194"/>
      <c r="R435" s="194"/>
      <c r="S435" s="194"/>
      <c r="T435" s="194"/>
      <c r="U435" s="194"/>
      <c r="V435" s="194"/>
      <c r="W435" s="194"/>
    </row>
    <row r="436" ht="14.25" customHeight="1">
      <c r="A436" s="31"/>
      <c r="B436" s="287"/>
      <c r="C436" s="286"/>
      <c r="D436" s="204"/>
      <c r="E436" s="288"/>
      <c r="F436" s="204"/>
      <c r="G436" s="289"/>
      <c r="H436" s="204"/>
      <c r="I436" s="204"/>
      <c r="J436" s="202"/>
      <c r="K436" s="202"/>
      <c r="L436" s="192" t="str">
        <f>IFERROR(__xludf.DUMMYFUNCTION("IF(
  AND(D436=""Saída"", J436=""Sangria""),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197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94" t="str">
        <f>IFERROR(__xludf.DUMMYFUNCTION("ifna(VALUE(REGEXEXTRACT(E436,""[0-9.]+[,]+[0-9]+"")))"),"")</f>
        <v/>
      </c>
      <c r="O436" s="194"/>
      <c r="P436" s="194"/>
      <c r="Q436" s="194"/>
      <c r="R436" s="194"/>
      <c r="S436" s="194"/>
      <c r="T436" s="194"/>
      <c r="U436" s="194"/>
      <c r="V436" s="194"/>
      <c r="W436" s="194"/>
    </row>
    <row r="437" ht="14.25" customHeight="1">
      <c r="A437" s="31"/>
      <c r="B437" s="287"/>
      <c r="C437" s="286"/>
      <c r="D437" s="204"/>
      <c r="E437" s="288"/>
      <c r="F437" s="204"/>
      <c r="G437" s="289"/>
      <c r="H437" s="204"/>
      <c r="I437" s="204"/>
      <c r="J437" s="202"/>
      <c r="K437" s="202"/>
      <c r="L437" s="192" t="str">
        <f>IFERROR(__xludf.DUMMYFUNCTION("IF(
  AND(D437=""Saída"", J437=""Sangria""),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198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94" t="str">
        <f>IFERROR(__xludf.DUMMYFUNCTION("ifna(VALUE(REGEXEXTRACT(E437,""[0-9.]+[,]+[0-9]+"")))"),"")</f>
        <v/>
      </c>
      <c r="O437" s="194"/>
      <c r="P437" s="194"/>
      <c r="Q437" s="194"/>
      <c r="R437" s="194"/>
      <c r="S437" s="194"/>
      <c r="T437" s="194"/>
      <c r="U437" s="194"/>
      <c r="V437" s="194"/>
      <c r="W437" s="194"/>
    </row>
    <row r="438" ht="14.25" customHeight="1">
      <c r="A438" s="31"/>
      <c r="B438" s="287"/>
      <c r="C438" s="286"/>
      <c r="D438" s="204"/>
      <c r="E438" s="288"/>
      <c r="F438" s="204"/>
      <c r="G438" s="289"/>
      <c r="H438" s="204"/>
      <c r="I438" s="204"/>
      <c r="J438" s="202"/>
      <c r="K438" s="202"/>
      <c r="L438" s="192" t="str">
        <f>IFERROR(__xludf.DUMMYFUNCTION("IF(
  AND(D438=""Saída"", J438=""Sangria""),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197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94" t="str">
        <f>IFERROR(__xludf.DUMMYFUNCTION("ifna(VALUE(REGEXEXTRACT(E438,""[0-9.]+[,]+[0-9]+"")))"),"")</f>
        <v/>
      </c>
      <c r="O438" s="194"/>
      <c r="P438" s="194"/>
      <c r="Q438" s="194"/>
      <c r="R438" s="194"/>
      <c r="S438" s="194"/>
      <c r="T438" s="194"/>
      <c r="U438" s="194"/>
      <c r="V438" s="194"/>
      <c r="W438" s="194"/>
    </row>
    <row r="439" ht="14.25" customHeight="1">
      <c r="A439" s="31"/>
      <c r="B439" s="287"/>
      <c r="C439" s="286"/>
      <c r="D439" s="204"/>
      <c r="E439" s="288"/>
      <c r="F439" s="204"/>
      <c r="G439" s="289"/>
      <c r="H439" s="204"/>
      <c r="I439" s="204"/>
      <c r="J439" s="202"/>
      <c r="K439" s="202"/>
      <c r="L439" s="192" t="str">
        <f>IFERROR(__xludf.DUMMYFUNCTION("IF(
  AND(D439=""Saída"", J439=""Sangria""),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198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94" t="str">
        <f>IFERROR(__xludf.DUMMYFUNCTION("ifna(VALUE(REGEXEXTRACT(E439,""[0-9.]+[,]+[0-9]+"")))"),"")</f>
        <v/>
      </c>
      <c r="O439" s="194"/>
      <c r="P439" s="194"/>
      <c r="Q439" s="194"/>
      <c r="R439" s="194"/>
      <c r="S439" s="194"/>
      <c r="T439" s="194"/>
      <c r="U439" s="194"/>
      <c r="V439" s="194"/>
      <c r="W439" s="194"/>
    </row>
    <row r="440" ht="14.25" customHeight="1">
      <c r="A440" s="31"/>
      <c r="B440" s="287"/>
      <c r="C440" s="286"/>
      <c r="D440" s="204"/>
      <c r="E440" s="288"/>
      <c r="F440" s="204"/>
      <c r="G440" s="289"/>
      <c r="H440" s="204"/>
      <c r="I440" s="204"/>
      <c r="J440" s="202"/>
      <c r="K440" s="202"/>
      <c r="L440" s="192" t="str">
        <f>IFERROR(__xludf.DUMMYFUNCTION("IF(
  AND(D440=""Saída"", J440=""Sangria""),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197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94" t="str">
        <f>IFERROR(__xludf.DUMMYFUNCTION("ifna(VALUE(REGEXEXTRACT(E440,""[0-9.]+[,]+[0-9]+"")))"),"")</f>
        <v/>
      </c>
      <c r="O440" s="194"/>
      <c r="P440" s="194"/>
      <c r="Q440" s="194"/>
      <c r="R440" s="194"/>
      <c r="S440" s="194"/>
      <c r="T440" s="194"/>
      <c r="U440" s="194"/>
      <c r="V440" s="194"/>
      <c r="W440" s="194"/>
    </row>
    <row r="441" ht="14.25" customHeight="1">
      <c r="A441" s="31"/>
      <c r="B441" s="287"/>
      <c r="C441" s="286"/>
      <c r="D441" s="204"/>
      <c r="E441" s="288"/>
      <c r="F441" s="204"/>
      <c r="G441" s="289"/>
      <c r="H441" s="204"/>
      <c r="I441" s="204"/>
      <c r="J441" s="202"/>
      <c r="K441" s="202"/>
      <c r="L441" s="192" t="str">
        <f>IFERROR(__xludf.DUMMYFUNCTION("IF(
  AND(D441=""Saída"", J441=""Sangria""),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198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94" t="str">
        <f>IFERROR(__xludf.DUMMYFUNCTION("ifna(VALUE(REGEXEXTRACT(E441,""[0-9.]+[,]+[0-9]+"")))"),"")</f>
        <v/>
      </c>
      <c r="O441" s="194"/>
      <c r="P441" s="194"/>
      <c r="Q441" s="194"/>
      <c r="R441" s="194"/>
      <c r="S441" s="194"/>
      <c r="T441" s="194"/>
      <c r="U441" s="194"/>
      <c r="V441" s="194"/>
      <c r="W441" s="194"/>
    </row>
    <row r="442" ht="14.25" customHeight="1">
      <c r="A442" s="31"/>
      <c r="B442" s="287"/>
      <c r="C442" s="286"/>
      <c r="D442" s="204"/>
      <c r="E442" s="288"/>
      <c r="F442" s="204"/>
      <c r="G442" s="289"/>
      <c r="H442" s="204"/>
      <c r="I442" s="204"/>
      <c r="J442" s="202"/>
      <c r="K442" s="202"/>
      <c r="L442" s="192" t="str">
        <f>IFERROR(__xludf.DUMMYFUNCTION("IF(
  AND(D442=""Saída"", J442=""Sangria""),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197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94" t="str">
        <f>IFERROR(__xludf.DUMMYFUNCTION("ifna(VALUE(REGEXEXTRACT(E442,""[0-9.]+[,]+[0-9]+"")))"),"")</f>
        <v/>
      </c>
      <c r="O442" s="194"/>
      <c r="P442" s="194"/>
      <c r="Q442" s="194"/>
      <c r="R442" s="194"/>
      <c r="S442" s="194"/>
      <c r="T442" s="194"/>
      <c r="U442" s="194"/>
      <c r="V442" s="194"/>
      <c r="W442" s="194"/>
    </row>
    <row r="443" ht="14.25" customHeight="1">
      <c r="A443" s="31"/>
      <c r="B443" s="287"/>
      <c r="C443" s="286"/>
      <c r="D443" s="204"/>
      <c r="E443" s="288"/>
      <c r="F443" s="204"/>
      <c r="G443" s="289"/>
      <c r="H443" s="204"/>
      <c r="I443" s="204"/>
      <c r="J443" s="202"/>
      <c r="K443" s="202"/>
      <c r="L443" s="192" t="str">
        <f>IFERROR(__xludf.DUMMYFUNCTION("IF(
  AND(D443=""Saída"", J443=""Sangria""),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198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94" t="str">
        <f>IFERROR(__xludf.DUMMYFUNCTION("ifna(VALUE(REGEXEXTRACT(E443,""[0-9.]+[,]+[0-9]+"")))"),"")</f>
        <v/>
      </c>
      <c r="O443" s="194"/>
      <c r="P443" s="194"/>
      <c r="Q443" s="194"/>
      <c r="R443" s="194"/>
      <c r="S443" s="194"/>
      <c r="T443" s="194"/>
      <c r="U443" s="194"/>
      <c r="V443" s="194"/>
      <c r="W443" s="194"/>
    </row>
    <row r="444" ht="14.25" customHeight="1">
      <c r="A444" s="31"/>
      <c r="B444" s="287"/>
      <c r="C444" s="286"/>
      <c r="D444" s="204"/>
      <c r="E444" s="288"/>
      <c r="F444" s="204"/>
      <c r="G444" s="289"/>
      <c r="H444" s="204"/>
      <c r="I444" s="204"/>
      <c r="J444" s="202"/>
      <c r="K444" s="202"/>
      <c r="L444" s="192" t="str">
        <f>IFERROR(__xludf.DUMMYFUNCTION("IF(
  AND(D444=""Saída"", J444=""Sangria""),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197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94" t="str">
        <f>IFERROR(__xludf.DUMMYFUNCTION("ifna(VALUE(REGEXEXTRACT(E444,""[0-9.]+[,]+[0-9]+"")))"),"")</f>
        <v/>
      </c>
      <c r="O444" s="194"/>
      <c r="P444" s="194"/>
      <c r="Q444" s="194"/>
      <c r="R444" s="194"/>
      <c r="S444" s="194"/>
      <c r="T444" s="194"/>
      <c r="U444" s="194"/>
      <c r="V444" s="194"/>
      <c r="W444" s="194"/>
    </row>
    <row r="445" ht="14.25" customHeight="1">
      <c r="A445" s="31"/>
      <c r="B445" s="287"/>
      <c r="C445" s="286"/>
      <c r="D445" s="204"/>
      <c r="E445" s="288"/>
      <c r="F445" s="204"/>
      <c r="G445" s="289"/>
      <c r="H445" s="204"/>
      <c r="I445" s="204"/>
      <c r="J445" s="202"/>
      <c r="K445" s="202"/>
      <c r="L445" s="192" t="str">
        <f>IFERROR(__xludf.DUMMYFUNCTION("IF(
  AND(D445=""Saída"", J445=""Sangria""),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198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94" t="str">
        <f>IFERROR(__xludf.DUMMYFUNCTION("ifna(VALUE(REGEXEXTRACT(E445,""[0-9.]+[,]+[0-9]+"")))"),"")</f>
        <v/>
      </c>
      <c r="O445" s="194"/>
      <c r="P445" s="194"/>
      <c r="Q445" s="194"/>
      <c r="R445" s="194"/>
      <c r="S445" s="194"/>
      <c r="T445" s="194"/>
      <c r="U445" s="194"/>
      <c r="V445" s="194"/>
      <c r="W445" s="194"/>
    </row>
    <row r="446" ht="14.25" customHeight="1">
      <c r="A446" s="31"/>
      <c r="B446" s="287"/>
      <c r="C446" s="286"/>
      <c r="D446" s="204"/>
      <c r="E446" s="288"/>
      <c r="F446" s="204"/>
      <c r="G446" s="289"/>
      <c r="H446" s="204"/>
      <c r="I446" s="204"/>
      <c r="J446" s="202"/>
      <c r="K446" s="202"/>
      <c r="L446" s="192" t="str">
        <f>IFERROR(__xludf.DUMMYFUNCTION("IF(
  AND(D446=""Saída"", J446=""Sangria""),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197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94" t="str">
        <f>IFERROR(__xludf.DUMMYFUNCTION("ifna(VALUE(REGEXEXTRACT(E446,""[0-9.]+[,]+[0-9]+"")))"),"")</f>
        <v/>
      </c>
      <c r="O446" s="194"/>
      <c r="P446" s="194"/>
      <c r="Q446" s="194"/>
      <c r="R446" s="194"/>
      <c r="S446" s="194"/>
      <c r="T446" s="194"/>
      <c r="U446" s="194"/>
      <c r="V446" s="194"/>
      <c r="W446" s="194"/>
    </row>
    <row r="447" ht="14.25" customHeight="1">
      <c r="A447" s="31"/>
      <c r="B447" s="287"/>
      <c r="C447" s="286"/>
      <c r="D447" s="204"/>
      <c r="E447" s="288"/>
      <c r="F447" s="204"/>
      <c r="G447" s="289"/>
      <c r="H447" s="204"/>
      <c r="I447" s="204"/>
      <c r="J447" s="202"/>
      <c r="K447" s="202"/>
      <c r="L447" s="192" t="str">
        <f>IFERROR(__xludf.DUMMYFUNCTION("IF(
  AND(D447=""Saída"", J447=""Sangria""),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198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94" t="str">
        <f>IFERROR(__xludf.DUMMYFUNCTION("ifna(VALUE(REGEXEXTRACT(E447,""[0-9.]+[,]+[0-9]+"")))"),"")</f>
        <v/>
      </c>
      <c r="O447" s="194"/>
      <c r="P447" s="194"/>
      <c r="Q447" s="194"/>
      <c r="R447" s="194"/>
      <c r="S447" s="194"/>
      <c r="T447" s="194"/>
      <c r="U447" s="194"/>
      <c r="V447" s="194"/>
      <c r="W447" s="194"/>
    </row>
    <row r="448" ht="14.25" customHeight="1">
      <c r="A448" s="31"/>
      <c r="B448" s="287"/>
      <c r="C448" s="286"/>
      <c r="D448" s="204"/>
      <c r="E448" s="288"/>
      <c r="F448" s="204"/>
      <c r="G448" s="289"/>
      <c r="H448" s="204"/>
      <c r="I448" s="204"/>
      <c r="J448" s="202"/>
      <c r="K448" s="202"/>
      <c r="L448" s="192" t="str">
        <f>IFERROR(__xludf.DUMMYFUNCTION("IF(
  AND(D448=""Saída"", J448=""Sangria""),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197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94" t="str">
        <f>IFERROR(__xludf.DUMMYFUNCTION("ifna(VALUE(REGEXEXTRACT(E448,""[0-9.]+[,]+[0-9]+"")))"),"")</f>
        <v/>
      </c>
      <c r="O448" s="194"/>
      <c r="P448" s="194"/>
      <c r="Q448" s="194"/>
      <c r="R448" s="194"/>
      <c r="S448" s="194"/>
      <c r="T448" s="194"/>
      <c r="U448" s="194"/>
      <c r="V448" s="194"/>
      <c r="W448" s="194"/>
    </row>
    <row r="449" ht="14.25" customHeight="1">
      <c r="A449" s="31"/>
      <c r="B449" s="287"/>
      <c r="C449" s="286"/>
      <c r="D449" s="204"/>
      <c r="E449" s="288"/>
      <c r="F449" s="204"/>
      <c r="G449" s="289"/>
      <c r="H449" s="204"/>
      <c r="I449" s="204"/>
      <c r="J449" s="202"/>
      <c r="K449" s="202"/>
      <c r="L449" s="192" t="str">
        <f>IFERROR(__xludf.DUMMYFUNCTION("IF(
  AND(D449=""Saída"", J449=""Sangria""),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198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94" t="str">
        <f>IFERROR(__xludf.DUMMYFUNCTION("ifna(VALUE(REGEXEXTRACT(E449,""[0-9.]+[,]+[0-9]+"")))"),"")</f>
        <v/>
      </c>
      <c r="O449" s="194"/>
      <c r="P449" s="194"/>
      <c r="Q449" s="194"/>
      <c r="R449" s="194"/>
      <c r="S449" s="194"/>
      <c r="T449" s="194"/>
      <c r="U449" s="194"/>
      <c r="V449" s="194"/>
      <c r="W449" s="194"/>
    </row>
    <row r="450" ht="14.25" customHeight="1">
      <c r="A450" s="31"/>
      <c r="B450" s="287"/>
      <c r="C450" s="286"/>
      <c r="D450" s="204"/>
      <c r="E450" s="288"/>
      <c r="F450" s="204"/>
      <c r="G450" s="289"/>
      <c r="H450" s="204"/>
      <c r="I450" s="204"/>
      <c r="J450" s="202"/>
      <c r="K450" s="202"/>
      <c r="L450" s="192" t="str">
        <f>IFERROR(__xludf.DUMMYFUNCTION("IF(
  AND(D450=""Saída"", J450=""Sangria""),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197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94" t="str">
        <f>IFERROR(__xludf.DUMMYFUNCTION("ifna(VALUE(REGEXEXTRACT(E450,""[0-9.]+[,]+[0-9]+"")))"),"")</f>
        <v/>
      </c>
      <c r="O450" s="194"/>
      <c r="P450" s="194"/>
      <c r="Q450" s="194"/>
      <c r="R450" s="194"/>
      <c r="S450" s="194"/>
      <c r="T450" s="194"/>
      <c r="U450" s="194"/>
      <c r="V450" s="194"/>
      <c r="W450" s="194"/>
    </row>
    <row r="451" ht="14.25" customHeight="1">
      <c r="A451" s="31"/>
      <c r="B451" s="287"/>
      <c r="C451" s="286"/>
      <c r="D451" s="204"/>
      <c r="E451" s="288"/>
      <c r="F451" s="204"/>
      <c r="G451" s="289"/>
      <c r="H451" s="204"/>
      <c r="I451" s="204"/>
      <c r="J451" s="202"/>
      <c r="K451" s="202"/>
      <c r="L451" s="192" t="str">
        <f>IFERROR(__xludf.DUMMYFUNCTION("IF(
  AND(D451=""Saída"", J451=""Sangria""),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198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94" t="str">
        <f>IFERROR(__xludf.DUMMYFUNCTION("ifna(VALUE(REGEXEXTRACT(E451,""[0-9.]+[,]+[0-9]+"")))"),"")</f>
        <v/>
      </c>
      <c r="O451" s="194"/>
      <c r="P451" s="194"/>
      <c r="Q451" s="194"/>
      <c r="R451" s="194"/>
      <c r="S451" s="194"/>
      <c r="T451" s="194"/>
      <c r="U451" s="194"/>
      <c r="V451" s="194"/>
      <c r="W451" s="194"/>
    </row>
    <row r="452" ht="14.25" customHeight="1">
      <c r="A452" s="31"/>
      <c r="B452" s="287"/>
      <c r="C452" s="286"/>
      <c r="D452" s="204"/>
      <c r="E452" s="288"/>
      <c r="F452" s="204"/>
      <c r="G452" s="289"/>
      <c r="H452" s="204"/>
      <c r="I452" s="204"/>
      <c r="J452" s="202"/>
      <c r="K452" s="202"/>
      <c r="L452" s="192" t="str">
        <f>IFERROR(__xludf.DUMMYFUNCTION("IF(
  AND(D452=""Saída"", J452=""Sangria""),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197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94" t="str">
        <f>IFERROR(__xludf.DUMMYFUNCTION("ifna(VALUE(REGEXEXTRACT(E452,""[0-9.]+[,]+[0-9]+"")))"),"")</f>
        <v/>
      </c>
      <c r="O452" s="194"/>
      <c r="P452" s="194"/>
      <c r="Q452" s="194"/>
      <c r="R452" s="194"/>
      <c r="S452" s="194"/>
      <c r="T452" s="194"/>
      <c r="U452" s="194"/>
      <c r="V452" s="194"/>
      <c r="W452" s="194"/>
    </row>
    <row r="453" ht="14.25" customHeight="1">
      <c r="A453" s="31"/>
      <c r="B453" s="287"/>
      <c r="C453" s="286"/>
      <c r="D453" s="204"/>
      <c r="E453" s="288"/>
      <c r="F453" s="204"/>
      <c r="G453" s="289"/>
      <c r="H453" s="204"/>
      <c r="I453" s="204"/>
      <c r="J453" s="202"/>
      <c r="K453" s="202"/>
      <c r="L453" s="192" t="str">
        <f>IFERROR(__xludf.DUMMYFUNCTION("IF(
  AND(D453=""Saída"", J453=""Sangria""),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198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94" t="str">
        <f>IFERROR(__xludf.DUMMYFUNCTION("ifna(VALUE(REGEXEXTRACT(E453,""[0-9.]+[,]+[0-9]+"")))"),"")</f>
        <v/>
      </c>
      <c r="O453" s="194"/>
      <c r="P453" s="194"/>
      <c r="Q453" s="194"/>
      <c r="R453" s="194"/>
      <c r="S453" s="194"/>
      <c r="T453" s="194"/>
      <c r="U453" s="194"/>
      <c r="V453" s="194"/>
      <c r="W453" s="194"/>
    </row>
    <row r="454" ht="14.25" customHeight="1">
      <c r="A454" s="31"/>
      <c r="B454" s="287"/>
      <c r="C454" s="286"/>
      <c r="D454" s="204"/>
      <c r="E454" s="288"/>
      <c r="F454" s="204"/>
      <c r="G454" s="289"/>
      <c r="H454" s="204"/>
      <c r="I454" s="204"/>
      <c r="J454" s="202"/>
      <c r="K454" s="202"/>
      <c r="L454" s="192" t="str">
        <f>IFERROR(__xludf.DUMMYFUNCTION("IF(
  AND(D454=""Saída"", J454=""Sangria""),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197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94" t="str">
        <f>IFERROR(__xludf.DUMMYFUNCTION("ifna(VALUE(REGEXEXTRACT(E454,""[0-9.]+[,]+[0-9]+"")))"),"")</f>
        <v/>
      </c>
      <c r="O454" s="194"/>
      <c r="P454" s="194"/>
      <c r="Q454" s="194"/>
      <c r="R454" s="194"/>
      <c r="S454" s="194"/>
      <c r="T454" s="194"/>
      <c r="U454" s="194"/>
      <c r="V454" s="194"/>
      <c r="W454" s="194"/>
    </row>
    <row r="455" ht="14.25" customHeight="1">
      <c r="A455" s="31"/>
      <c r="B455" s="287"/>
      <c r="C455" s="286"/>
      <c r="D455" s="204"/>
      <c r="E455" s="288"/>
      <c r="F455" s="204"/>
      <c r="G455" s="289"/>
      <c r="H455" s="204"/>
      <c r="I455" s="204"/>
      <c r="J455" s="202"/>
      <c r="K455" s="202"/>
      <c r="L455" s="192" t="str">
        <f>IFERROR(__xludf.DUMMYFUNCTION("IF(
  AND(D455=""Saída"", J455=""Sangria""),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198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94" t="str">
        <f>IFERROR(__xludf.DUMMYFUNCTION("ifna(VALUE(REGEXEXTRACT(E455,""[0-9.]+[,]+[0-9]+"")))"),"")</f>
        <v/>
      </c>
      <c r="O455" s="194"/>
      <c r="P455" s="194"/>
      <c r="Q455" s="194"/>
      <c r="R455" s="194"/>
      <c r="S455" s="194"/>
      <c r="T455" s="194"/>
      <c r="U455" s="194"/>
      <c r="V455" s="194"/>
      <c r="W455" s="194"/>
    </row>
    <row r="456" ht="14.25" customHeight="1">
      <c r="A456" s="31"/>
      <c r="B456" s="287"/>
      <c r="C456" s="286"/>
      <c r="D456" s="204"/>
      <c r="E456" s="288"/>
      <c r="F456" s="204"/>
      <c r="G456" s="289"/>
      <c r="H456" s="204"/>
      <c r="I456" s="204"/>
      <c r="J456" s="202"/>
      <c r="K456" s="202"/>
      <c r="L456" s="192" t="str">
        <f>IFERROR(__xludf.DUMMYFUNCTION("IF(
  AND(D456=""Saída"", J456=""Sangria""),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197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94" t="str">
        <f>IFERROR(__xludf.DUMMYFUNCTION("ifna(VALUE(REGEXEXTRACT(E456,""[0-9.]+[,]+[0-9]+"")))"),"")</f>
        <v/>
      </c>
      <c r="O456" s="194"/>
      <c r="P456" s="194"/>
      <c r="Q456" s="194"/>
      <c r="R456" s="194"/>
      <c r="S456" s="194"/>
      <c r="T456" s="194"/>
      <c r="U456" s="194"/>
      <c r="V456" s="194"/>
      <c r="W456" s="194"/>
    </row>
    <row r="457" ht="14.25" customHeight="1">
      <c r="A457" s="31"/>
      <c r="B457" s="287"/>
      <c r="C457" s="286"/>
      <c r="D457" s="204"/>
      <c r="E457" s="288"/>
      <c r="F457" s="204"/>
      <c r="G457" s="289"/>
      <c r="H457" s="204"/>
      <c r="I457" s="204"/>
      <c r="J457" s="202"/>
      <c r="K457" s="202"/>
      <c r="L457" s="192" t="str">
        <f>IFERROR(__xludf.DUMMYFUNCTION("IF(
  AND(D457=""Saída"", J457=""Sangria""),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198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94" t="str">
        <f>IFERROR(__xludf.DUMMYFUNCTION("ifna(VALUE(REGEXEXTRACT(E457,""[0-9.]+[,]+[0-9]+"")))"),"")</f>
        <v/>
      </c>
      <c r="O457" s="194"/>
      <c r="P457" s="194"/>
      <c r="Q457" s="194"/>
      <c r="R457" s="194"/>
      <c r="S457" s="194"/>
      <c r="T457" s="194"/>
      <c r="U457" s="194"/>
      <c r="V457" s="194"/>
      <c r="W457" s="194"/>
    </row>
    <row r="458" ht="14.25" customHeight="1">
      <c r="A458" s="31"/>
      <c r="B458" s="287"/>
      <c r="C458" s="286"/>
      <c r="D458" s="204"/>
      <c r="E458" s="288"/>
      <c r="F458" s="204"/>
      <c r="G458" s="289"/>
      <c r="H458" s="204"/>
      <c r="I458" s="204"/>
      <c r="J458" s="202"/>
      <c r="K458" s="202"/>
      <c r="L458" s="192" t="str">
        <f>IFERROR(__xludf.DUMMYFUNCTION("IF(
  AND(D458=""Saída"", J458=""Sangria""),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197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94" t="str">
        <f>IFERROR(__xludf.DUMMYFUNCTION("ifna(VALUE(REGEXEXTRACT(E458,""[0-9.]+[,]+[0-9]+"")))"),"")</f>
        <v/>
      </c>
      <c r="O458" s="194"/>
      <c r="P458" s="194"/>
      <c r="Q458" s="194"/>
      <c r="R458" s="194"/>
      <c r="S458" s="194"/>
      <c r="T458" s="194"/>
      <c r="U458" s="194"/>
      <c r="V458" s="194"/>
      <c r="W458" s="194"/>
    </row>
    <row r="459" ht="14.25" customHeight="1">
      <c r="A459" s="31"/>
      <c r="B459" s="287"/>
      <c r="C459" s="286"/>
      <c r="D459" s="204"/>
      <c r="E459" s="288"/>
      <c r="F459" s="204"/>
      <c r="G459" s="289"/>
      <c r="H459" s="204"/>
      <c r="I459" s="204"/>
      <c r="J459" s="202"/>
      <c r="K459" s="202"/>
      <c r="L459" s="192" t="str">
        <f>IFERROR(__xludf.DUMMYFUNCTION("IF(
  AND(D459=""Saída"", J459=""Sangria""),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198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94" t="str">
        <f>IFERROR(__xludf.DUMMYFUNCTION("ifna(VALUE(REGEXEXTRACT(E459,""[0-9.]+[,]+[0-9]+"")))"),"")</f>
        <v/>
      </c>
      <c r="O459" s="194"/>
      <c r="P459" s="194"/>
      <c r="Q459" s="194"/>
      <c r="R459" s="194"/>
      <c r="S459" s="194"/>
      <c r="T459" s="194"/>
      <c r="U459" s="194"/>
      <c r="V459" s="194"/>
      <c r="W459" s="194"/>
    </row>
    <row r="460" ht="14.25" customHeight="1">
      <c r="A460" s="31"/>
      <c r="B460" s="287"/>
      <c r="C460" s="286"/>
      <c r="D460" s="204"/>
      <c r="E460" s="288"/>
      <c r="F460" s="204"/>
      <c r="G460" s="289"/>
      <c r="H460" s="204"/>
      <c r="I460" s="204"/>
      <c r="J460" s="202"/>
      <c r="K460" s="202"/>
      <c r="L460" s="192" t="str">
        <f>IFERROR(__xludf.DUMMYFUNCTION("IF(
  AND(D460=""Saída"", J460=""Sangria""),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197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94" t="str">
        <f>IFERROR(__xludf.DUMMYFUNCTION("ifna(VALUE(REGEXEXTRACT(E460,""[0-9.]+[,]+[0-9]+"")))"),"")</f>
        <v/>
      </c>
      <c r="O460" s="194"/>
      <c r="P460" s="194"/>
      <c r="Q460" s="194"/>
      <c r="R460" s="194"/>
      <c r="S460" s="194"/>
      <c r="T460" s="194"/>
      <c r="U460" s="194"/>
      <c r="V460" s="194"/>
      <c r="W460" s="194"/>
    </row>
    <row r="461" ht="14.25" customHeight="1">
      <c r="A461" s="31"/>
      <c r="B461" s="287"/>
      <c r="C461" s="286"/>
      <c r="D461" s="204"/>
      <c r="E461" s="288"/>
      <c r="F461" s="204"/>
      <c r="G461" s="289"/>
      <c r="H461" s="204"/>
      <c r="I461" s="204"/>
      <c r="J461" s="202"/>
      <c r="K461" s="202"/>
      <c r="L461" s="192" t="str">
        <f>IFERROR(__xludf.DUMMYFUNCTION("IF(
  AND(D461=""Saída"", J461=""Sangria""),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198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94" t="str">
        <f>IFERROR(__xludf.DUMMYFUNCTION("ifna(VALUE(REGEXEXTRACT(E461,""[0-9.]+[,]+[0-9]+"")))"),"")</f>
        <v/>
      </c>
      <c r="O461" s="194"/>
      <c r="P461" s="194"/>
      <c r="Q461" s="194"/>
      <c r="R461" s="194"/>
      <c r="S461" s="194"/>
      <c r="T461" s="194"/>
      <c r="U461" s="194"/>
      <c r="V461" s="194"/>
      <c r="W461" s="194"/>
    </row>
    <row r="462" ht="14.25" customHeight="1">
      <c r="A462" s="31"/>
      <c r="B462" s="287"/>
      <c r="C462" s="286"/>
      <c r="D462" s="204"/>
      <c r="E462" s="288"/>
      <c r="F462" s="204"/>
      <c r="G462" s="289"/>
      <c r="H462" s="204"/>
      <c r="I462" s="204"/>
      <c r="J462" s="202"/>
      <c r="K462" s="202"/>
      <c r="L462" s="192" t="str">
        <f>IFERROR(__xludf.DUMMYFUNCTION("IF(
  AND(D462=""Saída"", J462=""Sangria""),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197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94" t="str">
        <f>IFERROR(__xludf.DUMMYFUNCTION("ifna(VALUE(REGEXEXTRACT(E462,""[0-9.]+[,]+[0-9]+"")))"),"")</f>
        <v/>
      </c>
      <c r="O462" s="194"/>
      <c r="P462" s="194"/>
      <c r="Q462" s="194"/>
      <c r="R462" s="194"/>
      <c r="S462" s="194"/>
      <c r="T462" s="194"/>
      <c r="U462" s="194"/>
      <c r="V462" s="194"/>
      <c r="W462" s="194"/>
    </row>
    <row r="463" ht="14.25" customHeight="1">
      <c r="A463" s="31"/>
      <c r="B463" s="287"/>
      <c r="C463" s="286"/>
      <c r="D463" s="204"/>
      <c r="E463" s="288"/>
      <c r="F463" s="204"/>
      <c r="G463" s="289"/>
      <c r="H463" s="204"/>
      <c r="I463" s="204"/>
      <c r="J463" s="202"/>
      <c r="K463" s="202"/>
      <c r="L463" s="192" t="str">
        <f>IFERROR(__xludf.DUMMYFUNCTION("IF(
  AND(D463=""Saída"", J463=""Sangria""),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198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94" t="str">
        <f>IFERROR(__xludf.DUMMYFUNCTION("ifna(VALUE(REGEXEXTRACT(E463,""[0-9.]+[,]+[0-9]+"")))"),"")</f>
        <v/>
      </c>
      <c r="O463" s="194"/>
      <c r="P463" s="194"/>
      <c r="Q463" s="194"/>
      <c r="R463" s="194"/>
      <c r="S463" s="194"/>
      <c r="T463" s="194"/>
      <c r="U463" s="194"/>
      <c r="V463" s="194"/>
      <c r="W463" s="194"/>
    </row>
    <row r="464" ht="14.25" customHeight="1">
      <c r="A464" s="31"/>
      <c r="B464" s="287"/>
      <c r="C464" s="286"/>
      <c r="D464" s="204"/>
      <c r="E464" s="288"/>
      <c r="F464" s="204"/>
      <c r="G464" s="289"/>
      <c r="H464" s="204"/>
      <c r="I464" s="204"/>
      <c r="J464" s="202"/>
      <c r="K464" s="202"/>
      <c r="L464" s="192" t="str">
        <f>IFERROR(__xludf.DUMMYFUNCTION("IF(
  AND(D464=""Saída"", J464=""Sangria""),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197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94" t="str">
        <f>IFERROR(__xludf.DUMMYFUNCTION("ifna(VALUE(REGEXEXTRACT(E464,""[0-9.]+[,]+[0-9]+"")))"),"")</f>
        <v/>
      </c>
      <c r="O464" s="194"/>
      <c r="P464" s="194"/>
      <c r="Q464" s="194"/>
      <c r="R464" s="194"/>
      <c r="S464" s="194"/>
      <c r="T464" s="194"/>
      <c r="U464" s="194"/>
      <c r="V464" s="194"/>
      <c r="W464" s="194"/>
    </row>
    <row r="465" ht="14.25" customHeight="1">
      <c r="A465" s="31"/>
      <c r="B465" s="287"/>
      <c r="C465" s="286"/>
      <c r="D465" s="204"/>
      <c r="E465" s="288"/>
      <c r="F465" s="204"/>
      <c r="G465" s="289"/>
      <c r="H465" s="204"/>
      <c r="I465" s="204"/>
      <c r="J465" s="202"/>
      <c r="K465" s="202"/>
      <c r="L465" s="192" t="str">
        <f>IFERROR(__xludf.DUMMYFUNCTION("IF(
  AND(D465=""Saída"", J465=""Sangria""),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198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94" t="str">
        <f>IFERROR(__xludf.DUMMYFUNCTION("ifna(VALUE(REGEXEXTRACT(E465,""[0-9.]+[,]+[0-9]+"")))"),"")</f>
        <v/>
      </c>
      <c r="O465" s="194"/>
      <c r="P465" s="194"/>
      <c r="Q465" s="194"/>
      <c r="R465" s="194"/>
      <c r="S465" s="194"/>
      <c r="T465" s="194"/>
      <c r="U465" s="194"/>
      <c r="V465" s="194"/>
      <c r="W465" s="194"/>
    </row>
    <row r="466" ht="14.25" customHeight="1">
      <c r="A466" s="31"/>
      <c r="B466" s="287"/>
      <c r="C466" s="286"/>
      <c r="D466" s="204"/>
      <c r="E466" s="288"/>
      <c r="F466" s="204"/>
      <c r="G466" s="289"/>
      <c r="H466" s="204"/>
      <c r="I466" s="204"/>
      <c r="J466" s="202"/>
      <c r="K466" s="202"/>
      <c r="L466" s="192" t="str">
        <f>IFERROR(__xludf.DUMMYFUNCTION("IF(
  AND(D466=""Saída"", J466=""Sangria""),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197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94" t="str">
        <f>IFERROR(__xludf.DUMMYFUNCTION("ifna(VALUE(REGEXEXTRACT(E466,""[0-9.]+[,]+[0-9]+"")))"),"")</f>
        <v/>
      </c>
      <c r="O466" s="194"/>
      <c r="P466" s="194"/>
      <c r="Q466" s="194"/>
      <c r="R466" s="194"/>
      <c r="S466" s="194"/>
      <c r="T466" s="194"/>
      <c r="U466" s="194"/>
      <c r="V466" s="194"/>
      <c r="W466" s="194"/>
    </row>
    <row r="467" ht="14.25" customHeight="1">
      <c r="A467" s="31"/>
      <c r="B467" s="287"/>
      <c r="C467" s="286"/>
      <c r="D467" s="204"/>
      <c r="E467" s="288"/>
      <c r="F467" s="204"/>
      <c r="G467" s="289"/>
      <c r="H467" s="204"/>
      <c r="I467" s="204"/>
      <c r="J467" s="202"/>
      <c r="K467" s="202"/>
      <c r="L467" s="192" t="str">
        <f>IFERROR(__xludf.DUMMYFUNCTION("IF(
  AND(D467=""Saída"", J467=""Sangria""),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198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94" t="str">
        <f>IFERROR(__xludf.DUMMYFUNCTION("ifna(VALUE(REGEXEXTRACT(E467,""[0-9.]+[,]+[0-9]+"")))"),"")</f>
        <v/>
      </c>
      <c r="O467" s="194"/>
      <c r="P467" s="194"/>
      <c r="Q467" s="194"/>
      <c r="R467" s="194"/>
      <c r="S467" s="194"/>
      <c r="T467" s="194"/>
      <c r="U467" s="194"/>
      <c r="V467" s="194"/>
      <c r="W467" s="194"/>
    </row>
    <row r="468" ht="14.25" customHeight="1">
      <c r="A468" s="31"/>
      <c r="B468" s="287"/>
      <c r="C468" s="286"/>
      <c r="D468" s="204"/>
      <c r="E468" s="288"/>
      <c r="F468" s="204"/>
      <c r="G468" s="289"/>
      <c r="H468" s="204"/>
      <c r="I468" s="204"/>
      <c r="J468" s="202"/>
      <c r="K468" s="202"/>
      <c r="L468" s="192" t="str">
        <f>IFERROR(__xludf.DUMMYFUNCTION("IF(
  AND(D468=""Saída"", J468=""Sangria""),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197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94" t="str">
        <f>IFERROR(__xludf.DUMMYFUNCTION("ifna(VALUE(REGEXEXTRACT(E468,""[0-9.]+[,]+[0-9]+"")))"),"")</f>
        <v/>
      </c>
      <c r="O468" s="194"/>
      <c r="P468" s="194"/>
      <c r="Q468" s="194"/>
      <c r="R468" s="194"/>
      <c r="S468" s="194"/>
      <c r="T468" s="194"/>
      <c r="U468" s="194"/>
      <c r="V468" s="194"/>
      <c r="W468" s="194"/>
    </row>
    <row r="469" ht="14.25" customHeight="1">
      <c r="A469" s="31"/>
      <c r="B469" s="287"/>
      <c r="C469" s="286"/>
      <c r="D469" s="204"/>
      <c r="E469" s="288"/>
      <c r="F469" s="204"/>
      <c r="G469" s="289"/>
      <c r="H469" s="204"/>
      <c r="I469" s="204"/>
      <c r="J469" s="202"/>
      <c r="K469" s="202"/>
      <c r="L469" s="192" t="str">
        <f>IFERROR(__xludf.DUMMYFUNCTION("IF(
  AND(D469=""Saída"", J469=""Sangria""),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198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94" t="str">
        <f>IFERROR(__xludf.DUMMYFUNCTION("ifna(VALUE(REGEXEXTRACT(E469,""[0-9.]+[,]+[0-9]+"")))"),"")</f>
        <v/>
      </c>
      <c r="O469" s="194"/>
      <c r="P469" s="194"/>
      <c r="Q469" s="194"/>
      <c r="R469" s="194"/>
      <c r="S469" s="194"/>
      <c r="T469" s="194"/>
      <c r="U469" s="194"/>
      <c r="V469" s="194"/>
      <c r="W469" s="194"/>
    </row>
    <row r="470" ht="14.25" customHeight="1">
      <c r="A470" s="31"/>
      <c r="B470" s="287"/>
      <c r="C470" s="286"/>
      <c r="D470" s="204"/>
      <c r="E470" s="288"/>
      <c r="F470" s="204"/>
      <c r="G470" s="289"/>
      <c r="H470" s="204"/>
      <c r="I470" s="204"/>
      <c r="J470" s="202"/>
      <c r="K470" s="202"/>
      <c r="L470" s="192" t="str">
        <f>IFERROR(__xludf.DUMMYFUNCTION("IF(
  AND(D470=""Saída"", J470=""Sangria""),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197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94" t="str">
        <f>IFERROR(__xludf.DUMMYFUNCTION("ifna(VALUE(REGEXEXTRACT(E470,""[0-9.]+[,]+[0-9]+"")))"),"")</f>
        <v/>
      </c>
      <c r="O470" s="194"/>
      <c r="P470" s="194"/>
      <c r="Q470" s="194"/>
      <c r="R470" s="194"/>
      <c r="S470" s="194"/>
      <c r="T470" s="194"/>
      <c r="U470" s="194"/>
      <c r="V470" s="194"/>
      <c r="W470" s="194"/>
    </row>
    <row r="471" ht="14.25" customHeight="1">
      <c r="A471" s="31"/>
      <c r="B471" s="287"/>
      <c r="C471" s="286"/>
      <c r="D471" s="204"/>
      <c r="E471" s="288"/>
      <c r="F471" s="204"/>
      <c r="G471" s="289"/>
      <c r="H471" s="204"/>
      <c r="I471" s="204"/>
      <c r="J471" s="202"/>
      <c r="K471" s="202"/>
      <c r="L471" s="192" t="str">
        <f>IFERROR(__xludf.DUMMYFUNCTION("IF(
  AND(D471=""Saída"", J471=""Sangria""),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198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94" t="str">
        <f>IFERROR(__xludf.DUMMYFUNCTION("ifna(VALUE(REGEXEXTRACT(E471,""[0-9.]+[,]+[0-9]+"")))"),"")</f>
        <v/>
      </c>
      <c r="O471" s="194"/>
      <c r="P471" s="194"/>
      <c r="Q471" s="194"/>
      <c r="R471" s="194"/>
      <c r="S471" s="194"/>
      <c r="T471" s="194"/>
      <c r="U471" s="194"/>
      <c r="V471" s="194"/>
      <c r="W471" s="194"/>
    </row>
    <row r="472" ht="14.25" customHeight="1">
      <c r="A472" s="31"/>
      <c r="B472" s="287"/>
      <c r="C472" s="286"/>
      <c r="D472" s="204"/>
      <c r="E472" s="288"/>
      <c r="F472" s="204"/>
      <c r="G472" s="289"/>
      <c r="H472" s="204"/>
      <c r="I472" s="204"/>
      <c r="J472" s="202"/>
      <c r="K472" s="202"/>
      <c r="L472" s="192" t="str">
        <f>IFERROR(__xludf.DUMMYFUNCTION("IF(
  AND(D472=""Saída"", J472=""Sangria""),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197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94" t="str">
        <f>IFERROR(__xludf.DUMMYFUNCTION("ifna(VALUE(REGEXEXTRACT(E472,""[0-9.]+[,]+[0-9]+"")))"),"")</f>
        <v/>
      </c>
      <c r="O472" s="194"/>
      <c r="P472" s="194"/>
      <c r="Q472" s="194"/>
      <c r="R472" s="194"/>
      <c r="S472" s="194"/>
      <c r="T472" s="194"/>
      <c r="U472" s="194"/>
      <c r="V472" s="194"/>
      <c r="W472" s="194"/>
    </row>
    <row r="473" ht="14.25" customHeight="1">
      <c r="A473" s="31"/>
      <c r="B473" s="287"/>
      <c r="C473" s="286"/>
      <c r="D473" s="204"/>
      <c r="E473" s="288"/>
      <c r="F473" s="204"/>
      <c r="G473" s="289"/>
      <c r="H473" s="204"/>
      <c r="I473" s="204"/>
      <c r="J473" s="202"/>
      <c r="K473" s="202"/>
      <c r="L473" s="192" t="str">
        <f>IFERROR(__xludf.DUMMYFUNCTION("IF(
  AND(D473=""Saída"", J473=""Sangria""),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198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94" t="str">
        <f>IFERROR(__xludf.DUMMYFUNCTION("ifna(VALUE(REGEXEXTRACT(E473,""[0-9.]+[,]+[0-9]+"")))"),"")</f>
        <v/>
      </c>
      <c r="O473" s="194"/>
      <c r="P473" s="194"/>
      <c r="Q473" s="194"/>
      <c r="R473" s="194"/>
      <c r="S473" s="194"/>
      <c r="T473" s="194"/>
      <c r="U473" s="194"/>
      <c r="V473" s="194"/>
      <c r="W473" s="194"/>
    </row>
    <row r="474" ht="14.25" customHeight="1">
      <c r="A474" s="31"/>
      <c r="B474" s="287"/>
      <c r="C474" s="286"/>
      <c r="D474" s="204"/>
      <c r="E474" s="288"/>
      <c r="F474" s="204"/>
      <c r="G474" s="289"/>
      <c r="H474" s="204"/>
      <c r="I474" s="204"/>
      <c r="J474" s="202"/>
      <c r="K474" s="202"/>
      <c r="L474" s="192" t="str">
        <f>IFERROR(__xludf.DUMMYFUNCTION("IF(
  AND(D474=""Saída"", J474=""Sangria""),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197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94" t="str">
        <f>IFERROR(__xludf.DUMMYFUNCTION("ifna(VALUE(REGEXEXTRACT(E474,""[0-9.]+[,]+[0-9]+"")))"),"")</f>
        <v/>
      </c>
      <c r="O474" s="194"/>
      <c r="P474" s="194"/>
      <c r="Q474" s="194"/>
      <c r="R474" s="194"/>
      <c r="S474" s="194"/>
      <c r="T474" s="194"/>
      <c r="U474" s="194"/>
      <c r="V474" s="194"/>
      <c r="W474" s="194"/>
    </row>
    <row r="475" ht="14.25" customHeight="1">
      <c r="A475" s="31"/>
      <c r="B475" s="287"/>
      <c r="C475" s="286"/>
      <c r="D475" s="204"/>
      <c r="E475" s="288"/>
      <c r="F475" s="204"/>
      <c r="G475" s="289"/>
      <c r="H475" s="204"/>
      <c r="I475" s="204"/>
      <c r="J475" s="202"/>
      <c r="K475" s="202"/>
      <c r="L475" s="192" t="str">
        <f>IFERROR(__xludf.DUMMYFUNCTION("IF(
  AND(D475=""Saída"", J475=""Sangria""),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198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94" t="str">
        <f>IFERROR(__xludf.DUMMYFUNCTION("ifna(VALUE(REGEXEXTRACT(E475,""[0-9.]+[,]+[0-9]+"")))"),"")</f>
        <v/>
      </c>
      <c r="O475" s="194"/>
      <c r="P475" s="194"/>
      <c r="Q475" s="194"/>
      <c r="R475" s="194"/>
      <c r="S475" s="194"/>
      <c r="T475" s="194"/>
      <c r="U475" s="194"/>
      <c r="V475" s="194"/>
      <c r="W475" s="194"/>
    </row>
    <row r="476" ht="14.25" customHeight="1">
      <c r="A476" s="31"/>
      <c r="B476" s="287"/>
      <c r="C476" s="286"/>
      <c r="D476" s="204"/>
      <c r="E476" s="288"/>
      <c r="F476" s="204"/>
      <c r="G476" s="289"/>
      <c r="H476" s="204"/>
      <c r="I476" s="204"/>
      <c r="J476" s="202"/>
      <c r="K476" s="202"/>
      <c r="L476" s="192" t="str">
        <f>IFERROR(__xludf.DUMMYFUNCTION("IF(
  AND(D476=""Saída"", J476=""Sangria""),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197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94" t="str">
        <f>IFERROR(__xludf.DUMMYFUNCTION("ifna(VALUE(REGEXEXTRACT(E476,""[0-9.]+[,]+[0-9]+"")))"),"")</f>
        <v/>
      </c>
      <c r="O476" s="194"/>
      <c r="P476" s="194"/>
      <c r="Q476" s="194"/>
      <c r="R476" s="194"/>
      <c r="S476" s="194"/>
      <c r="T476" s="194"/>
      <c r="U476" s="194"/>
      <c r="V476" s="194"/>
      <c r="W476" s="194"/>
    </row>
    <row r="477" ht="14.25" customHeight="1">
      <c r="A477" s="31"/>
      <c r="B477" s="287"/>
      <c r="C477" s="286"/>
      <c r="D477" s="204"/>
      <c r="E477" s="288"/>
      <c r="F477" s="204"/>
      <c r="G477" s="289"/>
      <c r="H477" s="204"/>
      <c r="I477" s="204"/>
      <c r="J477" s="202"/>
      <c r="K477" s="202"/>
      <c r="L477" s="192" t="str">
        <f>IFERROR(__xludf.DUMMYFUNCTION("IF(
  AND(D477=""Saída"", J477=""Sangria""),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198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94" t="str">
        <f>IFERROR(__xludf.DUMMYFUNCTION("ifna(VALUE(REGEXEXTRACT(E477,""[0-9.]+[,]+[0-9]+"")))"),"")</f>
        <v/>
      </c>
      <c r="O477" s="194"/>
      <c r="P477" s="194"/>
      <c r="Q477" s="194"/>
      <c r="R477" s="194"/>
      <c r="S477" s="194"/>
      <c r="T477" s="194"/>
      <c r="U477" s="194"/>
      <c r="V477" s="194"/>
      <c r="W477" s="194"/>
    </row>
    <row r="478" ht="14.25" customHeight="1">
      <c r="A478" s="31"/>
      <c r="B478" s="287"/>
      <c r="C478" s="286"/>
      <c r="D478" s="204"/>
      <c r="E478" s="288"/>
      <c r="F478" s="204"/>
      <c r="G478" s="289"/>
      <c r="H478" s="204"/>
      <c r="I478" s="204"/>
      <c r="J478" s="202"/>
      <c r="K478" s="202"/>
      <c r="L478" s="192" t="str">
        <f>IFERROR(__xludf.DUMMYFUNCTION("IF(
  AND(D478=""Saída"", J478=""Sangria""),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197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94" t="str">
        <f>IFERROR(__xludf.DUMMYFUNCTION("ifna(VALUE(REGEXEXTRACT(E478,""[0-9.]+[,]+[0-9]+"")))"),"")</f>
        <v/>
      </c>
      <c r="O478" s="194"/>
      <c r="P478" s="194"/>
      <c r="Q478" s="194"/>
      <c r="R478" s="194"/>
      <c r="S478" s="194"/>
      <c r="T478" s="194"/>
      <c r="U478" s="194"/>
      <c r="V478" s="194"/>
      <c r="W478" s="194"/>
    </row>
    <row r="479" ht="14.25" customHeight="1">
      <c r="A479" s="31"/>
      <c r="B479" s="287"/>
      <c r="C479" s="286"/>
      <c r="D479" s="204"/>
      <c r="E479" s="288"/>
      <c r="F479" s="204"/>
      <c r="G479" s="289"/>
      <c r="H479" s="204"/>
      <c r="I479" s="204"/>
      <c r="J479" s="202"/>
      <c r="K479" s="202"/>
      <c r="L479" s="192" t="str">
        <f>IFERROR(__xludf.DUMMYFUNCTION("IF(
  AND(D479=""Saída"", J479=""Sangria""),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198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94" t="str">
        <f>IFERROR(__xludf.DUMMYFUNCTION("ifna(VALUE(REGEXEXTRACT(E479,""[0-9.]+[,]+[0-9]+"")))"),"")</f>
        <v/>
      </c>
      <c r="O479" s="194"/>
      <c r="P479" s="194"/>
      <c r="Q479" s="194"/>
      <c r="R479" s="194"/>
      <c r="S479" s="194"/>
      <c r="T479" s="194"/>
      <c r="U479" s="194"/>
      <c r="V479" s="194"/>
      <c r="W479" s="194"/>
    </row>
    <row r="480" ht="14.25" customHeight="1">
      <c r="A480" s="31"/>
      <c r="B480" s="287"/>
      <c r="C480" s="286"/>
      <c r="D480" s="204"/>
      <c r="E480" s="288"/>
      <c r="F480" s="204"/>
      <c r="G480" s="289"/>
      <c r="H480" s="204"/>
      <c r="I480" s="204"/>
      <c r="J480" s="202"/>
      <c r="K480" s="202"/>
      <c r="L480" s="192" t="str">
        <f>IFERROR(__xludf.DUMMYFUNCTION("IF(
  AND(D480=""Saída"", J480=""Sangria""),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197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94" t="str">
        <f>IFERROR(__xludf.DUMMYFUNCTION("ifna(VALUE(REGEXEXTRACT(E480,""[0-9.]+[,]+[0-9]+"")))"),"")</f>
        <v/>
      </c>
      <c r="O480" s="194"/>
      <c r="P480" s="194"/>
      <c r="Q480" s="194"/>
      <c r="R480" s="194"/>
      <c r="S480" s="194"/>
      <c r="T480" s="194"/>
      <c r="U480" s="194"/>
      <c r="V480" s="194"/>
      <c r="W480" s="194"/>
    </row>
    <row r="481" ht="14.25" customHeight="1">
      <c r="A481" s="31"/>
      <c r="B481" s="287"/>
      <c r="C481" s="286"/>
      <c r="D481" s="204"/>
      <c r="E481" s="288"/>
      <c r="F481" s="204"/>
      <c r="G481" s="289"/>
      <c r="H481" s="204"/>
      <c r="I481" s="204"/>
      <c r="J481" s="202"/>
      <c r="K481" s="202"/>
      <c r="L481" s="192" t="str">
        <f>IFERROR(__xludf.DUMMYFUNCTION("IF(
  AND(D481=""Saída"", J481=""Sangria""),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198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94" t="str">
        <f>IFERROR(__xludf.DUMMYFUNCTION("ifna(VALUE(REGEXEXTRACT(E481,""[0-9.]+[,]+[0-9]+"")))"),"")</f>
        <v/>
      </c>
      <c r="O481" s="194"/>
      <c r="P481" s="194"/>
      <c r="Q481" s="194"/>
      <c r="R481" s="194"/>
      <c r="S481" s="194"/>
      <c r="T481" s="194"/>
      <c r="U481" s="194"/>
      <c r="V481" s="194"/>
      <c r="W481" s="194"/>
    </row>
    <row r="482" ht="14.25" customHeight="1">
      <c r="A482" s="31"/>
      <c r="B482" s="287"/>
      <c r="C482" s="286"/>
      <c r="D482" s="204"/>
      <c r="E482" s="288"/>
      <c r="F482" s="204"/>
      <c r="G482" s="289"/>
      <c r="H482" s="204"/>
      <c r="I482" s="204"/>
      <c r="J482" s="202"/>
      <c r="K482" s="202"/>
      <c r="L482" s="192" t="str">
        <f>IFERROR(__xludf.DUMMYFUNCTION("IF(
  AND(D482=""Saída"", J482=""Sangria""),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197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94" t="str">
        <f>IFERROR(__xludf.DUMMYFUNCTION("ifna(VALUE(REGEXEXTRACT(E482,""[0-9.]+[,]+[0-9]+"")))"),"")</f>
        <v/>
      </c>
      <c r="O482" s="194"/>
      <c r="P482" s="194"/>
      <c r="Q482" s="194"/>
      <c r="R482" s="194"/>
      <c r="S482" s="194"/>
      <c r="T482" s="194"/>
      <c r="U482" s="194"/>
      <c r="V482" s="194"/>
      <c r="W482" s="194"/>
    </row>
    <row r="483" ht="14.25" customHeight="1">
      <c r="A483" s="31"/>
      <c r="B483" s="287"/>
      <c r="C483" s="286"/>
      <c r="D483" s="204"/>
      <c r="E483" s="288"/>
      <c r="F483" s="204"/>
      <c r="G483" s="289"/>
      <c r="H483" s="204"/>
      <c r="I483" s="204"/>
      <c r="J483" s="202"/>
      <c r="K483" s="202"/>
      <c r="L483" s="192" t="str">
        <f>IFERROR(__xludf.DUMMYFUNCTION("IF(
  AND(D483=""Saída"", J483=""Sangria""),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198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94" t="str">
        <f>IFERROR(__xludf.DUMMYFUNCTION("ifna(VALUE(REGEXEXTRACT(E483,""[0-9.]+[,]+[0-9]+"")))"),"")</f>
        <v/>
      </c>
      <c r="O483" s="194"/>
      <c r="P483" s="194"/>
      <c r="Q483" s="194"/>
      <c r="R483" s="194"/>
      <c r="S483" s="194"/>
      <c r="T483" s="194"/>
      <c r="U483" s="194"/>
      <c r="V483" s="194"/>
      <c r="W483" s="194"/>
    </row>
    <row r="484" ht="14.25" customHeight="1">
      <c r="A484" s="31"/>
      <c r="B484" s="287"/>
      <c r="C484" s="286"/>
      <c r="D484" s="204"/>
      <c r="E484" s="288"/>
      <c r="F484" s="204"/>
      <c r="G484" s="289"/>
      <c r="H484" s="204"/>
      <c r="I484" s="204"/>
      <c r="J484" s="202"/>
      <c r="K484" s="202"/>
      <c r="L484" s="192" t="str">
        <f>IFERROR(__xludf.DUMMYFUNCTION("IF(
  AND(D484=""Saída"", J484=""Sangria""),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197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94" t="str">
        <f>IFERROR(__xludf.DUMMYFUNCTION("ifna(VALUE(REGEXEXTRACT(E484,""[0-9.]+[,]+[0-9]+"")))"),"")</f>
        <v/>
      </c>
      <c r="O484" s="194"/>
      <c r="P484" s="194"/>
      <c r="Q484" s="194"/>
      <c r="R484" s="194"/>
      <c r="S484" s="194"/>
      <c r="T484" s="194"/>
      <c r="U484" s="194"/>
      <c r="V484" s="194"/>
      <c r="W484" s="194"/>
    </row>
    <row r="485" ht="14.25" customHeight="1">
      <c r="A485" s="31"/>
      <c r="B485" s="287"/>
      <c r="C485" s="286"/>
      <c r="D485" s="204"/>
      <c r="E485" s="288"/>
      <c r="F485" s="204"/>
      <c r="G485" s="289"/>
      <c r="H485" s="204"/>
      <c r="I485" s="204"/>
      <c r="J485" s="202"/>
      <c r="K485" s="202"/>
      <c r="L485" s="192" t="str">
        <f>IFERROR(__xludf.DUMMYFUNCTION("IF(
  AND(D485=""Saída"", J485=""Sangria""),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198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94" t="str">
        <f>IFERROR(__xludf.DUMMYFUNCTION("ifna(VALUE(REGEXEXTRACT(E485,""[0-9.]+[,]+[0-9]+"")))"),"")</f>
        <v/>
      </c>
      <c r="O485" s="194"/>
      <c r="P485" s="194"/>
      <c r="Q485" s="194"/>
      <c r="R485" s="194"/>
      <c r="S485" s="194"/>
      <c r="T485" s="194"/>
      <c r="U485" s="194"/>
      <c r="V485" s="194"/>
      <c r="W485" s="194"/>
    </row>
    <row r="486" ht="14.25" customHeight="1">
      <c r="A486" s="31"/>
      <c r="B486" s="287"/>
      <c r="C486" s="286"/>
      <c r="D486" s="204"/>
      <c r="E486" s="288"/>
      <c r="F486" s="204"/>
      <c r="G486" s="289"/>
      <c r="H486" s="204"/>
      <c r="I486" s="204"/>
      <c r="J486" s="202"/>
      <c r="K486" s="202"/>
      <c r="L486" s="192" t="str">
        <f>IFERROR(__xludf.DUMMYFUNCTION("IF(
  AND(D486=""Saída"", J486=""Sangria""),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197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94" t="str">
        <f>IFERROR(__xludf.DUMMYFUNCTION("ifna(VALUE(REGEXEXTRACT(E486,""[0-9.]+[,]+[0-9]+"")))"),"")</f>
        <v/>
      </c>
      <c r="O486" s="194"/>
      <c r="P486" s="194"/>
      <c r="Q486" s="194"/>
      <c r="R486" s="194"/>
      <c r="S486" s="194"/>
      <c r="T486" s="194"/>
      <c r="U486" s="194"/>
      <c r="V486" s="194"/>
      <c r="W486" s="194"/>
    </row>
    <row r="487" ht="14.25" customHeight="1">
      <c r="A487" s="31"/>
      <c r="B487" s="287"/>
      <c r="C487" s="286"/>
      <c r="D487" s="204"/>
      <c r="E487" s="288"/>
      <c r="F487" s="204"/>
      <c r="G487" s="289"/>
      <c r="H487" s="204"/>
      <c r="I487" s="204"/>
      <c r="J487" s="202"/>
      <c r="K487" s="202"/>
      <c r="L487" s="192" t="str">
        <f>IFERROR(__xludf.DUMMYFUNCTION("IF(
  AND(D487=""Saída"", J487=""Sangria""),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198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94" t="str">
        <f>IFERROR(__xludf.DUMMYFUNCTION("ifna(VALUE(REGEXEXTRACT(E487,""[0-9.]+[,]+[0-9]+"")))"),"")</f>
        <v/>
      </c>
      <c r="O487" s="194"/>
      <c r="P487" s="194"/>
      <c r="Q487" s="194"/>
      <c r="R487" s="194"/>
      <c r="S487" s="194"/>
      <c r="T487" s="194"/>
      <c r="U487" s="194"/>
      <c r="V487" s="194"/>
      <c r="W487" s="194"/>
    </row>
    <row r="488" ht="14.25" customHeight="1">
      <c r="A488" s="31"/>
      <c r="B488" s="287"/>
      <c r="C488" s="286"/>
      <c r="D488" s="204"/>
      <c r="E488" s="288"/>
      <c r="F488" s="204"/>
      <c r="G488" s="289"/>
      <c r="H488" s="204"/>
      <c r="I488" s="204"/>
      <c r="J488" s="202"/>
      <c r="K488" s="202"/>
      <c r="L488" s="192" t="str">
        <f>IFERROR(__xludf.DUMMYFUNCTION("IF(
  AND(D488=""Saída"", J488=""Sangria""),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197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94" t="str">
        <f>IFERROR(__xludf.DUMMYFUNCTION("ifna(VALUE(REGEXEXTRACT(E488,""[0-9.]+[,]+[0-9]+"")))"),"")</f>
        <v/>
      </c>
      <c r="O488" s="194"/>
      <c r="P488" s="194"/>
      <c r="Q488" s="194"/>
      <c r="R488" s="194"/>
      <c r="S488" s="194"/>
      <c r="T488" s="194"/>
      <c r="U488" s="194"/>
      <c r="V488" s="194"/>
      <c r="W488" s="194"/>
    </row>
    <row r="489" ht="14.25" customHeight="1">
      <c r="A489" s="31"/>
      <c r="B489" s="287"/>
      <c r="C489" s="286"/>
      <c r="D489" s="204"/>
      <c r="E489" s="288"/>
      <c r="F489" s="204"/>
      <c r="G489" s="289"/>
      <c r="H489" s="204"/>
      <c r="I489" s="204"/>
      <c r="J489" s="202"/>
      <c r="K489" s="202"/>
      <c r="L489" s="192" t="str">
        <f>IFERROR(__xludf.DUMMYFUNCTION("IF(
  AND(D489=""Saída"", J489=""Sangria""),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198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94" t="str">
        <f>IFERROR(__xludf.DUMMYFUNCTION("ifna(VALUE(REGEXEXTRACT(E489,""[0-9.]+[,]+[0-9]+"")))"),"")</f>
        <v/>
      </c>
      <c r="O489" s="194"/>
      <c r="P489" s="194"/>
      <c r="Q489" s="194"/>
      <c r="R489" s="194"/>
      <c r="S489" s="194"/>
      <c r="T489" s="194"/>
      <c r="U489" s="194"/>
      <c r="V489" s="194"/>
      <c r="W489" s="194"/>
    </row>
    <row r="490" ht="14.25" customHeight="1">
      <c r="A490" s="31"/>
      <c r="B490" s="287"/>
      <c r="C490" s="286"/>
      <c r="D490" s="204"/>
      <c r="E490" s="288"/>
      <c r="F490" s="204"/>
      <c r="G490" s="289"/>
      <c r="H490" s="204"/>
      <c r="I490" s="204"/>
      <c r="J490" s="202"/>
      <c r="K490" s="202"/>
      <c r="L490" s="192" t="str">
        <f>IFERROR(__xludf.DUMMYFUNCTION("IF(
  AND(D490=""Saída"", J490=""Sangria""),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197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94" t="str">
        <f>IFERROR(__xludf.DUMMYFUNCTION("ifna(VALUE(REGEXEXTRACT(E490,""[0-9.]+[,]+[0-9]+"")))"),"")</f>
        <v/>
      </c>
      <c r="O490" s="194"/>
      <c r="P490" s="194"/>
      <c r="Q490" s="194"/>
      <c r="R490" s="194"/>
      <c r="S490" s="194"/>
      <c r="T490" s="194"/>
      <c r="U490" s="194"/>
      <c r="V490" s="194"/>
      <c r="W490" s="194"/>
    </row>
    <row r="491" ht="14.25" customHeight="1">
      <c r="A491" s="31"/>
      <c r="B491" s="287"/>
      <c r="C491" s="286"/>
      <c r="D491" s="204"/>
      <c r="E491" s="288"/>
      <c r="F491" s="204"/>
      <c r="G491" s="289"/>
      <c r="H491" s="204"/>
      <c r="I491" s="204"/>
      <c r="J491" s="202"/>
      <c r="K491" s="202"/>
      <c r="L491" s="192" t="str">
        <f>IFERROR(__xludf.DUMMYFUNCTION("IF(
  AND(D491=""Saída"", J491=""Sangria""),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198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94" t="str">
        <f>IFERROR(__xludf.DUMMYFUNCTION("ifna(VALUE(REGEXEXTRACT(E491,""[0-9.]+[,]+[0-9]+"")))"),"")</f>
        <v/>
      </c>
      <c r="O491" s="194"/>
      <c r="P491" s="194"/>
      <c r="Q491" s="194"/>
      <c r="R491" s="194"/>
      <c r="S491" s="194"/>
      <c r="T491" s="194"/>
      <c r="U491" s="194"/>
      <c r="V491" s="194"/>
      <c r="W491" s="194"/>
    </row>
    <row r="492" ht="14.25" customHeight="1">
      <c r="A492" s="31"/>
      <c r="B492" s="287"/>
      <c r="C492" s="286"/>
      <c r="D492" s="204"/>
      <c r="E492" s="288"/>
      <c r="F492" s="204"/>
      <c r="G492" s="289"/>
      <c r="H492" s="204"/>
      <c r="I492" s="204"/>
      <c r="J492" s="202"/>
      <c r="K492" s="202"/>
      <c r="L492" s="192" t="str">
        <f>IFERROR(__xludf.DUMMYFUNCTION("IF(
  AND(D492=""Saída"", J492=""Sangria""),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197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94" t="str">
        <f>IFERROR(__xludf.DUMMYFUNCTION("ifna(VALUE(REGEXEXTRACT(E492,""[0-9.]+[,]+[0-9]+"")))"),"")</f>
        <v/>
      </c>
      <c r="O492" s="194"/>
      <c r="P492" s="194"/>
      <c r="Q492" s="194"/>
      <c r="R492" s="194"/>
      <c r="S492" s="194"/>
      <c r="T492" s="194"/>
      <c r="U492" s="194"/>
      <c r="V492" s="194"/>
      <c r="W492" s="194"/>
    </row>
    <row r="493" ht="14.25" customHeight="1">
      <c r="A493" s="31"/>
      <c r="B493" s="287"/>
      <c r="C493" s="286"/>
      <c r="D493" s="204"/>
      <c r="E493" s="288"/>
      <c r="F493" s="204"/>
      <c r="G493" s="289"/>
      <c r="H493" s="204"/>
      <c r="I493" s="204"/>
      <c r="J493" s="202"/>
      <c r="K493" s="202"/>
      <c r="L493" s="192" t="str">
        <f>IFERROR(__xludf.DUMMYFUNCTION("IF(
  AND(D493=""Saída"", J493=""Sangria""),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198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94" t="str">
        <f>IFERROR(__xludf.DUMMYFUNCTION("ifna(VALUE(REGEXEXTRACT(E493,""[0-9.]+[,]+[0-9]+"")))"),"")</f>
        <v/>
      </c>
      <c r="O493" s="194"/>
      <c r="P493" s="194"/>
      <c r="Q493" s="194"/>
      <c r="R493" s="194"/>
      <c r="S493" s="194"/>
      <c r="T493" s="194"/>
      <c r="U493" s="194"/>
      <c r="V493" s="194"/>
      <c r="W493" s="194"/>
    </row>
    <row r="494" ht="14.25" customHeight="1">
      <c r="A494" s="31"/>
      <c r="B494" s="287"/>
      <c r="C494" s="286"/>
      <c r="D494" s="204"/>
      <c r="E494" s="288"/>
      <c r="F494" s="204"/>
      <c r="G494" s="289"/>
      <c r="H494" s="204"/>
      <c r="I494" s="204"/>
      <c r="J494" s="202"/>
      <c r="K494" s="202"/>
      <c r="L494" s="192" t="str">
        <f>IFERROR(__xludf.DUMMYFUNCTION("IF(
  AND(D494=""Saída"", J494=""Sangria""),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197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94" t="str">
        <f>IFERROR(__xludf.DUMMYFUNCTION("ifna(VALUE(REGEXEXTRACT(E494,""[0-9.]+[,]+[0-9]+"")))"),"")</f>
        <v/>
      </c>
      <c r="O494" s="194"/>
      <c r="P494" s="194"/>
      <c r="Q494" s="194"/>
      <c r="R494" s="194"/>
      <c r="S494" s="194"/>
      <c r="T494" s="194"/>
      <c r="U494" s="194"/>
      <c r="V494" s="194"/>
      <c r="W494" s="194"/>
    </row>
    <row r="495" ht="14.25" customHeight="1">
      <c r="A495" s="31"/>
      <c r="B495" s="287"/>
      <c r="C495" s="286"/>
      <c r="D495" s="204"/>
      <c r="E495" s="288"/>
      <c r="F495" s="204"/>
      <c r="G495" s="289"/>
      <c r="H495" s="204"/>
      <c r="I495" s="204"/>
      <c r="J495" s="202"/>
      <c r="K495" s="202"/>
      <c r="L495" s="192" t="str">
        <f>IFERROR(__xludf.DUMMYFUNCTION("IF(
  AND(D495=""Saída"", J495=""Sangria""),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198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94" t="str">
        <f>IFERROR(__xludf.DUMMYFUNCTION("ifna(VALUE(REGEXEXTRACT(E495,""[0-9.]+[,]+[0-9]+"")))"),"")</f>
        <v/>
      </c>
      <c r="O495" s="194"/>
      <c r="P495" s="194"/>
      <c r="Q495" s="194"/>
      <c r="R495" s="194"/>
      <c r="S495" s="194"/>
      <c r="T495" s="194"/>
      <c r="U495" s="194"/>
      <c r="V495" s="194"/>
      <c r="W495" s="194"/>
    </row>
    <row r="496" ht="14.25" customHeight="1">
      <c r="A496" s="31"/>
      <c r="B496" s="287"/>
      <c r="C496" s="286"/>
      <c r="D496" s="204"/>
      <c r="E496" s="288"/>
      <c r="F496" s="204"/>
      <c r="G496" s="289"/>
      <c r="H496" s="204"/>
      <c r="I496" s="204"/>
      <c r="J496" s="202"/>
      <c r="K496" s="202"/>
      <c r="L496" s="192" t="str">
        <f>IFERROR(__xludf.DUMMYFUNCTION("IF(
  AND(D496=""Saída"", J496=""Sangria""),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197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94" t="str">
        <f>IFERROR(__xludf.DUMMYFUNCTION("ifna(VALUE(REGEXEXTRACT(E496,""[0-9.]+[,]+[0-9]+"")))"),"")</f>
        <v/>
      </c>
      <c r="O496" s="194"/>
      <c r="P496" s="194"/>
      <c r="Q496" s="194"/>
      <c r="R496" s="194"/>
      <c r="S496" s="194"/>
      <c r="T496" s="194"/>
      <c r="U496" s="194"/>
      <c r="V496" s="194"/>
      <c r="W496" s="194"/>
    </row>
    <row r="497" ht="14.25" customHeight="1">
      <c r="A497" s="31"/>
      <c r="B497" s="287"/>
      <c r="C497" s="286"/>
      <c r="D497" s="204"/>
      <c r="E497" s="288"/>
      <c r="F497" s="204"/>
      <c r="G497" s="289"/>
      <c r="H497" s="204"/>
      <c r="I497" s="204"/>
      <c r="J497" s="202"/>
      <c r="K497" s="202"/>
      <c r="L497" s="192" t="str">
        <f>IFERROR(__xludf.DUMMYFUNCTION("IF(
  AND(D497=""Saída"", J497=""Sangria""),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198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94" t="str">
        <f>IFERROR(__xludf.DUMMYFUNCTION("ifna(VALUE(REGEXEXTRACT(E497,""[0-9.]+[,]+[0-9]+"")))"),"")</f>
        <v/>
      </c>
      <c r="O497" s="194"/>
      <c r="P497" s="194"/>
      <c r="Q497" s="194"/>
      <c r="R497" s="194"/>
      <c r="S497" s="194"/>
      <c r="T497" s="194"/>
      <c r="U497" s="194"/>
      <c r="V497" s="194"/>
      <c r="W497" s="194"/>
    </row>
    <row r="498" ht="14.25" customHeight="1">
      <c r="A498" s="31"/>
      <c r="B498" s="287"/>
      <c r="C498" s="286"/>
      <c r="D498" s="204"/>
      <c r="E498" s="288"/>
      <c r="F498" s="204"/>
      <c r="G498" s="289"/>
      <c r="H498" s="204"/>
      <c r="I498" s="204"/>
      <c r="J498" s="202"/>
      <c r="K498" s="202"/>
      <c r="L498" s="192" t="str">
        <f>IFERROR(__xludf.DUMMYFUNCTION("IF(
  AND(D498=""Saída"", J498=""Sangria""),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197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94" t="str">
        <f>IFERROR(__xludf.DUMMYFUNCTION("ifna(VALUE(REGEXEXTRACT(E498,""[0-9.]+[,]+[0-9]+"")))"),"")</f>
        <v/>
      </c>
      <c r="O498" s="194"/>
      <c r="P498" s="194"/>
      <c r="Q498" s="194"/>
      <c r="R498" s="194"/>
      <c r="S498" s="194"/>
      <c r="T498" s="194"/>
      <c r="U498" s="194"/>
      <c r="V498" s="194"/>
      <c r="W498" s="194"/>
    </row>
    <row r="499" ht="14.25" customHeight="1">
      <c r="A499" s="31"/>
      <c r="B499" s="287"/>
      <c r="C499" s="286"/>
      <c r="D499" s="204"/>
      <c r="E499" s="288"/>
      <c r="F499" s="204"/>
      <c r="G499" s="289"/>
      <c r="H499" s="204"/>
      <c r="I499" s="204"/>
      <c r="J499" s="202"/>
      <c r="K499" s="202"/>
      <c r="L499" s="192" t="str">
        <f>IFERROR(__xludf.DUMMYFUNCTION("IF(
  AND(D499=""Saída"", J499=""Sangria""),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198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94" t="str">
        <f>IFERROR(__xludf.DUMMYFUNCTION("ifna(VALUE(REGEXEXTRACT(E499,""[0-9.]+[,]+[0-9]+"")))"),"")</f>
        <v/>
      </c>
      <c r="O499" s="194"/>
      <c r="P499" s="194"/>
      <c r="Q499" s="194"/>
      <c r="R499" s="194"/>
      <c r="S499" s="194"/>
      <c r="T499" s="194"/>
      <c r="U499" s="194"/>
      <c r="V499" s="194"/>
      <c r="W499" s="194"/>
    </row>
    <row r="500" ht="14.25" customHeight="1">
      <c r="A500" s="31"/>
      <c r="B500" s="287"/>
      <c r="C500" s="286"/>
      <c r="D500" s="204"/>
      <c r="E500" s="288"/>
      <c r="F500" s="204"/>
      <c r="G500" s="289"/>
      <c r="H500" s="204"/>
      <c r="I500" s="204"/>
      <c r="J500" s="202"/>
      <c r="K500" s="202"/>
      <c r="L500" s="192" t="str">
        <f>IFERROR(__xludf.DUMMYFUNCTION("IF(
  AND(D500=""Saída"", J500=""Sangria""),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197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94" t="str">
        <f>IFERROR(__xludf.DUMMYFUNCTION("ifna(VALUE(REGEXEXTRACT(E500,""[0-9.]+[,]+[0-9]+"")))"),"")</f>
        <v/>
      </c>
      <c r="O500" s="194"/>
      <c r="P500" s="194"/>
      <c r="Q500" s="194"/>
      <c r="R500" s="194"/>
      <c r="S500" s="194"/>
      <c r="T500" s="194"/>
      <c r="U500" s="194"/>
      <c r="V500" s="194"/>
      <c r="W500" s="194"/>
    </row>
    <row r="501" ht="14.25" customHeight="1">
      <c r="A501" s="31"/>
      <c r="B501" s="287"/>
      <c r="C501" s="286"/>
      <c r="D501" s="204"/>
      <c r="E501" s="288"/>
      <c r="F501" s="204"/>
      <c r="G501" s="289"/>
      <c r="H501" s="204"/>
      <c r="I501" s="204"/>
      <c r="J501" s="202"/>
      <c r="K501" s="202"/>
      <c r="L501" s="192" t="str">
        <f>IFERROR(__xludf.DUMMYFUNCTION("IF(
  AND(D501=""Saída"", J501=""Sangria""),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198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94" t="str">
        <f>IFERROR(__xludf.DUMMYFUNCTION("ifna(VALUE(REGEXEXTRACT(E501,""[0-9.]+[,]+[0-9]+"")))"),"")</f>
        <v/>
      </c>
      <c r="O501" s="194"/>
      <c r="P501" s="194"/>
      <c r="Q501" s="194"/>
      <c r="R501" s="194"/>
      <c r="S501" s="194"/>
      <c r="T501" s="194"/>
      <c r="U501" s="194"/>
      <c r="V501" s="194"/>
      <c r="W501" s="194"/>
    </row>
    <row r="502" ht="14.25" customHeight="1">
      <c r="A502" s="31"/>
      <c r="B502" s="287"/>
      <c r="C502" s="286"/>
      <c r="D502" s="204"/>
      <c r="E502" s="288"/>
      <c r="F502" s="204"/>
      <c r="G502" s="289"/>
      <c r="H502" s="204"/>
      <c r="I502" s="204"/>
      <c r="J502" s="202"/>
      <c r="K502" s="202"/>
      <c r="L502" s="192" t="str">
        <f>IFERROR(__xludf.DUMMYFUNCTION("IF(
  AND(D502=""Saída"", J502=""Sangria""),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197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94" t="str">
        <f>IFERROR(__xludf.DUMMYFUNCTION("ifna(VALUE(REGEXEXTRACT(E502,""[0-9.]+[,]+[0-9]+"")))"),"")</f>
        <v/>
      </c>
      <c r="O502" s="194"/>
      <c r="P502" s="194"/>
      <c r="Q502" s="194"/>
      <c r="R502" s="194"/>
      <c r="S502" s="194"/>
      <c r="T502" s="194"/>
      <c r="U502" s="194"/>
      <c r="V502" s="194"/>
      <c r="W502" s="194"/>
    </row>
    <row r="503" ht="14.25" customHeight="1">
      <c r="A503" s="31"/>
      <c r="B503" s="287"/>
      <c r="C503" s="286"/>
      <c r="D503" s="204"/>
      <c r="E503" s="288"/>
      <c r="F503" s="204"/>
      <c r="G503" s="289"/>
      <c r="H503" s="204"/>
      <c r="I503" s="204"/>
      <c r="J503" s="202"/>
      <c r="K503" s="202"/>
      <c r="L503" s="192" t="str">
        <f>IFERROR(__xludf.DUMMYFUNCTION("IF(
  AND(D503=""Saída"", J503=""Sangria""),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198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94" t="str">
        <f>IFERROR(__xludf.DUMMYFUNCTION("ifna(VALUE(REGEXEXTRACT(E503,""[0-9.]+[,]+[0-9]+"")))"),"")</f>
        <v/>
      </c>
      <c r="O503" s="194"/>
      <c r="P503" s="194"/>
      <c r="Q503" s="194"/>
      <c r="R503" s="194"/>
      <c r="S503" s="194"/>
      <c r="T503" s="194"/>
      <c r="U503" s="194"/>
      <c r="V503" s="194"/>
      <c r="W503" s="194"/>
    </row>
    <row r="504" ht="14.25" customHeight="1">
      <c r="A504" s="31"/>
      <c r="B504" s="293"/>
      <c r="C504" s="294"/>
      <c r="D504" s="295"/>
      <c r="E504" s="296"/>
      <c r="F504" s="295"/>
      <c r="G504" s="297"/>
      <c r="H504" s="295"/>
      <c r="I504" s="295"/>
      <c r="J504" s="298"/>
      <c r="K504" s="298"/>
      <c r="L504" s="192" t="str">
        <f>IFERROR(__xludf.DUMMYFUNCTION("IF(
  AND(D504=""Saída"", J504=""Sangria""),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197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94" t="str">
        <f>IFERROR(__xludf.DUMMYFUNCTION("ifna(VALUE(REGEXEXTRACT(E504,""[0-9.]+[,]+[0-9]+"")))"),"")</f>
        <v/>
      </c>
      <c r="O504" s="194"/>
      <c r="P504" s="194"/>
      <c r="Q504" s="194"/>
      <c r="R504" s="194"/>
      <c r="S504" s="194"/>
      <c r="T504" s="194"/>
      <c r="U504" s="194"/>
      <c r="V504" s="194"/>
      <c r="W504" s="194"/>
    </row>
    <row r="505" ht="14.25" customHeight="1">
      <c r="A505" s="31"/>
      <c r="B505" s="299"/>
      <c r="C505" s="286"/>
      <c r="D505" s="204"/>
      <c r="E505" s="288"/>
      <c r="F505" s="204"/>
      <c r="G505" s="289"/>
      <c r="H505" s="204"/>
      <c r="I505" s="204"/>
      <c r="J505" s="202"/>
      <c r="K505" s="202"/>
      <c r="L505" s="192" t="str">
        <f>IFERROR(__xludf.DUMMYFUNCTION("IF(
  AND(D505=""Saída"", J505=""Sangria""),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198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</row>
    <row r="506" ht="14.25" customHeight="1">
      <c r="A506" s="31"/>
      <c r="B506" s="299"/>
      <c r="C506" s="286"/>
      <c r="D506" s="204"/>
      <c r="E506" s="288"/>
      <c r="F506" s="204"/>
      <c r="G506" s="289"/>
      <c r="H506" s="204"/>
      <c r="I506" s="204"/>
      <c r="J506" s="202"/>
      <c r="K506" s="202"/>
      <c r="L506" s="192" t="str">
        <f>IFERROR(__xludf.DUMMYFUNCTION("IF(
  AND(D506=""Saída"", J506=""Sangria""),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197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</row>
    <row r="507" ht="14.25" customHeight="1">
      <c r="A507" s="31"/>
      <c r="B507" s="299"/>
      <c r="C507" s="286"/>
      <c r="D507" s="204"/>
      <c r="E507" s="288"/>
      <c r="F507" s="204"/>
      <c r="G507" s="289"/>
      <c r="H507" s="204"/>
      <c r="I507" s="204"/>
      <c r="J507" s="202"/>
      <c r="K507" s="202"/>
      <c r="L507" s="192" t="str">
        <f>IFERROR(__xludf.DUMMYFUNCTION("IF(
  AND(D507=""Saída"", J507=""Sangria""),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198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</row>
  </sheetData>
  <mergeCells count="100">
    <mergeCell ref="O93:T94"/>
    <mergeCell ref="S95:T95"/>
    <mergeCell ref="O140:V140"/>
    <mergeCell ref="S141:U141"/>
    <mergeCell ref="S142:U142"/>
    <mergeCell ref="S143:U143"/>
    <mergeCell ref="S144:U144"/>
    <mergeCell ref="S145:U145"/>
    <mergeCell ref="S146:U146"/>
    <mergeCell ref="S147:U147"/>
    <mergeCell ref="S148:U148"/>
    <mergeCell ref="S149:U149"/>
    <mergeCell ref="S150:U150"/>
    <mergeCell ref="S151:U151"/>
    <mergeCell ref="S152:U152"/>
    <mergeCell ref="S153:U153"/>
    <mergeCell ref="S154:U154"/>
    <mergeCell ref="S155:U155"/>
    <mergeCell ref="S156:U156"/>
    <mergeCell ref="S157:U157"/>
    <mergeCell ref="S158:U158"/>
    <mergeCell ref="S159:U159"/>
    <mergeCell ref="S160:U160"/>
    <mergeCell ref="S161:U161"/>
    <mergeCell ref="S162:U162"/>
    <mergeCell ref="S163:U163"/>
    <mergeCell ref="S164:U164"/>
    <mergeCell ref="S165:U165"/>
    <mergeCell ref="S166:U166"/>
    <mergeCell ref="S167:U167"/>
    <mergeCell ref="S168:U168"/>
    <mergeCell ref="S169:U169"/>
    <mergeCell ref="S170:U170"/>
    <mergeCell ref="S171:U171"/>
    <mergeCell ref="S172:U172"/>
    <mergeCell ref="S173:U173"/>
    <mergeCell ref="S174:U174"/>
    <mergeCell ref="S175:U175"/>
    <mergeCell ref="S176:U176"/>
    <mergeCell ref="S177:U177"/>
    <mergeCell ref="S178:U178"/>
    <mergeCell ref="S179:U179"/>
    <mergeCell ref="S187:U187"/>
    <mergeCell ref="S188:U188"/>
    <mergeCell ref="S189:U189"/>
    <mergeCell ref="S190:U190"/>
    <mergeCell ref="S191:U191"/>
    <mergeCell ref="S192:U192"/>
    <mergeCell ref="S180:U180"/>
    <mergeCell ref="S181:U181"/>
    <mergeCell ref="S182:U182"/>
    <mergeCell ref="S183:U183"/>
    <mergeCell ref="S184:U184"/>
    <mergeCell ref="S185:U185"/>
    <mergeCell ref="S186:U186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C19:D19"/>
    <mergeCell ref="C23:D23"/>
    <mergeCell ref="E23:F23"/>
    <mergeCell ref="G23:H23"/>
    <mergeCell ref="I23:J23"/>
    <mergeCell ref="I24:J24"/>
    <mergeCell ref="I25:J25"/>
    <mergeCell ref="B27:M27"/>
    <mergeCell ref="G14:H14"/>
    <mergeCell ref="I14:J14"/>
    <mergeCell ref="C18:D18"/>
    <mergeCell ref="E18:H18"/>
    <mergeCell ref="I18:J18"/>
    <mergeCell ref="E19:F19"/>
    <mergeCell ref="I22:J22"/>
    <mergeCell ref="K18:L18"/>
    <mergeCell ref="K19:L19"/>
    <mergeCell ref="T19:W19"/>
    <mergeCell ref="O48:R48"/>
    <mergeCell ref="T48:W48"/>
    <mergeCell ref="O68:R68"/>
    <mergeCell ref="T68:W68"/>
  </mergeCells>
  <conditionalFormatting sqref="M29:M507">
    <cfRule type="cellIs" dxfId="5" priority="1" operator="equal">
      <formula>"Não Encontrada"</formula>
    </cfRule>
  </conditionalFormatting>
  <conditionalFormatting sqref="E29:E198">
    <cfRule type="expression" dxfId="6" priority="2">
      <formula>and($J$22:$J$497="Sangria",$D$22:$D$497="Saída")</formula>
    </cfRule>
  </conditionalFormatting>
  <conditionalFormatting sqref="D4 D11">
    <cfRule type="cellIs" dxfId="7" priority="3" operator="greaterThanOrEqual">
      <formula>500</formula>
    </cfRule>
  </conditionalFormatting>
  <conditionalFormatting sqref="D4 D11">
    <cfRule type="cellIs" dxfId="8" priority="4" operator="between">
      <formula>400</formula>
      <formula>500</formula>
    </cfRule>
  </conditionalFormatting>
  <conditionalFormatting sqref="F4 F11">
    <cfRule type="cellIs" dxfId="7" priority="5" operator="greaterThanOrEqual">
      <formula>500</formula>
    </cfRule>
  </conditionalFormatting>
  <conditionalFormatting sqref="F4 F11">
    <cfRule type="cellIs" dxfId="5" priority="6" operator="between">
      <formula>400</formula>
      <formula>500</formula>
    </cfRule>
  </conditionalFormatting>
  <conditionalFormatting sqref="H4 H11">
    <cfRule type="cellIs" dxfId="7" priority="7" operator="greaterThanOrEqual">
      <formula>500</formula>
    </cfRule>
  </conditionalFormatting>
  <conditionalFormatting sqref="H4 H11">
    <cfRule type="cellIs" dxfId="5" priority="8" operator="between">
      <formula>400</formula>
      <formula>500</formula>
    </cfRule>
  </conditionalFormatting>
  <conditionalFormatting sqref="J4 J11">
    <cfRule type="cellIs" dxfId="7" priority="9" operator="greaterThanOrEqual">
      <formula>500</formula>
    </cfRule>
  </conditionalFormatting>
  <conditionalFormatting sqref="J4 J11">
    <cfRule type="cellIs" dxfId="8" priority="10" operator="between">
      <formula>400</formula>
      <formula>500</formula>
    </cfRule>
  </conditionalFormatting>
  <conditionalFormatting sqref="L4:W4 L11 D20 S20:W20 O49:W49 O69:W69">
    <cfRule type="cellIs" dxfId="7" priority="11" operator="greaterThanOrEqual">
      <formula>500</formula>
    </cfRule>
  </conditionalFormatting>
  <conditionalFormatting sqref="L4:W4 L11 D20 S20:W20 O49:W49 O69:W69">
    <cfRule type="cellIs" dxfId="8" priority="12" operator="between">
      <formula>400</formula>
      <formula>500</formula>
    </cfRule>
  </conditionalFormatting>
  <conditionalFormatting sqref="E29:E507">
    <cfRule type="containsText" dxfId="9" priority="13" operator="containsText" text="R$">
      <formula>NOT(ISERROR(SEARCH(("R$"),(E29))))</formula>
    </cfRule>
  </conditionalFormatting>
  <conditionalFormatting sqref="B29:K507">
    <cfRule type="expression" dxfId="6" priority="14">
      <formula>and($J$29:$J$504="Sangria",$D$29:$D$504="Saída")</formula>
    </cfRule>
  </conditionalFormatting>
  <conditionalFormatting sqref="K29:K507">
    <cfRule type="expression" dxfId="10" priority="15">
      <formula>or($J$29:$J$218="Compra Moedas",$J$29:$J$218="Cortesias",$J$29:$J$218="Troco")</formula>
    </cfRule>
  </conditionalFormatting>
  <conditionalFormatting sqref="K29:K507">
    <cfRule type="expression" dxfId="11" priority="16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7">
    <cfRule type="expression" dxfId="5" priority="17">
      <formula>and(SEARCH("Vale",G29),or(J29="Consumo",J29="Sangria",J29="Compra Moedas",J29="Cortesia",J29="Troco",J29="Estorno Cliente",J29="Outros Pagamentos",J29="Inadimplência"))</formula>
    </cfRule>
  </conditionalFormatting>
  <conditionalFormatting sqref="I29:I507">
    <cfRule type="expression" dxfId="5" priority="18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9">
      <formula>LEN(TRIM(I43))&gt;0</formula>
    </cfRule>
  </conditionalFormatting>
  <conditionalFormatting sqref="I29:I507">
    <cfRule type="expression" dxfId="5" priority="20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7">
    <cfRule type="expression" dxfId="5" priority="21">
      <formula>and(SEARCH("Cortesia",G29),or(J29="Consumo",J29="Sangria",J29="Adiantamento",J29="Troco",J29="Estorno Cliente",J29="Outros Pagamentos",J29="Inadimplência"))</formula>
    </cfRule>
  </conditionalFormatting>
  <conditionalFormatting sqref="C29:C507">
    <cfRule type="expression" dxfId="11" priority="22">
      <formula>and($C$29:$C$218="",or($D$29:$D$218="Entrada",$D$29:$D$218="Saída"))</formula>
    </cfRule>
  </conditionalFormatting>
  <conditionalFormatting sqref="I29:I507">
    <cfRule type="expression" dxfId="5" priority="23">
      <formula>and(K29 = "",or(J29="Consumo",J29="Adiantamento"))</formula>
    </cfRule>
  </conditionalFormatting>
  <conditionalFormatting sqref="L29:L507">
    <cfRule type="cellIs" dxfId="5" priority="24" operator="equal">
      <formula>"Caixa Sangria"</formula>
    </cfRule>
  </conditionalFormatting>
  <dataValidations>
    <dataValidation type="list" allowBlank="1" showErrorMessage="1" sqref="K29:K507">
      <formula1>'MARÇO 2026'!$B$4:$B$16</formula1>
    </dataValidation>
    <dataValidation type="list" allowBlank="1" showErrorMessage="1" sqref="J29:J176 J178:J179 J181:J190 J192:J195 J197:J208 J210:J267 J269:J286 J288:J303 J306:J308 J310:J376 J378:J388 J390:J507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4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5.75"/>
    <col customWidth="1" min="14" max="14" width="3.88"/>
    <col customWidth="1" min="15" max="15" width="10.13"/>
    <col customWidth="1" min="16" max="16" width="12.0"/>
    <col customWidth="1" min="17" max="17" width="12.75"/>
    <col customWidth="1" min="18" max="18" width="12.38"/>
    <col customWidth="1" min="19" max="19" width="0.63"/>
    <col customWidth="1" min="20" max="20" width="10.13"/>
    <col customWidth="1" min="21" max="21" width="21.13"/>
    <col customWidth="1" min="22" max="22" width="12.5"/>
    <col customWidth="1" min="23" max="23" width="13.63"/>
  </cols>
  <sheetData>
    <row r="1" ht="8.25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1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>
      <c r="A2" s="33" t="s">
        <v>5940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5"/>
      <c r="M2" s="32"/>
      <c r="N2" s="32"/>
      <c r="O2" s="36" t="s">
        <v>5945</v>
      </c>
      <c r="P2" s="34"/>
      <c r="Q2" s="34"/>
      <c r="R2" s="34"/>
      <c r="S2" s="34"/>
      <c r="T2" s="34"/>
      <c r="U2" s="34"/>
      <c r="V2" s="34"/>
      <c r="W2" s="35"/>
    </row>
    <row r="3">
      <c r="A3" s="37" t="s">
        <v>5950</v>
      </c>
      <c r="B3" s="38"/>
      <c r="C3" s="39" t="str">
        <f>B4</f>
        <v>Mariselma</v>
      </c>
      <c r="D3" s="38"/>
      <c r="E3" s="40" t="str">
        <f>B5</f>
        <v>Jeniffer</v>
      </c>
      <c r="F3" s="38"/>
      <c r="G3" s="40" t="str">
        <f>B6</f>
        <v>Sabrina</v>
      </c>
      <c r="H3" s="38"/>
      <c r="I3" s="40" t="str">
        <f>B7</f>
        <v>Renata</v>
      </c>
      <c r="J3" s="38"/>
      <c r="K3" s="40" t="str">
        <f>B8</f>
        <v>Joice</v>
      </c>
      <c r="L3" s="41"/>
      <c r="M3" s="42"/>
      <c r="N3" s="42"/>
      <c r="O3" s="43" t="str">
        <f>B4</f>
        <v>Mariselma</v>
      </c>
      <c r="P3" s="34"/>
      <c r="Q3" s="34"/>
      <c r="R3" s="35"/>
      <c r="S3" s="44"/>
      <c r="T3" s="45" t="str">
        <f>B5</f>
        <v>Jeniffer</v>
      </c>
      <c r="U3" s="34"/>
      <c r="V3" s="34"/>
      <c r="W3" s="35"/>
    </row>
    <row r="4" ht="15.75" customHeight="1">
      <c r="A4" s="46" t="s">
        <v>225</v>
      </c>
      <c r="B4" s="47" t="s">
        <v>5991</v>
      </c>
      <c r="C4" s="48" t="s">
        <v>783</v>
      </c>
      <c r="D4" s="49">
        <f>SUMIFS(N29:N504,J29:J504,C4,K29:K504,C3)+SUMIF(Q96:Q138,A4,R96:R138)+D9</f>
        <v>275</v>
      </c>
      <c r="E4" s="50" t="s">
        <v>783</v>
      </c>
      <c r="F4" s="49">
        <f>SUMIFS(N29:N504,J29:J504,E4,K29:K504,E3)+SUMIF(Q96:Q138,A5,R96:R138)+F9</f>
        <v>0</v>
      </c>
      <c r="G4" s="50" t="s">
        <v>783</v>
      </c>
      <c r="H4" s="49">
        <f>SUMIFS(N29:N504,J29:J504,C4,K29:K504,G3)+SUMIF(Q96:Q138,A6,R96:R138)+H9</f>
        <v>300</v>
      </c>
      <c r="I4" s="50" t="s">
        <v>783</v>
      </c>
      <c r="J4" s="49">
        <f>SUMIFS(N29:N504,J29:J504,C4,K29:K504,I3)+SUMIF(Q96:Q138,A7,R96:R138)+J9</f>
        <v>0</v>
      </c>
      <c r="K4" s="50" t="s">
        <v>783</v>
      </c>
      <c r="L4" s="51">
        <f>SUMIFS(N29:N504,J29:J504,C4,K29:K504,K3)+SUMIF(Q96:Q138,A8,R96:R138)+L9</f>
        <v>0</v>
      </c>
      <c r="M4" s="32"/>
      <c r="N4" s="32"/>
      <c r="O4" s="52" t="str">
        <f>IFERROR(__xludf.DUMMYFUNCTION("query(C28:L507,""select Col1,Col3,Col8,Col9 where (Col8 = 'Adiantamento' or Col8 = 'Consumo') and Col9 = '""&amp;B4&amp;""'"",1)"),"Data")</f>
        <v>Data</v>
      </c>
      <c r="P4" s="53" t="str">
        <f>IFERROR(__xludf.DUMMYFUNCTION("""COMPUTED_VALUE"""),"Valor ")</f>
        <v>Valor </v>
      </c>
      <c r="Q4" s="53" t="str">
        <f>IFERROR(__xludf.DUMMYFUNCTION("""COMPUTED_VALUE"""),"Tipo")</f>
        <v>Tipo</v>
      </c>
      <c r="R4" s="54" t="str">
        <f>IFERROR(__xludf.DUMMYFUNCTION("""COMPUTED_VALUE"""),"Funcionário")</f>
        <v>Funcionário</v>
      </c>
      <c r="S4" s="55"/>
      <c r="T4" s="56" t="str">
        <f>IFERROR(__xludf.DUMMYFUNCTION("query(C28:L507,""select Col1,Col3,Col8,Col9 where (Col8 = 'Adiantamento' or Col8 = 'Consumo') and Col9 = '""&amp;B5&amp;""'"",1)"),"Data")</f>
        <v>Data</v>
      </c>
      <c r="U4" s="56" t="str">
        <f>IFERROR(__xludf.DUMMYFUNCTION("""COMPUTED_VALUE"""),"Valor ")</f>
        <v>Valor </v>
      </c>
      <c r="V4" s="56" t="str">
        <f>IFERROR(__xludf.DUMMYFUNCTION("""COMPUTED_VALUE"""),"Tipo")</f>
        <v>Tipo</v>
      </c>
      <c r="W4" s="57" t="str">
        <f>IFERROR(__xludf.DUMMYFUNCTION("""COMPUTED_VALUE"""),"Funcionário")</f>
        <v>Funcionário</v>
      </c>
    </row>
    <row r="5" ht="15.0" customHeight="1">
      <c r="A5" s="46" t="s">
        <v>145</v>
      </c>
      <c r="B5" s="47" t="s">
        <v>6198</v>
      </c>
      <c r="C5" s="48" t="s">
        <v>6080</v>
      </c>
      <c r="D5" s="49">
        <f>SUMIFS(N29:N504,J29:J504,C5,K29:K504,C3)</f>
        <v>0</v>
      </c>
      <c r="E5" s="50" t="s">
        <v>6080</v>
      </c>
      <c r="F5" s="49">
        <f>SUMIFS(N29:N504,J29:J504,C5,K29:K504,E3)</f>
        <v>74.47</v>
      </c>
      <c r="G5" s="50" t="s">
        <v>6080</v>
      </c>
      <c r="H5" s="49">
        <f>SUMIFS(N29:N504,J29:J504,C5,K29:K504,G3)</f>
        <v>212.73</v>
      </c>
      <c r="I5" s="50" t="s">
        <v>6080</v>
      </c>
      <c r="J5" s="49">
        <f>SUMIFS(N29:N504,J29:J504,C5,K29:K504,I3)</f>
        <v>0</v>
      </c>
      <c r="K5" s="50" t="s">
        <v>6080</v>
      </c>
      <c r="L5" s="51">
        <f>SUMIFS(N29:N504,J29:J504,C5,K29:K504,K3)</f>
        <v>0</v>
      </c>
      <c r="M5" s="32"/>
      <c r="N5" s="32"/>
      <c r="O5" s="58"/>
      <c r="P5" s="59"/>
      <c r="Q5" s="59"/>
      <c r="R5" s="60"/>
      <c r="S5" s="61"/>
      <c r="T5" s="162">
        <f>IFERROR(__xludf.DUMMYFUNCTION("""COMPUTED_VALUE"""),46113.6096875)</f>
        <v>46113.60969</v>
      </c>
      <c r="U5" s="59" t="str">
        <f>IFERROR(__xludf.DUMMYFUNCTION("""COMPUTED_VALUE"""),"R$ 74,47")</f>
        <v>R$ 74,47</v>
      </c>
      <c r="V5" s="59" t="str">
        <f>IFERROR(__xludf.DUMMYFUNCTION("""COMPUTED_VALUE"""),"Consumo")</f>
        <v>Consumo</v>
      </c>
      <c r="W5" s="60" t="str">
        <f>IFERROR(__xludf.DUMMYFUNCTION("""COMPUTED_VALUE"""),"Jeniffer")</f>
        <v>Jeniffer</v>
      </c>
    </row>
    <row r="6" ht="16.5" customHeight="1">
      <c r="A6" s="46" t="s">
        <v>126</v>
      </c>
      <c r="B6" s="47" t="s">
        <v>6111</v>
      </c>
      <c r="C6" s="48" t="s">
        <v>6112</v>
      </c>
      <c r="D6" s="49">
        <f>D5*0.8</f>
        <v>0</v>
      </c>
      <c r="E6" s="50" t="s">
        <v>6112</v>
      </c>
      <c r="F6" s="49">
        <f>F5*0.8</f>
        <v>59.576</v>
      </c>
      <c r="G6" s="50" t="s">
        <v>6112</v>
      </c>
      <c r="H6" s="49">
        <f>H5*0.8</f>
        <v>170.184</v>
      </c>
      <c r="I6" s="50" t="s">
        <v>6112</v>
      </c>
      <c r="J6" s="49">
        <f>J5*0.8</f>
        <v>0</v>
      </c>
      <c r="K6" s="62" t="s">
        <v>6112</v>
      </c>
      <c r="L6" s="51">
        <f>L5*0.8</f>
        <v>0</v>
      </c>
      <c r="M6" s="32"/>
      <c r="N6" s="32"/>
      <c r="O6" s="58"/>
      <c r="P6" s="59"/>
      <c r="Q6" s="59"/>
      <c r="R6" s="60"/>
      <c r="S6" s="61"/>
      <c r="T6" s="59"/>
      <c r="U6" s="59"/>
      <c r="V6" s="59"/>
      <c r="W6" s="60"/>
    </row>
    <row r="7" ht="14.25" customHeight="1">
      <c r="A7" s="46" t="s">
        <v>113</v>
      </c>
      <c r="B7" s="47" t="s">
        <v>6159</v>
      </c>
      <c r="C7" s="63" t="s">
        <v>6160</v>
      </c>
      <c r="D7" s="64"/>
      <c r="E7" s="65" t="s">
        <v>6160</v>
      </c>
      <c r="F7" s="64"/>
      <c r="G7" s="65" t="s">
        <v>6160</v>
      </c>
      <c r="H7" s="64"/>
      <c r="I7" s="65" t="s">
        <v>6160</v>
      </c>
      <c r="J7" s="64"/>
      <c r="K7" s="65" t="s">
        <v>6160</v>
      </c>
      <c r="L7" s="67"/>
      <c r="M7" s="68"/>
      <c r="N7" s="68"/>
      <c r="O7" s="58"/>
      <c r="P7" s="59"/>
      <c r="Q7" s="59"/>
      <c r="R7" s="60"/>
      <c r="S7" s="61"/>
      <c r="T7" s="59"/>
      <c r="U7" s="59"/>
      <c r="V7" s="59"/>
      <c r="W7" s="60"/>
    </row>
    <row r="8" ht="14.25" customHeight="1">
      <c r="A8" s="11" t="s">
        <v>877</v>
      </c>
      <c r="B8" s="47" t="s">
        <v>6180</v>
      </c>
      <c r="C8" s="69" t="s">
        <v>6182</v>
      </c>
      <c r="D8" s="73">
        <v>46116.0</v>
      </c>
      <c r="E8" s="71" t="s">
        <v>6182</v>
      </c>
      <c r="F8" s="72"/>
      <c r="G8" s="71" t="s">
        <v>6182</v>
      </c>
      <c r="H8" s="70"/>
      <c r="I8" s="71" t="s">
        <v>6182</v>
      </c>
      <c r="J8" s="73"/>
      <c r="K8" s="71" t="s">
        <v>6182</v>
      </c>
      <c r="L8" s="74"/>
      <c r="M8" s="75"/>
      <c r="N8" s="75"/>
      <c r="O8" s="58"/>
      <c r="P8" s="59"/>
      <c r="Q8" s="59"/>
      <c r="R8" s="60"/>
      <c r="S8" s="61"/>
      <c r="T8" s="59"/>
      <c r="U8" s="59"/>
      <c r="V8" s="59"/>
      <c r="W8" s="60"/>
    </row>
    <row r="9">
      <c r="A9" s="46" t="s">
        <v>3739</v>
      </c>
      <c r="B9" s="47" t="s">
        <v>6197</v>
      </c>
      <c r="C9" s="76" t="s">
        <v>51</v>
      </c>
      <c r="D9" s="77">
        <v>275.0</v>
      </c>
      <c r="E9" s="78" t="s">
        <v>51</v>
      </c>
      <c r="F9" s="79"/>
      <c r="G9" s="78" t="s">
        <v>51</v>
      </c>
      <c r="H9" s="77"/>
      <c r="I9" s="78" t="s">
        <v>51</v>
      </c>
      <c r="J9" s="77"/>
      <c r="K9" s="78" t="s">
        <v>51</v>
      </c>
      <c r="L9" s="80"/>
      <c r="M9" s="75"/>
      <c r="N9" s="75"/>
      <c r="O9" s="58"/>
      <c r="P9" s="59"/>
      <c r="Q9" s="59"/>
      <c r="R9" s="60"/>
      <c r="S9" s="61"/>
      <c r="T9" s="59"/>
      <c r="U9" s="59"/>
      <c r="V9" s="59"/>
      <c r="W9" s="60"/>
    </row>
    <row r="10" ht="21.75" customHeight="1">
      <c r="A10" s="46"/>
      <c r="B10" s="47"/>
      <c r="C10" s="81" t="str">
        <f>B9</f>
        <v>Fernando</v>
      </c>
      <c r="D10" s="82"/>
      <c r="E10" s="83" t="str">
        <f>B10</f>
        <v/>
      </c>
      <c r="F10" s="82"/>
      <c r="G10" s="83" t="str">
        <f>B11</f>
        <v/>
      </c>
      <c r="H10" s="82"/>
      <c r="I10" s="83" t="str">
        <f>B12</f>
        <v/>
      </c>
      <c r="J10" s="82"/>
      <c r="K10" s="83" t="str">
        <f>B13</f>
        <v/>
      </c>
      <c r="L10" s="84"/>
      <c r="M10" s="31"/>
      <c r="N10" s="31"/>
      <c r="O10" s="58"/>
      <c r="P10" s="85"/>
      <c r="Q10" s="85"/>
      <c r="R10" s="86"/>
      <c r="S10" s="87"/>
      <c r="T10" s="85"/>
      <c r="U10" s="85"/>
      <c r="V10" s="85"/>
      <c r="W10" s="86"/>
    </row>
    <row r="11">
      <c r="A11" s="88"/>
      <c r="B11" s="89"/>
      <c r="C11" s="90" t="s">
        <v>783</v>
      </c>
      <c r="D11" s="91">
        <f>SUMIFS(N29:N514,J29:J514,C11,K29:K514,C10)+SUMIF(Q96:Q138,A9,R96:R138)+D16</f>
        <v>0</v>
      </c>
      <c r="E11" s="92" t="s">
        <v>783</v>
      </c>
      <c r="F11" s="91">
        <f>SUMIFS(N29:N514,J29:J514,E11,K29:K514,E10)+SUMIF(Q96:Q138,A10,R96:R138)+F16</f>
        <v>0</v>
      </c>
      <c r="G11" s="92" t="s">
        <v>783</v>
      </c>
      <c r="H11" s="91">
        <f>SUMIFS(N29:N514,J29:J514,C11,K29:K514,G10)+SUMIF(Q96:Q138,A11,R96:R138)+H16</f>
        <v>0</v>
      </c>
      <c r="I11" s="92" t="s">
        <v>783</v>
      </c>
      <c r="J11" s="91">
        <f>SUMIFS(N29:N514,J29:J514,C11,K29:K514,I10)+SUMIF(Q96:Q138,A11,R96:R138)+J16</f>
        <v>0</v>
      </c>
      <c r="K11" s="92" t="s">
        <v>783</v>
      </c>
      <c r="L11" s="93">
        <f>SUMIFS(N29:N514,J29:J514,C11,K29:K514,K10)+SUMIF(Q96:Q138,A13,R96:R138)+L16</f>
        <v>0</v>
      </c>
      <c r="M11" s="31"/>
      <c r="N11" s="31"/>
      <c r="O11" s="94"/>
      <c r="P11" s="95"/>
      <c r="Q11" s="95"/>
      <c r="R11" s="96"/>
      <c r="S11" s="97"/>
      <c r="T11" s="95"/>
      <c r="U11" s="95"/>
      <c r="V11" s="95"/>
      <c r="W11" s="96"/>
    </row>
    <row r="12">
      <c r="A12" s="88"/>
      <c r="B12" s="89"/>
      <c r="C12" s="90" t="s">
        <v>6080</v>
      </c>
      <c r="D12" s="91">
        <f>SUMIFS(N36:N514,J36:J514,C12,K36:K514,C10)</f>
        <v>0</v>
      </c>
      <c r="E12" s="92" t="s">
        <v>6080</v>
      </c>
      <c r="F12" s="91">
        <f>SUMIFS(N29:N514,J29:J514,C12,K29:K514,E10)</f>
        <v>0</v>
      </c>
      <c r="G12" s="92" t="s">
        <v>6080</v>
      </c>
      <c r="H12" s="91">
        <f>SUMIFS(N36:N514,J36:J514,C12,K36:K514,G10)</f>
        <v>0</v>
      </c>
      <c r="I12" s="92" t="s">
        <v>6080</v>
      </c>
      <c r="J12" s="91">
        <f>SUMIFS(N29:N514,J29:J514,C12,K29:K514,I10)</f>
        <v>0</v>
      </c>
      <c r="K12" s="92" t="s">
        <v>6080</v>
      </c>
      <c r="L12" s="93">
        <f>SUMIFS(N29:N514,J29:J514,C12,K29:K514,K10)</f>
        <v>0</v>
      </c>
      <c r="M12" s="31"/>
      <c r="N12" s="31"/>
      <c r="O12" s="94"/>
      <c r="P12" s="95"/>
      <c r="Q12" s="95"/>
      <c r="R12" s="96"/>
      <c r="S12" s="97"/>
      <c r="T12" s="95"/>
      <c r="U12" s="95"/>
      <c r="V12" s="95"/>
      <c r="W12" s="96"/>
    </row>
    <row r="13">
      <c r="A13" s="98"/>
      <c r="B13" s="99"/>
      <c r="C13" s="90" t="s">
        <v>6112</v>
      </c>
      <c r="D13" s="91">
        <f>D12*0.8</f>
        <v>0</v>
      </c>
      <c r="E13" s="92" t="s">
        <v>6112</v>
      </c>
      <c r="F13" s="91">
        <f>F12*0.8</f>
        <v>0</v>
      </c>
      <c r="G13" s="92" t="s">
        <v>6112</v>
      </c>
      <c r="H13" s="91">
        <f>H12*0.8</f>
        <v>0</v>
      </c>
      <c r="I13" s="92" t="s">
        <v>6112</v>
      </c>
      <c r="J13" s="91">
        <f>J12*0.8</f>
        <v>0</v>
      </c>
      <c r="K13" s="100" t="s">
        <v>6112</v>
      </c>
      <c r="L13" s="93">
        <f>L12*0.8</f>
        <v>0</v>
      </c>
      <c r="M13" s="31"/>
      <c r="N13" s="31"/>
      <c r="O13" s="94"/>
      <c r="P13" s="95"/>
      <c r="Q13" s="95"/>
      <c r="R13" s="96"/>
      <c r="S13" s="97"/>
      <c r="T13" s="95"/>
      <c r="U13" s="95"/>
      <c r="V13" s="95"/>
      <c r="W13" s="96"/>
    </row>
    <row r="14">
      <c r="A14" s="98"/>
      <c r="B14" s="99"/>
      <c r="C14" s="63" t="s">
        <v>6160</v>
      </c>
      <c r="D14" s="64"/>
      <c r="E14" s="65" t="s">
        <v>6160</v>
      </c>
      <c r="F14" s="64"/>
      <c r="G14" s="65" t="s">
        <v>6160</v>
      </c>
      <c r="H14" s="64"/>
      <c r="I14" s="65" t="s">
        <v>6160</v>
      </c>
      <c r="J14" s="64"/>
      <c r="K14" s="65" t="s">
        <v>6160</v>
      </c>
      <c r="L14" s="67"/>
      <c r="M14" s="31"/>
      <c r="N14" s="31"/>
      <c r="O14" s="94"/>
      <c r="P14" s="95"/>
      <c r="Q14" s="95"/>
      <c r="R14" s="96"/>
      <c r="S14" s="97"/>
      <c r="T14" s="95"/>
      <c r="U14" s="95"/>
      <c r="V14" s="95"/>
      <c r="W14" s="96"/>
    </row>
    <row r="15">
      <c r="A15" s="98"/>
      <c r="B15" s="99"/>
      <c r="C15" s="69" t="s">
        <v>6182</v>
      </c>
      <c r="D15" s="70"/>
      <c r="E15" s="71" t="s">
        <v>6182</v>
      </c>
      <c r="F15" s="72"/>
      <c r="G15" s="71" t="s">
        <v>6182</v>
      </c>
      <c r="H15" s="73"/>
      <c r="I15" s="71" t="s">
        <v>6182</v>
      </c>
      <c r="J15" s="73"/>
      <c r="K15" s="71" t="s">
        <v>6182</v>
      </c>
      <c r="L15" s="74"/>
      <c r="M15" s="31"/>
      <c r="N15" s="31"/>
      <c r="O15" s="94"/>
      <c r="P15" s="95"/>
      <c r="Q15" s="95"/>
      <c r="R15" s="96"/>
      <c r="S15" s="97"/>
      <c r="T15" s="95"/>
      <c r="U15" s="95"/>
      <c r="V15" s="95"/>
      <c r="W15" s="96"/>
    </row>
    <row r="16">
      <c r="A16" s="101"/>
      <c r="B16" s="102"/>
      <c r="C16" s="103" t="s">
        <v>51</v>
      </c>
      <c r="D16" s="104"/>
      <c r="E16" s="105" t="s">
        <v>51</v>
      </c>
      <c r="F16" s="106"/>
      <c r="G16" s="105" t="s">
        <v>51</v>
      </c>
      <c r="H16" s="104"/>
      <c r="I16" s="105" t="s">
        <v>51</v>
      </c>
      <c r="J16" s="104"/>
      <c r="K16" s="105" t="s">
        <v>51</v>
      </c>
      <c r="L16" s="107"/>
      <c r="M16" s="31"/>
      <c r="N16" s="31"/>
      <c r="O16" s="94"/>
      <c r="P16" s="95"/>
      <c r="Q16" s="95"/>
      <c r="R16" s="96"/>
      <c r="S16" s="97"/>
      <c r="T16" s="95"/>
      <c r="U16" s="95"/>
      <c r="V16" s="95"/>
      <c r="W16" s="96"/>
    </row>
    <row r="17">
      <c r="A17" s="87"/>
      <c r="B17" s="87"/>
      <c r="C17" s="31"/>
      <c r="D17" s="31"/>
      <c r="E17" s="108"/>
      <c r="F17" s="108"/>
      <c r="G17" s="108"/>
      <c r="H17" s="108"/>
      <c r="I17" s="108"/>
      <c r="J17" s="108"/>
      <c r="K17" s="108"/>
      <c r="L17" s="108"/>
      <c r="M17" s="31"/>
      <c r="N17" s="31"/>
      <c r="O17" s="94"/>
      <c r="P17" s="95"/>
      <c r="Q17" s="95"/>
      <c r="R17" s="96"/>
      <c r="S17" s="97"/>
      <c r="T17" s="95"/>
      <c r="U17" s="95"/>
      <c r="V17" s="95"/>
      <c r="W17" s="96"/>
    </row>
    <row r="18">
      <c r="A18" s="87"/>
      <c r="B18" s="87"/>
      <c r="C18" s="109"/>
      <c r="D18" s="110"/>
      <c r="E18" s="111" t="s">
        <v>6285</v>
      </c>
      <c r="F18" s="112"/>
      <c r="G18" s="112"/>
      <c r="H18" s="113"/>
      <c r="I18" s="111" t="s">
        <v>6287</v>
      </c>
      <c r="J18" s="113"/>
      <c r="K18" s="111" t="s">
        <v>6290</v>
      </c>
      <c r="L18" s="113"/>
      <c r="M18" s="31"/>
      <c r="N18" s="31"/>
      <c r="O18" s="114"/>
      <c r="P18" s="115"/>
      <c r="Q18" s="115"/>
      <c r="R18" s="115"/>
      <c r="S18" s="116"/>
      <c r="T18" s="115"/>
      <c r="U18" s="115"/>
      <c r="V18" s="115"/>
      <c r="W18" s="117"/>
    </row>
    <row r="19">
      <c r="A19" s="30"/>
      <c r="B19" s="30"/>
      <c r="C19" s="118"/>
      <c r="D19" s="119"/>
      <c r="E19" s="118"/>
      <c r="F19" s="120"/>
      <c r="G19" s="121" t="s">
        <v>6299</v>
      </c>
      <c r="H19" s="122">
        <f>SUMIF(L29:L499,G19,N29:N499)</f>
        <v>450</v>
      </c>
      <c r="I19" s="123" t="s">
        <v>6300</v>
      </c>
      <c r="J19" s="124" t="s">
        <v>6302</v>
      </c>
      <c r="K19" s="125" t="s">
        <v>6304</v>
      </c>
      <c r="L19" s="119"/>
      <c r="M19" s="31"/>
      <c r="N19" s="31"/>
      <c r="O19" s="126"/>
      <c r="P19" s="127"/>
      <c r="Q19" s="127"/>
      <c r="R19" s="127"/>
      <c r="S19" s="128"/>
      <c r="T19" s="129" t="str">
        <f>B7</f>
        <v>Renata</v>
      </c>
      <c r="U19" s="112"/>
      <c r="V19" s="112"/>
      <c r="W19" s="130"/>
    </row>
    <row r="20">
      <c r="A20" s="131"/>
      <c r="B20" s="131"/>
      <c r="C20" s="132" t="s">
        <v>783</v>
      </c>
      <c r="D20" s="133">
        <f>SUMIFS(N29:N504,J29:J504,C20,K29:K504,C19)+SUMIF(Q102:Q138,A9,R102:R138)+D25</f>
        <v>0</v>
      </c>
      <c r="E20" s="132" t="s">
        <v>783</v>
      </c>
      <c r="F20" s="134">
        <f>SUMIFS(N29:N504,J29:J504,C20,K29:K504,E19)+SUMIF(Q102:Q138,A10,R102:R138)+F25</f>
        <v>0</v>
      </c>
      <c r="G20" s="135" t="s">
        <v>6328</v>
      </c>
      <c r="H20" s="136">
        <v>0.0</v>
      </c>
      <c r="I20" s="137">
        <f>SUMIF(J29:J504,I19,N29:N504)</f>
        <v>232.02</v>
      </c>
      <c r="J20" s="138">
        <f>SUMIF(J29:J504,J19,N29:N504)</f>
        <v>0</v>
      </c>
      <c r="K20" s="139" t="s">
        <v>6335</v>
      </c>
      <c r="L20" s="140"/>
      <c r="M20" s="31"/>
      <c r="N20" s="31"/>
      <c r="O20" s="141"/>
      <c r="P20" s="142"/>
      <c r="Q20" s="142"/>
      <c r="R20" s="142"/>
      <c r="S20" s="55"/>
      <c r="T20" s="56" t="str">
        <f>IFERROR(__xludf.DUMMYFUNCTION("query(C28:L507,""select Col1,Col3,Col8,Col9 where (Col8 = 'Adiantamento' or Col8 = 'Consumo') and Col9 = '""&amp;B7&amp;""'"",1)"),"Data")</f>
        <v>Data</v>
      </c>
      <c r="U20" s="56" t="str">
        <f>IFERROR(__xludf.DUMMYFUNCTION("""COMPUTED_VALUE"""),"Valor ")</f>
        <v>Valor </v>
      </c>
      <c r="V20" s="56" t="str">
        <f>IFERROR(__xludf.DUMMYFUNCTION("""COMPUTED_VALUE"""),"Tipo")</f>
        <v>Tipo</v>
      </c>
      <c r="W20" s="57" t="str">
        <f>IFERROR(__xludf.DUMMYFUNCTION("""COMPUTED_VALUE"""),"Funcionário")</f>
        <v>Funcionário</v>
      </c>
    </row>
    <row r="21" ht="19.5" customHeight="1">
      <c r="A21" s="143"/>
      <c r="B21" s="143"/>
      <c r="C21" s="132" t="s">
        <v>6080</v>
      </c>
      <c r="D21" s="133">
        <f>SUMIFS(N29:N504,J29:J504,C21,K29:K504,C19)</f>
        <v>0</v>
      </c>
      <c r="E21" s="132" t="s">
        <v>6080</v>
      </c>
      <c r="F21" s="134">
        <f>SUMIFS(N29:N504,J29:J504,E21,K29:K504,E19)</f>
        <v>0</v>
      </c>
      <c r="G21" s="92" t="s">
        <v>6354</v>
      </c>
      <c r="H21" s="133">
        <f>SUMIFS(N29:N504,D29:D504,"Saída",J29:J504,"Sangria")</f>
        <v>6600</v>
      </c>
      <c r="I21" s="144"/>
      <c r="J21" s="145"/>
      <c r="K21" s="139" t="s">
        <v>6364</v>
      </c>
      <c r="L21" s="140"/>
      <c r="M21" s="31"/>
      <c r="N21" s="31"/>
      <c r="O21" s="114"/>
      <c r="P21" s="59"/>
      <c r="Q21" s="59"/>
      <c r="R21" s="60"/>
      <c r="S21" s="61"/>
      <c r="T21" s="59"/>
      <c r="U21" s="59"/>
      <c r="V21" s="59"/>
      <c r="W21" s="60"/>
    </row>
    <row r="22">
      <c r="A22" s="143"/>
      <c r="B22" s="143"/>
      <c r="C22" s="146" t="s">
        <v>6112</v>
      </c>
      <c r="D22" s="133">
        <f>D21*0.8</f>
        <v>0</v>
      </c>
      <c r="E22" s="146" t="s">
        <v>6112</v>
      </c>
      <c r="F22" s="147">
        <f>F21*0.8</f>
        <v>0</v>
      </c>
      <c r="G22" s="148" t="s">
        <v>6369</v>
      </c>
      <c r="H22" s="149">
        <f>SUMIFS(N29:N504,D29:D504,"Entrada",J29:J504,"Sangria")</f>
        <v>0</v>
      </c>
      <c r="I22" s="150" t="s">
        <v>6370</v>
      </c>
      <c r="J22" s="151"/>
      <c r="K22" s="139" t="s">
        <v>6372</v>
      </c>
      <c r="L22" s="140"/>
      <c r="M22" s="31"/>
      <c r="N22" s="31"/>
      <c r="O22" s="58"/>
      <c r="P22" s="59"/>
      <c r="Q22" s="59"/>
      <c r="R22" s="60"/>
      <c r="S22" s="61"/>
      <c r="T22" s="59"/>
      <c r="U22" s="59"/>
      <c r="V22" s="59"/>
      <c r="W22" s="60"/>
    </row>
    <row r="23">
      <c r="A23" s="152"/>
      <c r="B23" s="152"/>
      <c r="C23" s="153" t="s">
        <v>6160</v>
      </c>
      <c r="D23" s="154"/>
      <c r="E23" s="153" t="s">
        <v>6160</v>
      </c>
      <c r="F23" s="154"/>
      <c r="G23" s="155" t="s">
        <v>6380</v>
      </c>
      <c r="H23" s="156"/>
      <c r="I23" s="157">
        <f>SUMIF(J29:J504,I22,N29:N504)</f>
        <v>0</v>
      </c>
      <c r="J23" s="158"/>
      <c r="K23" s="139" t="s">
        <v>6389</v>
      </c>
      <c r="L23" s="140"/>
      <c r="M23" s="31"/>
      <c r="N23" s="31"/>
      <c r="O23" s="58"/>
      <c r="P23" s="59"/>
      <c r="Q23" s="59"/>
      <c r="R23" s="60"/>
      <c r="S23" s="61"/>
      <c r="T23" s="59"/>
      <c r="U23" s="59"/>
      <c r="V23" s="59"/>
      <c r="W23" s="60"/>
    </row>
    <row r="24">
      <c r="A24" s="159"/>
      <c r="B24" s="159"/>
      <c r="C24" s="160" t="s">
        <v>6182</v>
      </c>
      <c r="D24" s="161"/>
      <c r="E24" s="160" t="s">
        <v>6182</v>
      </c>
      <c r="F24" s="161"/>
      <c r="G24" s="92" t="s">
        <v>6398</v>
      </c>
      <c r="H24" s="163">
        <f>SUMIF(L29:L504,G24,N29:N504)</f>
        <v>0</v>
      </c>
      <c r="I24" s="164" t="s">
        <v>6404</v>
      </c>
      <c r="J24" s="156"/>
      <c r="K24" s="139" t="s">
        <v>6407</v>
      </c>
      <c r="L24" s="140"/>
      <c r="M24" s="31"/>
      <c r="N24" s="31"/>
      <c r="O24" s="58"/>
      <c r="P24" s="59"/>
      <c r="Q24" s="59"/>
      <c r="R24" s="60"/>
      <c r="S24" s="61"/>
      <c r="T24" s="59"/>
      <c r="U24" s="59"/>
      <c r="V24" s="59"/>
      <c r="W24" s="60"/>
    </row>
    <row r="25" ht="14.25" customHeight="1">
      <c r="A25" s="159"/>
      <c r="B25" s="159"/>
      <c r="C25" s="165" t="s">
        <v>51</v>
      </c>
      <c r="D25" s="166"/>
      <c r="E25" s="165" t="s">
        <v>51</v>
      </c>
      <c r="F25" s="166"/>
      <c r="G25" s="167" t="s">
        <v>6416</v>
      </c>
      <c r="H25" s="168">
        <f>SUMIF(L29:L504,G25,N29:N504)</f>
        <v>0</v>
      </c>
      <c r="I25" s="157">
        <f>SUMIF(J29:J504,I24,N29:N504)</f>
        <v>0</v>
      </c>
      <c r="J25" s="158"/>
      <c r="K25" s="169"/>
      <c r="L25" s="170"/>
      <c r="M25" s="32"/>
      <c r="N25" s="32"/>
      <c r="O25" s="58"/>
      <c r="P25" s="59"/>
      <c r="Q25" s="59"/>
      <c r="R25" s="60"/>
      <c r="S25" s="61"/>
      <c r="T25" s="59"/>
      <c r="U25" s="59"/>
      <c r="V25" s="59"/>
      <c r="W25" s="60"/>
    </row>
    <row r="26" ht="14.25" customHeight="1">
      <c r="A26" s="171"/>
      <c r="B26" s="171"/>
      <c r="C26" s="171"/>
      <c r="D26" s="171"/>
      <c r="E26" s="171"/>
      <c r="F26" s="171"/>
      <c r="G26" s="172"/>
      <c r="H26" s="171"/>
      <c r="I26" s="171"/>
      <c r="J26" s="173"/>
      <c r="K26" s="173"/>
      <c r="L26" s="173"/>
      <c r="M26" s="174"/>
      <c r="N26" s="174"/>
      <c r="O26" s="58"/>
      <c r="P26" s="85"/>
      <c r="Q26" s="85"/>
      <c r="R26" s="86"/>
      <c r="S26" s="87"/>
      <c r="T26" s="85"/>
      <c r="U26" s="85"/>
      <c r="V26" s="85"/>
      <c r="W26" s="86"/>
    </row>
    <row r="27">
      <c r="A27" s="175"/>
      <c r="B27" s="176" t="s">
        <v>6426</v>
      </c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10"/>
      <c r="N27" s="174"/>
      <c r="O27" s="94"/>
      <c r="P27" s="95"/>
      <c r="Q27" s="95"/>
      <c r="R27" s="96"/>
      <c r="S27" s="97"/>
      <c r="T27" s="95"/>
      <c r="U27" s="95"/>
      <c r="V27" s="95"/>
      <c r="W27" s="96"/>
    </row>
    <row r="28">
      <c r="A28" s="178"/>
      <c r="B28" s="179" t="s">
        <v>0</v>
      </c>
      <c r="C28" s="180" t="s">
        <v>10</v>
      </c>
      <c r="D28" s="181" t="s">
        <v>18</v>
      </c>
      <c r="E28" s="180" t="s">
        <v>21</v>
      </c>
      <c r="F28" s="181"/>
      <c r="G28" s="181" t="s">
        <v>6</v>
      </c>
      <c r="H28" s="182"/>
      <c r="I28" s="183" t="s">
        <v>47</v>
      </c>
      <c r="J28" s="181" t="s">
        <v>52</v>
      </c>
      <c r="K28" s="180" t="s">
        <v>38</v>
      </c>
      <c r="L28" s="184" t="s">
        <v>6443</v>
      </c>
      <c r="M28" s="185" t="s">
        <v>5</v>
      </c>
      <c r="N28" s="174"/>
      <c r="O28" s="94"/>
      <c r="P28" s="95"/>
      <c r="Q28" s="95"/>
      <c r="R28" s="96"/>
      <c r="S28" s="97"/>
      <c r="T28" s="95"/>
      <c r="U28" s="95"/>
      <c r="V28" s="95"/>
      <c r="W28" s="96"/>
    </row>
    <row r="29">
      <c r="A29" s="186"/>
      <c r="B29" s="13">
        <v>2085587.0</v>
      </c>
      <c r="C29" s="14">
        <v>46107.71965277778</v>
      </c>
      <c r="D29" s="187" t="s">
        <v>97</v>
      </c>
      <c r="E29" s="188" t="s">
        <v>343</v>
      </c>
      <c r="F29" s="189"/>
      <c r="G29" s="187" t="s">
        <v>8530</v>
      </c>
      <c r="H29" s="190"/>
      <c r="I29" s="190"/>
      <c r="J29" s="191" t="s">
        <v>6469</v>
      </c>
      <c r="K29" s="191"/>
      <c r="L29" s="192" t="str">
        <f>IFERROR(__xludf.DUMMYFUNCTION("IF(
  AND(D29=""Saída"", J29=""Sangria""),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193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94">
        <f>IFERROR(__xludf.DUMMYFUNCTION("ifna(VALUE(REGEXEXTRACT(E29,""[0-9.]+[,]+[0-9]+"")))"),50.0)</f>
        <v>50</v>
      </c>
      <c r="O29" s="94"/>
      <c r="P29" s="95"/>
      <c r="Q29" s="95"/>
      <c r="R29" s="96"/>
      <c r="S29" s="97"/>
      <c r="T29" s="95"/>
      <c r="U29" s="95"/>
      <c r="V29" s="95"/>
      <c r="W29" s="96"/>
    </row>
    <row r="30" ht="14.25" customHeight="1">
      <c r="A30" s="186"/>
      <c r="B30" s="13">
        <v>2085772.0</v>
      </c>
      <c r="C30" s="14">
        <v>46107.77260416667</v>
      </c>
      <c r="D30" s="187" t="s">
        <v>97</v>
      </c>
      <c r="E30" s="188" t="s">
        <v>650</v>
      </c>
      <c r="F30" s="189"/>
      <c r="G30" s="187" t="s">
        <v>8323</v>
      </c>
      <c r="H30" s="195"/>
      <c r="I30" s="195"/>
      <c r="J30" s="196" t="s">
        <v>6469</v>
      </c>
      <c r="K30" s="196"/>
      <c r="L30" s="192" t="str">
        <f>IFERROR(__xludf.DUMMYFUNCTION("IF(
  AND(D30=""Saída"", J30=""Sangria""),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197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94">
        <f>IFERROR(__xludf.DUMMYFUNCTION("ifna(VALUE(REGEXEXTRACT(E30,""[0-9.]+[,]+[0-9]+"")))"),78.0)</f>
        <v>78</v>
      </c>
      <c r="O30" s="94"/>
      <c r="P30" s="95"/>
      <c r="Q30" s="95"/>
      <c r="R30" s="96"/>
      <c r="S30" s="97"/>
      <c r="T30" s="95"/>
      <c r="U30" s="95"/>
      <c r="V30" s="95"/>
      <c r="W30" s="96"/>
    </row>
    <row r="31" ht="14.25" customHeight="1">
      <c r="A31" s="186"/>
      <c r="B31" s="13">
        <v>2085836.0</v>
      </c>
      <c r="C31" s="14">
        <v>46107.79620370371</v>
      </c>
      <c r="D31" s="187" t="s">
        <v>97</v>
      </c>
      <c r="E31" s="188" t="s">
        <v>8531</v>
      </c>
      <c r="F31" s="189"/>
      <c r="G31" s="187" t="s">
        <v>1042</v>
      </c>
      <c r="H31" s="195"/>
      <c r="I31" s="195"/>
      <c r="J31" s="196" t="s">
        <v>6080</v>
      </c>
      <c r="K31" s="196" t="s">
        <v>6111</v>
      </c>
      <c r="L31" s="192" t="str">
        <f>IFERROR(__xludf.DUMMYFUNCTION("IF(
  AND(D31=""Saída"", J31=""Sangria""),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198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94">
        <f>IFERROR(__xludf.DUMMYFUNCTION("ifna(VALUE(REGEXEXTRACT(E31,""[0-9.]+[,]+[0-9]+"")))"),13.46)</f>
        <v>13.46</v>
      </c>
      <c r="O31" s="94"/>
      <c r="P31" s="95"/>
      <c r="Q31" s="95"/>
      <c r="R31" s="96"/>
      <c r="S31" s="97"/>
      <c r="T31" s="95"/>
      <c r="U31" s="95"/>
      <c r="V31" s="95"/>
      <c r="W31" s="96"/>
    </row>
    <row r="32" ht="14.25" customHeight="1">
      <c r="A32" s="186"/>
      <c r="B32" s="13">
        <v>2086123.0</v>
      </c>
      <c r="C32" s="14">
        <v>46107.88993055555</v>
      </c>
      <c r="D32" s="187" t="s">
        <v>97</v>
      </c>
      <c r="E32" s="188" t="s">
        <v>8532</v>
      </c>
      <c r="F32" s="189"/>
      <c r="G32" s="187" t="s">
        <v>1042</v>
      </c>
      <c r="H32" s="195"/>
      <c r="I32" s="195"/>
      <c r="J32" s="196" t="s">
        <v>6080</v>
      </c>
      <c r="K32" s="196" t="s">
        <v>6111</v>
      </c>
      <c r="L32" s="192" t="str">
        <f>IFERROR(__xludf.DUMMYFUNCTION("IF(
  AND(D32=""Saída"", J32=""Sangria""),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199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94">
        <f>IFERROR(__xludf.DUMMYFUNCTION("ifna(VALUE(REGEXEXTRACT(E32,""[0-9.]+[,]+[0-9]+"")))"),43.4)</f>
        <v>43.4</v>
      </c>
      <c r="O32" s="94"/>
      <c r="P32" s="95"/>
      <c r="Q32" s="95"/>
      <c r="R32" s="96"/>
      <c r="S32" s="97"/>
      <c r="T32" s="95"/>
      <c r="U32" s="95"/>
      <c r="V32" s="95"/>
      <c r="W32" s="96"/>
    </row>
    <row r="33" ht="14.25" customHeight="1">
      <c r="A33" s="186"/>
      <c r="B33" s="13">
        <v>2087731.0</v>
      </c>
      <c r="C33" s="14">
        <v>46108.75126157407</v>
      </c>
      <c r="D33" s="187" t="s">
        <v>97</v>
      </c>
      <c r="E33" s="188" t="s">
        <v>6475</v>
      </c>
      <c r="F33" s="189"/>
      <c r="G33" s="187" t="s">
        <v>2909</v>
      </c>
      <c r="H33" s="195"/>
      <c r="I33" s="195"/>
      <c r="J33" s="196" t="s">
        <v>6446</v>
      </c>
      <c r="K33" s="196"/>
      <c r="L33" s="192" t="str">
        <f>IFERROR(__xludf.DUMMYFUNCTION("IF(
  AND(D33=""Saída"", J33=""Sangria""),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198" t="str">
        <f>IFERROR(__xludf.DUMMYFUNCTION("IF(J33=""Compra de Mercadorias"",
   IF(
      COUNTIF(ARRAYFORMULA(TRIM(CLEAN(TO_TEXT(Notas!BS:BS)))), TRIM(CLEAN(TO_TEXT(B33)))) &gt; 0,
      ""Encontrada"",
      ""Não Encontrada""
   ),
"""")"),"Encontrada")</f>
        <v>Encontrada</v>
      </c>
      <c r="N33" s="194">
        <f>IFERROR(__xludf.DUMMYFUNCTION("ifna(VALUE(REGEXEXTRACT(E33,""[0-9.]+[,]+[0-9]+"")))"),250.0)</f>
        <v>250</v>
      </c>
      <c r="O33" s="94"/>
      <c r="P33" s="95"/>
      <c r="Q33" s="95"/>
      <c r="R33" s="96"/>
      <c r="S33" s="97"/>
      <c r="T33" s="95"/>
      <c r="U33" s="95"/>
      <c r="V33" s="95"/>
      <c r="W33" s="96"/>
    </row>
    <row r="34" ht="14.25" customHeight="1">
      <c r="A34" s="186"/>
      <c r="B34" s="13">
        <v>2087735.0</v>
      </c>
      <c r="C34" s="14">
        <v>46108.75203703704</v>
      </c>
      <c r="D34" s="187" t="s">
        <v>97</v>
      </c>
      <c r="E34" s="188" t="s">
        <v>8533</v>
      </c>
      <c r="F34" s="189"/>
      <c r="G34" s="187" t="s">
        <v>8534</v>
      </c>
      <c r="H34" s="195"/>
      <c r="I34" s="195"/>
      <c r="J34" s="196" t="s">
        <v>6446</v>
      </c>
      <c r="K34" s="196"/>
      <c r="L34" s="192" t="str">
        <f>IFERROR(__xludf.DUMMYFUNCTION("IF(
  AND(D34=""Saída"", J34=""Sangria""),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197" t="str">
        <f>IFERROR(__xludf.DUMMYFUNCTION("IF(J34=""Compra de Mercadorias"",
   IF(
      COUNTIF(ARRAYFORMULA(TRIM(CLEAN(TO_TEXT(Notas!BS:BS)))), TRIM(CLEAN(TO_TEXT(B34)))) &gt; 0,
      ""Encontrada"",
      ""Não Encontrada""
   ),
"""")"),"Encontrada")</f>
        <v>Encontrada</v>
      </c>
      <c r="N34" s="194">
        <f>IFERROR(__xludf.DUMMYFUNCTION("ifna(VALUE(REGEXEXTRACT(E34,""[0-9.]+[,]+[0-9]+"")))"),103.2)</f>
        <v>103.2</v>
      </c>
      <c r="O34" s="114"/>
      <c r="P34" s="115"/>
      <c r="Q34" s="115"/>
      <c r="R34" s="115"/>
      <c r="S34" s="116"/>
      <c r="T34" s="115"/>
      <c r="U34" s="115"/>
      <c r="V34" s="115"/>
      <c r="W34" s="117"/>
    </row>
    <row r="35" ht="18.75" customHeight="1">
      <c r="A35" s="186"/>
      <c r="B35" s="13">
        <v>2087746.0</v>
      </c>
      <c r="C35" s="14">
        <v>46108.75371527778</v>
      </c>
      <c r="D35" s="187" t="s">
        <v>97</v>
      </c>
      <c r="E35" s="188" t="s">
        <v>8535</v>
      </c>
      <c r="F35" s="189"/>
      <c r="G35" s="187" t="s">
        <v>8536</v>
      </c>
      <c r="H35" s="195"/>
      <c r="I35" s="195"/>
      <c r="J35" s="196" t="s">
        <v>6446</v>
      </c>
      <c r="K35" s="196"/>
      <c r="L35" s="192" t="str">
        <f>IFERROR(__xludf.DUMMYFUNCTION("IF(
  AND(D35=""Saída"", J35=""Sangria""),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198" t="str">
        <f>IFERROR(__xludf.DUMMYFUNCTION("IF(J35=""Compra de Mercadorias"",
   IF(
      COUNTIF(ARRAYFORMULA(TRIM(CLEAN(TO_TEXT(Notas!BS:BS)))), TRIM(CLEAN(TO_TEXT(B35)))) &gt; 0,
      ""Encontrada"",
      ""Não Encontrada""
   ),
"""")"),"Encontrada")</f>
        <v>Encontrada</v>
      </c>
      <c r="N35" s="194">
        <f>IFERROR(__xludf.DUMMYFUNCTION("ifna(VALUE(REGEXEXTRACT(E35,""[0-9.]+[,]+[0-9]+"")))"),208.74)</f>
        <v>208.74</v>
      </c>
      <c r="O35" s="31"/>
      <c r="P35" s="31"/>
      <c r="Q35" s="31"/>
      <c r="R35" s="31"/>
      <c r="S35" s="31"/>
      <c r="T35" s="31"/>
      <c r="U35" s="31"/>
      <c r="V35" s="31"/>
      <c r="W35" s="31"/>
    </row>
    <row r="36" ht="14.25" customHeight="1">
      <c r="A36" s="186"/>
      <c r="B36" s="13">
        <v>2087751.0</v>
      </c>
      <c r="C36" s="14">
        <v>46108.75457175926</v>
      </c>
      <c r="D36" s="187" t="s">
        <v>97</v>
      </c>
      <c r="E36" s="188" t="s">
        <v>8296</v>
      </c>
      <c r="F36" s="189"/>
      <c r="G36" s="187" t="s">
        <v>8537</v>
      </c>
      <c r="H36" s="195"/>
      <c r="I36" s="195"/>
      <c r="J36" s="196" t="s">
        <v>6446</v>
      </c>
      <c r="K36" s="196"/>
      <c r="L36" s="192" t="str">
        <f>IFERROR(__xludf.DUMMYFUNCTION("IF(
  AND(D36=""Saída"", J36=""Sangria""),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197" t="str">
        <f>IFERROR(__xludf.DUMMYFUNCTION("IF(J36=""Compra de Mercadorias"",
   IF(
      COUNTIF(ARRAYFORMULA(TRIM(CLEAN(TO_TEXT(Notas!BS:BS)))), TRIM(CLEAN(TO_TEXT(B36)))) &gt; 0,
      ""Encontrada"",
      ""Não Encontrada""
   ),
"""")"),"Encontrada")</f>
        <v>Encontrada</v>
      </c>
      <c r="N36" s="194">
        <f>IFERROR(__xludf.DUMMYFUNCTION("ifna(VALUE(REGEXEXTRACT(E36,""[0-9.]+[,]+[0-9]+"")))"),133.0)</f>
        <v>133</v>
      </c>
      <c r="O36" s="31"/>
      <c r="P36" s="31"/>
      <c r="Q36" s="31"/>
      <c r="R36" s="31"/>
      <c r="S36" s="31"/>
      <c r="T36" s="31"/>
      <c r="U36" s="31"/>
      <c r="V36" s="31"/>
      <c r="W36" s="31"/>
    </row>
    <row r="37" ht="14.25" customHeight="1">
      <c r="A37" s="186"/>
      <c r="B37" s="13">
        <v>2087755.0</v>
      </c>
      <c r="C37" s="14">
        <v>46108.755891203706</v>
      </c>
      <c r="D37" s="187" t="s">
        <v>97</v>
      </c>
      <c r="E37" s="188" t="s">
        <v>343</v>
      </c>
      <c r="F37" s="189"/>
      <c r="G37" s="187" t="s">
        <v>8498</v>
      </c>
      <c r="H37" s="195"/>
      <c r="I37" s="195"/>
      <c r="J37" s="196" t="s">
        <v>6469</v>
      </c>
      <c r="K37" s="196"/>
      <c r="L37" s="192" t="str">
        <f>IFERROR(__xludf.DUMMYFUNCTION("IF(
  AND(D37=""Saída"", J37=""Sangria""),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01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94">
        <f>IFERROR(__xludf.DUMMYFUNCTION("ifna(VALUE(REGEXEXTRACT(E37,""[0-9.]+[,]+[0-9]+"")))"),50.0)</f>
        <v>50</v>
      </c>
      <c r="O37" s="31"/>
      <c r="P37" s="31"/>
      <c r="Q37" s="31"/>
      <c r="R37" s="31"/>
      <c r="S37" s="31"/>
      <c r="T37" s="31"/>
      <c r="U37" s="31"/>
      <c r="V37" s="31"/>
      <c r="W37" s="31"/>
    </row>
    <row r="38" ht="14.25" customHeight="1">
      <c r="A38" s="186"/>
      <c r="B38" s="13">
        <v>2087759.0</v>
      </c>
      <c r="C38" s="14">
        <v>46108.756319444445</v>
      </c>
      <c r="D38" s="187" t="s">
        <v>97</v>
      </c>
      <c r="E38" s="188" t="s">
        <v>7829</v>
      </c>
      <c r="F38" s="189"/>
      <c r="G38" s="187" t="s">
        <v>8451</v>
      </c>
      <c r="H38" s="195"/>
      <c r="I38" s="195"/>
      <c r="J38" s="196" t="s">
        <v>6469</v>
      </c>
      <c r="K38" s="196"/>
      <c r="L38" s="192" t="str">
        <f>IFERROR(__xludf.DUMMYFUNCTION("IF(
  AND(D38=""Saída"", J38=""Sangria""),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197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94">
        <f>IFERROR(__xludf.DUMMYFUNCTION("ifna(VALUE(REGEXEXTRACT(E38,""[0-9.]+[,]+[0-9]+"")))"),72.0)</f>
        <v>72</v>
      </c>
      <c r="O38" s="31"/>
      <c r="P38" s="31"/>
      <c r="Q38" s="31"/>
      <c r="R38" s="31"/>
      <c r="S38" s="31"/>
      <c r="T38" s="31"/>
      <c r="U38" s="31"/>
      <c r="V38" s="31"/>
      <c r="W38" s="31"/>
    </row>
    <row r="39" ht="21.75" customHeight="1">
      <c r="A39" s="186"/>
      <c r="B39" s="13">
        <v>2088087.0</v>
      </c>
      <c r="C39" s="14">
        <v>46108.83524305555</v>
      </c>
      <c r="D39" s="187" t="s">
        <v>97</v>
      </c>
      <c r="E39" s="188" t="s">
        <v>8453</v>
      </c>
      <c r="F39" s="200"/>
      <c r="G39" s="187" t="s">
        <v>8314</v>
      </c>
      <c r="H39" s="195"/>
      <c r="I39" s="195"/>
      <c r="J39" s="196" t="s">
        <v>6080</v>
      </c>
      <c r="K39" s="196" t="s">
        <v>6111</v>
      </c>
      <c r="L39" s="192" t="str">
        <f>IFERROR(__xludf.DUMMYFUNCTION("IF(
  AND(D39=""Saída"", J39=""Sangria""),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198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94">
        <f>IFERROR(__xludf.DUMMYFUNCTION("ifna(VALUE(REGEXEXTRACT(E39,""[0-9.]+[,]+[0-9]+"")))"),23.0)</f>
        <v>23</v>
      </c>
      <c r="O39" s="31"/>
      <c r="P39" s="31"/>
      <c r="Q39" s="31"/>
      <c r="R39" s="31"/>
      <c r="S39" s="31"/>
      <c r="T39" s="31"/>
      <c r="U39" s="31"/>
      <c r="V39" s="31"/>
      <c r="W39" s="31"/>
    </row>
    <row r="40" ht="14.25" customHeight="1">
      <c r="A40" s="186"/>
      <c r="B40" s="13">
        <v>2090370.0</v>
      </c>
      <c r="C40" s="14">
        <v>46109.804768518516</v>
      </c>
      <c r="D40" s="187" t="s">
        <v>97</v>
      </c>
      <c r="E40" s="188" t="s">
        <v>6561</v>
      </c>
      <c r="F40" s="189"/>
      <c r="G40" s="187" t="s">
        <v>7295</v>
      </c>
      <c r="H40" s="195"/>
      <c r="I40" s="195"/>
      <c r="J40" s="196" t="s">
        <v>6469</v>
      </c>
      <c r="K40" s="196"/>
      <c r="L40" s="192" t="str">
        <f>IFERROR(__xludf.DUMMYFUNCTION("IF(
  AND(D40=""Saída"", J40=""Sangria""),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197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94">
        <f>IFERROR(__xludf.DUMMYFUNCTION("ifna(VALUE(REGEXEXTRACT(E40,""[0-9.]+[,]+[0-9]+"")))"),123.0)</f>
        <v>123</v>
      </c>
      <c r="O40" s="31"/>
      <c r="P40" s="31"/>
      <c r="Q40" s="31"/>
      <c r="R40" s="31"/>
      <c r="S40" s="31"/>
      <c r="T40" s="31"/>
      <c r="U40" s="31"/>
      <c r="V40" s="31"/>
      <c r="W40" s="31"/>
    </row>
    <row r="41" ht="14.25" customHeight="1">
      <c r="A41" s="186"/>
      <c r="B41" s="13">
        <v>2090371.0</v>
      </c>
      <c r="C41" s="14">
        <v>46109.805300925924</v>
      </c>
      <c r="D41" s="187" t="s">
        <v>97</v>
      </c>
      <c r="E41" s="188" t="s">
        <v>1071</v>
      </c>
      <c r="F41" s="189"/>
      <c r="G41" s="187" t="s">
        <v>8538</v>
      </c>
      <c r="H41" s="195"/>
      <c r="I41" s="195"/>
      <c r="J41" s="196" t="s">
        <v>6469</v>
      </c>
      <c r="K41" s="196"/>
      <c r="L41" s="192" t="str">
        <f>IFERROR(__xludf.DUMMYFUNCTION("IF(
  AND(D41=""Saída"", J41=""Sangria""),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201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94">
        <f>IFERROR(__xludf.DUMMYFUNCTION("ifna(VALUE(REGEXEXTRACT(E41,""[0-9.]+[,]+[0-9]+"")))"),110.0)</f>
        <v>110</v>
      </c>
      <c r="O41" s="31"/>
      <c r="P41" s="31"/>
      <c r="Q41" s="31"/>
      <c r="R41" s="31"/>
      <c r="S41" s="31"/>
      <c r="T41" s="31"/>
      <c r="U41" s="31"/>
      <c r="V41" s="31"/>
      <c r="W41" s="31"/>
    </row>
    <row r="42" ht="14.25" customHeight="1">
      <c r="A42" s="186"/>
      <c r="B42" s="13">
        <v>2090379.0</v>
      </c>
      <c r="C42" s="14">
        <v>46109.80645833333</v>
      </c>
      <c r="D42" s="187" t="s">
        <v>97</v>
      </c>
      <c r="E42" s="188" t="s">
        <v>8539</v>
      </c>
      <c r="F42" s="189"/>
      <c r="G42" s="187" t="s">
        <v>8540</v>
      </c>
      <c r="H42" s="195"/>
      <c r="I42" s="195"/>
      <c r="J42" s="196" t="s">
        <v>6469</v>
      </c>
      <c r="K42" s="196"/>
      <c r="L42" s="192" t="str">
        <f>IFERROR(__xludf.DUMMYFUNCTION("IF(
  AND(D42=""Saída"", J42=""Sangria""),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197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94">
        <f>IFERROR(__xludf.DUMMYFUNCTION("ifna(VALUE(REGEXEXTRACT(E42,""[0-9.]+[,]+[0-9]+"")))"),54.0)</f>
        <v>54</v>
      </c>
      <c r="O42" s="31"/>
      <c r="P42" s="31"/>
      <c r="Q42" s="31"/>
      <c r="R42" s="31"/>
      <c r="S42" s="31"/>
      <c r="T42" s="31"/>
      <c r="U42" s="31"/>
      <c r="V42" s="31"/>
      <c r="W42" s="31"/>
    </row>
    <row r="43" ht="14.25" customHeight="1">
      <c r="A43" s="186"/>
      <c r="B43" s="13">
        <v>2090712.0</v>
      </c>
      <c r="C43" s="14">
        <v>46109.86938657407</v>
      </c>
      <c r="D43" s="187" t="s">
        <v>97</v>
      </c>
      <c r="E43" s="188" t="s">
        <v>390</v>
      </c>
      <c r="F43" s="189"/>
      <c r="G43" s="187" t="s">
        <v>858</v>
      </c>
      <c r="H43" s="202"/>
      <c r="I43" s="202"/>
      <c r="J43" s="196" t="s">
        <v>6544</v>
      </c>
      <c r="K43" s="196" t="s">
        <v>5991</v>
      </c>
      <c r="L43" s="192" t="str">
        <f>IFERROR(__xludf.DUMMYFUNCTION("IF(
  AND(D43=""Saída"", J43=""Sangria""),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"),"Confirmada")</f>
        <v>Confirmada</v>
      </c>
      <c r="M43" s="203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94">
        <f>IFERROR(__xludf.DUMMYFUNCTION("ifna(VALUE(REGEXEXTRACT(E43,""[0-9.]+[,]+[0-9]+"")))"),1300.0)</f>
        <v>1300</v>
      </c>
      <c r="O43" s="31"/>
      <c r="P43" s="31"/>
      <c r="Q43" s="31"/>
      <c r="R43" s="31"/>
      <c r="S43" s="31"/>
      <c r="T43" s="31"/>
      <c r="U43" s="31"/>
      <c r="V43" s="31"/>
      <c r="W43" s="31"/>
    </row>
    <row r="44" ht="14.25" customHeight="1">
      <c r="A44" s="186"/>
      <c r="B44" s="13">
        <v>2090750.0</v>
      </c>
      <c r="C44" s="14">
        <v>46109.8765162037</v>
      </c>
      <c r="D44" s="187" t="s">
        <v>97</v>
      </c>
      <c r="E44" s="188" t="s">
        <v>6466</v>
      </c>
      <c r="F44" s="189"/>
      <c r="G44" s="187" t="s">
        <v>8541</v>
      </c>
      <c r="H44" s="202"/>
      <c r="I44" s="202"/>
      <c r="J44" s="196" t="s">
        <v>6469</v>
      </c>
      <c r="K44" s="196"/>
      <c r="L44" s="192" t="str">
        <f>IFERROR(__xludf.DUMMYFUNCTION("IF(
  AND(D44=""Saída"", J44=""Sangria""),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197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94">
        <f>IFERROR(__xludf.DUMMYFUNCTION("ifna(VALUE(REGEXEXTRACT(E44,""[0-9.]+[,]+[0-9]+"")))"),91.0)</f>
        <v>91</v>
      </c>
      <c r="O44" s="31"/>
      <c r="P44" s="31"/>
      <c r="Q44" s="31"/>
      <c r="R44" s="31"/>
      <c r="S44" s="31"/>
      <c r="T44" s="31"/>
      <c r="U44" s="31"/>
      <c r="V44" s="31"/>
      <c r="W44" s="31"/>
    </row>
    <row r="45" ht="14.25" customHeight="1">
      <c r="A45" s="186"/>
      <c r="B45" s="13">
        <v>2093730.0</v>
      </c>
      <c r="C45" s="14">
        <v>46110.85821759259</v>
      </c>
      <c r="D45" s="187" t="s">
        <v>97</v>
      </c>
      <c r="E45" s="188" t="s">
        <v>650</v>
      </c>
      <c r="F45" s="189"/>
      <c r="G45" s="187" t="s">
        <v>8542</v>
      </c>
      <c r="H45" s="204"/>
      <c r="I45" s="204"/>
      <c r="J45" s="196" t="s">
        <v>6469</v>
      </c>
      <c r="K45" s="196"/>
      <c r="L45" s="192" t="str">
        <f>IFERROR(__xludf.DUMMYFUNCTION("IF(
  AND(D45=""Saída"", J45=""Sangria""),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198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94">
        <f>IFERROR(__xludf.DUMMYFUNCTION("ifna(VALUE(REGEXEXTRACT(E45,""[0-9.]+[,]+[0-9]+"")))"),78.0)</f>
        <v>78</v>
      </c>
      <c r="O45" s="31"/>
      <c r="P45" s="31"/>
      <c r="Q45" s="31"/>
      <c r="R45" s="31"/>
      <c r="S45" s="31"/>
      <c r="T45" s="31"/>
      <c r="U45" s="31"/>
      <c r="V45" s="31"/>
      <c r="W45" s="31"/>
    </row>
    <row r="46" ht="18.75" customHeight="1">
      <c r="A46" s="186"/>
      <c r="B46" s="13">
        <v>2093740.0</v>
      </c>
      <c r="C46" s="14">
        <v>46110.858761574076</v>
      </c>
      <c r="D46" s="187" t="s">
        <v>97</v>
      </c>
      <c r="E46" s="188" t="s">
        <v>473</v>
      </c>
      <c r="F46" s="189"/>
      <c r="G46" s="187" t="s">
        <v>8543</v>
      </c>
      <c r="H46" s="204"/>
      <c r="I46" s="204"/>
      <c r="J46" s="196" t="s">
        <v>6469</v>
      </c>
      <c r="K46" s="196"/>
      <c r="L46" s="192" t="str">
        <f>IFERROR(__xludf.DUMMYFUNCTION("IF(
  AND(D46=""Saída"", J46=""Sangria""),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197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94">
        <f>IFERROR(__xludf.DUMMYFUNCTION("ifna(VALUE(REGEXEXTRACT(E46,""[0-9.]+[,]+[0-9]+"")))"),84.0)</f>
        <v>84</v>
      </c>
      <c r="O46" s="31"/>
      <c r="P46" s="31"/>
      <c r="Q46" s="31"/>
      <c r="R46" s="31"/>
      <c r="S46" s="31"/>
      <c r="T46" s="31"/>
      <c r="U46" s="31"/>
      <c r="V46" s="31"/>
      <c r="W46" s="31"/>
    </row>
    <row r="47" ht="14.25" customHeight="1">
      <c r="A47" s="186"/>
      <c r="B47" s="13">
        <v>2093751.0</v>
      </c>
      <c r="C47" s="14">
        <v>46110.85936342592</v>
      </c>
      <c r="D47" s="187" t="s">
        <v>97</v>
      </c>
      <c r="E47" s="188" t="s">
        <v>6561</v>
      </c>
      <c r="F47" s="189"/>
      <c r="G47" s="187" t="s">
        <v>8544</v>
      </c>
      <c r="H47" s="204"/>
      <c r="I47" s="204"/>
      <c r="J47" s="196" t="s">
        <v>6469</v>
      </c>
      <c r="K47" s="196"/>
      <c r="L47" s="192" t="str">
        <f>IFERROR(__xludf.DUMMYFUNCTION("IF(
  AND(D47=""Saída"", J47=""Sangria""),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198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94">
        <f>IFERROR(__xludf.DUMMYFUNCTION("ifna(VALUE(REGEXEXTRACT(E47,""[0-9.]+[,]+[0-9]+"")))"),123.0)</f>
        <v>123</v>
      </c>
      <c r="O47" s="31"/>
      <c r="P47" s="31"/>
      <c r="Q47" s="31"/>
      <c r="R47" s="31"/>
      <c r="S47" s="31"/>
      <c r="T47" s="31"/>
      <c r="U47" s="31"/>
      <c r="V47" s="31"/>
      <c r="W47" s="31"/>
    </row>
    <row r="48">
      <c r="A48" s="186"/>
      <c r="B48" s="13">
        <v>2093830.0</v>
      </c>
      <c r="C48" s="14">
        <v>46110.86840277778</v>
      </c>
      <c r="D48" s="187" t="s">
        <v>97</v>
      </c>
      <c r="E48" s="188" t="s">
        <v>6547</v>
      </c>
      <c r="F48" s="189"/>
      <c r="G48" s="187" t="s">
        <v>8545</v>
      </c>
      <c r="H48" s="204"/>
      <c r="I48" s="204"/>
      <c r="J48" s="196" t="s">
        <v>6469</v>
      </c>
      <c r="K48" s="196"/>
      <c r="L48" s="192" t="str">
        <f>IFERROR(__xludf.DUMMYFUNCTION("IF(
  AND(D48=""Saída"", J48=""Sangria""),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197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94">
        <f>IFERROR(__xludf.DUMMYFUNCTION("ifna(VALUE(REGEXEXTRACT(E48,""[0-9.]+[,]+[0-9]+"")))"),117.0)</f>
        <v>117</v>
      </c>
      <c r="O48" s="205" t="str">
        <f>B8</f>
        <v>Joice</v>
      </c>
      <c r="P48" s="112"/>
      <c r="Q48" s="112"/>
      <c r="R48" s="112"/>
      <c r="S48" s="128"/>
      <c r="T48" s="129" t="str">
        <f>B9</f>
        <v>Fernando</v>
      </c>
      <c r="U48" s="112"/>
      <c r="V48" s="112"/>
      <c r="W48" s="130"/>
    </row>
    <row r="49" ht="14.25" customHeight="1">
      <c r="A49" s="186"/>
      <c r="B49" s="13">
        <v>2094154.0</v>
      </c>
      <c r="C49" s="14">
        <v>46110.90070601852</v>
      </c>
      <c r="D49" s="187" t="s">
        <v>97</v>
      </c>
      <c r="E49" s="188" t="s">
        <v>8477</v>
      </c>
      <c r="F49" s="200"/>
      <c r="G49" s="187" t="s">
        <v>8546</v>
      </c>
      <c r="H49" s="204"/>
      <c r="I49" s="204"/>
      <c r="J49" s="196" t="s">
        <v>6551</v>
      </c>
      <c r="K49" s="196"/>
      <c r="L49" s="192" t="str">
        <f>IFERROR(__xludf.DUMMYFUNCTION("IF(
  AND(D49=""Saída"", J49=""Sangria""),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198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94">
        <f>IFERROR(__xludf.DUMMYFUNCTION("ifna(VALUE(REGEXEXTRACT(E49,""[0-9.]+[,]+[0-9]+"")))"),678.0)</f>
        <v>678</v>
      </c>
      <c r="O49" s="52" t="str">
        <f>IFERROR(__xludf.DUMMYFUNCTION("query(C28:L507,""select Col1,Col3,Col8,Col9 where (Col8 = 'Adiantamento' or Col8 = 'Consumo') and Col9 = '""&amp;B8&amp;""'"",1)"),"Data")</f>
        <v>Data</v>
      </c>
      <c r="P49" s="53" t="str">
        <f>IFERROR(__xludf.DUMMYFUNCTION("""COMPUTED_VALUE"""),"Valor ")</f>
        <v>Valor </v>
      </c>
      <c r="Q49" s="53" t="str">
        <f>IFERROR(__xludf.DUMMYFUNCTION("""COMPUTED_VALUE"""),"Tipo")</f>
        <v>Tipo</v>
      </c>
      <c r="R49" s="53" t="str">
        <f>IFERROR(__xludf.DUMMYFUNCTION("""COMPUTED_VALUE"""),"Funcionário")</f>
        <v>Funcionário</v>
      </c>
      <c r="S49" s="55"/>
      <c r="T49" s="56" t="str">
        <f>IFERROR(__xludf.DUMMYFUNCTION("query(C28:L507,""select Col1,Col3,Col8,Col9 where (Col8 = 'Adiantamento' or Col8 = 'Consumo') and Col9 = '""&amp;B9&amp;""'"",1)"),"Data")</f>
        <v>Data</v>
      </c>
      <c r="U49" s="56" t="str">
        <f>IFERROR(__xludf.DUMMYFUNCTION("""COMPUTED_VALUE"""),"Valor ")</f>
        <v>Valor </v>
      </c>
      <c r="V49" s="56" t="str">
        <f>IFERROR(__xludf.DUMMYFUNCTION("""COMPUTED_VALUE"""),"Tipo")</f>
        <v>Tipo</v>
      </c>
      <c r="W49" s="57" t="str">
        <f>IFERROR(__xludf.DUMMYFUNCTION("""COMPUTED_VALUE"""),"Funcionário")</f>
        <v>Funcionário</v>
      </c>
    </row>
    <row r="50" ht="14.25" customHeight="1">
      <c r="A50" s="186"/>
      <c r="B50" s="13">
        <v>2094176.0</v>
      </c>
      <c r="C50" s="14">
        <v>46110.90241898148</v>
      </c>
      <c r="D50" s="187" t="s">
        <v>97</v>
      </c>
      <c r="E50" s="188" t="s">
        <v>1412</v>
      </c>
      <c r="F50" s="189"/>
      <c r="G50" s="187" t="s">
        <v>858</v>
      </c>
      <c r="H50" s="204"/>
      <c r="I50" s="204"/>
      <c r="J50" s="196" t="s">
        <v>6544</v>
      </c>
      <c r="K50" s="196" t="s">
        <v>5991</v>
      </c>
      <c r="L50" s="192" t="str">
        <f>IFERROR(__xludf.DUMMYFUNCTION("IF(
  AND(D50=""Saída"", J50=""Sangria""),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"),"Confirmada")</f>
        <v>Confirmada</v>
      </c>
      <c r="M50" s="201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94">
        <f>IFERROR(__xludf.DUMMYFUNCTION("ifna(VALUE(REGEXEXTRACT(E50,""[0-9.]+[,]+[0-9]+"")))"),800.0)</f>
        <v>800</v>
      </c>
      <c r="O50" s="58"/>
      <c r="P50" s="59"/>
      <c r="Q50" s="59"/>
      <c r="R50" s="59"/>
      <c r="S50" s="61"/>
      <c r="T50" s="59"/>
      <c r="U50" s="59"/>
      <c r="V50" s="59"/>
      <c r="W50" s="60"/>
    </row>
    <row r="51" ht="30.0" customHeight="1">
      <c r="A51" s="186"/>
      <c r="B51" s="13">
        <v>2096331.0</v>
      </c>
      <c r="C51" s="14">
        <v>46111.76993055556</v>
      </c>
      <c r="D51" s="187" t="s">
        <v>97</v>
      </c>
      <c r="E51" s="188" t="s">
        <v>7829</v>
      </c>
      <c r="F51" s="189"/>
      <c r="G51" s="187" t="s">
        <v>8547</v>
      </c>
      <c r="H51" s="204"/>
      <c r="I51" s="204"/>
      <c r="J51" s="196" t="s">
        <v>6469</v>
      </c>
      <c r="K51" s="196"/>
      <c r="L51" s="192" t="str">
        <f>IFERROR(__xludf.DUMMYFUNCTION("IF(
  AND(D51=""Saída"", J51=""Sangria""),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198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94">
        <f>IFERROR(__xludf.DUMMYFUNCTION("ifna(VALUE(REGEXEXTRACT(E51,""[0-9.]+[,]+[0-9]+"")))"),72.0)</f>
        <v>72</v>
      </c>
      <c r="O51" s="58"/>
      <c r="P51" s="59"/>
      <c r="Q51" s="59"/>
      <c r="R51" s="59"/>
      <c r="S51" s="61"/>
      <c r="T51" s="59"/>
      <c r="U51" s="59"/>
      <c r="V51" s="59"/>
      <c r="W51" s="60"/>
    </row>
    <row r="52" ht="14.25" customHeight="1">
      <c r="A52" s="186"/>
      <c r="B52" s="13">
        <v>2096334.0</v>
      </c>
      <c r="C52" s="14">
        <v>46111.770532407405</v>
      </c>
      <c r="D52" s="187" t="s">
        <v>97</v>
      </c>
      <c r="E52" s="188" t="s">
        <v>343</v>
      </c>
      <c r="F52" s="189"/>
      <c r="G52" s="187" t="s">
        <v>8548</v>
      </c>
      <c r="H52" s="204"/>
      <c r="I52" s="204"/>
      <c r="J52" s="196" t="s">
        <v>6469</v>
      </c>
      <c r="K52" s="196"/>
      <c r="L52" s="192" t="str">
        <f>IFERROR(__xludf.DUMMYFUNCTION("IF(
  AND(D52=""Saída"", J52=""Sangria""),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197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94">
        <f>IFERROR(__xludf.DUMMYFUNCTION("ifna(VALUE(REGEXEXTRACT(E52,""[0-9.]+[,]+[0-9]+"")))"),50.0)</f>
        <v>50</v>
      </c>
      <c r="O52" s="58"/>
      <c r="P52" s="59"/>
      <c r="Q52" s="59"/>
      <c r="R52" s="59"/>
      <c r="S52" s="61"/>
      <c r="T52" s="59"/>
      <c r="U52" s="59"/>
      <c r="V52" s="59"/>
      <c r="W52" s="60"/>
    </row>
    <row r="53" ht="14.25" customHeight="1">
      <c r="A53" s="186"/>
      <c r="B53" s="13">
        <v>2096483.0</v>
      </c>
      <c r="C53" s="14">
        <v>46111.80787037037</v>
      </c>
      <c r="D53" s="187" t="s">
        <v>97</v>
      </c>
      <c r="E53" s="188" t="s">
        <v>1780</v>
      </c>
      <c r="F53" s="189"/>
      <c r="G53" s="187" t="s">
        <v>1042</v>
      </c>
      <c r="H53" s="204"/>
      <c r="I53" s="204"/>
      <c r="J53" s="196" t="s">
        <v>6080</v>
      </c>
      <c r="K53" s="196" t="s">
        <v>6111</v>
      </c>
      <c r="L53" s="192" t="str">
        <f>IFERROR(__xludf.DUMMYFUNCTION("IF(
  AND(D53=""Saída"", J53=""Sangria""),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198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94">
        <f>IFERROR(__xludf.DUMMYFUNCTION("ifna(VALUE(REGEXEXTRACT(E53,""[0-9.]+[,]+[0-9]+"")))"),5.0)</f>
        <v>5</v>
      </c>
      <c r="O53" s="58"/>
      <c r="P53" s="59"/>
      <c r="Q53" s="59"/>
      <c r="R53" s="59"/>
      <c r="S53" s="61"/>
      <c r="T53" s="59"/>
      <c r="U53" s="59"/>
      <c r="V53" s="59"/>
      <c r="W53" s="60"/>
    </row>
    <row r="54" ht="14.25" customHeight="1">
      <c r="A54" s="186"/>
      <c r="B54" s="13">
        <v>2096729.0</v>
      </c>
      <c r="C54" s="14">
        <v>46111.89953703704</v>
      </c>
      <c r="D54" s="187" t="s">
        <v>97</v>
      </c>
      <c r="E54" s="188" t="s">
        <v>8549</v>
      </c>
      <c r="F54" s="189"/>
      <c r="G54" s="187" t="s">
        <v>157</v>
      </c>
      <c r="H54" s="204"/>
      <c r="I54" s="204"/>
      <c r="J54" s="196" t="s">
        <v>6080</v>
      </c>
      <c r="K54" s="196" t="s">
        <v>6111</v>
      </c>
      <c r="L54" s="192" t="str">
        <f>IFERROR(__xludf.DUMMYFUNCTION("IF(
  AND(D54=""Saída"", J54=""Sangria""),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197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94">
        <f>IFERROR(__xludf.DUMMYFUNCTION("ifna(VALUE(REGEXEXTRACT(E54,""[0-9.]+[,]+[0-9]+"")))"),24.91)</f>
        <v>24.91</v>
      </c>
      <c r="O54" s="58"/>
      <c r="P54" s="59"/>
      <c r="Q54" s="59"/>
      <c r="R54" s="59"/>
      <c r="S54" s="61"/>
      <c r="T54" s="59"/>
      <c r="U54" s="59"/>
      <c r="V54" s="59"/>
      <c r="W54" s="60"/>
    </row>
    <row r="55" ht="14.25" customHeight="1">
      <c r="A55" s="186"/>
      <c r="B55" s="13">
        <v>2096735.0</v>
      </c>
      <c r="C55" s="14">
        <v>46111.9008912037</v>
      </c>
      <c r="D55" s="187" t="s">
        <v>97</v>
      </c>
      <c r="E55" s="188" t="s">
        <v>163</v>
      </c>
      <c r="F55" s="200"/>
      <c r="G55" s="187" t="s">
        <v>8550</v>
      </c>
      <c r="H55" s="204"/>
      <c r="I55" s="204"/>
      <c r="J55" s="196"/>
      <c r="K55" s="196"/>
      <c r="L55" s="192" t="str">
        <f>IFERROR(__xludf.DUMMYFUNCTION("IF(
  AND(D55=""Saída"", J55=""Sangria""),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01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94">
        <f>IFERROR(__xludf.DUMMYFUNCTION("ifna(VALUE(REGEXEXTRACT(E55,""[0-9.]+[,]+[0-9]+"")))"),0.01)</f>
        <v>0.01</v>
      </c>
      <c r="O55" s="58"/>
      <c r="P55" s="85"/>
      <c r="Q55" s="85"/>
      <c r="R55" s="85"/>
      <c r="S55" s="87"/>
      <c r="T55" s="85"/>
      <c r="U55" s="85"/>
      <c r="V55" s="85"/>
      <c r="W55" s="86"/>
    </row>
    <row r="56" ht="14.25" customHeight="1">
      <c r="A56" s="186"/>
      <c r="B56" s="13">
        <v>2097904.0</v>
      </c>
      <c r="C56" s="14">
        <v>46112.69967592593</v>
      </c>
      <c r="D56" s="187" t="s">
        <v>97</v>
      </c>
      <c r="E56" s="188" t="s">
        <v>1143</v>
      </c>
      <c r="F56" s="189"/>
      <c r="G56" s="187" t="s">
        <v>7426</v>
      </c>
      <c r="H56" s="204"/>
      <c r="I56" s="204"/>
      <c r="J56" s="196" t="s">
        <v>6446</v>
      </c>
      <c r="K56" s="196"/>
      <c r="L56" s="192" t="str">
        <f>IFERROR(__xludf.DUMMYFUNCTION("IF(
  AND(D56=""Saída"", J56=""Sangria""),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197" t="str">
        <f>IFERROR(__xludf.DUMMYFUNCTION("IF(J56=""Compra de Mercadorias"",
   IF(
      COUNTIF(ARRAYFORMULA(TRIM(CLEAN(TO_TEXT(Notas!BS:BS)))), TRIM(CLEAN(TO_TEXT(B56)))) &gt; 0,
      ""Encontrada"",
      ""Não Encontrada""
   ),
"""")"),"Encontrada")</f>
        <v>Encontrada</v>
      </c>
      <c r="N56" s="194">
        <f>IFERROR(__xludf.DUMMYFUNCTION("ifna(VALUE(REGEXEXTRACT(E56,""[0-9.]+[,]+[0-9]+"")))"),175.0)</f>
        <v>175</v>
      </c>
      <c r="O56" s="94"/>
      <c r="P56" s="95"/>
      <c r="Q56" s="95"/>
      <c r="R56" s="95"/>
      <c r="S56" s="97"/>
      <c r="T56" s="95"/>
      <c r="U56" s="95"/>
      <c r="V56" s="95"/>
      <c r="W56" s="96"/>
    </row>
    <row r="57" ht="17.25" customHeight="1">
      <c r="A57" s="186"/>
      <c r="B57" s="13">
        <v>2097909.0</v>
      </c>
      <c r="C57" s="14">
        <v>46112.70140046296</v>
      </c>
      <c r="D57" s="187" t="s">
        <v>97</v>
      </c>
      <c r="E57" s="188" t="s">
        <v>8551</v>
      </c>
      <c r="F57" s="189"/>
      <c r="G57" s="187" t="s">
        <v>8552</v>
      </c>
      <c r="H57" s="204"/>
      <c r="I57" s="204"/>
      <c r="J57" s="196" t="s">
        <v>6446</v>
      </c>
      <c r="K57" s="196"/>
      <c r="L57" s="192" t="str">
        <f>IFERROR(__xludf.DUMMYFUNCTION("IF(
  AND(D57=""Saída"", J57=""Sangria""),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198" t="str">
        <f>IFERROR(__xludf.DUMMYFUNCTION("IF(J57=""Compra de Mercadorias"",
   IF(
      COUNTIF(ARRAYFORMULA(TRIM(CLEAN(TO_TEXT(Notas!BS:BS)))), TRIM(CLEAN(TO_TEXT(B57)))) &gt; 0,
      ""Encontrada"",
      ""Não Encontrada""
   ),
"""")"),"Encontrada")</f>
        <v>Encontrada</v>
      </c>
      <c r="N57" s="194">
        <f>IFERROR(__xludf.DUMMYFUNCTION("ifna(VALUE(REGEXEXTRACT(E57,""[0-9.]+[,]+[0-9]+"")))"),583.72)</f>
        <v>583.72</v>
      </c>
      <c r="O57" s="94"/>
      <c r="P57" s="95"/>
      <c r="Q57" s="95"/>
      <c r="R57" s="95"/>
      <c r="S57" s="97"/>
      <c r="T57" s="95"/>
      <c r="U57" s="95"/>
      <c r="V57" s="95"/>
      <c r="W57" s="96"/>
    </row>
    <row r="58" ht="14.25" customHeight="1">
      <c r="A58" s="186"/>
      <c r="B58" s="13">
        <v>2097942.0</v>
      </c>
      <c r="C58" s="14">
        <v>46112.70842592593</v>
      </c>
      <c r="D58" s="187" t="s">
        <v>97</v>
      </c>
      <c r="E58" s="188" t="s">
        <v>1006</v>
      </c>
      <c r="F58" s="189"/>
      <c r="G58" s="282" t="s">
        <v>8553</v>
      </c>
      <c r="H58" s="204"/>
      <c r="I58" s="204"/>
      <c r="J58" s="196"/>
      <c r="K58" s="196"/>
      <c r="L58" s="192" t="str">
        <f>IFERROR(__xludf.DUMMYFUNCTION("IF(
  AND(D58=""Saída"", J58=""Sangria""),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197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94">
        <f>IFERROR(__xludf.DUMMYFUNCTION("ifna(VALUE(REGEXEXTRACT(E58,""[0-9.]+[,]+[0-9]+"")))"),100.0)</f>
        <v>100</v>
      </c>
      <c r="O58" s="94"/>
      <c r="P58" s="95"/>
      <c r="Q58" s="95"/>
      <c r="R58" s="95"/>
      <c r="S58" s="97"/>
      <c r="T58" s="95"/>
      <c r="U58" s="95"/>
      <c r="V58" s="95"/>
      <c r="W58" s="96"/>
    </row>
    <row r="59" ht="14.25" customHeight="1">
      <c r="A59" s="186"/>
      <c r="B59" s="13">
        <v>2097952.0</v>
      </c>
      <c r="C59" s="14">
        <v>46112.70952546296</v>
      </c>
      <c r="D59" s="187" t="s">
        <v>97</v>
      </c>
      <c r="E59" s="188" t="s">
        <v>8554</v>
      </c>
      <c r="F59" s="189"/>
      <c r="G59" s="187" t="s">
        <v>8555</v>
      </c>
      <c r="H59" s="204"/>
      <c r="I59" s="204"/>
      <c r="J59" s="196" t="s">
        <v>6446</v>
      </c>
      <c r="K59" s="196"/>
      <c r="L59" s="192" t="str">
        <f>IFERROR(__xludf.DUMMYFUNCTION("IF(
  AND(D59=""Saída"", J59=""Sangria""),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198" t="str">
        <f>IFERROR(__xludf.DUMMYFUNCTION("IF(J59=""Compra de Mercadorias"",
   IF(
      COUNTIF(ARRAYFORMULA(TRIM(CLEAN(TO_TEXT(Notas!BS:BS)))), TRIM(CLEAN(TO_TEXT(B59)))) &gt; 0,
      ""Encontrada"",
      ""Não Encontrada""
   ),
"""")"),"Encontrada")</f>
        <v>Encontrada</v>
      </c>
      <c r="N59" s="194">
        <f>IFERROR(__xludf.DUMMYFUNCTION("ifna(VALUE(REGEXEXTRACT(E59,""[0-9.]+[,]+[0-9]+"")))"),10.75)</f>
        <v>10.75</v>
      </c>
      <c r="O59" s="94"/>
      <c r="P59" s="95"/>
      <c r="Q59" s="95"/>
      <c r="R59" s="95"/>
      <c r="S59" s="97"/>
      <c r="T59" s="95"/>
      <c r="U59" s="95"/>
      <c r="V59" s="95"/>
      <c r="W59" s="96"/>
    </row>
    <row r="60" ht="14.25" customHeight="1">
      <c r="A60" s="186"/>
      <c r="B60" s="13">
        <v>2098038.0</v>
      </c>
      <c r="C60" s="14">
        <v>46112.73260416667</v>
      </c>
      <c r="D60" s="187" t="s">
        <v>97</v>
      </c>
      <c r="E60" s="188" t="s">
        <v>532</v>
      </c>
      <c r="F60" s="189"/>
      <c r="G60" s="187" t="s">
        <v>8556</v>
      </c>
      <c r="H60" s="204"/>
      <c r="I60" s="204"/>
      <c r="J60" s="196" t="s">
        <v>6469</v>
      </c>
      <c r="K60" s="196"/>
      <c r="L60" s="192" t="str">
        <f>IFERROR(__xludf.DUMMYFUNCTION("IF(
  AND(D60=""Saída"", J60=""Sangria""),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197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94">
        <f>IFERROR(__xludf.DUMMYFUNCTION("ifna(VALUE(REGEXEXTRACT(E60,""[0-9.]+[,]+[0-9]+"")))"),65.0)</f>
        <v>65</v>
      </c>
      <c r="O60" s="207"/>
      <c r="P60" s="208"/>
      <c r="Q60" s="209"/>
      <c r="R60" s="210"/>
      <c r="S60" s="97"/>
      <c r="T60" s="95"/>
      <c r="U60" s="95"/>
      <c r="V60" s="95"/>
      <c r="W60" s="96"/>
    </row>
    <row r="61" ht="14.25" customHeight="1">
      <c r="A61" s="186"/>
      <c r="B61" s="13">
        <v>2098042.0</v>
      </c>
      <c r="C61" s="14">
        <v>46112.73320601852</v>
      </c>
      <c r="D61" s="187" t="s">
        <v>97</v>
      </c>
      <c r="E61" s="188" t="s">
        <v>7689</v>
      </c>
      <c r="F61" s="189"/>
      <c r="G61" s="187" t="s">
        <v>8493</v>
      </c>
      <c r="H61" s="204"/>
      <c r="I61" s="204"/>
      <c r="J61" s="196" t="s">
        <v>6469</v>
      </c>
      <c r="K61" s="196"/>
      <c r="L61" s="192" t="str">
        <f>IFERROR(__xludf.DUMMYFUNCTION("IF(
  AND(D61=""Saída"", J61=""Sangria""),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198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94">
        <f>IFERROR(__xludf.DUMMYFUNCTION("ifna(VALUE(REGEXEXTRACT(E61,""[0-9.]+[,]+[0-9]+"")))"),52.0)</f>
        <v>52</v>
      </c>
      <c r="O61" s="94"/>
      <c r="P61" s="95"/>
      <c r="Q61" s="95"/>
      <c r="R61" s="95"/>
      <c r="S61" s="97"/>
      <c r="T61" s="95"/>
      <c r="U61" s="95"/>
      <c r="V61" s="95"/>
      <c r="W61" s="96"/>
    </row>
    <row r="62" ht="14.25" customHeight="1">
      <c r="A62" s="186"/>
      <c r="B62" s="13">
        <v>2099444.0</v>
      </c>
      <c r="C62" s="14">
        <v>46113.6096875</v>
      </c>
      <c r="D62" s="187" t="s">
        <v>97</v>
      </c>
      <c r="E62" s="188" t="s">
        <v>8557</v>
      </c>
      <c r="F62" s="189"/>
      <c r="G62" s="187" t="s">
        <v>8558</v>
      </c>
      <c r="H62" s="204"/>
      <c r="I62" s="204"/>
      <c r="J62" s="196" t="s">
        <v>6080</v>
      </c>
      <c r="K62" s="196" t="s">
        <v>6198</v>
      </c>
      <c r="L62" s="192" t="str">
        <f>IFERROR(__xludf.DUMMYFUNCTION("IF(
  AND(D62=""Saída"", J62=""Sangria""),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197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94">
        <f>IFERROR(__xludf.DUMMYFUNCTION("ifna(VALUE(REGEXEXTRACT(E62,""[0-9.]+[,]+[0-9]+"")))"),74.47)</f>
        <v>74.47</v>
      </c>
      <c r="O62" s="94"/>
      <c r="P62" s="95"/>
      <c r="Q62" s="95"/>
      <c r="R62" s="95"/>
      <c r="S62" s="97"/>
      <c r="T62" s="95"/>
      <c r="U62" s="95"/>
      <c r="V62" s="95"/>
      <c r="W62" s="96"/>
    </row>
    <row r="63" ht="14.25" customHeight="1">
      <c r="A63" s="186"/>
      <c r="B63" s="13">
        <v>2100039.0</v>
      </c>
      <c r="C63" s="14">
        <v>46113.7771875</v>
      </c>
      <c r="D63" s="187" t="s">
        <v>97</v>
      </c>
      <c r="E63" s="188" t="s">
        <v>343</v>
      </c>
      <c r="F63" s="189"/>
      <c r="G63" s="187" t="s">
        <v>8559</v>
      </c>
      <c r="H63" s="204"/>
      <c r="I63" s="204"/>
      <c r="J63" s="196" t="s">
        <v>6469</v>
      </c>
      <c r="K63" s="196"/>
      <c r="L63" s="192" t="str">
        <f>IFERROR(__xludf.DUMMYFUNCTION("IF(
  AND(D63=""Saída"", J63=""Sangria""),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198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94">
        <f>IFERROR(__xludf.DUMMYFUNCTION("ifna(VALUE(REGEXEXTRACT(E63,""[0-9.]+[,]+[0-9]+"")))"),50.0)</f>
        <v>50</v>
      </c>
      <c r="O63" s="114"/>
      <c r="P63" s="115"/>
      <c r="Q63" s="115"/>
      <c r="R63" s="115"/>
      <c r="S63" s="116"/>
      <c r="T63" s="115"/>
      <c r="U63" s="115"/>
      <c r="V63" s="115"/>
      <c r="W63" s="117"/>
    </row>
    <row r="64" ht="35.25" customHeight="1">
      <c r="A64" s="186"/>
      <c r="B64" s="13">
        <v>2100045.0</v>
      </c>
      <c r="C64" s="14">
        <v>46113.779131944444</v>
      </c>
      <c r="D64" s="187" t="s">
        <v>97</v>
      </c>
      <c r="E64" s="188" t="s">
        <v>6475</v>
      </c>
      <c r="F64" s="189"/>
      <c r="G64" s="187" t="s">
        <v>2909</v>
      </c>
      <c r="H64" s="204"/>
      <c r="I64" s="204"/>
      <c r="J64" s="196" t="s">
        <v>6446</v>
      </c>
      <c r="K64" s="196"/>
      <c r="L64" s="192" t="str">
        <f>IFERROR(__xludf.DUMMYFUNCTION("IF(
  AND(D64=""Saída"", J64=""Sangria""),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197" t="str">
        <f>IFERROR(__xludf.DUMMYFUNCTION("IF(J64=""Compra de Mercadorias"",
   IF(
      COUNTIF(ARRAYFORMULA(TRIM(CLEAN(TO_TEXT(Notas!BS:BS)))), TRIM(CLEAN(TO_TEXT(B64)))) &gt; 0,
      ""Encontrada"",
      ""Não Encontrada""
   ),
"""")"),"Encontrada")</f>
        <v>Encontrada</v>
      </c>
      <c r="N64" s="194">
        <f>IFERROR(__xludf.DUMMYFUNCTION("ifna(VALUE(REGEXEXTRACT(E64,""[0-9.]+[,]+[0-9]+"")))"),250.0)</f>
        <v>250</v>
      </c>
      <c r="S64" s="31"/>
    </row>
    <row r="65" ht="14.25" customHeight="1">
      <c r="A65" s="186"/>
      <c r="B65" s="13">
        <v>2100062.0</v>
      </c>
      <c r="C65" s="14">
        <v>46113.78791666667</v>
      </c>
      <c r="D65" s="187" t="s">
        <v>97</v>
      </c>
      <c r="E65" s="188" t="s">
        <v>8560</v>
      </c>
      <c r="F65" s="189"/>
      <c r="G65" s="187" t="s">
        <v>1042</v>
      </c>
      <c r="H65" s="204"/>
      <c r="I65" s="204"/>
      <c r="J65" s="196" t="s">
        <v>6080</v>
      </c>
      <c r="K65" s="196" t="s">
        <v>6111</v>
      </c>
      <c r="L65" s="192" t="str">
        <f>IFERROR(__xludf.DUMMYFUNCTION("IF(
  AND(D65=""Saída"", J65=""Sangria""),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198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94">
        <f>IFERROR(__xludf.DUMMYFUNCTION("ifna(VALUE(REGEXEXTRACT(E65,""[0-9.]+[,]+[0-9]+"")))"),14.72)</f>
        <v>14.72</v>
      </c>
      <c r="S65" s="31"/>
    </row>
    <row r="66" ht="14.25" customHeight="1">
      <c r="A66" s="186"/>
      <c r="B66" s="13">
        <v>2102353.0</v>
      </c>
      <c r="C66" s="14">
        <v>46114.88773148148</v>
      </c>
      <c r="D66" s="187" t="s">
        <v>97</v>
      </c>
      <c r="E66" s="188" t="s">
        <v>8561</v>
      </c>
      <c r="F66" s="189"/>
      <c r="G66" s="187" t="s">
        <v>8562</v>
      </c>
      <c r="H66" s="204"/>
      <c r="I66" s="204"/>
      <c r="J66" s="196" t="s">
        <v>6446</v>
      </c>
      <c r="K66" s="196"/>
      <c r="L66" s="192" t="str">
        <f>IFERROR(__xludf.DUMMYFUNCTION("IF(
  AND(D66=""Saída"", J66=""Sangria""),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197" t="str">
        <f>IFERROR(__xludf.DUMMYFUNCTION("IF(J66=""Compra de Mercadorias"",
   IF(
      COUNTIF(ARRAYFORMULA(TRIM(CLEAN(TO_TEXT(Notas!BS:BS)))), TRIM(CLEAN(TO_TEXT(B66)))) &gt; 0,
      ""Encontrada"",
      ""Não Encontrada""
   ),
"""")"),"Encontrada")</f>
        <v>Encontrada</v>
      </c>
      <c r="N66" s="194">
        <f>IFERROR(__xludf.DUMMYFUNCTION("ifna(VALUE(REGEXEXTRACT(E66,""[0-9.]+[,]+[0-9]+"")))"),209.65)</f>
        <v>209.65</v>
      </c>
      <c r="S66" s="31"/>
    </row>
    <row r="67" ht="14.25" customHeight="1">
      <c r="A67" s="186"/>
      <c r="B67" s="13">
        <v>2102356.0</v>
      </c>
      <c r="C67" s="14">
        <v>46114.88885416667</v>
      </c>
      <c r="D67" s="187" t="s">
        <v>97</v>
      </c>
      <c r="E67" s="188" t="s">
        <v>650</v>
      </c>
      <c r="F67" s="189"/>
      <c r="G67" s="187" t="s">
        <v>8563</v>
      </c>
      <c r="H67" s="204"/>
      <c r="I67" s="204"/>
      <c r="J67" s="196" t="s">
        <v>6469</v>
      </c>
      <c r="K67" s="196"/>
      <c r="L67" s="192" t="str">
        <f>IFERROR(__xludf.DUMMYFUNCTION("IF(
  AND(D67=""Saída"", J67=""Sangria""),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198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94">
        <f>IFERROR(__xludf.DUMMYFUNCTION("ifna(VALUE(REGEXEXTRACT(E67,""[0-9.]+[,]+[0-9]+"")))"),78.0)</f>
        <v>78</v>
      </c>
      <c r="S67" s="31"/>
    </row>
    <row r="68">
      <c r="A68" s="186"/>
      <c r="B68" s="13">
        <v>2102357.0</v>
      </c>
      <c r="C68" s="14">
        <v>46114.889375</v>
      </c>
      <c r="D68" s="187" t="s">
        <v>97</v>
      </c>
      <c r="E68" s="188" t="s">
        <v>7689</v>
      </c>
      <c r="F68" s="189"/>
      <c r="G68" s="187" t="s">
        <v>8564</v>
      </c>
      <c r="H68" s="204"/>
      <c r="I68" s="204"/>
      <c r="J68" s="196" t="s">
        <v>6469</v>
      </c>
      <c r="K68" s="196"/>
      <c r="L68" s="192" t="str">
        <f>IFERROR(__xludf.DUMMYFUNCTION("IF(
  AND(D68=""Saída"", J68=""Sangria""),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197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94">
        <f>IFERROR(__xludf.DUMMYFUNCTION("ifna(VALUE(REGEXEXTRACT(E68,""[0-9.]+[,]+[0-9]+"")))"),52.0)</f>
        <v>52</v>
      </c>
      <c r="O68" s="205" t="str">
        <f>B10</f>
        <v/>
      </c>
      <c r="P68" s="112"/>
      <c r="Q68" s="112"/>
      <c r="R68" s="112"/>
      <c r="S68" s="128"/>
      <c r="T68" s="129" t="str">
        <f>B11</f>
        <v/>
      </c>
      <c r="U68" s="112"/>
      <c r="V68" s="112"/>
      <c r="W68" s="130"/>
    </row>
    <row r="69" ht="14.25" customHeight="1">
      <c r="A69" s="186"/>
      <c r="B69" s="13">
        <v>2102404.0</v>
      </c>
      <c r="C69" s="14">
        <v>46114.89859953704</v>
      </c>
      <c r="D69" s="187" t="s">
        <v>97</v>
      </c>
      <c r="E69" s="188" t="s">
        <v>7390</v>
      </c>
      <c r="F69" s="189"/>
      <c r="G69" s="187" t="s">
        <v>8565</v>
      </c>
      <c r="H69" s="204"/>
      <c r="I69" s="204"/>
      <c r="J69" s="196" t="s">
        <v>6446</v>
      </c>
      <c r="K69" s="196"/>
      <c r="L69" s="192" t="str">
        <f>IFERROR(__xludf.DUMMYFUNCTION("IF(
  AND(D69=""Saída"", J69=""Sangria""),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198" t="str">
        <f>IFERROR(__xludf.DUMMYFUNCTION("IF(J69=""Compra de Mercadorias"",
   IF(
      COUNTIF(ARRAYFORMULA(TRIM(CLEAN(TO_TEXT(Notas!BS:BS)))), TRIM(CLEAN(TO_TEXT(B69)))) &gt; 0,
      ""Encontrada"",
      ""Não Encontrada""
   ),
"""")"),"Encontrada")</f>
        <v>Encontrada</v>
      </c>
      <c r="N69" s="194">
        <f>IFERROR(__xludf.DUMMYFUNCTION("ifna(VALUE(REGEXEXTRACT(E69,""[0-9.]+[,]+[0-9]+"")))"),2.0)</f>
        <v>2</v>
      </c>
      <c r="O69" s="52" t="str">
        <f>IFERROR(__xludf.DUMMYFUNCTION("query(C28:L507,""select Col1,Col3,Col8,Col9 where (Col8 = 'Adiantamento' or Col8 = 'Consumo') and Col9 = '""&amp;B10&amp;""'"",1)"),"Data")</f>
        <v>Data</v>
      </c>
      <c r="P69" s="53" t="str">
        <f>IFERROR(__xludf.DUMMYFUNCTION("""COMPUTED_VALUE"""),"Valor ")</f>
        <v>Valor </v>
      </c>
      <c r="Q69" s="53" t="str">
        <f>IFERROR(__xludf.DUMMYFUNCTION("""COMPUTED_VALUE"""),"Tipo")</f>
        <v>Tipo</v>
      </c>
      <c r="R69" s="53" t="str">
        <f>IFERROR(__xludf.DUMMYFUNCTION("""COMPUTED_VALUE"""),"Funcionário")</f>
        <v>Funcionário</v>
      </c>
      <c r="S69" s="55"/>
      <c r="T69" s="56" t="str">
        <f>IFERROR(__xludf.DUMMYFUNCTION("query(C28:L507,""select Col1,Col3,Col8,Col9 where (Col8 = 'Adiantamento' or Col8 = 'Consumo') and Col9 = '""&amp;B11&amp;""'"",1)"),"Data")</f>
        <v>Data</v>
      </c>
      <c r="U69" s="56" t="str">
        <f>IFERROR(__xludf.DUMMYFUNCTION("""COMPUTED_VALUE"""),"Valor ")</f>
        <v>Valor </v>
      </c>
      <c r="V69" s="56" t="str">
        <f>IFERROR(__xludf.DUMMYFUNCTION("""COMPUTED_VALUE"""),"Tipo")</f>
        <v>Tipo</v>
      </c>
      <c r="W69" s="57" t="str">
        <f>IFERROR(__xludf.DUMMYFUNCTION("""COMPUTED_VALUE"""),"Funcionário")</f>
        <v>Funcionário</v>
      </c>
    </row>
    <row r="70" ht="14.25" customHeight="1">
      <c r="A70" s="186"/>
      <c r="B70" s="13">
        <v>2103416.0</v>
      </c>
      <c r="C70" s="14">
        <v>46115.655486111114</v>
      </c>
      <c r="D70" s="187" t="s">
        <v>97</v>
      </c>
      <c r="E70" s="188" t="s">
        <v>8566</v>
      </c>
      <c r="F70" s="189"/>
      <c r="G70" s="187" t="s">
        <v>8567</v>
      </c>
      <c r="H70" s="204"/>
      <c r="I70" s="204"/>
      <c r="J70" s="196" t="s">
        <v>6446</v>
      </c>
      <c r="K70" s="196"/>
      <c r="L70" s="192" t="str">
        <f>IFERROR(__xludf.DUMMYFUNCTION("IF(
  AND(D70=""Saída"", J70=""Sangria""),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197" t="str">
        <f>IFERROR(__xludf.DUMMYFUNCTION("IF(J70=""Compra de Mercadorias"",
   IF(
      COUNTIF(ARRAYFORMULA(TRIM(CLEAN(TO_TEXT(Notas!BS:BS)))), TRIM(CLEAN(TO_TEXT(B70)))) &gt; 0,
      ""Encontrada"",
      ""Não Encontrada""
   ),
"""")"),"Encontrada")</f>
        <v>Encontrada</v>
      </c>
      <c r="N70" s="194">
        <f>IFERROR(__xludf.DUMMYFUNCTION("ifna(VALUE(REGEXEXTRACT(E70,""[0-9.]+[,]+[0-9]+"")))"),67.16)</f>
        <v>67.16</v>
      </c>
      <c r="O70" s="58"/>
      <c r="P70" s="59"/>
      <c r="Q70" s="59"/>
      <c r="R70" s="59"/>
      <c r="S70" s="61"/>
      <c r="T70" s="59"/>
      <c r="U70" s="59"/>
      <c r="V70" s="59"/>
      <c r="W70" s="60"/>
    </row>
    <row r="71" ht="14.25" customHeight="1">
      <c r="A71" s="186"/>
      <c r="B71" s="13">
        <v>2104074.0</v>
      </c>
      <c r="C71" s="14">
        <v>46115.7937962963</v>
      </c>
      <c r="D71" s="187" t="s">
        <v>97</v>
      </c>
      <c r="E71" s="188" t="s">
        <v>532</v>
      </c>
      <c r="F71" s="189"/>
      <c r="G71" s="187" t="s">
        <v>8568</v>
      </c>
      <c r="H71" s="204"/>
      <c r="I71" s="204"/>
      <c r="J71" s="196" t="s">
        <v>6469</v>
      </c>
      <c r="K71" s="196"/>
      <c r="L71" s="192" t="str">
        <f>IFERROR(__xludf.DUMMYFUNCTION("IF(
  AND(D71=""Saída"", J71=""Sangria""),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198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94">
        <f>IFERROR(__xludf.DUMMYFUNCTION("ifna(VALUE(REGEXEXTRACT(E71,""[0-9.]+[,]+[0-9]+"")))"),65.0)</f>
        <v>65</v>
      </c>
      <c r="O71" s="58"/>
      <c r="P71" s="59"/>
      <c r="Q71" s="59"/>
      <c r="R71" s="59"/>
      <c r="S71" s="61"/>
      <c r="T71" s="59"/>
      <c r="U71" s="59"/>
      <c r="V71" s="59"/>
      <c r="W71" s="60"/>
    </row>
    <row r="72" ht="14.25" customHeight="1">
      <c r="A72" s="186"/>
      <c r="B72" s="13">
        <v>2104395.0</v>
      </c>
      <c r="C72" s="14">
        <v>46115.85041666667</v>
      </c>
      <c r="D72" s="187" t="s">
        <v>97</v>
      </c>
      <c r="E72" s="188" t="s">
        <v>6475</v>
      </c>
      <c r="F72" s="189"/>
      <c r="G72" s="187" t="s">
        <v>8569</v>
      </c>
      <c r="H72" s="204"/>
      <c r="I72" s="204"/>
      <c r="J72" s="196" t="s">
        <v>6446</v>
      </c>
      <c r="K72" s="196"/>
      <c r="L72" s="192" t="str">
        <f>IFERROR(__xludf.DUMMYFUNCTION("IF(
  AND(D72=""Saída"", J72=""Sangria""),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197" t="str">
        <f>IFERROR(__xludf.DUMMYFUNCTION("IF(J72=""Compra de Mercadorias"",
   IF(
      COUNTIF(ARRAYFORMULA(TRIM(CLEAN(TO_TEXT(Notas!BS:BS)))), TRIM(CLEAN(TO_TEXT(B72)))) &gt; 0,
      ""Encontrada"",
      ""Não Encontrada""
   ),
"""")"),"Encontrada")</f>
        <v>Encontrada</v>
      </c>
      <c r="N72" s="194">
        <f>IFERROR(__xludf.DUMMYFUNCTION("ifna(VALUE(REGEXEXTRACT(E72,""[0-9.]+[,]+[0-9]+"")))"),250.0)</f>
        <v>250</v>
      </c>
      <c r="O72" s="58"/>
      <c r="P72" s="59"/>
      <c r="Q72" s="59"/>
      <c r="R72" s="59"/>
      <c r="S72" s="61"/>
      <c r="T72" s="59"/>
      <c r="U72" s="59"/>
      <c r="V72" s="59"/>
      <c r="W72" s="60"/>
    </row>
    <row r="73" ht="14.25" customHeight="1">
      <c r="A73" s="186"/>
      <c r="B73" s="13">
        <v>2104766.0</v>
      </c>
      <c r="C73" s="14">
        <v>46115.909467592595</v>
      </c>
      <c r="D73" s="187" t="s">
        <v>97</v>
      </c>
      <c r="E73" s="188" t="s">
        <v>1071</v>
      </c>
      <c r="F73" s="189"/>
      <c r="G73" s="187" t="s">
        <v>8570</v>
      </c>
      <c r="H73" s="204"/>
      <c r="I73" s="204"/>
      <c r="J73" s="196" t="s">
        <v>6469</v>
      </c>
      <c r="K73" s="196"/>
      <c r="L73" s="192" t="str">
        <f>IFERROR(__xludf.DUMMYFUNCTION("IF(
  AND(D73=""Saída"", J73=""Sangria""),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198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94">
        <f>IFERROR(__xludf.DUMMYFUNCTION("ifna(VALUE(REGEXEXTRACT(E73,""[0-9.]+[,]+[0-9]+"")))"),110.0)</f>
        <v>110</v>
      </c>
      <c r="O73" s="58"/>
      <c r="P73" s="59"/>
      <c r="Q73" s="59"/>
      <c r="R73" s="59"/>
      <c r="S73" s="61"/>
      <c r="T73" s="59"/>
      <c r="U73" s="59"/>
      <c r="V73" s="59"/>
      <c r="W73" s="60"/>
    </row>
    <row r="74" ht="17.25" customHeight="1">
      <c r="A74" s="186"/>
      <c r="B74" s="13">
        <v>2104773.0</v>
      </c>
      <c r="C74" s="14">
        <v>46115.91033564815</v>
      </c>
      <c r="D74" s="187" t="s">
        <v>97</v>
      </c>
      <c r="E74" s="188" t="s">
        <v>6561</v>
      </c>
      <c r="F74" s="189"/>
      <c r="G74" s="187" t="s">
        <v>8571</v>
      </c>
      <c r="H74" s="204"/>
      <c r="I74" s="204"/>
      <c r="J74" s="196" t="s">
        <v>6469</v>
      </c>
      <c r="K74" s="196"/>
      <c r="L74" s="192" t="str">
        <f>IFERROR(__xludf.DUMMYFUNCTION("IF(
  AND(D74=""Saída"", J74=""Sangria""),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197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94">
        <f>IFERROR(__xludf.DUMMYFUNCTION("ifna(VALUE(REGEXEXTRACT(E74,""[0-9.]+[,]+[0-9]+"")))"),123.0)</f>
        <v>123</v>
      </c>
      <c r="O74" s="58"/>
      <c r="P74" s="59"/>
      <c r="Q74" s="59"/>
      <c r="R74" s="59"/>
      <c r="S74" s="61"/>
      <c r="T74" s="59"/>
      <c r="U74" s="59"/>
      <c r="V74" s="59"/>
      <c r="W74" s="60"/>
    </row>
    <row r="75">
      <c r="A75" s="186"/>
      <c r="B75" s="13">
        <v>2106077.0</v>
      </c>
      <c r="C75" s="14">
        <v>46116.64045138889</v>
      </c>
      <c r="D75" s="187" t="s">
        <v>97</v>
      </c>
      <c r="E75" s="188" t="s">
        <v>8572</v>
      </c>
      <c r="F75" s="189"/>
      <c r="G75" s="187" t="s">
        <v>8573</v>
      </c>
      <c r="H75" s="204"/>
      <c r="I75" s="204"/>
      <c r="J75" s="196" t="s">
        <v>6446</v>
      </c>
      <c r="K75" s="196"/>
      <c r="L75" s="192" t="str">
        <f>IFERROR(__xludf.DUMMYFUNCTION("IF(
  AND(D75=""Saída"", J75=""Sangria""),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198" t="str">
        <f>IFERROR(__xludf.DUMMYFUNCTION("IF(J75=""Compra de Mercadorias"",
   IF(
      COUNTIF(ARRAYFORMULA(TRIM(CLEAN(TO_TEXT(Notas!BS:BS)))), TRIM(CLEAN(TO_TEXT(B75)))) &gt; 0,
      ""Encontrada"",
      ""Não Encontrada""
   ),
"""")"),"Encontrada")</f>
        <v>Encontrada</v>
      </c>
      <c r="N75" s="194">
        <f>IFERROR(__xludf.DUMMYFUNCTION("ifna(VALUE(REGEXEXTRACT(E75,""[0-9.]+[,]+[0-9]+"")))"),68.98)</f>
        <v>68.98</v>
      </c>
      <c r="O75" s="58"/>
      <c r="P75" s="85"/>
      <c r="Q75" s="85"/>
      <c r="R75" s="85"/>
      <c r="S75" s="87"/>
      <c r="T75" s="85"/>
      <c r="U75" s="85"/>
      <c r="V75" s="85"/>
      <c r="W75" s="86"/>
    </row>
    <row r="76" ht="28.5" customHeight="1">
      <c r="A76" s="186"/>
      <c r="B76" s="13">
        <v>2106476.0</v>
      </c>
      <c r="C76" s="14">
        <v>46116.723645833335</v>
      </c>
      <c r="D76" s="187" t="s">
        <v>97</v>
      </c>
      <c r="E76" s="188" t="s">
        <v>8574</v>
      </c>
      <c r="F76" s="189"/>
      <c r="G76" s="187" t="s">
        <v>8575</v>
      </c>
      <c r="H76" s="204"/>
      <c r="I76" s="204"/>
      <c r="J76" s="196" t="s">
        <v>6446</v>
      </c>
      <c r="K76" s="196"/>
      <c r="L76" s="192" t="str">
        <f>IFERROR(__xludf.DUMMYFUNCTION("IF(
  AND(D76=""Saída"", J76=""Sangria""),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197" t="str">
        <f>IFERROR(__xludf.DUMMYFUNCTION("IF(J76=""Compra de Mercadorias"",
   IF(
      COUNTIF(ARRAYFORMULA(TRIM(CLEAN(TO_TEXT(Notas!BS:BS)))), TRIM(CLEAN(TO_TEXT(B76)))) &gt; 0,
      ""Encontrada"",
      ""Não Encontrada""
   ),
"""")"),"Encontrada")</f>
        <v>Encontrada</v>
      </c>
      <c r="N76" s="194">
        <f>IFERROR(__xludf.DUMMYFUNCTION("ifna(VALUE(REGEXEXTRACT(E76,""[0-9.]+[,]+[0-9]+"")))"),175.76)</f>
        <v>175.76</v>
      </c>
      <c r="O76" s="94"/>
      <c r="P76" s="95"/>
      <c r="Q76" s="95"/>
      <c r="R76" s="95"/>
      <c r="S76" s="97"/>
      <c r="T76" s="95"/>
      <c r="U76" s="95"/>
      <c r="V76" s="95"/>
      <c r="W76" s="96"/>
    </row>
    <row r="77" ht="14.25" customHeight="1">
      <c r="A77" s="186"/>
      <c r="B77" s="13">
        <v>2106483.0</v>
      </c>
      <c r="C77" s="14">
        <v>46116.72510416667</v>
      </c>
      <c r="D77" s="187" t="s">
        <v>97</v>
      </c>
      <c r="E77" s="188" t="s">
        <v>8576</v>
      </c>
      <c r="F77" s="189"/>
      <c r="G77" s="187" t="s">
        <v>8577</v>
      </c>
      <c r="H77" s="204"/>
      <c r="I77" s="204"/>
      <c r="J77" s="196" t="s">
        <v>6446</v>
      </c>
      <c r="K77" s="196"/>
      <c r="L77" s="192" t="str">
        <f>IFERROR(__xludf.DUMMYFUNCTION("IF(
  AND(D77=""Saída"", J77=""Sangria""),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198" t="str">
        <f>IFERROR(__xludf.DUMMYFUNCTION("IF(J77=""Compra de Mercadorias"",
   IF(
      COUNTIF(ARRAYFORMULA(TRIM(CLEAN(TO_TEXT(Notas!BS:BS)))), TRIM(CLEAN(TO_TEXT(B77)))) &gt; 0,
      ""Encontrada"",
      ""Não Encontrada""
   ),
"""")"),"Encontrada")</f>
        <v>Encontrada</v>
      </c>
      <c r="N77" s="194">
        <f>IFERROR(__xludf.DUMMYFUNCTION("ifna(VALUE(REGEXEXTRACT(E77,""[0-9.]+[,]+[0-9]+"")))"),400.0)</f>
        <v>400</v>
      </c>
      <c r="O77" s="207"/>
      <c r="P77" s="208"/>
      <c r="Q77" s="209"/>
      <c r="R77" s="210"/>
      <c r="S77" s="97"/>
      <c r="T77" s="95"/>
      <c r="U77" s="95"/>
      <c r="V77" s="95"/>
      <c r="W77" s="96"/>
    </row>
    <row r="78" ht="34.5" customHeight="1">
      <c r="A78" s="186"/>
      <c r="B78" s="13">
        <v>2106492.0</v>
      </c>
      <c r="C78" s="14">
        <v>46116.72645833333</v>
      </c>
      <c r="D78" s="187" t="s">
        <v>97</v>
      </c>
      <c r="E78" s="188" t="s">
        <v>7689</v>
      </c>
      <c r="F78" s="189"/>
      <c r="G78" s="187" t="s">
        <v>8578</v>
      </c>
      <c r="H78" s="204"/>
      <c r="I78" s="204"/>
      <c r="J78" s="196" t="s">
        <v>6469</v>
      </c>
      <c r="K78" s="196"/>
      <c r="L78" s="192" t="str">
        <f>IFERROR(__xludf.DUMMYFUNCTION("IF(
  AND(D78=""Saída"", J78=""Sangria""),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197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94">
        <f>IFERROR(__xludf.DUMMYFUNCTION("ifna(VALUE(REGEXEXTRACT(E78,""[0-9.]+[,]+[0-9]+"")))"),52.0)</f>
        <v>52</v>
      </c>
      <c r="O78" s="207"/>
      <c r="P78" s="208"/>
      <c r="Q78" s="209"/>
      <c r="R78" s="210"/>
      <c r="S78" s="97"/>
      <c r="T78" s="95"/>
      <c r="U78" s="95"/>
      <c r="V78" s="95"/>
      <c r="W78" s="96"/>
    </row>
    <row r="79" ht="14.25" customHeight="1">
      <c r="A79" s="186"/>
      <c r="B79" s="13">
        <v>2106870.0</v>
      </c>
      <c r="C79" s="14">
        <v>46116.796481481484</v>
      </c>
      <c r="D79" s="187" t="s">
        <v>97</v>
      </c>
      <c r="E79" s="188" t="s">
        <v>532</v>
      </c>
      <c r="F79" s="189"/>
      <c r="G79" s="187" t="s">
        <v>8579</v>
      </c>
      <c r="H79" s="204"/>
      <c r="I79" s="204"/>
      <c r="J79" s="196" t="s">
        <v>6469</v>
      </c>
      <c r="K79" s="196"/>
      <c r="L79" s="192" t="str">
        <f>IFERROR(__xludf.DUMMYFUNCTION("IF(
  AND(D79=""Saída"", J79=""Sangria""),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198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94">
        <f>IFERROR(__xludf.DUMMYFUNCTION("ifna(VALUE(REGEXEXTRACT(E79,""[0-9.]+[,]+[0-9]+"")))"),65.0)</f>
        <v>65</v>
      </c>
      <c r="O79" s="207"/>
      <c r="P79" s="208"/>
      <c r="Q79" s="209"/>
      <c r="R79" s="210"/>
      <c r="S79" s="97"/>
      <c r="T79" s="95"/>
      <c r="U79" s="95"/>
      <c r="V79" s="95"/>
      <c r="W79" s="96"/>
    </row>
    <row r="80" ht="14.25" customHeight="1">
      <c r="A80" s="186"/>
      <c r="B80" s="13">
        <v>2107354.0</v>
      </c>
      <c r="C80" s="14">
        <v>46116.89097222222</v>
      </c>
      <c r="D80" s="187" t="s">
        <v>97</v>
      </c>
      <c r="E80" s="188" t="s">
        <v>8580</v>
      </c>
      <c r="F80" s="189"/>
      <c r="G80" s="187" t="s">
        <v>8581</v>
      </c>
      <c r="H80" s="204"/>
      <c r="I80" s="204"/>
      <c r="J80" s="196" t="s">
        <v>6469</v>
      </c>
      <c r="K80" s="196"/>
      <c r="L80" s="192" t="str">
        <f>IFERROR(__xludf.DUMMYFUNCTION("IF(
  AND(D80=""Saída"", J80=""Sangria""),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197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94">
        <f>IFERROR(__xludf.DUMMYFUNCTION("ifna(VALUE(REGEXEXTRACT(E80,""[0-9.]+[,]+[0-9]+"")))"),187.0)</f>
        <v>187</v>
      </c>
      <c r="O80" s="207"/>
      <c r="P80" s="208"/>
      <c r="Q80" s="209"/>
      <c r="R80" s="210"/>
      <c r="S80" s="97"/>
      <c r="T80" s="95"/>
      <c r="U80" s="95"/>
      <c r="V80" s="95"/>
      <c r="W80" s="96"/>
    </row>
    <row r="81" ht="14.25" customHeight="1">
      <c r="A81" s="186"/>
      <c r="B81" s="13">
        <v>2108583.0</v>
      </c>
      <c r="C81" s="14">
        <v>46117.616319444445</v>
      </c>
      <c r="D81" s="187" t="s">
        <v>97</v>
      </c>
      <c r="E81" s="188" t="s">
        <v>8582</v>
      </c>
      <c r="F81" s="189"/>
      <c r="G81" s="187" t="s">
        <v>8583</v>
      </c>
      <c r="H81" s="204"/>
      <c r="I81" s="204"/>
      <c r="J81" s="196" t="s">
        <v>6551</v>
      </c>
      <c r="K81" s="196"/>
      <c r="L81" s="192" t="str">
        <f>IFERROR(__xludf.DUMMYFUNCTION("IF(
  AND(D81=""Saída"", J81=""Sangria""),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198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94">
        <f>IFERROR(__xludf.DUMMYFUNCTION("ifna(VALUE(REGEXEXTRACT(E81,""[0-9.]+[,]+[0-9]+"")))"),438.0)</f>
        <v>438</v>
      </c>
      <c r="O81" s="94"/>
      <c r="P81" s="95"/>
      <c r="Q81" s="95"/>
      <c r="R81" s="95"/>
      <c r="S81" s="97"/>
      <c r="T81" s="95"/>
      <c r="U81" s="95"/>
      <c r="V81" s="95"/>
      <c r="W81" s="96"/>
    </row>
    <row r="82" ht="14.25" customHeight="1">
      <c r="A82" s="186"/>
      <c r="B82" s="13">
        <v>2109684.0</v>
      </c>
      <c r="C82" s="14">
        <v>46117.88788194444</v>
      </c>
      <c r="D82" s="187" t="s">
        <v>97</v>
      </c>
      <c r="E82" s="188" t="s">
        <v>8584</v>
      </c>
      <c r="F82" s="189"/>
      <c r="G82" s="187" t="s">
        <v>8585</v>
      </c>
      <c r="H82" s="204"/>
      <c r="I82" s="204"/>
      <c r="J82" s="196" t="s">
        <v>6469</v>
      </c>
      <c r="K82" s="196"/>
      <c r="L82" s="192" t="str">
        <f>IFERROR(__xludf.DUMMYFUNCTION("IF(
  AND(D82=""Saída"", J82=""Sangria""),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197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94">
        <f>IFERROR(__xludf.DUMMYFUNCTION("ifna(VALUE(REGEXEXTRACT(E82,""[0-9.]+[,]+[0-9]+"")))"),105.0)</f>
        <v>105</v>
      </c>
      <c r="O82" s="94"/>
      <c r="P82" s="95"/>
      <c r="Q82" s="95"/>
      <c r="R82" s="95"/>
      <c r="S82" s="97"/>
      <c r="T82" s="95"/>
      <c r="U82" s="95"/>
      <c r="V82" s="95"/>
      <c r="W82" s="96"/>
    </row>
    <row r="83" ht="14.25" customHeight="1">
      <c r="A83" s="186"/>
      <c r="B83" s="13">
        <v>2109697.0</v>
      </c>
      <c r="C83" s="14">
        <v>46117.88915509259</v>
      </c>
      <c r="D83" s="187" t="s">
        <v>97</v>
      </c>
      <c r="E83" s="188" t="s">
        <v>8584</v>
      </c>
      <c r="F83" s="189"/>
      <c r="G83" s="187" t="s">
        <v>8586</v>
      </c>
      <c r="H83" s="204"/>
      <c r="I83" s="204"/>
      <c r="J83" s="196" t="s">
        <v>6469</v>
      </c>
      <c r="K83" s="196"/>
      <c r="L83" s="192" t="str">
        <f>IFERROR(__xludf.DUMMYFUNCTION("IF(
  AND(D83=""Saída"", J83=""Sangria""),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198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94">
        <f>IFERROR(__xludf.DUMMYFUNCTION("ifna(VALUE(REGEXEXTRACT(E83,""[0-9.]+[,]+[0-9]+"")))"),105.0)</f>
        <v>105</v>
      </c>
      <c r="O83" s="114"/>
      <c r="P83" s="115"/>
      <c r="Q83" s="115"/>
      <c r="R83" s="115"/>
      <c r="S83" s="97"/>
      <c r="T83" s="115"/>
      <c r="U83" s="115"/>
      <c r="V83" s="115"/>
      <c r="W83" s="117"/>
    </row>
    <row r="84" ht="14.25" customHeight="1">
      <c r="A84" s="186"/>
      <c r="B84" s="13">
        <v>2109704.0</v>
      </c>
      <c r="C84" s="14">
        <v>46117.88972222222</v>
      </c>
      <c r="D84" s="187" t="s">
        <v>97</v>
      </c>
      <c r="E84" s="188" t="s">
        <v>910</v>
      </c>
      <c r="F84" s="200"/>
      <c r="G84" s="187" t="s">
        <v>8587</v>
      </c>
      <c r="H84" s="204"/>
      <c r="I84" s="204"/>
      <c r="J84" s="196" t="s">
        <v>6469</v>
      </c>
      <c r="K84" s="196"/>
      <c r="L84" s="192" t="str">
        <f>IFERROR(__xludf.DUMMYFUNCTION("IF(
  AND(D84=""Saída"", J84=""Sangria""),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197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94">
        <f>IFERROR(__xludf.DUMMYFUNCTION("ifna(VALUE(REGEXEXTRACT(E84,""[0-9.]+[,]+[0-9]+"")))"),135.0)</f>
        <v>135</v>
      </c>
      <c r="O84" s="211"/>
      <c r="P84" s="212"/>
      <c r="Q84" s="212"/>
      <c r="R84" s="212"/>
      <c r="S84" s="97"/>
      <c r="T84" s="212"/>
      <c r="U84" s="212"/>
      <c r="V84" s="212"/>
      <c r="W84" s="213"/>
    </row>
    <row r="85" ht="14.25" customHeight="1">
      <c r="A85" s="186"/>
      <c r="B85" s="13">
        <v>2109772.0</v>
      </c>
      <c r="C85" s="14">
        <v>46117.899351851855</v>
      </c>
      <c r="D85" s="187" t="s">
        <v>97</v>
      </c>
      <c r="E85" s="188" t="s">
        <v>8588</v>
      </c>
      <c r="F85" s="189"/>
      <c r="G85" s="187" t="s">
        <v>8589</v>
      </c>
      <c r="H85" s="204"/>
      <c r="I85" s="204"/>
      <c r="J85" s="196" t="s">
        <v>6551</v>
      </c>
      <c r="K85" s="196"/>
      <c r="L85" s="192" t="str">
        <f>IFERROR(__xludf.DUMMYFUNCTION("IF(
  AND(D85=""Saída"", J85=""Sangria""),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198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94">
        <f>IFERROR(__xludf.DUMMYFUNCTION("ifna(VALUE(REGEXEXTRACT(E85,""[0-9.]+[,]+[0-9]+"")))"),96.0)</f>
        <v>96</v>
      </c>
      <c r="O85" s="211"/>
      <c r="P85" s="212"/>
      <c r="Q85" s="212"/>
      <c r="R85" s="212"/>
      <c r="S85" s="97"/>
      <c r="T85" s="212"/>
      <c r="U85" s="212"/>
      <c r="V85" s="212"/>
      <c r="W85" s="213"/>
    </row>
    <row r="86" ht="14.25" customHeight="1">
      <c r="A86" s="186"/>
      <c r="B86" s="13">
        <v>2109804.0</v>
      </c>
      <c r="C86" s="14">
        <v>46117.90199074074</v>
      </c>
      <c r="D86" s="187" t="s">
        <v>97</v>
      </c>
      <c r="E86" s="188" t="s">
        <v>1532</v>
      </c>
      <c r="F86" s="189"/>
      <c r="G86" s="187" t="s">
        <v>858</v>
      </c>
      <c r="H86" s="204"/>
      <c r="I86" s="204"/>
      <c r="J86" s="196" t="s">
        <v>6544</v>
      </c>
      <c r="K86" s="196" t="s">
        <v>5991</v>
      </c>
      <c r="L86" s="192" t="str">
        <f>IFERROR(__xludf.DUMMYFUNCTION("IF(
  AND(D86=""Saída"", J86=""Sangria""),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"),"Caixa Sangria")</f>
        <v>Caixa Sangria</v>
      </c>
      <c r="M86" s="197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94">
        <f>IFERROR(__xludf.DUMMYFUNCTION("ifna(VALUE(REGEXEXTRACT(E86,""[0-9.]+[,]+[0-9]+"")))"),450.0)</f>
        <v>450</v>
      </c>
      <c r="O86" s="211"/>
      <c r="P86" s="212"/>
      <c r="Q86" s="212"/>
      <c r="R86" s="212"/>
      <c r="S86" s="97"/>
      <c r="T86" s="212"/>
      <c r="U86" s="212"/>
      <c r="V86" s="212"/>
      <c r="W86" s="213"/>
    </row>
    <row r="87" ht="14.25" customHeight="1">
      <c r="A87" s="186"/>
      <c r="B87" s="13">
        <v>2112309.0</v>
      </c>
      <c r="C87" s="14">
        <v>46119.567453703705</v>
      </c>
      <c r="D87" s="187" t="s">
        <v>97</v>
      </c>
      <c r="E87" s="188" t="s">
        <v>8590</v>
      </c>
      <c r="F87" s="189"/>
      <c r="G87" s="187" t="s">
        <v>8591</v>
      </c>
      <c r="H87" s="204"/>
      <c r="I87" s="204"/>
      <c r="J87" s="196" t="s">
        <v>6300</v>
      </c>
      <c r="K87" s="196"/>
      <c r="L87" s="192" t="str">
        <f>IFERROR(__xludf.DUMMYFUNCTION("IF(
  AND(D87=""Saída"", J87=""Sangria""),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198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94">
        <f>IFERROR(__xludf.DUMMYFUNCTION("ifna(VALUE(REGEXEXTRACT(E87,""[0-9.]+[,]+[0-9]+"")))"),16.9)</f>
        <v>16.9</v>
      </c>
      <c r="O87" s="211"/>
      <c r="P87" s="212"/>
      <c r="Q87" s="212"/>
      <c r="R87" s="212"/>
      <c r="S87" s="97"/>
      <c r="T87" s="212"/>
      <c r="U87" s="212"/>
      <c r="V87" s="212"/>
      <c r="W87" s="213"/>
    </row>
    <row r="88" ht="14.25" customHeight="1">
      <c r="A88" s="186"/>
      <c r="B88" s="13">
        <v>2112871.0</v>
      </c>
      <c r="C88" s="14">
        <v>46119.77887731481</v>
      </c>
      <c r="D88" s="187" t="s">
        <v>97</v>
      </c>
      <c r="E88" s="188" t="s">
        <v>650</v>
      </c>
      <c r="F88" s="189"/>
      <c r="G88" s="187" t="s">
        <v>8592</v>
      </c>
      <c r="H88" s="204"/>
      <c r="I88" s="204"/>
      <c r="J88" s="196" t="s">
        <v>6469</v>
      </c>
      <c r="K88" s="196"/>
      <c r="L88" s="192" t="str">
        <f>IFERROR(__xludf.DUMMYFUNCTION("IF(
  AND(D88=""Saída"", J88=""Sangria""),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197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94">
        <f>IFERROR(__xludf.DUMMYFUNCTION("ifna(VALUE(REGEXEXTRACT(E88,""[0-9.]+[,]+[0-9]+"")))"),78.0)</f>
        <v>78</v>
      </c>
      <c r="O88" s="214"/>
      <c r="P88" s="215"/>
      <c r="Q88" s="215"/>
      <c r="R88" s="215"/>
      <c r="S88" s="216"/>
      <c r="T88" s="215"/>
      <c r="U88" s="215"/>
      <c r="V88" s="215"/>
      <c r="W88" s="217"/>
    </row>
    <row r="89" ht="14.25" customHeight="1">
      <c r="A89" s="186"/>
      <c r="B89" s="13">
        <v>2112967.0</v>
      </c>
      <c r="C89" s="14">
        <v>46119.81523148148</v>
      </c>
      <c r="D89" s="187" t="s">
        <v>97</v>
      </c>
      <c r="E89" s="188" t="s">
        <v>7390</v>
      </c>
      <c r="F89" s="200"/>
      <c r="G89" s="187" t="s">
        <v>8593</v>
      </c>
      <c r="H89" s="204"/>
      <c r="I89" s="204"/>
      <c r="J89" s="196" t="s">
        <v>6446</v>
      </c>
      <c r="K89" s="196"/>
      <c r="L89" s="192" t="str">
        <f>IFERROR(__xludf.DUMMYFUNCTION("IF(
  AND(D89=""Saída"", J89=""Sangria""),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198" t="str">
        <f>IFERROR(__xludf.DUMMYFUNCTION("IF(J89=""Compra de Mercadorias"",
   IF(
      COUNTIF(ARRAYFORMULA(TRIM(CLEAN(TO_TEXT(Notas!BS:BS)))), TRIM(CLEAN(TO_TEXT(B89)))) &gt; 0,
      ""Encontrada"",
      ""Não Encontrada""
   ),
"""")"),"Encontrada")</f>
        <v>Encontrada</v>
      </c>
      <c r="N89" s="194">
        <f>IFERROR(__xludf.DUMMYFUNCTION("ifna(VALUE(REGEXEXTRACT(E89,""[0-9.]+[,]+[0-9]+"")))"),2.0)</f>
        <v>2</v>
      </c>
      <c r="O89" s="31"/>
      <c r="P89" s="31"/>
      <c r="Q89" s="31"/>
      <c r="R89" s="31"/>
      <c r="S89" s="31"/>
      <c r="T89" s="31"/>
      <c r="U89" s="31"/>
      <c r="V89" s="31"/>
      <c r="W89" s="31"/>
    </row>
    <row r="90" ht="14.25" customHeight="1">
      <c r="A90" s="186"/>
      <c r="B90" s="13">
        <v>2114031.0</v>
      </c>
      <c r="C90" s="14">
        <v>46120.69373842593</v>
      </c>
      <c r="D90" s="187" t="s">
        <v>97</v>
      </c>
      <c r="E90" s="188" t="s">
        <v>6985</v>
      </c>
      <c r="F90" s="189"/>
      <c r="G90" s="187" t="s">
        <v>1042</v>
      </c>
      <c r="H90" s="204"/>
      <c r="I90" s="204"/>
      <c r="J90" s="196" t="s">
        <v>6080</v>
      </c>
      <c r="K90" s="196" t="s">
        <v>6111</v>
      </c>
      <c r="L90" s="192" t="str">
        <f>IFERROR(__xludf.DUMMYFUNCTION("IF(
  AND(D90=""Saída"", J90=""Sangria""),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197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94">
        <f>IFERROR(__xludf.DUMMYFUNCTION("ifna(VALUE(REGEXEXTRACT(E90,""[0-9.]+[,]+[0-9]+"")))"),3.0)</f>
        <v>3</v>
      </c>
      <c r="O90" s="31"/>
      <c r="P90" s="31"/>
      <c r="Q90" s="31"/>
      <c r="R90" s="31"/>
      <c r="S90" s="31"/>
      <c r="T90" s="31"/>
      <c r="U90" s="31"/>
      <c r="V90" s="31"/>
      <c r="W90" s="31"/>
    </row>
    <row r="91" ht="14.25" customHeight="1">
      <c r="A91" s="186"/>
      <c r="B91" s="13">
        <v>2114263.0</v>
      </c>
      <c r="C91" s="14">
        <v>46120.76550925926</v>
      </c>
      <c r="D91" s="187" t="s">
        <v>97</v>
      </c>
      <c r="E91" s="188" t="s">
        <v>8594</v>
      </c>
      <c r="F91" s="189"/>
      <c r="G91" s="187" t="s">
        <v>8595</v>
      </c>
      <c r="H91" s="204"/>
      <c r="I91" s="204"/>
      <c r="J91" s="196" t="s">
        <v>6469</v>
      </c>
      <c r="K91" s="196"/>
      <c r="L91" s="192" t="str">
        <f>IFERROR(__xludf.DUMMYFUNCTION("IF(
  AND(D91=""Saída"", J91=""Sangria""),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198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94">
        <f>IFERROR(__xludf.DUMMYFUNCTION("ifna(VALUE(REGEXEXTRACT(E91,""[0-9.]+[,]+[0-9]+"")))"),58.0)</f>
        <v>58</v>
      </c>
      <c r="O91" s="31"/>
      <c r="P91" s="31"/>
      <c r="Q91" s="31"/>
      <c r="R91" s="31"/>
      <c r="S91" s="31"/>
      <c r="T91" s="31"/>
      <c r="U91" s="31"/>
      <c r="V91" s="31"/>
      <c r="W91" s="31"/>
    </row>
    <row r="92" ht="14.25" customHeight="1">
      <c r="A92" s="186"/>
      <c r="B92" s="13">
        <v>2114388.0</v>
      </c>
      <c r="C92" s="14">
        <v>46120.81769675926</v>
      </c>
      <c r="D92" s="187" t="s">
        <v>97</v>
      </c>
      <c r="E92" s="188" t="s">
        <v>8596</v>
      </c>
      <c r="F92" s="189"/>
      <c r="G92" s="187" t="s">
        <v>151</v>
      </c>
      <c r="H92" s="204"/>
      <c r="I92" s="204"/>
      <c r="J92" s="196" t="s">
        <v>6080</v>
      </c>
      <c r="K92" s="196" t="s">
        <v>6111</v>
      </c>
      <c r="L92" s="192" t="str">
        <f>IFERROR(__xludf.DUMMYFUNCTION("IF(
  AND(D92=""Saída"", J92=""Sangria""),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197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94">
        <f>IFERROR(__xludf.DUMMYFUNCTION("ifna(VALUE(REGEXEXTRACT(E92,""[0-9.]+[,]+[0-9]+"")))"),9.56)</f>
        <v>9.56</v>
      </c>
      <c r="O92" s="31"/>
      <c r="P92" s="31"/>
      <c r="Q92" s="31"/>
      <c r="R92" s="31"/>
      <c r="S92" s="31"/>
      <c r="T92" s="31"/>
      <c r="U92" s="194"/>
      <c r="V92" s="194"/>
      <c r="W92" s="194"/>
    </row>
    <row r="93" ht="14.25" customHeight="1">
      <c r="A93" s="186"/>
      <c r="B93" s="13">
        <v>2115272.0</v>
      </c>
      <c r="C93" s="14">
        <v>46121.585324074076</v>
      </c>
      <c r="D93" s="187" t="s">
        <v>97</v>
      </c>
      <c r="E93" s="188" t="s">
        <v>1039</v>
      </c>
      <c r="F93" s="189"/>
      <c r="G93" s="187" t="s">
        <v>8597</v>
      </c>
      <c r="H93" s="204"/>
      <c r="I93" s="204"/>
      <c r="J93" s="196" t="s">
        <v>6300</v>
      </c>
      <c r="K93" s="196"/>
      <c r="L93" s="192" t="str">
        <f>IFERROR(__xludf.DUMMYFUNCTION("IF(
  AND(D93=""Saída"", J93=""Sangria""),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198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94">
        <f>IFERROR(__xludf.DUMMYFUNCTION("ifna(VALUE(REGEXEXTRACT(E93,""[0-9.]+[,]+[0-9]+"")))"),17.49)</f>
        <v>17.49</v>
      </c>
      <c r="O93" s="218" t="s">
        <v>7094</v>
      </c>
      <c r="P93" s="219"/>
      <c r="Q93" s="219"/>
      <c r="R93" s="219"/>
      <c r="S93" s="219"/>
      <c r="T93" s="64"/>
      <c r="U93" s="194"/>
      <c r="V93" s="194"/>
      <c r="W93" s="194"/>
    </row>
    <row r="94" ht="14.25" customHeight="1">
      <c r="A94" s="186"/>
      <c r="B94" s="13">
        <v>2115674.0</v>
      </c>
      <c r="C94" s="14">
        <v>46121.71128472222</v>
      </c>
      <c r="D94" s="187" t="s">
        <v>97</v>
      </c>
      <c r="E94" s="188" t="s">
        <v>8598</v>
      </c>
      <c r="F94" s="200"/>
      <c r="G94" s="187" t="s">
        <v>8599</v>
      </c>
      <c r="H94" s="204"/>
      <c r="I94" s="204"/>
      <c r="J94" s="196" t="s">
        <v>6469</v>
      </c>
      <c r="K94" s="196"/>
      <c r="L94" s="192" t="str">
        <f>IFERROR(__xludf.DUMMYFUNCTION("IF(
  AND(D94=""Saída"", J94=""Sangria""),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197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94">
        <f>IFERROR(__xludf.DUMMYFUNCTION("ifna(VALUE(REGEXEXTRACT(E94,""[0-9.]+[,]+[0-9]+"")))"),58.5)</f>
        <v>58.5</v>
      </c>
      <c r="O94" s="220"/>
      <c r="T94" s="221"/>
      <c r="U94" s="194"/>
      <c r="V94" s="194"/>
      <c r="W94" s="194"/>
    </row>
    <row r="95" ht="14.25" customHeight="1">
      <c r="A95" s="186"/>
      <c r="B95" s="13">
        <v>2117330.0</v>
      </c>
      <c r="C95" s="14">
        <v>46122.70369212963</v>
      </c>
      <c r="D95" s="187" t="s">
        <v>97</v>
      </c>
      <c r="E95" s="188" t="s">
        <v>8600</v>
      </c>
      <c r="F95" s="189"/>
      <c r="G95" s="187" t="s">
        <v>157</v>
      </c>
      <c r="H95" s="204"/>
      <c r="I95" s="204"/>
      <c r="J95" s="196" t="s">
        <v>6446</v>
      </c>
      <c r="K95" s="196"/>
      <c r="L95" s="192" t="str">
        <f>IFERROR(__xludf.DUMMYFUNCTION("IF(
  AND(D95=""Saída"", J95=""Sangria""),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198" t="str">
        <f>IFERROR(__xludf.DUMMYFUNCTION("IF(J95=""Compra de Mercadorias"",
   IF(
      COUNTIF(ARRAYFORMULA(TRIM(CLEAN(TO_TEXT(Notas!BS:BS)))), TRIM(CLEAN(TO_TEXT(B95)))) &gt; 0,
      ""Encontrada"",
      ""Não Encontrada""
   ),
"""")"),"Encontrada")</f>
        <v>Encontrada</v>
      </c>
      <c r="N95" s="194">
        <f>IFERROR(__xludf.DUMMYFUNCTION("ifna(VALUE(REGEXEXTRACT(E95,""[0-9.]+[,]+[0-9]+"")))"),126.3)</f>
        <v>126.3</v>
      </c>
      <c r="O95" s="222" t="s">
        <v>0</v>
      </c>
      <c r="P95" s="223" t="s">
        <v>10</v>
      </c>
      <c r="Q95" s="223" t="s">
        <v>7118</v>
      </c>
      <c r="R95" s="223" t="s">
        <v>51</v>
      </c>
      <c r="S95" s="224" t="s">
        <v>38</v>
      </c>
      <c r="T95" s="221"/>
      <c r="U95" s="194"/>
      <c r="V95" s="194"/>
      <c r="W95" s="194"/>
    </row>
    <row r="96" ht="14.25" customHeight="1">
      <c r="A96" s="186"/>
      <c r="B96" s="13">
        <v>2117341.0</v>
      </c>
      <c r="C96" s="14">
        <v>46122.704780092594</v>
      </c>
      <c r="D96" s="187" t="s">
        <v>97</v>
      </c>
      <c r="E96" s="188" t="s">
        <v>163</v>
      </c>
      <c r="F96" s="189"/>
      <c r="G96" s="187" t="s">
        <v>8601</v>
      </c>
      <c r="H96" s="204"/>
      <c r="I96" s="204"/>
      <c r="J96" s="196"/>
      <c r="K96" s="196"/>
      <c r="L96" s="192" t="str">
        <f>IFERROR(__xludf.DUMMYFUNCTION("IF(
  AND(D96=""Saída"", J96=""Sangria""),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197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94">
        <f>IFERROR(__xludf.DUMMYFUNCTION("ifna(VALUE(REGEXEXTRACT(E96,""[0-9.]+[,]+[0-9]+"")))"),0.01)</f>
        <v>0.01</v>
      </c>
      <c r="O96" s="225" t="s">
        <v>3062</v>
      </c>
      <c r="P96" s="208">
        <v>46127.0</v>
      </c>
      <c r="Q96" s="209" t="s">
        <v>126</v>
      </c>
      <c r="R96" s="210">
        <v>300.0</v>
      </c>
      <c r="S96" s="226"/>
      <c r="T96" s="227" t="str">
        <f t="shared" ref="T96:T116" si="1">IFERROR(VLOOKUP(Q96, $A$4:$B$11, 2, FALSE), "")</f>
        <v>Sabrina</v>
      </c>
      <c r="U96" s="194"/>
      <c r="V96" s="194"/>
      <c r="W96" s="194"/>
    </row>
    <row r="97" ht="14.25" customHeight="1">
      <c r="A97" s="186"/>
      <c r="B97" s="13">
        <v>2117979.0</v>
      </c>
      <c r="C97" s="14">
        <v>46122.89501157407</v>
      </c>
      <c r="D97" s="187" t="s">
        <v>97</v>
      </c>
      <c r="E97" s="188" t="s">
        <v>6540</v>
      </c>
      <c r="F97" s="189"/>
      <c r="G97" s="187" t="s">
        <v>8602</v>
      </c>
      <c r="H97" s="204"/>
      <c r="I97" s="204"/>
      <c r="J97" s="196" t="s">
        <v>6544</v>
      </c>
      <c r="K97" s="196" t="s">
        <v>6111</v>
      </c>
      <c r="L97" s="192" t="str">
        <f>IFERROR(__xludf.DUMMYFUNCTION("IF(
  AND(D97=""Saída"", J97=""Sangria""),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"),"Confirmada")</f>
        <v>Confirmada</v>
      </c>
      <c r="M97" s="198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94">
        <f>IFERROR(__xludf.DUMMYFUNCTION("ifna(VALUE(REGEXEXTRACT(E97,""[0-9.]+[,]+[0-9]+"")))"),1100.0)</f>
        <v>1100</v>
      </c>
      <c r="O97" s="225"/>
      <c r="P97" s="208"/>
      <c r="Q97" s="209"/>
      <c r="R97" s="210"/>
      <c r="S97" s="228"/>
      <c r="T97" s="227" t="str">
        <f t="shared" si="1"/>
        <v/>
      </c>
      <c r="U97" s="194"/>
      <c r="V97" s="194"/>
      <c r="W97" s="194"/>
    </row>
    <row r="98" ht="14.25" customHeight="1">
      <c r="A98" s="186"/>
      <c r="B98" s="13">
        <v>2118079.0</v>
      </c>
      <c r="C98" s="14">
        <v>46122.91380787037</v>
      </c>
      <c r="D98" s="187" t="s">
        <v>97</v>
      </c>
      <c r="E98" s="188" t="s">
        <v>6895</v>
      </c>
      <c r="F98" s="189"/>
      <c r="G98" s="187" t="s">
        <v>8603</v>
      </c>
      <c r="H98" s="204"/>
      <c r="I98" s="204"/>
      <c r="J98" s="196" t="s">
        <v>6469</v>
      </c>
      <c r="K98" s="196"/>
      <c r="L98" s="192" t="str">
        <f>IFERROR(__xludf.DUMMYFUNCTION("IF(
  AND(D98=""Saída"", J98=""Sangria""),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197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94">
        <f>IFERROR(__xludf.DUMMYFUNCTION("ifna(VALUE(REGEXEXTRACT(E98,""[0-9.]+[,]+[0-9]+"")))"),97.0)</f>
        <v>97</v>
      </c>
      <c r="O98" s="225"/>
      <c r="P98" s="208"/>
      <c r="Q98" s="209"/>
      <c r="R98" s="210"/>
      <c r="S98" s="229"/>
      <c r="T98" s="227" t="str">
        <f t="shared" si="1"/>
        <v/>
      </c>
      <c r="U98" s="194"/>
      <c r="V98" s="194"/>
      <c r="W98" s="194"/>
    </row>
    <row r="99" ht="14.25" customHeight="1">
      <c r="A99" s="186"/>
      <c r="B99" s="13">
        <v>2119851.0</v>
      </c>
      <c r="C99" s="14">
        <v>46123.85246527778</v>
      </c>
      <c r="D99" s="187" t="s">
        <v>97</v>
      </c>
      <c r="E99" s="188" t="s">
        <v>6895</v>
      </c>
      <c r="F99" s="189"/>
      <c r="G99" s="187" t="s">
        <v>8604</v>
      </c>
      <c r="H99" s="204"/>
      <c r="I99" s="204"/>
      <c r="J99" s="196" t="s">
        <v>6469</v>
      </c>
      <c r="K99" s="196"/>
      <c r="L99" s="192" t="str">
        <f>IFERROR(__xludf.DUMMYFUNCTION("IF(
  AND(D99=""Saída"", J99=""Sangria""),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198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94">
        <f>IFERROR(__xludf.DUMMYFUNCTION("ifna(VALUE(REGEXEXTRACT(E99,""[0-9.]+[,]+[0-9]+"")))"),97.0)</f>
        <v>97</v>
      </c>
      <c r="O99" s="225"/>
      <c r="P99" s="208"/>
      <c r="Q99" s="209"/>
      <c r="R99" s="210"/>
      <c r="S99" s="230"/>
      <c r="T99" s="227" t="str">
        <f t="shared" si="1"/>
        <v/>
      </c>
      <c r="U99" s="194"/>
      <c r="V99" s="194"/>
      <c r="W99" s="194"/>
    </row>
    <row r="100" ht="14.25" customHeight="1">
      <c r="A100" s="186"/>
      <c r="B100" s="13">
        <v>2119853.0</v>
      </c>
      <c r="C100" s="14">
        <v>46123.85319444445</v>
      </c>
      <c r="D100" s="187" t="s">
        <v>97</v>
      </c>
      <c r="E100" s="188" t="s">
        <v>317</v>
      </c>
      <c r="F100" s="189"/>
      <c r="G100" s="187" t="s">
        <v>8605</v>
      </c>
      <c r="H100" s="204"/>
      <c r="I100" s="204"/>
      <c r="J100" s="196" t="s">
        <v>6469</v>
      </c>
      <c r="K100" s="196"/>
      <c r="L100" s="192" t="str">
        <f>IFERROR(__xludf.DUMMYFUNCTION("IF(
  AND(D100=""Saída"", J100=""Sangria""),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197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94">
        <f>IFERROR(__xludf.DUMMYFUNCTION("ifna(VALUE(REGEXEXTRACT(E100,""[0-9.]+[,]+[0-9]+"")))"),32.0)</f>
        <v>32</v>
      </c>
      <c r="O100" s="225"/>
      <c r="P100" s="208"/>
      <c r="Q100" s="209"/>
      <c r="R100" s="210"/>
      <c r="S100" s="229"/>
      <c r="T100" s="227" t="str">
        <f t="shared" si="1"/>
        <v/>
      </c>
      <c r="U100" s="194"/>
      <c r="V100" s="194"/>
      <c r="W100" s="194"/>
    </row>
    <row r="101" ht="14.25" customHeight="1">
      <c r="A101" s="186"/>
      <c r="B101" s="13">
        <v>2119891.0</v>
      </c>
      <c r="C101" s="14">
        <v>46123.86519675926</v>
      </c>
      <c r="D101" s="187" t="s">
        <v>97</v>
      </c>
      <c r="E101" s="188" t="s">
        <v>6561</v>
      </c>
      <c r="F101" s="189"/>
      <c r="G101" s="187" t="s">
        <v>8606</v>
      </c>
      <c r="H101" s="204"/>
      <c r="I101" s="204"/>
      <c r="J101" s="196" t="s">
        <v>6469</v>
      </c>
      <c r="K101" s="196"/>
      <c r="L101" s="192" t="str">
        <f>IFERROR(__xludf.DUMMYFUNCTION("IF(
  AND(D101=""Saída"", J101=""Sangria""),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198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94">
        <f>IFERROR(__xludf.DUMMYFUNCTION("ifna(VALUE(REGEXEXTRACT(E101,""[0-9.]+[,]+[0-9]+"")))"),123.0)</f>
        <v>123</v>
      </c>
      <c r="O101" s="231"/>
      <c r="P101" s="232"/>
      <c r="Q101" s="233"/>
      <c r="R101" s="234"/>
      <c r="S101" s="230"/>
      <c r="T101" s="227" t="str">
        <f t="shared" si="1"/>
        <v/>
      </c>
      <c r="U101" s="194"/>
      <c r="V101" s="194"/>
      <c r="W101" s="194"/>
    </row>
    <row r="102" ht="14.25" customHeight="1">
      <c r="A102" s="186"/>
      <c r="B102" s="13">
        <v>2121231.0</v>
      </c>
      <c r="C102" s="14">
        <v>46124.657175925924</v>
      </c>
      <c r="D102" s="187" t="s">
        <v>97</v>
      </c>
      <c r="E102" s="188" t="s">
        <v>8607</v>
      </c>
      <c r="F102" s="189"/>
      <c r="G102" s="187" t="s">
        <v>8608</v>
      </c>
      <c r="H102" s="204"/>
      <c r="I102" s="204"/>
      <c r="J102" s="196" t="s">
        <v>6300</v>
      </c>
      <c r="K102" s="196"/>
      <c r="L102" s="192" t="str">
        <f>IFERROR(__xludf.DUMMYFUNCTION("IF(
  AND(D102=""Saída"", J102=""Sangria""),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197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94">
        <f>IFERROR(__xludf.DUMMYFUNCTION("ifna(VALUE(REGEXEXTRACT(E102,""[0-9.]+[,]+[0-9]+"")))"),56.86)</f>
        <v>56.86</v>
      </c>
      <c r="O102" s="235"/>
      <c r="P102" s="236"/>
      <c r="Q102" s="229"/>
      <c r="R102" s="237" t="str">
        <f t="shared" ref="R102:R138" si="2">IFERROR(VLOOKUP(Q102, $B$4:$C$18, 2, FALSE), "")</f>
        <v/>
      </c>
      <c r="S102" s="229" t="str">
        <f t="shared" ref="S102:S138" si="3">IFERROR(VLOOKUP(Q102, $A$4:$B$18, 2, FALSE), "")</f>
        <v/>
      </c>
      <c r="T102" s="227" t="str">
        <f t="shared" si="1"/>
        <v/>
      </c>
      <c r="U102" s="194"/>
      <c r="V102" s="194"/>
      <c r="W102" s="194"/>
    </row>
    <row r="103" ht="14.25" customHeight="1">
      <c r="A103" s="186"/>
      <c r="B103" s="13">
        <v>2121514.0</v>
      </c>
      <c r="C103" s="14">
        <v>46124.726122685184</v>
      </c>
      <c r="D103" s="187" t="s">
        <v>97</v>
      </c>
      <c r="E103" s="188" t="s">
        <v>8609</v>
      </c>
      <c r="F103" s="189"/>
      <c r="G103" s="187" t="s">
        <v>8610</v>
      </c>
      <c r="H103" s="204"/>
      <c r="I103" s="204"/>
      <c r="J103" s="196" t="s">
        <v>6446</v>
      </c>
      <c r="K103" s="196"/>
      <c r="L103" s="192" t="str">
        <f>IFERROR(__xludf.DUMMYFUNCTION("IF(
  AND(D103=""Saída"", J103=""Sangria""),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198" t="str">
        <f>IFERROR(__xludf.DUMMYFUNCTION("IF(J103=""Compra de Mercadorias"",
   IF(
      COUNTIF(ARRAYFORMULA(TRIM(CLEAN(TO_TEXT(Notas!BS:BS)))), TRIM(CLEAN(TO_TEXT(B103)))) &gt; 0,
      ""Encontrada"",
      ""Não Encontrada""
   ),
"""")"),"Encontrada")</f>
        <v>Encontrada</v>
      </c>
      <c r="N103" s="194">
        <f>IFERROR(__xludf.DUMMYFUNCTION("ifna(VALUE(REGEXEXTRACT(E103,""[0-9.]+[,]+[0-9]+"")))"),68.35)</f>
        <v>68.35</v>
      </c>
      <c r="O103" s="238"/>
      <c r="P103" s="239"/>
      <c r="Q103" s="230"/>
      <c r="R103" s="240" t="str">
        <f t="shared" si="2"/>
        <v/>
      </c>
      <c r="S103" s="230" t="str">
        <f t="shared" si="3"/>
        <v/>
      </c>
      <c r="T103" s="227" t="str">
        <f t="shared" si="1"/>
        <v/>
      </c>
      <c r="U103" s="194"/>
      <c r="V103" s="194"/>
      <c r="W103" s="194"/>
    </row>
    <row r="104" ht="14.25" customHeight="1">
      <c r="A104" s="186"/>
      <c r="B104" s="13">
        <v>2121548.0</v>
      </c>
      <c r="C104" s="14">
        <v>46124.73238425926</v>
      </c>
      <c r="D104" s="187" t="s">
        <v>97</v>
      </c>
      <c r="E104" s="188" t="s">
        <v>8611</v>
      </c>
      <c r="F104" s="189"/>
      <c r="G104" s="187" t="s">
        <v>8612</v>
      </c>
      <c r="H104" s="204"/>
      <c r="I104" s="204"/>
      <c r="J104" s="196" t="s">
        <v>6551</v>
      </c>
      <c r="K104" s="196"/>
      <c r="L104" s="192" t="str">
        <f>IFERROR(__xludf.DUMMYFUNCTION("IF(
  AND(D104=""Saída"", J104=""Sangria""),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197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94">
        <f>IFERROR(__xludf.DUMMYFUNCTION("ifna(VALUE(REGEXEXTRACT(E104,""[0-9.]+[,]+[0-9]+"")))"),126.0)</f>
        <v>126</v>
      </c>
      <c r="O104" s="235"/>
      <c r="P104" s="236"/>
      <c r="Q104" s="229"/>
      <c r="R104" s="237" t="str">
        <f t="shared" si="2"/>
        <v/>
      </c>
      <c r="S104" s="229" t="str">
        <f t="shared" si="3"/>
        <v/>
      </c>
      <c r="T104" s="227" t="str">
        <f t="shared" si="1"/>
        <v/>
      </c>
      <c r="U104" s="194"/>
      <c r="V104" s="194"/>
      <c r="W104" s="194"/>
    </row>
    <row r="105" ht="14.25" customHeight="1">
      <c r="A105" s="186"/>
      <c r="B105" s="13">
        <v>2122074.0</v>
      </c>
      <c r="C105" s="14">
        <v>46124.83403935185</v>
      </c>
      <c r="D105" s="187" t="s">
        <v>97</v>
      </c>
      <c r="E105" s="188" t="s">
        <v>8613</v>
      </c>
      <c r="F105" s="189"/>
      <c r="G105" s="187" t="s">
        <v>8614</v>
      </c>
      <c r="H105" s="204"/>
      <c r="I105" s="204"/>
      <c r="J105" s="196" t="s">
        <v>6469</v>
      </c>
      <c r="K105" s="196"/>
      <c r="L105" s="192" t="str">
        <f>IFERROR(__xludf.DUMMYFUNCTION("IF(
  AND(D105=""Saída"", J105=""Sangria""),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198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94">
        <f>IFERROR(__xludf.DUMMYFUNCTION("ifna(VALUE(REGEXEXTRACT(E105,""[0-9.]+[,]+[0-9]+"")))"),143.0)</f>
        <v>143</v>
      </c>
      <c r="O105" s="238"/>
      <c r="P105" s="239"/>
      <c r="Q105" s="230"/>
      <c r="R105" s="240" t="str">
        <f t="shared" si="2"/>
        <v/>
      </c>
      <c r="S105" s="230" t="str">
        <f t="shared" si="3"/>
        <v/>
      </c>
      <c r="T105" s="227" t="str">
        <f t="shared" si="1"/>
        <v/>
      </c>
      <c r="U105" s="194"/>
      <c r="V105" s="194"/>
      <c r="W105" s="194"/>
    </row>
    <row r="106" ht="14.25" customHeight="1">
      <c r="A106" s="186"/>
      <c r="B106" s="13">
        <v>2122080.0</v>
      </c>
      <c r="C106" s="14">
        <v>46124.83488425926</v>
      </c>
      <c r="D106" s="187" t="s">
        <v>97</v>
      </c>
      <c r="E106" s="188" t="s">
        <v>6547</v>
      </c>
      <c r="F106" s="189"/>
      <c r="G106" s="187" t="s">
        <v>8615</v>
      </c>
      <c r="H106" s="204"/>
      <c r="I106" s="204"/>
      <c r="J106" s="196" t="s">
        <v>6469</v>
      </c>
      <c r="K106" s="196"/>
      <c r="L106" s="192" t="str">
        <f>IFERROR(__xludf.DUMMYFUNCTION("IF(
  AND(D106=""Saída"", J106=""Sangria""),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197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94">
        <f>IFERROR(__xludf.DUMMYFUNCTION("ifna(VALUE(REGEXEXTRACT(E106,""[0-9.]+[,]+[0-9]+"")))"),117.0)</f>
        <v>117</v>
      </c>
      <c r="O106" s="235"/>
      <c r="P106" s="236"/>
      <c r="Q106" s="229"/>
      <c r="R106" s="237" t="str">
        <f t="shared" si="2"/>
        <v/>
      </c>
      <c r="S106" s="229" t="str">
        <f t="shared" si="3"/>
        <v/>
      </c>
      <c r="T106" s="227" t="str">
        <f t="shared" si="1"/>
        <v/>
      </c>
      <c r="U106" s="194"/>
      <c r="V106" s="194"/>
      <c r="W106" s="194"/>
    </row>
    <row r="107" ht="14.25" customHeight="1">
      <c r="A107" s="186"/>
      <c r="B107" s="13">
        <v>2122112.0</v>
      </c>
      <c r="C107" s="14">
        <v>46124.84079861111</v>
      </c>
      <c r="D107" s="187" t="s">
        <v>97</v>
      </c>
      <c r="E107" s="188" t="s">
        <v>8616</v>
      </c>
      <c r="F107" s="189"/>
      <c r="G107" s="187" t="s">
        <v>8617</v>
      </c>
      <c r="H107" s="204"/>
      <c r="I107" s="204"/>
      <c r="J107" s="196" t="s">
        <v>6469</v>
      </c>
      <c r="K107" s="196"/>
      <c r="L107" s="192" t="str">
        <f>IFERROR(__xludf.DUMMYFUNCTION("IF(
  AND(D107=""Saída"", J107=""Sangria""),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198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94">
        <f>IFERROR(__xludf.DUMMYFUNCTION("ifna(VALUE(REGEXEXTRACT(E107,""[0-9.]+[,]+[0-9]+"")))"),197.0)</f>
        <v>197</v>
      </c>
      <c r="O107" s="238"/>
      <c r="P107" s="230"/>
      <c r="Q107" s="230"/>
      <c r="R107" s="240" t="str">
        <f t="shared" si="2"/>
        <v/>
      </c>
      <c r="S107" s="230" t="str">
        <f t="shared" si="3"/>
        <v/>
      </c>
      <c r="T107" s="227" t="str">
        <f t="shared" si="1"/>
        <v/>
      </c>
      <c r="U107" s="194"/>
      <c r="V107" s="194"/>
      <c r="W107" s="194"/>
    </row>
    <row r="108" ht="14.25" customHeight="1">
      <c r="A108" s="186"/>
      <c r="B108" s="13">
        <v>2122436.0</v>
      </c>
      <c r="C108" s="14">
        <v>46124.89847222222</v>
      </c>
      <c r="D108" s="187" t="s">
        <v>97</v>
      </c>
      <c r="E108" s="188" t="s">
        <v>8618</v>
      </c>
      <c r="F108" s="189"/>
      <c r="G108" s="187" t="s">
        <v>8619</v>
      </c>
      <c r="H108" s="204"/>
      <c r="I108" s="204"/>
      <c r="J108" s="196" t="s">
        <v>6551</v>
      </c>
      <c r="K108" s="196"/>
      <c r="L108" s="192" t="str">
        <f>IFERROR(__xludf.DUMMYFUNCTION("IF(
  AND(D108=""Saída"", J108=""Sangria""),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197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94">
        <f>IFERROR(__xludf.DUMMYFUNCTION("ifna(VALUE(REGEXEXTRACT(E108,""[0-9.]+[,]+[0-9]+"")))"),318.0)</f>
        <v>318</v>
      </c>
      <c r="O108" s="235"/>
      <c r="P108" s="229"/>
      <c r="Q108" s="229"/>
      <c r="R108" s="237" t="str">
        <f t="shared" si="2"/>
        <v/>
      </c>
      <c r="S108" s="229" t="str">
        <f t="shared" si="3"/>
        <v/>
      </c>
      <c r="T108" s="227" t="str">
        <f t="shared" si="1"/>
        <v/>
      </c>
      <c r="U108" s="194"/>
      <c r="V108" s="194"/>
      <c r="W108" s="194"/>
    </row>
    <row r="109" ht="14.25" customHeight="1">
      <c r="A109" s="186"/>
      <c r="B109" s="13">
        <v>2123504.0</v>
      </c>
      <c r="C109" s="14">
        <v>46125.57423611111</v>
      </c>
      <c r="D109" s="187" t="s">
        <v>97</v>
      </c>
      <c r="E109" s="188" t="s">
        <v>8620</v>
      </c>
      <c r="F109" s="189"/>
      <c r="G109" s="187" t="s">
        <v>8621</v>
      </c>
      <c r="H109" s="204"/>
      <c r="I109" s="204"/>
      <c r="J109" s="196" t="s">
        <v>6446</v>
      </c>
      <c r="K109" s="196"/>
      <c r="L109" s="192" t="str">
        <f>IFERROR(__xludf.DUMMYFUNCTION("IF(
  AND(D109=""Saída"", J109=""Sangria""),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198" t="str">
        <f>IFERROR(__xludf.DUMMYFUNCTION("IF(J109=""Compra de Mercadorias"",
   IF(
      COUNTIF(ARRAYFORMULA(TRIM(CLEAN(TO_TEXT(Notas!BS:BS)))), TRIM(CLEAN(TO_TEXT(B109)))) &gt; 0,
      ""Encontrada"",
      ""Não Encontrada""
   ),
"""")"),"Encontrada")</f>
        <v>Encontrada</v>
      </c>
      <c r="N109" s="194">
        <f>IFERROR(__xludf.DUMMYFUNCTION("ifna(VALUE(REGEXEXTRACT(E109,""[0-9.]+[,]+[0-9]+"")))"),76.18)</f>
        <v>76.18</v>
      </c>
      <c r="O109" s="238"/>
      <c r="P109" s="230"/>
      <c r="Q109" s="230"/>
      <c r="R109" s="240" t="str">
        <f t="shared" si="2"/>
        <v/>
      </c>
      <c r="S109" s="230" t="str">
        <f t="shared" si="3"/>
        <v/>
      </c>
      <c r="T109" s="227" t="str">
        <f t="shared" si="1"/>
        <v/>
      </c>
      <c r="U109" s="194"/>
      <c r="V109" s="194"/>
      <c r="W109" s="194"/>
    </row>
    <row r="110" ht="14.25" customHeight="1">
      <c r="A110" s="186"/>
      <c r="B110" s="13">
        <v>2123977.0</v>
      </c>
      <c r="C110" s="14">
        <v>46125.75181712963</v>
      </c>
      <c r="D110" s="187" t="s">
        <v>97</v>
      </c>
      <c r="E110" s="188" t="s">
        <v>7704</v>
      </c>
      <c r="F110" s="189"/>
      <c r="G110" s="187" t="s">
        <v>8622</v>
      </c>
      <c r="H110" s="204"/>
      <c r="I110" s="204"/>
      <c r="J110" s="196" t="s">
        <v>6446</v>
      </c>
      <c r="K110" s="196"/>
      <c r="L110" s="192" t="str">
        <f>IFERROR(__xludf.DUMMYFUNCTION("IF(
  AND(D110=""Saída"", J110=""Sangria""),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197" t="str">
        <f>IFERROR(__xludf.DUMMYFUNCTION("IF(J110=""Compra de Mercadorias"",
   IF(
      COUNTIF(ARRAYFORMULA(TRIM(CLEAN(TO_TEXT(Notas!BS:BS)))), TRIM(CLEAN(TO_TEXT(B110)))) &gt; 0,
      ""Encontrada"",
      ""Não Encontrada""
   ),
"""")"),"Encontrada")</f>
        <v>Encontrada</v>
      </c>
      <c r="N110" s="194">
        <f>IFERROR(__xludf.DUMMYFUNCTION("ifna(VALUE(REGEXEXTRACT(E110,""[0-9.]+[,]+[0-9]+"")))"),200.0)</f>
        <v>200</v>
      </c>
      <c r="O110" s="235"/>
      <c r="P110" s="229"/>
      <c r="Q110" s="229"/>
      <c r="R110" s="237" t="str">
        <f t="shared" si="2"/>
        <v/>
      </c>
      <c r="S110" s="229" t="str">
        <f t="shared" si="3"/>
        <v/>
      </c>
      <c r="T110" s="227" t="str">
        <f t="shared" si="1"/>
        <v/>
      </c>
      <c r="U110" s="194"/>
      <c r="V110" s="194"/>
      <c r="W110" s="194"/>
    </row>
    <row r="111" ht="14.25" customHeight="1">
      <c r="A111" s="186"/>
      <c r="B111" s="13">
        <v>2124072.0</v>
      </c>
      <c r="C111" s="14">
        <v>46125.776354166665</v>
      </c>
      <c r="D111" s="187" t="s">
        <v>97</v>
      </c>
      <c r="E111" s="188" t="s">
        <v>7283</v>
      </c>
      <c r="F111" s="189"/>
      <c r="G111" s="187" t="s">
        <v>8623</v>
      </c>
      <c r="H111" s="204"/>
      <c r="I111" s="204"/>
      <c r="J111" s="196" t="s">
        <v>6469</v>
      </c>
      <c r="K111" s="196"/>
      <c r="L111" s="192" t="str">
        <f>IFERROR(__xludf.DUMMYFUNCTION("IF(
  AND(D111=""Saída"", J111=""Sangria""),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198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94">
        <f>IFERROR(__xludf.DUMMYFUNCTION("ifna(VALUE(REGEXEXTRACT(E111,""[0-9.]+[,]+[0-9]+"")))"),71.0)</f>
        <v>71</v>
      </c>
      <c r="O111" s="238"/>
      <c r="P111" s="230"/>
      <c r="Q111" s="230"/>
      <c r="R111" s="240" t="str">
        <f t="shared" si="2"/>
        <v/>
      </c>
      <c r="S111" s="230" t="str">
        <f t="shared" si="3"/>
        <v/>
      </c>
      <c r="T111" s="227" t="str">
        <f t="shared" si="1"/>
        <v/>
      </c>
      <c r="U111" s="194"/>
      <c r="V111" s="194"/>
      <c r="W111" s="194"/>
    </row>
    <row r="112" ht="14.25" customHeight="1">
      <c r="A112" s="186"/>
      <c r="B112" s="13">
        <v>2124249.0</v>
      </c>
      <c r="C112" s="14">
        <v>46125.85209490741</v>
      </c>
      <c r="D112" s="187" t="s">
        <v>97</v>
      </c>
      <c r="E112" s="188" t="s">
        <v>6985</v>
      </c>
      <c r="F112" s="200"/>
      <c r="G112" s="187" t="s">
        <v>151</v>
      </c>
      <c r="H112" s="204"/>
      <c r="I112" s="204"/>
      <c r="J112" s="196" t="s">
        <v>6080</v>
      </c>
      <c r="K112" s="196" t="s">
        <v>6111</v>
      </c>
      <c r="L112" s="192" t="str">
        <f>IFERROR(__xludf.DUMMYFUNCTION("IF(
  AND(D112=""Saída"", J112=""Sangria""),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197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94">
        <f>IFERROR(__xludf.DUMMYFUNCTION("ifna(VALUE(REGEXEXTRACT(E112,""[0-9.]+[,]+[0-9]+"")))"),3.0)</f>
        <v>3</v>
      </c>
      <c r="O112" s="235"/>
      <c r="P112" s="229"/>
      <c r="Q112" s="229"/>
      <c r="R112" s="237" t="str">
        <f t="shared" si="2"/>
        <v/>
      </c>
      <c r="S112" s="229" t="str">
        <f t="shared" si="3"/>
        <v/>
      </c>
      <c r="T112" s="227" t="str">
        <f t="shared" si="1"/>
        <v/>
      </c>
      <c r="U112" s="194"/>
      <c r="V112" s="194"/>
      <c r="W112" s="194"/>
    </row>
    <row r="113" ht="14.25" customHeight="1">
      <c r="A113" s="186"/>
      <c r="B113" s="13">
        <v>2125487.0</v>
      </c>
      <c r="C113" s="14">
        <v>46126.70946759259</v>
      </c>
      <c r="D113" s="187" t="s">
        <v>97</v>
      </c>
      <c r="E113" s="188" t="s">
        <v>8594</v>
      </c>
      <c r="F113" s="189"/>
      <c r="G113" s="187" t="s">
        <v>8624</v>
      </c>
      <c r="H113" s="204"/>
      <c r="I113" s="204"/>
      <c r="J113" s="196" t="s">
        <v>6469</v>
      </c>
      <c r="K113" s="196"/>
      <c r="L113" s="192" t="str">
        <f>IFERROR(__xludf.DUMMYFUNCTION("IF(
  AND(D113=""Saída"", J113=""Sangria""),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198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94">
        <f>IFERROR(__xludf.DUMMYFUNCTION("ifna(VALUE(REGEXEXTRACT(E113,""[0-9.]+[,]+[0-9]+"")))"),58.0)</f>
        <v>58</v>
      </c>
      <c r="O113" s="238"/>
      <c r="P113" s="230"/>
      <c r="Q113" s="230"/>
      <c r="R113" s="240" t="str">
        <f t="shared" si="2"/>
        <v/>
      </c>
      <c r="S113" s="230" t="str">
        <f t="shared" si="3"/>
        <v/>
      </c>
      <c r="T113" s="227" t="str">
        <f t="shared" si="1"/>
        <v/>
      </c>
      <c r="U113" s="194"/>
      <c r="V113" s="194"/>
      <c r="W113" s="194"/>
    </row>
    <row r="114" ht="14.25" customHeight="1">
      <c r="A114" s="186"/>
      <c r="B114" s="13">
        <v>2125490.0</v>
      </c>
      <c r="C114" s="14">
        <v>46126.709814814814</v>
      </c>
      <c r="D114" s="187" t="s">
        <v>97</v>
      </c>
      <c r="E114" s="188" t="s">
        <v>1629</v>
      </c>
      <c r="F114" s="189"/>
      <c r="G114" s="187" t="s">
        <v>8625</v>
      </c>
      <c r="H114" s="204"/>
      <c r="I114" s="204"/>
      <c r="J114" s="196" t="s">
        <v>6446</v>
      </c>
      <c r="K114" s="196"/>
      <c r="L114" s="192" t="str">
        <f>IFERROR(__xludf.DUMMYFUNCTION("IF(
  AND(D114=""Saída"", J114=""Sangria""),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197" t="str">
        <f>IFERROR(__xludf.DUMMYFUNCTION("IF(J114=""Compra de Mercadorias"",
   IF(
      COUNTIF(ARRAYFORMULA(TRIM(CLEAN(TO_TEXT(Notas!BS:BS)))), TRIM(CLEAN(TO_TEXT(B114)))) &gt; 0,
      ""Encontrada"",
      ""Não Encontrada""
   ),
"""")"),"Encontrada")</f>
        <v>Encontrada</v>
      </c>
      <c r="N114" s="194">
        <f>IFERROR(__xludf.DUMMYFUNCTION("ifna(VALUE(REGEXEXTRACT(E114,""[0-9.]+[,]+[0-9]+"")))"),1.0)</f>
        <v>1</v>
      </c>
      <c r="O114" s="235"/>
      <c r="P114" s="229"/>
      <c r="Q114" s="229"/>
      <c r="R114" s="237" t="str">
        <f t="shared" si="2"/>
        <v/>
      </c>
      <c r="S114" s="229" t="str">
        <f t="shared" si="3"/>
        <v/>
      </c>
      <c r="T114" s="227" t="str">
        <f t="shared" si="1"/>
        <v/>
      </c>
      <c r="U114" s="194"/>
      <c r="V114" s="194"/>
      <c r="W114" s="194"/>
    </row>
    <row r="115" ht="14.25" customHeight="1">
      <c r="A115" s="186"/>
      <c r="B115" s="13">
        <v>2125787.0</v>
      </c>
      <c r="C115" s="14">
        <v>46126.7947337963</v>
      </c>
      <c r="D115" s="187" t="s">
        <v>97</v>
      </c>
      <c r="E115" s="188" t="s">
        <v>8626</v>
      </c>
      <c r="F115" s="189"/>
      <c r="G115" s="187" t="s">
        <v>151</v>
      </c>
      <c r="H115" s="204"/>
      <c r="I115" s="204"/>
      <c r="J115" s="196" t="s">
        <v>6080</v>
      </c>
      <c r="K115" s="196" t="s">
        <v>6111</v>
      </c>
      <c r="L115" s="192" t="str">
        <f>IFERROR(__xludf.DUMMYFUNCTION("IF(
  AND(D115=""Saída"", J115=""Sangria""),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198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94">
        <f>IFERROR(__xludf.DUMMYFUNCTION("ifna(VALUE(REGEXEXTRACT(E115,""[0-9.]+[,]+[0-9]+"")))"),11.57)</f>
        <v>11.57</v>
      </c>
      <c r="O115" s="238"/>
      <c r="P115" s="230"/>
      <c r="Q115" s="230"/>
      <c r="R115" s="240" t="str">
        <f t="shared" si="2"/>
        <v/>
      </c>
      <c r="S115" s="230" t="str">
        <f t="shared" si="3"/>
        <v/>
      </c>
      <c r="T115" s="227" t="str">
        <f t="shared" si="1"/>
        <v/>
      </c>
      <c r="U115" s="194"/>
      <c r="V115" s="194"/>
      <c r="W115" s="194"/>
    </row>
    <row r="116" ht="14.25" customHeight="1">
      <c r="A116" s="186"/>
      <c r="B116" s="13">
        <v>2126089.0</v>
      </c>
      <c r="C116" s="14">
        <v>46126.905439814815</v>
      </c>
      <c r="D116" s="187" t="s">
        <v>97</v>
      </c>
      <c r="E116" s="188" t="s">
        <v>763</v>
      </c>
      <c r="F116" s="189"/>
      <c r="G116" s="187" t="s">
        <v>8602</v>
      </c>
      <c r="H116" s="204"/>
      <c r="I116" s="204"/>
      <c r="J116" s="196" t="s">
        <v>6544</v>
      </c>
      <c r="K116" s="196" t="s">
        <v>6111</v>
      </c>
      <c r="L116" s="192" t="str">
        <f>IFERROR(__xludf.DUMMYFUNCTION("IF(
  AND(D116=""Saída"", J116=""Sangria""),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"),"Confirmada")</f>
        <v>Confirmada</v>
      </c>
      <c r="M116" s="197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94">
        <f>IFERROR(__xludf.DUMMYFUNCTION("ifna(VALUE(REGEXEXTRACT(E116,""[0-9.]+[,]+[0-9]+"")))"),1000.0)</f>
        <v>1000</v>
      </c>
      <c r="O116" s="235"/>
      <c r="P116" s="229"/>
      <c r="Q116" s="229"/>
      <c r="R116" s="237" t="str">
        <f t="shared" si="2"/>
        <v/>
      </c>
      <c r="S116" s="229" t="str">
        <f t="shared" si="3"/>
        <v/>
      </c>
      <c r="T116" s="227" t="str">
        <f t="shared" si="1"/>
        <v/>
      </c>
      <c r="U116" s="194"/>
      <c r="V116" s="194"/>
      <c r="W116" s="194"/>
    </row>
    <row r="117" ht="14.25" customHeight="1">
      <c r="A117" s="186"/>
      <c r="B117" s="13">
        <v>2126899.0</v>
      </c>
      <c r="C117" s="14">
        <v>46127.647627314815</v>
      </c>
      <c r="D117" s="187" t="s">
        <v>97</v>
      </c>
      <c r="E117" s="188" t="s">
        <v>8627</v>
      </c>
      <c r="F117" s="189"/>
      <c r="G117" s="187" t="s">
        <v>8628</v>
      </c>
      <c r="H117" s="204"/>
      <c r="I117" s="204"/>
      <c r="J117" s="196" t="s">
        <v>6300</v>
      </c>
      <c r="K117" s="196"/>
      <c r="L117" s="192" t="str">
        <f>IFERROR(__xludf.DUMMYFUNCTION("IF(
  AND(D117=""Saída"", J117=""Sangria""),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198" t="str">
        <f>IFERROR(__xludf.DUMMYFUNCTION("IF(J117=""Compra de Mercadorias"",
   IF(
      COUNTIF(ARRAYFORMULA(TRIM(CLEAN(TO_TEXT(Notas!BS:BS)))), TRIM(CLEAN(TO_TEXT(#REF!)))) &gt; 0,
      ""Encontrada"",
      ""Não Encontrada""
   ),
"""")"),"")</f>
        <v/>
      </c>
      <c r="N117" s="194">
        <f>IFERROR(__xludf.DUMMYFUNCTION("ifna(VALUE(REGEXEXTRACT(E117,""[0-9.]+[,]+[0-9]+"")))"),71.83)</f>
        <v>71.83</v>
      </c>
      <c r="O117" s="238"/>
      <c r="P117" s="230"/>
      <c r="Q117" s="230"/>
      <c r="R117" s="240" t="str">
        <f t="shared" si="2"/>
        <v/>
      </c>
      <c r="S117" s="230" t="str">
        <f t="shared" si="3"/>
        <v/>
      </c>
      <c r="T117" s="242" t="str">
        <f t="shared" ref="T117:T138" si="4">IFERROR(VLOOKUP(Q117, $A$4:$B$18, 2, FALSE), "")</f>
        <v/>
      </c>
      <c r="U117" s="194"/>
      <c r="V117" s="194"/>
      <c r="W117" s="194"/>
    </row>
    <row r="118" ht="14.25" customHeight="1">
      <c r="A118" s="186"/>
      <c r="B118" s="13">
        <v>2127404.0</v>
      </c>
      <c r="C118" s="14">
        <v>46127.802037037036</v>
      </c>
      <c r="D118" s="187" t="s">
        <v>97</v>
      </c>
      <c r="E118" s="188" t="s">
        <v>7283</v>
      </c>
      <c r="F118" s="189"/>
      <c r="G118" s="187" t="s">
        <v>8629</v>
      </c>
      <c r="H118" s="204"/>
      <c r="I118" s="204"/>
      <c r="J118" s="196" t="s">
        <v>6469</v>
      </c>
      <c r="K118" s="196"/>
      <c r="L118" s="192" t="str">
        <f>IFERROR(__xludf.DUMMYFUNCTION("IF(
  AND(D118=""Saída"", J118=""Sangria""),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197" t="str">
        <f>IFERROR(__xludf.DUMMYFUNCTION("IF(J118=""Compra de Mercadorias"",
   IF(
      COUNTIF(ARRAYFORMULA(TRIM(CLEAN(TO_TEXT(Notas!BS:BS)))), TRIM(CLEAN(TO_TEXT(B117)))) &gt; 0,
      ""Encontrada"",
      ""Não Encontrada""
   ),
"""")"),"")</f>
        <v/>
      </c>
      <c r="N118" s="194">
        <f>IFERROR(__xludf.DUMMYFUNCTION("ifna(VALUE(REGEXEXTRACT(E118,""[0-9.]+[,]+[0-9]+"")))"),71.0)</f>
        <v>71</v>
      </c>
      <c r="O118" s="235"/>
      <c r="P118" s="229"/>
      <c r="Q118" s="229"/>
      <c r="R118" s="237" t="str">
        <f t="shared" si="2"/>
        <v/>
      </c>
      <c r="S118" s="229" t="str">
        <f t="shared" si="3"/>
        <v/>
      </c>
      <c r="T118" s="242" t="str">
        <f t="shared" si="4"/>
        <v/>
      </c>
      <c r="U118" s="194"/>
      <c r="V118" s="194"/>
      <c r="W118" s="194"/>
    </row>
    <row r="119" ht="14.25" customHeight="1">
      <c r="A119" s="186"/>
      <c r="B119" s="13">
        <v>2127406.0</v>
      </c>
      <c r="C119" s="14">
        <v>46127.80335648148</v>
      </c>
      <c r="D119" s="187" t="s">
        <v>97</v>
      </c>
      <c r="E119" s="188" t="s">
        <v>650</v>
      </c>
      <c r="F119" s="189"/>
      <c r="G119" s="187" t="s">
        <v>8630</v>
      </c>
      <c r="H119" s="204"/>
      <c r="I119" s="204"/>
      <c r="J119" s="196" t="s">
        <v>6469</v>
      </c>
      <c r="K119" s="196"/>
      <c r="L119" s="192" t="str">
        <f>IFERROR(__xludf.DUMMYFUNCTION("IF(
  AND(D119=""Saída"", J119=""Sangria""),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198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94">
        <f>IFERROR(__xludf.DUMMYFUNCTION("ifna(VALUE(REGEXEXTRACT(E119,""[0-9.]+[,]+[0-9]+"")))"),78.0)</f>
        <v>78</v>
      </c>
      <c r="O119" s="238"/>
      <c r="P119" s="230"/>
      <c r="Q119" s="230"/>
      <c r="R119" s="240" t="str">
        <f t="shared" si="2"/>
        <v/>
      </c>
      <c r="S119" s="230" t="str">
        <f t="shared" si="3"/>
        <v/>
      </c>
      <c r="T119" s="242" t="str">
        <f t="shared" si="4"/>
        <v/>
      </c>
      <c r="U119" s="194"/>
      <c r="V119" s="194"/>
      <c r="W119" s="194"/>
    </row>
    <row r="120" ht="14.25" customHeight="1">
      <c r="A120" s="186"/>
      <c r="B120" s="13">
        <v>2128701.0</v>
      </c>
      <c r="C120" s="14">
        <v>46128.732881944445</v>
      </c>
      <c r="D120" s="187" t="s">
        <v>97</v>
      </c>
      <c r="E120" s="188" t="s">
        <v>1780</v>
      </c>
      <c r="F120" s="189"/>
      <c r="G120" s="187" t="s">
        <v>151</v>
      </c>
      <c r="H120" s="204"/>
      <c r="I120" s="204"/>
      <c r="J120" s="196" t="s">
        <v>6080</v>
      </c>
      <c r="K120" s="196" t="s">
        <v>6111</v>
      </c>
      <c r="L120" s="192" t="str">
        <f>IFERROR(__xludf.DUMMYFUNCTION("IF(
  AND(D120=""Saída"", J120=""Sangria""),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197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94">
        <f>IFERROR(__xludf.DUMMYFUNCTION("ifna(VALUE(REGEXEXTRACT(E120,""[0-9.]+[,]+[0-9]+"")))"),5.0)</f>
        <v>5</v>
      </c>
      <c r="O120" s="235"/>
      <c r="P120" s="229"/>
      <c r="Q120" s="229"/>
      <c r="R120" s="237" t="str">
        <f t="shared" si="2"/>
        <v/>
      </c>
      <c r="S120" s="229" t="str">
        <f t="shared" si="3"/>
        <v/>
      </c>
      <c r="T120" s="242" t="str">
        <f t="shared" si="4"/>
        <v/>
      </c>
      <c r="U120" s="194"/>
      <c r="V120" s="194"/>
      <c r="W120" s="194"/>
    </row>
    <row r="121" ht="14.25" customHeight="1">
      <c r="A121" s="186"/>
      <c r="B121" s="13">
        <v>2129042.0</v>
      </c>
      <c r="C121" s="14">
        <v>46128.856099537035</v>
      </c>
      <c r="D121" s="187" t="s">
        <v>97</v>
      </c>
      <c r="E121" s="188" t="s">
        <v>8631</v>
      </c>
      <c r="F121" s="200"/>
      <c r="G121" s="187" t="s">
        <v>8632</v>
      </c>
      <c r="H121" s="204"/>
      <c r="I121" s="204"/>
      <c r="J121" s="196" t="s">
        <v>6469</v>
      </c>
      <c r="K121" s="196"/>
      <c r="L121" s="192" t="str">
        <f>IFERROR(__xludf.DUMMYFUNCTION("IF(
  AND(D121=""Saída"", J121=""Sangria""),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198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94">
        <f>IFERROR(__xludf.DUMMYFUNCTION("ifna(VALUE(REGEXEXTRACT(E121,""[0-9.]+[,]+[0-9]+"")))"),86.0)</f>
        <v>86</v>
      </c>
      <c r="O121" s="238"/>
      <c r="P121" s="230"/>
      <c r="Q121" s="230"/>
      <c r="R121" s="240" t="str">
        <f t="shared" si="2"/>
        <v/>
      </c>
      <c r="S121" s="230" t="str">
        <f t="shared" si="3"/>
        <v/>
      </c>
      <c r="T121" s="242" t="str">
        <f t="shared" si="4"/>
        <v/>
      </c>
      <c r="U121" s="194"/>
      <c r="V121" s="194"/>
      <c r="W121" s="194"/>
    </row>
    <row r="122" ht="14.25" customHeight="1">
      <c r="A122" s="186"/>
      <c r="B122" s="13">
        <v>2130209.0</v>
      </c>
      <c r="C122" s="14">
        <v>46129.66710648148</v>
      </c>
      <c r="D122" s="187" t="s">
        <v>97</v>
      </c>
      <c r="E122" s="188" t="s">
        <v>6475</v>
      </c>
      <c r="F122" s="189"/>
      <c r="G122" s="187" t="s">
        <v>6683</v>
      </c>
      <c r="H122" s="204"/>
      <c r="I122" s="204"/>
      <c r="J122" s="196" t="s">
        <v>6446</v>
      </c>
      <c r="K122" s="196"/>
      <c r="L122" s="192" t="str">
        <f>IFERROR(__xludf.DUMMYFUNCTION("IF(
  AND(D122=""Saída"", J122=""Sangria""),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197" t="str">
        <f>IFERROR(__xludf.DUMMYFUNCTION("IF(J122=""Compra de Mercadorias"",
   IF(
      COUNTIF(ARRAYFORMULA(TRIM(CLEAN(TO_TEXT(Notas!BS:BS)))), TRIM(CLEAN(TO_TEXT(B122)))) &gt; 0,
      ""Encontrada"",
      ""Não Encontrada""
   ),
"""")"),"Encontrada")</f>
        <v>Encontrada</v>
      </c>
      <c r="N122" s="194">
        <f>IFERROR(__xludf.DUMMYFUNCTION("ifna(VALUE(REGEXEXTRACT(E122,""[0-9.]+[,]+[0-9]+"")))"),250.0)</f>
        <v>250</v>
      </c>
      <c r="O122" s="235"/>
      <c r="P122" s="229"/>
      <c r="Q122" s="229"/>
      <c r="R122" s="237" t="str">
        <f t="shared" si="2"/>
        <v/>
      </c>
      <c r="S122" s="229" t="str">
        <f t="shared" si="3"/>
        <v/>
      </c>
      <c r="T122" s="242" t="str">
        <f t="shared" si="4"/>
        <v/>
      </c>
      <c r="U122" s="194"/>
      <c r="V122" s="194"/>
      <c r="W122" s="194"/>
    </row>
    <row r="123" ht="14.25" customHeight="1">
      <c r="A123" s="186"/>
      <c r="B123" s="13">
        <v>2130253.0</v>
      </c>
      <c r="C123" s="14">
        <v>46129.67979166667</v>
      </c>
      <c r="D123" s="187" t="s">
        <v>97</v>
      </c>
      <c r="E123" s="188" t="s">
        <v>8633</v>
      </c>
      <c r="F123" s="189"/>
      <c r="G123" s="187" t="s">
        <v>8634</v>
      </c>
      <c r="H123" s="204"/>
      <c r="I123" s="204"/>
      <c r="J123" s="196" t="s">
        <v>6446</v>
      </c>
      <c r="K123" s="196"/>
      <c r="L123" s="192" t="str">
        <f>IFERROR(__xludf.DUMMYFUNCTION("IF(
  AND(D123=""Saída"", J123=""Sangria""),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198" t="str">
        <f>IFERROR(__xludf.DUMMYFUNCTION("IF(J123=""Compra de Mercadorias"",
   IF(
      COUNTIF(ARRAYFORMULA(TRIM(CLEAN(TO_TEXT(Notas!BS:BS)))), TRIM(CLEAN(TO_TEXT(B123)))) &gt; 0,
      ""Encontrada"",
      ""Não Encontrada""
   ),
"""")"),"Encontrada")</f>
        <v>Encontrada</v>
      </c>
      <c r="N123" s="194">
        <f>IFERROR(__xludf.DUMMYFUNCTION("ifna(VALUE(REGEXEXTRACT(E123,""[0-9.]+[,]+[0-9]+"")))"),210.0)</f>
        <v>210</v>
      </c>
      <c r="O123" s="238"/>
      <c r="P123" s="230"/>
      <c r="Q123" s="230"/>
      <c r="R123" s="240" t="str">
        <f t="shared" si="2"/>
        <v/>
      </c>
      <c r="S123" s="230" t="str">
        <f t="shared" si="3"/>
        <v/>
      </c>
      <c r="T123" s="242" t="str">
        <f t="shared" si="4"/>
        <v/>
      </c>
      <c r="U123" s="194"/>
      <c r="V123" s="194"/>
      <c r="W123" s="194"/>
    </row>
    <row r="124" ht="14.25" customHeight="1">
      <c r="A124" s="186"/>
      <c r="B124" s="13">
        <v>2130607.0</v>
      </c>
      <c r="C124" s="14">
        <v>46129.75216435185</v>
      </c>
      <c r="D124" s="187" t="s">
        <v>97</v>
      </c>
      <c r="E124" s="188" t="s">
        <v>8635</v>
      </c>
      <c r="F124" s="189"/>
      <c r="G124" s="187" t="s">
        <v>8636</v>
      </c>
      <c r="H124" s="204"/>
      <c r="I124" s="204"/>
      <c r="J124" s="196" t="s">
        <v>6446</v>
      </c>
      <c r="K124" s="196"/>
      <c r="L124" s="192" t="str">
        <f>IFERROR(__xludf.DUMMYFUNCTION("IF(
  AND(D124=""Saída"", J124=""Sangria""),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197" t="str">
        <f>IFERROR(__xludf.DUMMYFUNCTION("IF(J124=""Compra de Mercadorias"",
   IF(
      COUNTIF(ARRAYFORMULA(TRIM(CLEAN(TO_TEXT(Notas!BS:BS)))), TRIM(CLEAN(TO_TEXT(B124)))) &gt; 0,
      ""Encontrada"",
      ""Não Encontrada""
   ),
"""")"),"Encontrada")</f>
        <v>Encontrada</v>
      </c>
      <c r="N124" s="194">
        <f>IFERROR(__xludf.DUMMYFUNCTION("ifna(VALUE(REGEXEXTRACT(E124,""[0-9.]+[,]+[0-9]+"")))"),22.76)</f>
        <v>22.76</v>
      </c>
      <c r="O124" s="235"/>
      <c r="P124" s="229"/>
      <c r="Q124" s="229"/>
      <c r="R124" s="237" t="str">
        <f t="shared" si="2"/>
        <v/>
      </c>
      <c r="S124" s="229" t="str">
        <f t="shared" si="3"/>
        <v/>
      </c>
      <c r="T124" s="242" t="str">
        <f t="shared" si="4"/>
        <v/>
      </c>
      <c r="U124" s="194"/>
      <c r="V124" s="194"/>
      <c r="W124" s="194"/>
    </row>
    <row r="125" ht="14.25" customHeight="1">
      <c r="A125" s="186"/>
      <c r="B125" s="13">
        <v>2130611.0</v>
      </c>
      <c r="C125" s="14">
        <v>46129.75299768519</v>
      </c>
      <c r="D125" s="187" t="s">
        <v>97</v>
      </c>
      <c r="E125" s="188" t="s">
        <v>8637</v>
      </c>
      <c r="F125" s="189"/>
      <c r="G125" s="187" t="s">
        <v>8638</v>
      </c>
      <c r="H125" s="204"/>
      <c r="I125" s="204"/>
      <c r="J125" s="196" t="s">
        <v>6446</v>
      </c>
      <c r="K125" s="196"/>
      <c r="L125" s="192" t="str">
        <f>IFERROR(__xludf.DUMMYFUNCTION("IF(
  AND(D125=""Saída"", J125=""Sangria""),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198" t="str">
        <f>IFERROR(__xludf.DUMMYFUNCTION("IF(J125=""Compra de Mercadorias"",
   IF(
      COUNTIF(ARRAYFORMULA(TRIM(CLEAN(TO_TEXT(Notas!BS:BS)))), TRIM(CLEAN(TO_TEXT(B125)))) &gt; 0,
      ""Encontrada"",
      ""Não Encontrada""
   ),
"""")"),"Encontrada")</f>
        <v>Encontrada</v>
      </c>
      <c r="N125" s="194">
        <f>IFERROR(__xludf.DUMMYFUNCTION("ifna(VALUE(REGEXEXTRACT(E125,""[0-9.]+[,]+[0-9]+"")))"),45.51)</f>
        <v>45.51</v>
      </c>
      <c r="O125" s="238"/>
      <c r="P125" s="230"/>
      <c r="Q125" s="230"/>
      <c r="R125" s="240" t="str">
        <f t="shared" si="2"/>
        <v/>
      </c>
      <c r="S125" s="230" t="str">
        <f t="shared" si="3"/>
        <v/>
      </c>
      <c r="T125" s="242" t="str">
        <f t="shared" si="4"/>
        <v/>
      </c>
      <c r="U125" s="194"/>
      <c r="V125" s="194"/>
      <c r="W125" s="194"/>
    </row>
    <row r="126" ht="14.25" customHeight="1">
      <c r="A126" s="186"/>
      <c r="B126" s="13">
        <v>2130945.0</v>
      </c>
      <c r="C126" s="14">
        <v>46129.85689814815</v>
      </c>
      <c r="D126" s="187" t="s">
        <v>97</v>
      </c>
      <c r="E126" s="188" t="s">
        <v>473</v>
      </c>
      <c r="F126" s="189"/>
      <c r="G126" s="187" t="s">
        <v>8639</v>
      </c>
      <c r="H126" s="204"/>
      <c r="I126" s="204"/>
      <c r="J126" s="196" t="s">
        <v>6469</v>
      </c>
      <c r="K126" s="196"/>
      <c r="L126" s="192" t="str">
        <f>IFERROR(__xludf.DUMMYFUNCTION("IF(
  AND(D126=""Saída"", J126=""Sangria""),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197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94">
        <f>IFERROR(__xludf.DUMMYFUNCTION("ifna(VALUE(REGEXEXTRACT(E126,""[0-9.]+[,]+[0-9]+"")))"),84.0)</f>
        <v>84</v>
      </c>
      <c r="O126" s="235"/>
      <c r="P126" s="229"/>
      <c r="Q126" s="229"/>
      <c r="R126" s="237" t="str">
        <f t="shared" si="2"/>
        <v/>
      </c>
      <c r="S126" s="229" t="str">
        <f t="shared" si="3"/>
        <v/>
      </c>
      <c r="T126" s="242" t="str">
        <f t="shared" si="4"/>
        <v/>
      </c>
      <c r="U126" s="194"/>
      <c r="V126" s="194"/>
      <c r="W126" s="194"/>
    </row>
    <row r="127" ht="14.25" customHeight="1">
      <c r="A127" s="186"/>
      <c r="B127" s="13">
        <v>2132716.0</v>
      </c>
      <c r="C127" s="14">
        <v>46130.781435185185</v>
      </c>
      <c r="D127" s="187" t="s">
        <v>97</v>
      </c>
      <c r="E127" s="188" t="s">
        <v>8594</v>
      </c>
      <c r="F127" s="189"/>
      <c r="G127" s="187" t="s">
        <v>8640</v>
      </c>
      <c r="H127" s="204"/>
      <c r="I127" s="204"/>
      <c r="J127" s="196" t="s">
        <v>6469</v>
      </c>
      <c r="K127" s="196"/>
      <c r="L127" s="192" t="str">
        <f>IFERROR(__xludf.DUMMYFUNCTION("IF(
  AND(D127=""Saída"", J127=""Sangria""),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198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94">
        <f>IFERROR(__xludf.DUMMYFUNCTION("ifna(VALUE(REGEXEXTRACT(E127,""[0-9.]+[,]+[0-9]+"")))"),58.0)</f>
        <v>58</v>
      </c>
      <c r="O127" s="238"/>
      <c r="P127" s="230"/>
      <c r="Q127" s="230"/>
      <c r="R127" s="240" t="str">
        <f t="shared" si="2"/>
        <v/>
      </c>
      <c r="S127" s="230" t="str">
        <f t="shared" si="3"/>
        <v/>
      </c>
      <c r="T127" s="242" t="str">
        <f t="shared" si="4"/>
        <v/>
      </c>
      <c r="U127" s="194"/>
      <c r="V127" s="194"/>
      <c r="W127" s="194"/>
    </row>
    <row r="128" ht="14.25" customHeight="1">
      <c r="A128" s="186"/>
      <c r="B128" s="13">
        <v>2133015.0</v>
      </c>
      <c r="C128" s="14">
        <v>46130.84732638889</v>
      </c>
      <c r="D128" s="187" t="s">
        <v>97</v>
      </c>
      <c r="E128" s="188" t="s">
        <v>8613</v>
      </c>
      <c r="F128" s="189"/>
      <c r="G128" s="187" t="s">
        <v>8641</v>
      </c>
      <c r="H128" s="204"/>
      <c r="I128" s="204"/>
      <c r="J128" s="196" t="s">
        <v>6469</v>
      </c>
      <c r="K128" s="196"/>
      <c r="L128" s="192" t="str">
        <f>IFERROR(__xludf.DUMMYFUNCTION("IF(
  AND(D128=""Saída"", J128=""Sangria""),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197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94">
        <f>IFERROR(__xludf.DUMMYFUNCTION("ifna(VALUE(REGEXEXTRACT(E128,""[0-9.]+[,]+[0-9]+"")))"),143.0)</f>
        <v>143</v>
      </c>
      <c r="O128" s="235"/>
      <c r="P128" s="229"/>
      <c r="Q128" s="229"/>
      <c r="R128" s="237" t="str">
        <f t="shared" si="2"/>
        <v/>
      </c>
      <c r="S128" s="229" t="str">
        <f t="shared" si="3"/>
        <v/>
      </c>
      <c r="T128" s="242" t="str">
        <f t="shared" si="4"/>
        <v/>
      </c>
      <c r="U128" s="194"/>
      <c r="V128" s="194"/>
      <c r="W128" s="194"/>
    </row>
    <row r="129" ht="14.25" customHeight="1">
      <c r="A129" s="186"/>
      <c r="B129" s="13">
        <v>2133103.0</v>
      </c>
      <c r="C129" s="14">
        <v>46130.87006944444</v>
      </c>
      <c r="D129" s="187" t="s">
        <v>97</v>
      </c>
      <c r="E129" s="188" t="s">
        <v>8642</v>
      </c>
      <c r="F129" s="189"/>
      <c r="G129" s="187" t="s">
        <v>151</v>
      </c>
      <c r="H129" s="204"/>
      <c r="I129" s="204"/>
      <c r="J129" s="196" t="s">
        <v>6080</v>
      </c>
      <c r="K129" s="196" t="s">
        <v>6111</v>
      </c>
      <c r="L129" s="192" t="str">
        <f>IFERROR(__xludf.DUMMYFUNCTION("IF(
  AND(D129=""Saída"", J129=""Sangria""),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198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94">
        <f>IFERROR(__xludf.DUMMYFUNCTION("ifna(VALUE(REGEXEXTRACT(E129,""[0-9.]+[,]+[0-9]+"")))"),11.95)</f>
        <v>11.95</v>
      </c>
      <c r="O129" s="238"/>
      <c r="P129" s="230"/>
      <c r="Q129" s="230"/>
      <c r="R129" s="240" t="str">
        <f t="shared" si="2"/>
        <v/>
      </c>
      <c r="S129" s="230" t="str">
        <f t="shared" si="3"/>
        <v/>
      </c>
      <c r="T129" s="242" t="str">
        <f t="shared" si="4"/>
        <v/>
      </c>
      <c r="U129" s="194"/>
      <c r="V129" s="194"/>
      <c r="W129" s="194"/>
    </row>
    <row r="130" ht="14.25" customHeight="1">
      <c r="A130" s="186"/>
      <c r="B130" s="13">
        <v>2134643.0</v>
      </c>
      <c r="C130" s="14">
        <v>46131.685162037036</v>
      </c>
      <c r="D130" s="187" t="s">
        <v>97</v>
      </c>
      <c r="E130" s="188" t="s">
        <v>8643</v>
      </c>
      <c r="F130" s="189"/>
      <c r="G130" s="187" t="s">
        <v>8644</v>
      </c>
      <c r="H130" s="204"/>
      <c r="I130" s="204"/>
      <c r="J130" s="196" t="s">
        <v>6300</v>
      </c>
      <c r="K130" s="196"/>
      <c r="L130" s="192" t="str">
        <f>IFERROR(__xludf.DUMMYFUNCTION("IF(
  AND(D130=""Saída"", J130=""Sangria""),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197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94">
        <f>IFERROR(__xludf.DUMMYFUNCTION("ifna(VALUE(REGEXEXTRACT(E130,""[0-9.]+[,]+[0-9]+"")))"),68.94)</f>
        <v>68.94</v>
      </c>
      <c r="O130" s="235"/>
      <c r="P130" s="229"/>
      <c r="Q130" s="229"/>
      <c r="R130" s="237" t="str">
        <f t="shared" si="2"/>
        <v/>
      </c>
      <c r="S130" s="229" t="str">
        <f t="shared" si="3"/>
        <v/>
      </c>
      <c r="T130" s="242" t="str">
        <f t="shared" si="4"/>
        <v/>
      </c>
      <c r="U130" s="194"/>
      <c r="V130" s="194"/>
      <c r="W130" s="194"/>
    </row>
    <row r="131" ht="14.25" customHeight="1">
      <c r="A131" s="186"/>
      <c r="B131" s="13">
        <v>2135669.0</v>
      </c>
      <c r="C131" s="14">
        <v>46131.849270833336</v>
      </c>
      <c r="D131" s="187" t="s">
        <v>97</v>
      </c>
      <c r="E131" s="188" t="s">
        <v>532</v>
      </c>
      <c r="F131" s="189"/>
      <c r="G131" s="187" t="s">
        <v>8645</v>
      </c>
      <c r="H131" s="204"/>
      <c r="I131" s="204"/>
      <c r="J131" s="196" t="s">
        <v>6469</v>
      </c>
      <c r="K131" s="196"/>
      <c r="L131" s="192" t="str">
        <f>IFERROR(__xludf.DUMMYFUNCTION("IF(
  AND(D131=""Saída"", J131=""Sangria""),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198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94">
        <f>IFERROR(__xludf.DUMMYFUNCTION("ifna(VALUE(REGEXEXTRACT(E131,""[0-9.]+[,]+[0-9]+"")))"),65.0)</f>
        <v>65</v>
      </c>
      <c r="O131" s="238"/>
      <c r="P131" s="230"/>
      <c r="Q131" s="230"/>
      <c r="R131" s="240" t="str">
        <f t="shared" si="2"/>
        <v/>
      </c>
      <c r="S131" s="230" t="str">
        <f t="shared" si="3"/>
        <v/>
      </c>
      <c r="T131" s="242" t="str">
        <f t="shared" si="4"/>
        <v/>
      </c>
      <c r="U131" s="194"/>
      <c r="V131" s="194"/>
      <c r="W131" s="194"/>
    </row>
    <row r="132" ht="14.25" customHeight="1">
      <c r="A132" s="186"/>
      <c r="B132" s="13">
        <v>2135673.0</v>
      </c>
      <c r="C132" s="14">
        <v>46131.851377314815</v>
      </c>
      <c r="D132" s="187" t="s">
        <v>97</v>
      </c>
      <c r="E132" s="188" t="s">
        <v>6466</v>
      </c>
      <c r="F132" s="189"/>
      <c r="G132" s="187" t="s">
        <v>8646</v>
      </c>
      <c r="H132" s="204"/>
      <c r="I132" s="204"/>
      <c r="J132" s="196" t="s">
        <v>6469</v>
      </c>
      <c r="K132" s="196"/>
      <c r="L132" s="192" t="str">
        <f>IFERROR(__xludf.DUMMYFUNCTION("IF(
  AND(D132=""Saída"", J132=""Sangria""),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197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94">
        <f>IFERROR(__xludf.DUMMYFUNCTION("ifna(VALUE(REGEXEXTRACT(E132,""[0-9.]+[,]+[0-9]+"")))"),91.0)</f>
        <v>91</v>
      </c>
      <c r="O132" s="235"/>
      <c r="P132" s="229"/>
      <c r="Q132" s="229"/>
      <c r="R132" s="237" t="str">
        <f t="shared" si="2"/>
        <v/>
      </c>
      <c r="S132" s="229" t="str">
        <f t="shared" si="3"/>
        <v/>
      </c>
      <c r="T132" s="242" t="str">
        <f t="shared" si="4"/>
        <v/>
      </c>
      <c r="U132" s="194"/>
      <c r="V132" s="194"/>
      <c r="W132" s="194"/>
    </row>
    <row r="133" ht="14.25" customHeight="1">
      <c r="A133" s="186"/>
      <c r="B133" s="13">
        <v>2135760.0</v>
      </c>
      <c r="C133" s="14">
        <v>46131.867430555554</v>
      </c>
      <c r="D133" s="187" t="s">
        <v>97</v>
      </c>
      <c r="E133" s="188" t="s">
        <v>6547</v>
      </c>
      <c r="F133" s="189"/>
      <c r="G133" s="187" t="s">
        <v>8647</v>
      </c>
      <c r="H133" s="204"/>
      <c r="I133" s="204"/>
      <c r="J133" s="196" t="s">
        <v>6469</v>
      </c>
      <c r="K133" s="196"/>
      <c r="L133" s="192" t="str">
        <f>IFERROR(__xludf.DUMMYFUNCTION("IF(
  AND(D133=""Saída"", J133=""Sangria""),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198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94">
        <f>IFERROR(__xludf.DUMMYFUNCTION("ifna(VALUE(REGEXEXTRACT(E133,""[0-9.]+[,]+[0-9]+"")))"),117.0)</f>
        <v>117</v>
      </c>
      <c r="O133" s="243"/>
      <c r="P133" s="244"/>
      <c r="Q133" s="244"/>
      <c r="R133" s="245" t="str">
        <f t="shared" si="2"/>
        <v/>
      </c>
      <c r="S133" s="244" t="str">
        <f t="shared" si="3"/>
        <v/>
      </c>
      <c r="T133" s="242" t="str">
        <f t="shared" si="4"/>
        <v/>
      </c>
      <c r="U133" s="194"/>
      <c r="V133" s="194"/>
      <c r="W133" s="194"/>
    </row>
    <row r="134" ht="14.25" customHeight="1">
      <c r="A134" s="186"/>
      <c r="B134" s="13">
        <v>2135774.0</v>
      </c>
      <c r="C134" s="14">
        <v>46131.86929398148</v>
      </c>
      <c r="D134" s="187" t="s">
        <v>97</v>
      </c>
      <c r="E134" s="188" t="s">
        <v>6547</v>
      </c>
      <c r="F134" s="189"/>
      <c r="G134" s="187" t="s">
        <v>8648</v>
      </c>
      <c r="H134" s="204"/>
      <c r="I134" s="204"/>
      <c r="J134" s="196" t="s">
        <v>6469</v>
      </c>
      <c r="K134" s="196"/>
      <c r="L134" s="192" t="str">
        <f>IFERROR(__xludf.DUMMYFUNCTION("IF(
  AND(D134=""Saída"", J134=""Sangria""),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197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94">
        <f>IFERROR(__xludf.DUMMYFUNCTION("ifna(VALUE(REGEXEXTRACT(E134,""[0-9.]+[,]+[0-9]+"")))"),117.0)</f>
        <v>117</v>
      </c>
      <c r="O134" s="243"/>
      <c r="P134" s="244"/>
      <c r="Q134" s="244"/>
      <c r="R134" s="245" t="str">
        <f t="shared" si="2"/>
        <v/>
      </c>
      <c r="S134" s="244" t="str">
        <f t="shared" si="3"/>
        <v/>
      </c>
      <c r="T134" s="242" t="str">
        <f t="shared" si="4"/>
        <v/>
      </c>
      <c r="U134" s="194"/>
      <c r="V134" s="194"/>
      <c r="W134" s="194"/>
    </row>
    <row r="135" ht="14.25" customHeight="1">
      <c r="A135" s="186"/>
      <c r="B135" s="13">
        <v>2135836.0</v>
      </c>
      <c r="C135" s="14">
        <v>46131.87763888889</v>
      </c>
      <c r="D135" s="187" t="s">
        <v>97</v>
      </c>
      <c r="E135" s="188" t="s">
        <v>8649</v>
      </c>
      <c r="F135" s="189"/>
      <c r="G135" s="187" t="s">
        <v>858</v>
      </c>
      <c r="H135" s="204"/>
      <c r="I135" s="204"/>
      <c r="J135" s="196" t="s">
        <v>6544</v>
      </c>
      <c r="K135" s="196" t="s">
        <v>5991</v>
      </c>
      <c r="L135" s="192" t="str">
        <f>IFERROR(__xludf.DUMMYFUNCTION("IF(
  AND(D135=""Saída"", J135=""Sangria""),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"),"Confirmada")</f>
        <v>Confirmada</v>
      </c>
      <c r="M135" s="198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94">
        <f>IFERROR(__xludf.DUMMYFUNCTION("ifna(VALUE(REGEXEXTRACT(E135,""[0-9.]+[,]+[0-9]+"")))"),1250.0)</f>
        <v>1250</v>
      </c>
      <c r="O135" s="243"/>
      <c r="P135" s="244"/>
      <c r="Q135" s="244"/>
      <c r="R135" s="245" t="str">
        <f t="shared" si="2"/>
        <v/>
      </c>
      <c r="S135" s="244" t="str">
        <f t="shared" si="3"/>
        <v/>
      </c>
      <c r="T135" s="242" t="str">
        <f t="shared" si="4"/>
        <v/>
      </c>
      <c r="U135" s="194"/>
      <c r="V135" s="194"/>
      <c r="W135" s="194"/>
    </row>
    <row r="136" ht="14.25" customHeight="1">
      <c r="A136" s="186"/>
      <c r="B136" s="13">
        <v>2136010.0</v>
      </c>
      <c r="C136" s="14">
        <v>46131.89915509259</v>
      </c>
      <c r="D136" s="187" t="s">
        <v>97</v>
      </c>
      <c r="E136" s="188" t="s">
        <v>8650</v>
      </c>
      <c r="F136" s="189"/>
      <c r="G136" s="187" t="s">
        <v>8651</v>
      </c>
      <c r="H136" s="204"/>
      <c r="I136" s="204"/>
      <c r="J136" s="196" t="s">
        <v>6551</v>
      </c>
      <c r="K136" s="196"/>
      <c r="L136" s="192" t="str">
        <f>IFERROR(__xludf.DUMMYFUNCTION("IF(
  AND(D136=""Saída"", J136=""Sangria""),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197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94">
        <f>IFERROR(__xludf.DUMMYFUNCTION("ifna(VALUE(REGEXEXTRACT(E136,""[0-9.]+[,]+[0-9]+"")))"),396.0)</f>
        <v>396</v>
      </c>
      <c r="O136" s="243"/>
      <c r="P136" s="244"/>
      <c r="Q136" s="244"/>
      <c r="R136" s="245" t="str">
        <f t="shared" si="2"/>
        <v/>
      </c>
      <c r="S136" s="244" t="str">
        <f t="shared" si="3"/>
        <v/>
      </c>
      <c r="T136" s="242" t="str">
        <f t="shared" si="4"/>
        <v/>
      </c>
      <c r="U136" s="194"/>
      <c r="V136" s="194"/>
      <c r="W136" s="194"/>
    </row>
    <row r="137" ht="14.25" customHeight="1">
      <c r="A137" s="186"/>
      <c r="B137" s="13">
        <v>2137513.0</v>
      </c>
      <c r="C137" s="14">
        <v>46132.645949074074</v>
      </c>
      <c r="D137" s="187" t="s">
        <v>97</v>
      </c>
      <c r="E137" s="188" t="s">
        <v>7704</v>
      </c>
      <c r="F137" s="189"/>
      <c r="G137" s="187" t="s">
        <v>8652</v>
      </c>
      <c r="H137" s="204"/>
      <c r="I137" s="204"/>
      <c r="J137" s="196" t="s">
        <v>6446</v>
      </c>
      <c r="K137" s="196"/>
      <c r="L137" s="192" t="str">
        <f>IFERROR(__xludf.DUMMYFUNCTION("IF(
  AND(D137=""Saída"", J137=""Sangria""),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198" t="str">
        <f>IFERROR(__xludf.DUMMYFUNCTION("IF(J137=""Compra de Mercadorias"",
   IF(
      COUNTIF(ARRAYFORMULA(TRIM(CLEAN(TO_TEXT(Notas!BS:BS)))), TRIM(CLEAN(TO_TEXT(B137)))) &gt; 0,
      ""Encontrada"",
      ""Não Encontrada""
   ),
"""")"),"Encontrada")</f>
        <v>Encontrada</v>
      </c>
      <c r="N137" s="194">
        <f>IFERROR(__xludf.DUMMYFUNCTION("ifna(VALUE(REGEXEXTRACT(E137,""[0-9.]+[,]+[0-9]+"")))"),200.0)</f>
        <v>200</v>
      </c>
      <c r="O137" s="243"/>
      <c r="P137" s="244"/>
      <c r="Q137" s="244"/>
      <c r="R137" s="245" t="str">
        <f t="shared" si="2"/>
        <v/>
      </c>
      <c r="S137" s="244" t="str">
        <f t="shared" si="3"/>
        <v/>
      </c>
      <c r="T137" s="242" t="str">
        <f t="shared" si="4"/>
        <v/>
      </c>
      <c r="U137" s="194"/>
      <c r="V137" s="194"/>
      <c r="W137" s="194"/>
    </row>
    <row r="138" ht="14.25" customHeight="1">
      <c r="A138" s="186"/>
      <c r="B138" s="13">
        <v>2138092.0</v>
      </c>
      <c r="C138" s="14">
        <v>46132.75886574074</v>
      </c>
      <c r="D138" s="187" t="s">
        <v>97</v>
      </c>
      <c r="E138" s="188" t="s">
        <v>8653</v>
      </c>
      <c r="F138" s="189"/>
      <c r="G138" s="187" t="s">
        <v>8654</v>
      </c>
      <c r="H138" s="204"/>
      <c r="I138" s="204"/>
      <c r="J138" s="196" t="s">
        <v>6469</v>
      </c>
      <c r="K138" s="196"/>
      <c r="L138" s="192" t="str">
        <f>IFERROR(__xludf.DUMMYFUNCTION("IF(
  AND(D138=""Saída"", J138=""Sangria""),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197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94">
        <f>IFERROR(__xludf.DUMMYFUNCTION("ifna(VALUE(REGEXEXTRACT(E138,""[0-9.]+[,]+[0-9]+"")))"),207.0)</f>
        <v>207</v>
      </c>
      <c r="O138" s="246"/>
      <c r="P138" s="247"/>
      <c r="Q138" s="247"/>
      <c r="R138" s="248" t="str">
        <f t="shared" si="2"/>
        <v/>
      </c>
      <c r="S138" s="247" t="str">
        <f t="shared" si="3"/>
        <v/>
      </c>
      <c r="T138" s="249" t="str">
        <f t="shared" si="4"/>
        <v/>
      </c>
      <c r="U138" s="194"/>
      <c r="V138" s="194"/>
      <c r="W138" s="194"/>
    </row>
    <row r="139" ht="14.25" customHeight="1">
      <c r="A139" s="186"/>
      <c r="B139" s="13">
        <v>2138179.0</v>
      </c>
      <c r="C139" s="14">
        <v>46132.77438657408</v>
      </c>
      <c r="D139" s="187" t="s">
        <v>97</v>
      </c>
      <c r="E139" s="188" t="s">
        <v>8655</v>
      </c>
      <c r="F139" s="189"/>
      <c r="G139" s="187" t="s">
        <v>8656</v>
      </c>
      <c r="H139" s="204"/>
      <c r="I139" s="204"/>
      <c r="J139" s="196" t="s">
        <v>6446</v>
      </c>
      <c r="K139" s="196"/>
      <c r="L139" s="192" t="str">
        <f>IFERROR(__xludf.DUMMYFUNCTION("IF(
  AND(D139=""Saída"", J139=""Sangria""),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198" t="str">
        <f>IFERROR(__xludf.DUMMYFUNCTION("IF(J139=""Compra de Mercadorias"",
   IF(
      COUNTIF(ARRAYFORMULA(TRIM(CLEAN(TO_TEXT(Notas!BS:BS)))), TRIM(CLEAN(TO_TEXT(B139)))) &gt; 0,
      ""Encontrada"",
      ""Não Encontrada""
   ),
"""")"),"Encontrada")</f>
        <v>Encontrada</v>
      </c>
      <c r="N139" s="194">
        <f>IFERROR(__xludf.DUMMYFUNCTION("ifna(VALUE(REGEXEXTRACT(E139,""[0-9.]+[,]+[0-9]+"")))"),246.05)</f>
        <v>246.05</v>
      </c>
      <c r="O139" s="194"/>
      <c r="P139" s="194"/>
      <c r="Q139" s="194"/>
      <c r="R139" s="194"/>
      <c r="S139" s="194"/>
      <c r="T139" s="194"/>
      <c r="U139" s="194"/>
      <c r="V139" s="194"/>
      <c r="W139" s="194"/>
    </row>
    <row r="140" ht="14.25" customHeight="1">
      <c r="A140" s="186"/>
      <c r="B140" s="13">
        <v>2138182.0</v>
      </c>
      <c r="C140" s="14">
        <v>46132.77476851852</v>
      </c>
      <c r="D140" s="187" t="s">
        <v>97</v>
      </c>
      <c r="E140" s="188" t="s">
        <v>8657</v>
      </c>
      <c r="F140" s="189"/>
      <c r="G140" s="187" t="s">
        <v>8658</v>
      </c>
      <c r="H140" s="204"/>
      <c r="I140" s="204"/>
      <c r="J140" s="196" t="s">
        <v>6446</v>
      </c>
      <c r="K140" s="196"/>
      <c r="L140" s="192" t="str">
        <f>IFERROR(__xludf.DUMMYFUNCTION("IF(
  AND(D140=""Saída"", J140=""Sangria""),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197" t="str">
        <f>IFERROR(__xludf.DUMMYFUNCTION("IF(J140=""Compra de Mercadorias"",
   IF(
      COUNTIF(ARRAYFORMULA(TRIM(CLEAN(TO_TEXT(Notas!BS:BS)))), TRIM(CLEAN(TO_TEXT(B140)))) &gt; 0,
      ""Encontrada"",
      ""Não Encontrada""
   ),
"""")"),"Encontrada")</f>
        <v>Encontrada</v>
      </c>
      <c r="N140" s="194">
        <f>IFERROR(__xludf.DUMMYFUNCTION("ifna(VALUE(REGEXEXTRACT(E140,""[0-9.]+[,]+[0-9]+"")))"),22.2)</f>
        <v>22.2</v>
      </c>
      <c r="O140" s="250" t="s">
        <v>7561</v>
      </c>
      <c r="W140" s="194"/>
    </row>
    <row r="141" ht="14.25" customHeight="1">
      <c r="A141" s="186"/>
      <c r="B141" s="13">
        <v>2138201.0</v>
      </c>
      <c r="C141" s="14">
        <v>46132.78013888889</v>
      </c>
      <c r="D141" s="187" t="s">
        <v>97</v>
      </c>
      <c r="E141" s="188" t="s">
        <v>163</v>
      </c>
      <c r="F141" s="189"/>
      <c r="G141" s="187" t="s">
        <v>8659</v>
      </c>
      <c r="H141" s="204"/>
      <c r="I141" s="204"/>
      <c r="J141" s="196"/>
      <c r="K141" s="196"/>
      <c r="L141" s="192" t="str">
        <f>IFERROR(__xludf.DUMMYFUNCTION("IF(
  AND(D141=""Saída"", J141=""Sangria""),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198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94">
        <f>IFERROR(__xludf.DUMMYFUNCTION("ifna(VALUE(REGEXEXTRACT(E141,""[0-9.]+[,]+[0-9]+"")))"),0.01)</f>
        <v>0.01</v>
      </c>
      <c r="O141" s="251" t="str">
        <f>IFERROR(__xludf.DUMMYFUNCTION("QUERY(B28:M507,""Select B,C,D,E,G,H,I,M where M = 'Não Encontrada'"",1)"),"ID")</f>
        <v>ID</v>
      </c>
      <c r="P141" s="251" t="str">
        <f>IFERROR(__xludf.DUMMYFUNCTION("""COMPUTED_VALUE"""),"Data")</f>
        <v>Data</v>
      </c>
      <c r="Q141" s="251" t="str">
        <f>IFERROR(__xludf.DUMMYFUNCTION("""COMPUTED_VALUE"""),"Entrada/Saída")</f>
        <v>Entrada/Saída</v>
      </c>
      <c r="R141" s="252" t="str">
        <f>IFERROR(__xludf.DUMMYFUNCTION("""COMPUTED_VALUE"""),"Valor ")</f>
        <v>Valor </v>
      </c>
      <c r="S141" s="251" t="str">
        <f>IFERROR(__xludf.DUMMYFUNCTION("""COMPUTED_VALUE"""),"Descrição")</f>
        <v>Descrição</v>
      </c>
      <c r="V141" s="253" t="str">
        <f>IFERROR(__xludf.DUMMYFUNCTION("""COMPUTED_VALUE"""),"Nota")</f>
        <v>Nota</v>
      </c>
      <c r="W141" s="194"/>
    </row>
    <row r="142" ht="14.25" customHeight="1">
      <c r="A142" s="186"/>
      <c r="B142" s="13">
        <v>2138241.0</v>
      </c>
      <c r="C142" s="14">
        <v>46132.79306712963</v>
      </c>
      <c r="D142" s="187" t="s">
        <v>97</v>
      </c>
      <c r="E142" s="188" t="s">
        <v>532</v>
      </c>
      <c r="F142" s="189"/>
      <c r="G142" s="187" t="s">
        <v>8660</v>
      </c>
      <c r="H142" s="204"/>
      <c r="I142" s="204"/>
      <c r="J142" s="196" t="s">
        <v>6469</v>
      </c>
      <c r="K142" s="196"/>
      <c r="L142" s="192" t="str">
        <f>IFERROR(__xludf.DUMMYFUNCTION("IF(
  AND(D142=""Saída"", J142=""Sangria""),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197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94">
        <f>IFERROR(__xludf.DUMMYFUNCTION("ifna(VALUE(REGEXEXTRACT(E142,""[0-9.]+[,]+[0-9]+"")))"),65.0)</f>
        <v>65</v>
      </c>
      <c r="O142" s="254"/>
      <c r="P142" s="255"/>
      <c r="Q142" s="254"/>
      <c r="R142" s="256"/>
      <c r="S142" s="290"/>
      <c r="V142" s="254"/>
      <c r="W142" s="194"/>
    </row>
    <row r="143" ht="14.25" customHeight="1">
      <c r="A143" s="186"/>
      <c r="B143" s="13">
        <v>2138291.0</v>
      </c>
      <c r="C143" s="14">
        <v>46132.80646990741</v>
      </c>
      <c r="D143" s="187" t="s">
        <v>97</v>
      </c>
      <c r="E143" s="188" t="s">
        <v>8661</v>
      </c>
      <c r="F143" s="189"/>
      <c r="G143" s="187" t="s">
        <v>151</v>
      </c>
      <c r="H143" s="204"/>
      <c r="I143" s="204"/>
      <c r="J143" s="196" t="s">
        <v>6080</v>
      </c>
      <c r="K143" s="196" t="s">
        <v>6111</v>
      </c>
      <c r="L143" s="192" t="str">
        <f>IFERROR(__xludf.DUMMYFUNCTION("IF(
  AND(D143=""Saída"", J143=""Sangria""),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198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94">
        <f>IFERROR(__xludf.DUMMYFUNCTION("ifna(VALUE(REGEXEXTRACT(E143,""[0-9.]+[,]+[0-9]+"")))"),14.22)</f>
        <v>14.22</v>
      </c>
      <c r="O143" s="258"/>
      <c r="P143" s="259"/>
      <c r="Q143" s="258"/>
      <c r="R143" s="260"/>
      <c r="S143" s="291"/>
      <c r="V143" s="258"/>
      <c r="W143" s="194"/>
    </row>
    <row r="144" ht="14.25" customHeight="1">
      <c r="A144" s="186"/>
      <c r="B144" s="13">
        <v>2138639.0</v>
      </c>
      <c r="C144" s="14">
        <v>46132.894837962966</v>
      </c>
      <c r="D144" s="187" t="s">
        <v>97</v>
      </c>
      <c r="E144" s="188" t="s">
        <v>473</v>
      </c>
      <c r="F144" s="189"/>
      <c r="G144" s="187" t="s">
        <v>8662</v>
      </c>
      <c r="H144" s="204"/>
      <c r="I144" s="204"/>
      <c r="J144" s="196" t="s">
        <v>6469</v>
      </c>
      <c r="K144" s="196"/>
      <c r="L144" s="192" t="str">
        <f>IFERROR(__xludf.DUMMYFUNCTION("IF(
  AND(D144=""Saída"", J144=""Sangria""),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197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94">
        <f>IFERROR(__xludf.DUMMYFUNCTION("ifna(VALUE(REGEXEXTRACT(E144,""[0-9.]+[,]+[0-9]+"")))"),84.0)</f>
        <v>84</v>
      </c>
      <c r="O144" s="254"/>
      <c r="P144" s="255"/>
      <c r="Q144" s="254"/>
      <c r="R144" s="256"/>
      <c r="S144" s="292"/>
      <c r="V144" s="254"/>
      <c r="W144" s="194"/>
    </row>
    <row r="145" ht="14.25" customHeight="1">
      <c r="A145" s="186"/>
      <c r="B145" s="13">
        <v>2140931.0</v>
      </c>
      <c r="C145" s="14">
        <v>46133.89630787037</v>
      </c>
      <c r="D145" s="187" t="s">
        <v>97</v>
      </c>
      <c r="E145" s="188" t="s">
        <v>317</v>
      </c>
      <c r="F145" s="189"/>
      <c r="G145" s="187" t="s">
        <v>8663</v>
      </c>
      <c r="H145" s="204"/>
      <c r="I145" s="204"/>
      <c r="J145" s="196" t="s">
        <v>6469</v>
      </c>
      <c r="K145" s="196"/>
      <c r="L145" s="192" t="str">
        <f>IFERROR(__xludf.DUMMYFUNCTION("IF(
  AND(D145=""Saída"", J145=""Sangria""),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198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94">
        <f>IFERROR(__xludf.DUMMYFUNCTION("ifna(VALUE(REGEXEXTRACT(E145,""[0-9.]+[,]+[0-9]+"")))"),32.0)</f>
        <v>32</v>
      </c>
      <c r="O145" s="258"/>
      <c r="P145" s="259"/>
      <c r="Q145" s="258"/>
      <c r="R145" s="260"/>
      <c r="S145" s="291"/>
      <c r="V145" s="258"/>
      <c r="W145" s="194"/>
    </row>
    <row r="146" ht="14.25" customHeight="1">
      <c r="A146" s="186"/>
      <c r="B146" s="13">
        <v>2140937.0</v>
      </c>
      <c r="C146" s="14">
        <v>46133.89712962963</v>
      </c>
      <c r="D146" s="187" t="s">
        <v>97</v>
      </c>
      <c r="E146" s="188" t="s">
        <v>8347</v>
      </c>
      <c r="F146" s="189"/>
      <c r="G146" s="187" t="s">
        <v>8664</v>
      </c>
      <c r="H146" s="204"/>
      <c r="I146" s="204"/>
      <c r="J146" s="196" t="s">
        <v>6469</v>
      </c>
      <c r="K146" s="196"/>
      <c r="L146" s="192" t="str">
        <f>IFERROR(__xludf.DUMMYFUNCTION("IF(
  AND(D146=""Saída"", J146=""Sangria""),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197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94">
        <f>IFERROR(__xludf.DUMMYFUNCTION("ifna(VALUE(REGEXEXTRACT(E146,""[0-9.]+[,]+[0-9]+"")))"),40.0)</f>
        <v>40</v>
      </c>
      <c r="O146" s="254"/>
      <c r="P146" s="255"/>
      <c r="Q146" s="254"/>
      <c r="R146" s="256"/>
      <c r="S146" s="292"/>
      <c r="V146" s="254"/>
      <c r="W146" s="194"/>
    </row>
    <row r="147" ht="14.25" customHeight="1">
      <c r="A147" s="186"/>
      <c r="B147" s="13">
        <v>2140942.0</v>
      </c>
      <c r="C147" s="14">
        <v>46133.89776620371</v>
      </c>
      <c r="D147" s="187" t="s">
        <v>97</v>
      </c>
      <c r="E147" s="188" t="s">
        <v>6561</v>
      </c>
      <c r="F147" s="189"/>
      <c r="G147" s="187" t="s">
        <v>8665</v>
      </c>
      <c r="H147" s="204"/>
      <c r="I147" s="204"/>
      <c r="J147" s="196" t="s">
        <v>6469</v>
      </c>
      <c r="K147" s="196"/>
      <c r="L147" s="192" t="str">
        <f>IFERROR(__xludf.DUMMYFUNCTION("IF(
  AND(D147=""Saída"", J147=""Sangria""),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198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94">
        <f>IFERROR(__xludf.DUMMYFUNCTION("ifna(VALUE(REGEXEXTRACT(E147,""[0-9.]+[,]+[0-9]+"")))"),123.0)</f>
        <v>123</v>
      </c>
      <c r="O147" s="258"/>
      <c r="P147" s="259"/>
      <c r="Q147" s="258"/>
      <c r="R147" s="260"/>
      <c r="S147" s="291"/>
      <c r="V147" s="258"/>
      <c r="W147" s="194"/>
    </row>
    <row r="148" ht="14.25" customHeight="1">
      <c r="A148" s="186"/>
      <c r="B148" s="13">
        <v>2140945.0</v>
      </c>
      <c r="C148" s="14">
        <v>46133.898356481484</v>
      </c>
      <c r="D148" s="187" t="s">
        <v>97</v>
      </c>
      <c r="E148" s="188" t="s">
        <v>8613</v>
      </c>
      <c r="F148" s="189"/>
      <c r="G148" s="187" t="s">
        <v>8666</v>
      </c>
      <c r="H148" s="204"/>
      <c r="I148" s="204"/>
      <c r="J148" s="196" t="s">
        <v>6469</v>
      </c>
      <c r="K148" s="196"/>
      <c r="L148" s="192" t="str">
        <f>IFERROR(__xludf.DUMMYFUNCTION("IF(
  AND(D148=""Saída"", J148=""Sangria""),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197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94">
        <f>IFERROR(__xludf.DUMMYFUNCTION("ifna(VALUE(REGEXEXTRACT(E148,""[0-9.]+[,]+[0-9]+"")))"),143.0)</f>
        <v>143</v>
      </c>
      <c r="O148" s="254"/>
      <c r="P148" s="255"/>
      <c r="Q148" s="254"/>
      <c r="R148" s="256"/>
      <c r="S148" s="292"/>
      <c r="V148" s="254"/>
      <c r="W148" s="194"/>
    </row>
    <row r="149" ht="14.25" customHeight="1">
      <c r="A149" s="186"/>
      <c r="B149" s="13">
        <v>2140961.0</v>
      </c>
      <c r="C149" s="14">
        <v>46133.899826388886</v>
      </c>
      <c r="D149" s="187" t="s">
        <v>97</v>
      </c>
      <c r="E149" s="188" t="s">
        <v>462</v>
      </c>
      <c r="F149" s="189"/>
      <c r="G149" s="187" t="s">
        <v>858</v>
      </c>
      <c r="H149" s="204"/>
      <c r="I149" s="204"/>
      <c r="J149" s="196" t="s">
        <v>6544</v>
      </c>
      <c r="K149" s="196" t="s">
        <v>5991</v>
      </c>
      <c r="L149" s="192" t="str">
        <f>IFERROR(__xludf.DUMMYFUNCTION("IF(
  AND(D149=""Saída"", J149=""Sangria""),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"),"Confirmada")</f>
        <v>Confirmada</v>
      </c>
      <c r="M149" s="198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94">
        <f>IFERROR(__xludf.DUMMYFUNCTION("ifna(VALUE(REGEXEXTRACT(E149,""[0-9.]+[,]+[0-9]+"")))"),700.0)</f>
        <v>700</v>
      </c>
      <c r="O149" s="258"/>
      <c r="P149" s="259"/>
      <c r="Q149" s="258"/>
      <c r="R149" s="260"/>
      <c r="S149" s="291"/>
      <c r="V149" s="258"/>
      <c r="W149" s="194"/>
    </row>
    <row r="150" ht="14.25" customHeight="1">
      <c r="A150" s="186"/>
      <c r="B150" s="13">
        <v>2142427.0</v>
      </c>
      <c r="C150" s="14">
        <v>46134.720185185186</v>
      </c>
      <c r="D150" s="187" t="s">
        <v>97</v>
      </c>
      <c r="E150" s="188" t="s">
        <v>8667</v>
      </c>
      <c r="F150" s="189"/>
      <c r="G150" s="187" t="s">
        <v>8668</v>
      </c>
      <c r="H150" s="204"/>
      <c r="I150" s="204"/>
      <c r="J150" s="196" t="s">
        <v>6446</v>
      </c>
      <c r="K150" s="196"/>
      <c r="L150" s="192" t="str">
        <f>IFERROR(__xludf.DUMMYFUNCTION("IF(
  AND(D150=""Saída"", J150=""Sangria""),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197" t="str">
        <f>IFERROR(__xludf.DUMMYFUNCTION("IF(J150=""Compra de Mercadorias"",
   IF(
      COUNTIF(ARRAYFORMULA(TRIM(CLEAN(TO_TEXT(Notas!BS:BS)))), TRIM(CLEAN(TO_TEXT(B150)))) &gt; 0,
      ""Encontrada"",
      ""Não Encontrada""
   ),
"""")"),"Encontrada")</f>
        <v>Encontrada</v>
      </c>
      <c r="N150" s="194">
        <f>IFERROR(__xludf.DUMMYFUNCTION("ifna(VALUE(REGEXEXTRACT(E150,""[0-9.]+[,]+[0-9]+"")))"),13.02)</f>
        <v>13.02</v>
      </c>
      <c r="O150" s="254"/>
      <c r="P150" s="255"/>
      <c r="Q150" s="254"/>
      <c r="R150" s="256"/>
      <c r="S150" s="292"/>
      <c r="V150" s="254"/>
      <c r="W150" s="194"/>
    </row>
    <row r="151" ht="14.25" customHeight="1">
      <c r="A151" s="186"/>
      <c r="B151" s="13">
        <v>2142431.0</v>
      </c>
      <c r="C151" s="14">
        <v>46134.72094907407</v>
      </c>
      <c r="D151" s="187" t="s">
        <v>97</v>
      </c>
      <c r="E151" s="188" t="s">
        <v>8669</v>
      </c>
      <c r="F151" s="189"/>
      <c r="G151" s="187" t="s">
        <v>8670</v>
      </c>
      <c r="H151" s="204"/>
      <c r="I151" s="204"/>
      <c r="J151" s="196" t="s">
        <v>6446</v>
      </c>
      <c r="K151" s="196"/>
      <c r="L151" s="192" t="str">
        <f>IFERROR(__xludf.DUMMYFUNCTION("IF(
  AND(D151=""Saída"", J151=""Sangria""),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198" t="str">
        <f>IFERROR(__xludf.DUMMYFUNCTION("IF(J151=""Compra de Mercadorias"",
   IF(
      COUNTIF(ARRAYFORMULA(TRIM(CLEAN(TO_TEXT(Notas!BS:BS)))), TRIM(CLEAN(TO_TEXT(B151)))) &gt; 0,
      ""Encontrada"",
      ""Não Encontrada""
   ),
"""")"),"Encontrada")</f>
        <v>Encontrada</v>
      </c>
      <c r="N151" s="194">
        <f>IFERROR(__xludf.DUMMYFUNCTION("ifna(VALUE(REGEXEXTRACT(E151,""[0-9.]+[,]+[0-9]+"")))"),78.73)</f>
        <v>78.73</v>
      </c>
      <c r="O151" s="258"/>
      <c r="P151" s="259"/>
      <c r="Q151" s="258"/>
      <c r="R151" s="260"/>
      <c r="S151" s="258"/>
      <c r="V151" s="258"/>
      <c r="W151" s="194"/>
    </row>
    <row r="152" ht="14.25" customHeight="1">
      <c r="A152" s="186"/>
      <c r="B152" s="13">
        <v>2142680.0</v>
      </c>
      <c r="C152" s="14">
        <v>46134.78839120371</v>
      </c>
      <c r="D152" s="187" t="s">
        <v>97</v>
      </c>
      <c r="E152" s="188" t="s">
        <v>156</v>
      </c>
      <c r="F152" s="189"/>
      <c r="G152" s="187" t="s">
        <v>151</v>
      </c>
      <c r="H152" s="204"/>
      <c r="I152" s="204"/>
      <c r="J152" s="196" t="s">
        <v>6080</v>
      </c>
      <c r="K152" s="196" t="s">
        <v>6111</v>
      </c>
      <c r="L152" s="192" t="str">
        <f>IFERROR(__xludf.DUMMYFUNCTION("IF(
  AND(D152=""Saída"", J152=""Sangria""),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197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94">
        <f>IFERROR(__xludf.DUMMYFUNCTION("ifna(VALUE(REGEXEXTRACT(E152,""[0-9.]+[,]+[0-9]+"")))"),17.86)</f>
        <v>17.86</v>
      </c>
      <c r="O152" s="254"/>
      <c r="P152" s="255"/>
      <c r="Q152" s="254"/>
      <c r="R152" s="256"/>
      <c r="S152" s="254"/>
      <c r="V152" s="254"/>
      <c r="W152" s="194"/>
    </row>
    <row r="153" ht="14.25" customHeight="1">
      <c r="A153" s="186"/>
      <c r="B153" s="13">
        <v>2143007.0</v>
      </c>
      <c r="C153" s="14">
        <v>46134.89795138889</v>
      </c>
      <c r="D153" s="187" t="s">
        <v>97</v>
      </c>
      <c r="E153" s="188" t="s">
        <v>650</v>
      </c>
      <c r="F153" s="200"/>
      <c r="G153" s="187" t="s">
        <v>8671</v>
      </c>
      <c r="H153" s="204"/>
      <c r="I153" s="204"/>
      <c r="J153" s="196" t="s">
        <v>6469</v>
      </c>
      <c r="K153" s="196"/>
      <c r="L153" s="192" t="str">
        <f>IFERROR(__xludf.DUMMYFUNCTION("IF(
  AND(D153=""Saída"", J153=""Sangria""),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198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94">
        <f>IFERROR(__xludf.DUMMYFUNCTION("ifna(VALUE(REGEXEXTRACT(E153,""[0-9.]+[,]+[0-9]+"")))"),78.0)</f>
        <v>78</v>
      </c>
      <c r="O153" s="258"/>
      <c r="P153" s="259"/>
      <c r="Q153" s="258"/>
      <c r="R153" s="260"/>
      <c r="S153" s="258"/>
      <c r="V153" s="258"/>
      <c r="W153" s="194"/>
    </row>
    <row r="154" ht="14.25" customHeight="1">
      <c r="A154" s="186"/>
      <c r="B154" s="13">
        <v>2144549.0</v>
      </c>
      <c r="C154" s="14">
        <v>46135.88484953704</v>
      </c>
      <c r="D154" s="187" t="s">
        <v>97</v>
      </c>
      <c r="E154" s="188" t="s">
        <v>8594</v>
      </c>
      <c r="F154" s="189"/>
      <c r="G154" s="187" t="s">
        <v>8672</v>
      </c>
      <c r="H154" s="204"/>
      <c r="I154" s="204"/>
      <c r="J154" s="196" t="s">
        <v>6469</v>
      </c>
      <c r="K154" s="196"/>
      <c r="L154" s="192" t="str">
        <f>IFERROR(__xludf.DUMMYFUNCTION("IF(
  AND(D154=""Saída"", J154=""Sangria""),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197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94">
        <f>IFERROR(__xludf.DUMMYFUNCTION("ifna(VALUE(REGEXEXTRACT(E154,""[0-9.]+[,]+[0-9]+"")))"),58.0)</f>
        <v>58</v>
      </c>
      <c r="O154" s="254"/>
      <c r="P154" s="255"/>
      <c r="Q154" s="254"/>
      <c r="R154" s="256"/>
      <c r="S154" s="254"/>
      <c r="V154" s="254"/>
      <c r="W154" s="194"/>
    </row>
    <row r="155" ht="14.25" customHeight="1">
      <c r="A155" s="186"/>
      <c r="B155" s="13">
        <v>2144557.0</v>
      </c>
      <c r="C155" s="14">
        <v>46135.8859375</v>
      </c>
      <c r="D155" s="187" t="s">
        <v>97</v>
      </c>
      <c r="E155" s="188" t="s">
        <v>8673</v>
      </c>
      <c r="F155" s="189"/>
      <c r="G155" s="187" t="s">
        <v>8674</v>
      </c>
      <c r="H155" s="204"/>
      <c r="I155" s="204"/>
      <c r="J155" s="196" t="s">
        <v>6446</v>
      </c>
      <c r="K155" s="196"/>
      <c r="L155" s="192" t="str">
        <f>IFERROR(__xludf.DUMMYFUNCTION("IF(
  AND(D155=""Saída"", J155=""Sangria""),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198" t="str">
        <f>IFERROR(__xludf.DUMMYFUNCTION("IF(J155=""Compra de Mercadorias"",
   IF(
      COUNTIF(ARRAYFORMULA(TRIM(CLEAN(TO_TEXT(Notas!BS:BS)))), TRIM(CLEAN(TO_TEXT(B155)))) &gt; 0,
      ""Encontrada"",
      ""Não Encontrada""
   ),
"""")"),"Encontrada")</f>
        <v>Encontrada</v>
      </c>
      <c r="N155" s="194">
        <f>IFERROR(__xludf.DUMMYFUNCTION("ifna(VALUE(REGEXEXTRACT(E155,""[0-9.]+[,]+[0-9]+"")))"),180.0)</f>
        <v>180</v>
      </c>
      <c r="O155" s="258"/>
      <c r="P155" s="259"/>
      <c r="Q155" s="258"/>
      <c r="R155" s="260"/>
      <c r="S155" s="258"/>
      <c r="V155" s="258"/>
      <c r="W155" s="194"/>
    </row>
    <row r="156" ht="14.25" customHeight="1">
      <c r="A156" s="186"/>
      <c r="B156" s="13">
        <v>2144610.0</v>
      </c>
      <c r="C156" s="14">
        <v>46135.89394675926</v>
      </c>
      <c r="D156" s="187" t="s">
        <v>97</v>
      </c>
      <c r="E156" s="188" t="s">
        <v>8372</v>
      </c>
      <c r="F156" s="189"/>
      <c r="G156" s="187" t="s">
        <v>151</v>
      </c>
      <c r="H156" s="204"/>
      <c r="I156" s="204"/>
      <c r="J156" s="196" t="s">
        <v>6080</v>
      </c>
      <c r="K156" s="196" t="s">
        <v>6111</v>
      </c>
      <c r="L156" s="192" t="str">
        <f>IFERROR(__xludf.DUMMYFUNCTION("IF(
  AND(D156=""Saída"", J156=""Sangria""),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197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94">
        <f>IFERROR(__xludf.DUMMYFUNCTION("ifna(VALUE(REGEXEXTRACT(E156,""[0-9.]+[,]+[0-9]+"")))"),12.08)</f>
        <v>12.08</v>
      </c>
      <c r="O156" s="254"/>
      <c r="P156" s="255"/>
      <c r="Q156" s="254"/>
      <c r="R156" s="256"/>
      <c r="S156" s="254"/>
      <c r="V156" s="254"/>
      <c r="W156" s="194"/>
    </row>
    <row r="157" ht="14.25" customHeight="1">
      <c r="A157" s="186"/>
      <c r="B157" s="13">
        <v>2145391.0</v>
      </c>
      <c r="C157" s="14">
        <v>46136.591574074075</v>
      </c>
      <c r="D157" s="187" t="s">
        <v>97</v>
      </c>
      <c r="E157" s="188" t="s">
        <v>8675</v>
      </c>
      <c r="F157" s="189"/>
      <c r="G157" s="187" t="s">
        <v>8676</v>
      </c>
      <c r="H157" s="204"/>
      <c r="I157" s="204"/>
      <c r="J157" s="196" t="s">
        <v>6446</v>
      </c>
      <c r="K157" s="196"/>
      <c r="L157" s="192" t="str">
        <f>IFERROR(__xludf.DUMMYFUNCTION("IF(
  AND(D157=""Saída"", J157=""Sangria""),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198" t="str">
        <f>IFERROR(__xludf.DUMMYFUNCTION("IF(J157=""Compra de Mercadorias"",
   IF(
      COUNTIF(ARRAYFORMULA(TRIM(CLEAN(TO_TEXT(Notas!BS:BS)))), TRIM(CLEAN(TO_TEXT(B157)))) &gt; 0,
      ""Encontrada"",
      ""Não Encontrada""
   ),
"""")"),"Encontrada")</f>
        <v>Encontrada</v>
      </c>
      <c r="N157" s="194">
        <f>IFERROR(__xludf.DUMMYFUNCTION("ifna(VALUE(REGEXEXTRACT(E157,""[0-9.]+[,]+[0-9]+"")))"),259.3)</f>
        <v>259.3</v>
      </c>
      <c r="O157" s="258"/>
      <c r="P157" s="259"/>
      <c r="Q157" s="258"/>
      <c r="R157" s="260"/>
      <c r="S157" s="258"/>
      <c r="V157" s="258"/>
      <c r="W157" s="194"/>
    </row>
    <row r="158" ht="14.25" customHeight="1">
      <c r="A158" s="186"/>
      <c r="B158" s="13">
        <v>2145652.0</v>
      </c>
      <c r="C158" s="14">
        <v>46136.67513888889</v>
      </c>
      <c r="D158" s="187" t="s">
        <v>97</v>
      </c>
      <c r="E158" s="188" t="s">
        <v>8677</v>
      </c>
      <c r="F158" s="189"/>
      <c r="G158" s="187" t="s">
        <v>8678</v>
      </c>
      <c r="H158" s="204"/>
      <c r="I158" s="204"/>
      <c r="J158" s="196" t="s">
        <v>6446</v>
      </c>
      <c r="K158" s="196"/>
      <c r="L158" s="192" t="str">
        <f>IFERROR(__xludf.DUMMYFUNCTION("IF(
  AND(D158=""Saída"", J158=""Sangria""),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197" t="str">
        <f>IFERROR(__xludf.DUMMYFUNCTION("IF(J158=""Compra de Mercadorias"",
   IF(
      COUNTIF(ARRAYFORMULA(TRIM(CLEAN(TO_TEXT(Notas!BS:BS)))), TRIM(CLEAN(TO_TEXT(B158)))) &gt; 0,
      ""Encontrada"",
      ""Não Encontrada""
   ),
"""")"),"Encontrada")</f>
        <v>Encontrada</v>
      </c>
      <c r="N158" s="194">
        <f>IFERROR(__xludf.DUMMYFUNCTION("ifna(VALUE(REGEXEXTRACT(E158,""[0-9.]+[,]+[0-9]+"")))"),41.69)</f>
        <v>41.69</v>
      </c>
      <c r="O158" s="254"/>
      <c r="P158" s="255"/>
      <c r="Q158" s="254"/>
      <c r="R158" s="256"/>
      <c r="S158" s="254"/>
      <c r="V158" s="254"/>
      <c r="W158" s="194"/>
    </row>
    <row r="159" ht="14.25" customHeight="1">
      <c r="A159" s="186"/>
      <c r="B159" s="13">
        <v>2146039.0</v>
      </c>
      <c r="C159" s="14">
        <v>46136.7646875</v>
      </c>
      <c r="D159" s="187" t="s">
        <v>97</v>
      </c>
      <c r="E159" s="188" t="s">
        <v>7689</v>
      </c>
      <c r="F159" s="189"/>
      <c r="G159" s="187" t="s">
        <v>8679</v>
      </c>
      <c r="H159" s="204"/>
      <c r="I159" s="204"/>
      <c r="J159" s="196" t="s">
        <v>6469</v>
      </c>
      <c r="K159" s="196"/>
      <c r="L159" s="192" t="str">
        <f>IFERROR(__xludf.DUMMYFUNCTION("IF(
  AND(D159=""Saída"", J159=""Sangria""),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198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94">
        <f>IFERROR(__xludf.DUMMYFUNCTION("ifna(VALUE(REGEXEXTRACT(E159,""[0-9.]+[,]+[0-9]+"")))"),52.0)</f>
        <v>52</v>
      </c>
      <c r="O159" s="258"/>
      <c r="P159" s="259"/>
      <c r="Q159" s="258"/>
      <c r="R159" s="260"/>
      <c r="S159" s="258"/>
      <c r="V159" s="258"/>
      <c r="W159" s="194"/>
    </row>
    <row r="160" ht="14.25" customHeight="1">
      <c r="A160" s="186"/>
      <c r="B160" s="13">
        <v>2146042.0</v>
      </c>
      <c r="C160" s="14">
        <v>46136.76515046296</v>
      </c>
      <c r="D160" s="187" t="s">
        <v>97</v>
      </c>
      <c r="E160" s="188" t="s">
        <v>7689</v>
      </c>
      <c r="F160" s="189"/>
      <c r="G160" s="187" t="s">
        <v>8680</v>
      </c>
      <c r="H160" s="204"/>
      <c r="I160" s="204"/>
      <c r="J160" s="196" t="s">
        <v>6469</v>
      </c>
      <c r="K160" s="196"/>
      <c r="L160" s="192" t="str">
        <f>IFERROR(__xludf.DUMMYFUNCTION("IF(
  AND(D160=""Saída"", J160=""Sangria""),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197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94">
        <f>IFERROR(__xludf.DUMMYFUNCTION("ifna(VALUE(REGEXEXTRACT(E160,""[0-9.]+[,]+[0-9]+"")))"),52.0)</f>
        <v>52</v>
      </c>
      <c r="O160" s="254"/>
      <c r="P160" s="255"/>
      <c r="Q160" s="254"/>
      <c r="R160" s="256"/>
      <c r="S160" s="254"/>
      <c r="V160" s="254"/>
      <c r="W160" s="194"/>
    </row>
    <row r="161" ht="14.25" customHeight="1">
      <c r="A161" s="186"/>
      <c r="B161" s="13">
        <v>2146179.0</v>
      </c>
      <c r="C161" s="14">
        <v>46136.80795138889</v>
      </c>
      <c r="D161" s="187" t="s">
        <v>97</v>
      </c>
      <c r="E161" s="188" t="s">
        <v>8613</v>
      </c>
      <c r="F161" s="189"/>
      <c r="G161" s="187" t="s">
        <v>8681</v>
      </c>
      <c r="H161" s="204"/>
      <c r="I161" s="204"/>
      <c r="J161" s="196" t="s">
        <v>6469</v>
      </c>
      <c r="K161" s="196"/>
      <c r="L161" s="192" t="str">
        <f>IFERROR(__xludf.DUMMYFUNCTION("IF(
  AND(D161=""Saída"", J161=""Sangria""),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198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94">
        <f>IFERROR(__xludf.DUMMYFUNCTION("ifna(VALUE(REGEXEXTRACT(E161,""[0-9.]+[,]+[0-9]+"")))"),143.0)</f>
        <v>143</v>
      </c>
      <c r="O161" s="258"/>
      <c r="P161" s="262"/>
      <c r="Q161" s="258"/>
      <c r="R161" s="260"/>
      <c r="S161" s="258"/>
      <c r="V161" s="258"/>
      <c r="W161" s="194"/>
    </row>
    <row r="162" ht="14.25" customHeight="1">
      <c r="A162" s="186"/>
      <c r="B162" s="13">
        <v>2148087.0</v>
      </c>
      <c r="C162" s="14">
        <v>46137.81377314815</v>
      </c>
      <c r="D162" s="187" t="s">
        <v>97</v>
      </c>
      <c r="E162" s="188" t="s">
        <v>8682</v>
      </c>
      <c r="F162" s="189"/>
      <c r="G162" s="187" t="s">
        <v>8683</v>
      </c>
      <c r="H162" s="204"/>
      <c r="I162" s="204"/>
      <c r="J162" s="196" t="s">
        <v>6446</v>
      </c>
      <c r="K162" s="196"/>
      <c r="L162" s="192" t="str">
        <f>IFERROR(__xludf.DUMMYFUNCTION("IF(
  AND(D162=""Saída"", J162=""Sangria""),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197" t="str">
        <f>IFERROR(__xludf.DUMMYFUNCTION("IF(J162=""Compra de Mercadorias"",
   IF(
      COUNTIF(ARRAYFORMULA(TRIM(CLEAN(TO_TEXT(Notas!BS:BS)))), TRIM(CLEAN(TO_TEXT(B162)))) &gt; 0,
      ""Encontrada"",
      ""Não Encontrada""
   ),
"""")"),"Encontrada")</f>
        <v>Encontrada</v>
      </c>
      <c r="N162" s="194">
        <f>IFERROR(__xludf.DUMMYFUNCTION("ifna(VALUE(REGEXEXTRACT(E162,""[0-9.]+[,]+[0-9]+"")))"),300.0)</f>
        <v>300</v>
      </c>
      <c r="O162" s="254"/>
      <c r="P162" s="263"/>
      <c r="Q162" s="254"/>
      <c r="R162" s="256"/>
      <c r="S162" s="254"/>
      <c r="V162" s="254"/>
      <c r="W162" s="194"/>
    </row>
    <row r="163" ht="14.25" customHeight="1">
      <c r="A163" s="186"/>
      <c r="B163" s="13">
        <v>2148120.0</v>
      </c>
      <c r="C163" s="14">
        <v>46137.82263888889</v>
      </c>
      <c r="D163" s="187" t="s">
        <v>97</v>
      </c>
      <c r="E163" s="188" t="s">
        <v>532</v>
      </c>
      <c r="F163" s="189"/>
      <c r="G163" s="187" t="s">
        <v>8684</v>
      </c>
      <c r="H163" s="204"/>
      <c r="I163" s="204"/>
      <c r="J163" s="196" t="s">
        <v>6469</v>
      </c>
      <c r="K163" s="196"/>
      <c r="L163" s="192" t="str">
        <f>IFERROR(__xludf.DUMMYFUNCTION("IF(
  AND(D163=""Saída"", J163=""Sangria""),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198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94">
        <f>IFERROR(__xludf.DUMMYFUNCTION("ifna(VALUE(REGEXEXTRACT(E163,""[0-9.]+[,]+[0-9]+"")))"),65.0)</f>
        <v>65</v>
      </c>
      <c r="O163" s="258"/>
      <c r="P163" s="262"/>
      <c r="Q163" s="258"/>
      <c r="R163" s="260"/>
      <c r="S163" s="258"/>
      <c r="V163" s="258"/>
      <c r="W163" s="194"/>
    </row>
    <row r="164" ht="14.25" customHeight="1">
      <c r="A164" s="186"/>
      <c r="B164" s="13">
        <v>2148437.0</v>
      </c>
      <c r="C164" s="14">
        <v>46137.88775462963</v>
      </c>
      <c r="D164" s="187" t="s">
        <v>97</v>
      </c>
      <c r="E164" s="188" t="s">
        <v>163</v>
      </c>
      <c r="F164" s="189"/>
      <c r="G164" s="187" t="s">
        <v>8685</v>
      </c>
      <c r="H164" s="204"/>
      <c r="I164" s="204"/>
      <c r="J164" s="196"/>
      <c r="K164" s="196"/>
      <c r="L164" s="192" t="str">
        <f>IFERROR(__xludf.DUMMYFUNCTION("IF(
  AND(D164=""Saída"", J164=""Sangria""),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197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94">
        <f>IFERROR(__xludf.DUMMYFUNCTION("ifna(VALUE(REGEXEXTRACT(E164,""[0-9.]+[,]+[0-9]+"")))"),0.01)</f>
        <v>0.01</v>
      </c>
      <c r="O164" s="254"/>
      <c r="P164" s="263"/>
      <c r="Q164" s="254"/>
      <c r="R164" s="256"/>
      <c r="S164" s="254"/>
      <c r="V164" s="254"/>
      <c r="W164" s="194"/>
    </row>
    <row r="165" ht="14.25" customHeight="1">
      <c r="A165" s="186"/>
      <c r="B165" s="13">
        <v>2148442.0</v>
      </c>
      <c r="C165" s="14">
        <v>46137.888877314814</v>
      </c>
      <c r="D165" s="187" t="s">
        <v>97</v>
      </c>
      <c r="E165" s="188" t="s">
        <v>7829</v>
      </c>
      <c r="F165" s="189"/>
      <c r="G165" s="187" t="s">
        <v>8686</v>
      </c>
      <c r="H165" s="204"/>
      <c r="I165" s="204"/>
      <c r="J165" s="196" t="s">
        <v>6469</v>
      </c>
      <c r="K165" s="196"/>
      <c r="L165" s="192" t="str">
        <f>IFERROR(__xludf.DUMMYFUNCTION("IF(
  AND(D165=""Saída"", J165=""Sangria""),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198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94">
        <f>IFERROR(__xludf.DUMMYFUNCTION("ifna(VALUE(REGEXEXTRACT(E165,""[0-9.]+[,]+[0-9]+"")))"),72.0)</f>
        <v>72</v>
      </c>
      <c r="O165" s="264"/>
      <c r="P165" s="262"/>
      <c r="Q165" s="258"/>
      <c r="R165" s="260"/>
      <c r="S165" s="258"/>
      <c r="V165" s="258"/>
      <c r="W165" s="194"/>
    </row>
    <row r="166" ht="14.25" customHeight="1">
      <c r="A166" s="186"/>
      <c r="B166" s="13">
        <v>2148444.0</v>
      </c>
      <c r="C166" s="14">
        <v>46137.889398148145</v>
      </c>
      <c r="D166" s="187" t="s">
        <v>97</v>
      </c>
      <c r="E166" s="188" t="s">
        <v>6561</v>
      </c>
      <c r="F166" s="189"/>
      <c r="G166" s="187" t="s">
        <v>8687</v>
      </c>
      <c r="H166" s="204"/>
      <c r="I166" s="204"/>
      <c r="J166" s="196" t="s">
        <v>6469</v>
      </c>
      <c r="K166" s="196"/>
      <c r="L166" s="192" t="str">
        <f>IFERROR(__xludf.DUMMYFUNCTION("IF(
  AND(D166=""Saída"", J166=""Sangria""),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197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94">
        <f>IFERROR(__xludf.DUMMYFUNCTION("ifna(VALUE(REGEXEXTRACT(E166,""[0-9.]+[,]+[0-9]+"")))"),123.0)</f>
        <v>123</v>
      </c>
      <c r="O166" s="254"/>
      <c r="P166" s="263"/>
      <c r="Q166" s="254"/>
      <c r="R166" s="256"/>
      <c r="S166" s="254"/>
      <c r="V166" s="254"/>
      <c r="W166" s="194"/>
    </row>
    <row r="167" ht="14.25" customHeight="1">
      <c r="A167" s="186"/>
      <c r="B167" s="13"/>
      <c r="C167" s="14"/>
      <c r="D167" s="187"/>
      <c r="E167" s="188"/>
      <c r="F167" s="189"/>
      <c r="G167" s="187"/>
      <c r="H167" s="204"/>
      <c r="I167" s="204"/>
      <c r="J167" s="196"/>
      <c r="K167" s="196"/>
      <c r="L167" s="192" t="str">
        <f>IFERROR(__xludf.DUMMYFUNCTION("IF(
  AND(D167=""Saída"", J167=""Sangria""),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198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94" t="str">
        <f>IFERROR(__xludf.DUMMYFUNCTION("ifna(VALUE(REGEXEXTRACT(E167,""[0-9.]+[,]+[0-9]+"")))"),"")</f>
        <v/>
      </c>
      <c r="O167" s="258"/>
      <c r="P167" s="262"/>
      <c r="Q167" s="258"/>
      <c r="R167" s="260"/>
      <c r="S167" s="258"/>
      <c r="V167" s="258"/>
      <c r="W167" s="194"/>
    </row>
    <row r="168" ht="14.25" customHeight="1">
      <c r="A168" s="186"/>
      <c r="B168" s="13"/>
      <c r="C168" s="14"/>
      <c r="D168" s="187"/>
      <c r="E168" s="188"/>
      <c r="F168" s="189"/>
      <c r="G168" s="187"/>
      <c r="H168" s="204"/>
      <c r="I168" s="204"/>
      <c r="J168" s="196"/>
      <c r="K168" s="196"/>
      <c r="L168" s="192" t="str">
        <f>IFERROR(__xludf.DUMMYFUNCTION("IF(
  AND(D168=""Saída"", J168=""Sangria""),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197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94" t="str">
        <f>IFERROR(__xludf.DUMMYFUNCTION("ifna(VALUE(REGEXEXTRACT(E168,""[0-9.]+[,]+[0-9]+"")))"),"")</f>
        <v/>
      </c>
      <c r="O168" s="254"/>
      <c r="P168" s="263"/>
      <c r="Q168" s="254"/>
      <c r="R168" s="256"/>
      <c r="S168" s="254"/>
      <c r="V168" s="254"/>
      <c r="W168" s="194"/>
    </row>
    <row r="169" ht="14.25" customHeight="1">
      <c r="A169" s="186"/>
      <c r="B169" s="13"/>
      <c r="C169" s="14"/>
      <c r="D169" s="187"/>
      <c r="E169" s="188"/>
      <c r="F169" s="189"/>
      <c r="G169" s="187"/>
      <c r="H169" s="204"/>
      <c r="I169" s="204"/>
      <c r="J169" s="196"/>
      <c r="K169" s="196"/>
      <c r="L169" s="192" t="str">
        <f>IFERROR(__xludf.DUMMYFUNCTION("IF(
  AND(D169=""Saída"", J169=""Sangria""),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198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94" t="str">
        <f>IFERROR(__xludf.DUMMYFUNCTION("ifna(VALUE(REGEXEXTRACT(E169,""[0-9.]+[,]+[0-9]+"")))"),"")</f>
        <v/>
      </c>
      <c r="O169" s="258"/>
      <c r="P169" s="262"/>
      <c r="Q169" s="258"/>
      <c r="R169" s="258"/>
      <c r="S169" s="258"/>
      <c r="V169" s="258"/>
      <c r="W169" s="194"/>
    </row>
    <row r="170" ht="14.25" customHeight="1">
      <c r="A170" s="186"/>
      <c r="B170" s="13"/>
      <c r="C170" s="14"/>
      <c r="D170" s="187"/>
      <c r="E170" s="188"/>
      <c r="F170" s="189"/>
      <c r="G170" s="187"/>
      <c r="H170" s="204"/>
      <c r="I170" s="204"/>
      <c r="J170" s="196"/>
      <c r="K170" s="196"/>
      <c r="L170" s="192" t="str">
        <f>IFERROR(__xludf.DUMMYFUNCTION("IF(
  AND(D170=""Saída"", J170=""Sangria""),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197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94" t="str">
        <f>IFERROR(__xludf.DUMMYFUNCTION("ifna(VALUE(REGEXEXTRACT(E170,""[0-9.]+[,]+[0-9]+"")))"),"")</f>
        <v/>
      </c>
      <c r="O170" s="254"/>
      <c r="P170" s="263"/>
      <c r="Q170" s="254"/>
      <c r="R170" s="254"/>
      <c r="S170" s="254"/>
      <c r="V170" s="254"/>
      <c r="W170" s="194"/>
    </row>
    <row r="171" ht="14.25" customHeight="1">
      <c r="A171" s="186"/>
      <c r="B171" s="13"/>
      <c r="C171" s="14"/>
      <c r="D171" s="187"/>
      <c r="E171" s="188"/>
      <c r="F171" s="189"/>
      <c r="G171" s="187"/>
      <c r="H171" s="204"/>
      <c r="I171" s="204"/>
      <c r="J171" s="196"/>
      <c r="K171" s="196"/>
      <c r="L171" s="192" t="str">
        <f>IFERROR(__xludf.DUMMYFUNCTION("IF(
  AND(D171=""Saída"", J171=""Sangria""),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198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94" t="str">
        <f>IFERROR(__xludf.DUMMYFUNCTION("ifna(VALUE(REGEXEXTRACT(E171,""[0-9.]+[,]+[0-9]+"")))"),"")</f>
        <v/>
      </c>
      <c r="O171" s="258"/>
      <c r="P171" s="262"/>
      <c r="Q171" s="258"/>
      <c r="R171" s="258"/>
      <c r="S171" s="258"/>
      <c r="V171" s="258"/>
      <c r="W171" s="194"/>
    </row>
    <row r="172" ht="14.25" customHeight="1">
      <c r="A172" s="186"/>
      <c r="B172" s="13"/>
      <c r="C172" s="14"/>
      <c r="D172" s="187"/>
      <c r="E172" s="188"/>
      <c r="F172" s="200"/>
      <c r="G172" s="187"/>
      <c r="H172" s="204"/>
      <c r="I172" s="204"/>
      <c r="J172" s="196"/>
      <c r="K172" s="196"/>
      <c r="L172" s="192" t="str">
        <f>IFERROR(__xludf.DUMMYFUNCTION("IF(
  AND(D172=""Saída"", J172=""Sangria""),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197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94" t="str">
        <f>IFERROR(__xludf.DUMMYFUNCTION("ifna(VALUE(REGEXEXTRACT(E172,""[0-9.]+[,]+[0-9]+"")))"),"")</f>
        <v/>
      </c>
      <c r="O172" s="254"/>
      <c r="P172" s="263"/>
      <c r="Q172" s="254"/>
      <c r="R172" s="254"/>
      <c r="S172" s="254"/>
      <c r="V172" s="254"/>
      <c r="W172" s="194"/>
    </row>
    <row r="173" ht="14.25" customHeight="1">
      <c r="A173" s="186"/>
      <c r="B173" s="13"/>
      <c r="C173" s="14"/>
      <c r="D173" s="187"/>
      <c r="E173" s="188"/>
      <c r="F173" s="189"/>
      <c r="G173" s="187"/>
      <c r="H173" s="204"/>
      <c r="I173" s="204"/>
      <c r="J173" s="196"/>
      <c r="K173" s="196"/>
      <c r="L173" s="192" t="str">
        <f>IFERROR(__xludf.DUMMYFUNCTION("IF(
  AND(D173=""Saída"", J173=""Sangria""),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198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94" t="str">
        <f>IFERROR(__xludf.DUMMYFUNCTION("ifna(VALUE(REGEXEXTRACT(E173,""[0-9.]+[,]+[0-9]+"")))"),"")</f>
        <v/>
      </c>
      <c r="O173" s="258"/>
      <c r="P173" s="265"/>
      <c r="Q173" s="258"/>
      <c r="R173" s="258"/>
      <c r="S173" s="258"/>
      <c r="V173" s="258"/>
      <c r="W173" s="194"/>
    </row>
    <row r="174" ht="14.25" customHeight="1">
      <c r="A174" s="186"/>
      <c r="B174" s="13"/>
      <c r="C174" s="14"/>
      <c r="D174" s="187"/>
      <c r="E174" s="188"/>
      <c r="F174" s="189"/>
      <c r="G174" s="187"/>
      <c r="H174" s="204"/>
      <c r="I174" s="204"/>
      <c r="J174" s="196"/>
      <c r="K174" s="196"/>
      <c r="L174" s="192" t="str">
        <f>IFERROR(__xludf.DUMMYFUNCTION("IF(
  AND(D174=""Saída"", J174=""Sangria""),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197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94" t="str">
        <f>IFERROR(__xludf.DUMMYFUNCTION("ifna(VALUE(REGEXEXTRACT(E174,""[0-9.]+[,]+[0-9]+"")))"),"")</f>
        <v/>
      </c>
      <c r="O174" s="254"/>
      <c r="P174" s="263"/>
      <c r="Q174" s="254"/>
      <c r="R174" s="254"/>
      <c r="S174" s="254"/>
      <c r="V174" s="254"/>
      <c r="W174" s="194"/>
    </row>
    <row r="175" ht="14.25" customHeight="1">
      <c r="A175" s="186"/>
      <c r="B175" s="13"/>
      <c r="C175" s="14"/>
      <c r="D175" s="187"/>
      <c r="E175" s="188"/>
      <c r="F175" s="200"/>
      <c r="G175" s="187"/>
      <c r="H175" s="204"/>
      <c r="I175" s="204"/>
      <c r="J175" s="196"/>
      <c r="K175" s="196"/>
      <c r="L175" s="192" t="str">
        <f>IFERROR(__xludf.DUMMYFUNCTION("IF(
  AND(D175=""Saída"", J175=""Sangria""),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198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94" t="str">
        <f>IFERROR(__xludf.DUMMYFUNCTION("ifna(VALUE(REGEXEXTRACT(E175,""[0-9.]+[,]+[0-9]+"")))"),"")</f>
        <v/>
      </c>
      <c r="O175" s="258"/>
      <c r="P175" s="262"/>
      <c r="Q175" s="258"/>
      <c r="R175" s="258"/>
      <c r="S175" s="258"/>
      <c r="V175" s="258"/>
      <c r="W175" s="194"/>
    </row>
    <row r="176" ht="14.25" customHeight="1">
      <c r="A176" s="186"/>
      <c r="B176" s="13"/>
      <c r="C176" s="14"/>
      <c r="D176" s="187"/>
      <c r="E176" s="188"/>
      <c r="F176" s="189"/>
      <c r="G176" s="187"/>
      <c r="H176" s="204"/>
      <c r="I176" s="204"/>
      <c r="J176" s="196"/>
      <c r="K176" s="196"/>
      <c r="L176" s="192" t="str">
        <f>IFERROR(__xludf.DUMMYFUNCTION("IF(
  AND(D176=""Saída"", J176=""Sangria""),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197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94" t="str">
        <f>IFERROR(__xludf.DUMMYFUNCTION("ifna(VALUE(REGEXEXTRACT(E176,""[0-9.]+[,]+[0-9]+"")))"),"")</f>
        <v/>
      </c>
      <c r="O176" s="254"/>
      <c r="P176" s="263"/>
      <c r="Q176" s="254"/>
      <c r="R176" s="254"/>
      <c r="S176" s="254"/>
      <c r="V176" s="254"/>
      <c r="W176" s="194"/>
    </row>
    <row r="177" ht="14.25" customHeight="1">
      <c r="A177" s="186"/>
      <c r="B177" s="13"/>
      <c r="C177" s="14"/>
      <c r="D177" s="187"/>
      <c r="E177" s="188"/>
      <c r="F177" s="189"/>
      <c r="G177" s="187"/>
      <c r="H177" s="204"/>
      <c r="I177" s="204"/>
      <c r="K177" s="196"/>
      <c r="L177" s="192" t="str">
        <f>IFERROR(__xludf.DUMMYFUNCTION("IF(
  AND(D177=""Saída"", J177=""Sangria""),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198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94" t="str">
        <f>IFERROR(__xludf.DUMMYFUNCTION("ifna(VALUE(REGEXEXTRACT(E177,""[0-9.]+[,]+[0-9]+"")))"),"")</f>
        <v/>
      </c>
      <c r="O177" s="258"/>
      <c r="P177" s="262"/>
      <c r="Q177" s="258"/>
      <c r="R177" s="258"/>
      <c r="S177" s="258"/>
      <c r="V177" s="258"/>
      <c r="W177" s="194"/>
    </row>
    <row r="178" ht="14.25" customHeight="1">
      <c r="A178" s="186"/>
      <c r="B178" s="13"/>
      <c r="C178" s="14"/>
      <c r="D178" s="187"/>
      <c r="E178" s="188"/>
      <c r="F178" s="189"/>
      <c r="G178" s="187"/>
      <c r="H178" s="204"/>
      <c r="I178" s="204"/>
      <c r="J178" s="196"/>
      <c r="K178" s="196"/>
      <c r="L178" s="192" t="str">
        <f>IFERROR(__xludf.DUMMYFUNCTION("IF(
  AND(D178=""Saída"", J178=""Sangria""),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197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94" t="str">
        <f>IFERROR(__xludf.DUMMYFUNCTION("ifna(VALUE(REGEXEXTRACT(E178,""[0-9.]+[,]+[0-9]+"")))"),"")</f>
        <v/>
      </c>
      <c r="O178" s="254"/>
      <c r="P178" s="263"/>
      <c r="Q178" s="254"/>
      <c r="R178" s="254"/>
      <c r="S178" s="254"/>
      <c r="V178" s="254"/>
      <c r="W178" s="194"/>
    </row>
    <row r="179" ht="14.25" customHeight="1">
      <c r="A179" s="186"/>
      <c r="B179" s="13"/>
      <c r="C179" s="14"/>
      <c r="D179" s="187"/>
      <c r="E179" s="188"/>
      <c r="F179" s="200"/>
      <c r="G179" s="187"/>
      <c r="H179" s="204"/>
      <c r="I179" s="204"/>
      <c r="J179" s="196"/>
      <c r="K179" s="196"/>
      <c r="L179" s="192" t="str">
        <f>IFERROR(__xludf.DUMMYFUNCTION("IF(
  AND(D179=""Saída"", J179=""Sangria""),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198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94" t="str">
        <f>IFERROR(__xludf.DUMMYFUNCTION("ifna(VALUE(REGEXEXTRACT(E179,""[0-9.]+[,]+[0-9]+"")))"),"")</f>
        <v/>
      </c>
      <c r="O179" s="258"/>
      <c r="P179" s="262"/>
      <c r="Q179" s="258"/>
      <c r="R179" s="258"/>
      <c r="S179" s="258"/>
      <c r="V179" s="258"/>
      <c r="W179" s="194"/>
    </row>
    <row r="180" ht="14.25" customHeight="1">
      <c r="A180" s="186"/>
      <c r="B180" s="13"/>
      <c r="C180" s="14"/>
      <c r="D180" s="187"/>
      <c r="E180" s="188"/>
      <c r="F180" s="189"/>
      <c r="G180" s="187"/>
      <c r="H180" s="204"/>
      <c r="I180" s="204"/>
      <c r="K180" s="196"/>
      <c r="L180" s="192" t="str">
        <f>IFERROR(__xludf.DUMMYFUNCTION("IF(
  AND(D180=""Saída"", J180=""Sangria""),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197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94" t="str">
        <f>IFERROR(__xludf.DUMMYFUNCTION("ifna(VALUE(REGEXEXTRACT(E180,""[0-9.]+[,]+[0-9]+"")))"),"")</f>
        <v/>
      </c>
      <c r="O180" s="254"/>
      <c r="P180" s="263"/>
      <c r="Q180" s="254"/>
      <c r="R180" s="254"/>
      <c r="S180" s="254"/>
      <c r="V180" s="254"/>
      <c r="W180" s="194"/>
    </row>
    <row r="181" ht="14.25" customHeight="1">
      <c r="A181" s="186"/>
      <c r="B181" s="13"/>
      <c r="C181" s="14"/>
      <c r="D181" s="187"/>
      <c r="E181" s="188"/>
      <c r="F181" s="189"/>
      <c r="G181" s="187"/>
      <c r="H181" s="204"/>
      <c r="I181" s="204"/>
      <c r="J181" s="196"/>
      <c r="K181" s="196"/>
      <c r="L181" s="192" t="str">
        <f>IFERROR(__xludf.DUMMYFUNCTION("IF(
  AND(D181=""Saída"", J181=""Sangria""),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198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94" t="str">
        <f>IFERROR(__xludf.DUMMYFUNCTION("ifna(VALUE(REGEXEXTRACT(E181,""[0-9.]+[,]+[0-9]+"")))"),"")</f>
        <v/>
      </c>
      <c r="O181" s="258"/>
      <c r="P181" s="262"/>
      <c r="Q181" s="258"/>
      <c r="R181" s="258"/>
      <c r="S181" s="258"/>
      <c r="V181" s="258"/>
      <c r="W181" s="194"/>
    </row>
    <row r="182" ht="14.25" customHeight="1">
      <c r="A182" s="186"/>
      <c r="B182" s="13"/>
      <c r="C182" s="14"/>
      <c r="D182" s="187"/>
      <c r="E182" s="188"/>
      <c r="F182" s="189"/>
      <c r="G182" s="187"/>
      <c r="H182" s="204"/>
      <c r="I182" s="204"/>
      <c r="J182" s="196"/>
      <c r="K182" s="196"/>
      <c r="L182" s="192" t="str">
        <f>IFERROR(__xludf.DUMMYFUNCTION("IF(
  AND(D182=""Saída"", J182=""Sangria""),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197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94" t="str">
        <f>IFERROR(__xludf.DUMMYFUNCTION("ifna(VALUE(REGEXEXTRACT(E182,""[0-9.]+[,]+[0-9]+"")))"),"")</f>
        <v/>
      </c>
      <c r="O182" s="254"/>
      <c r="P182" s="263"/>
      <c r="Q182" s="254"/>
      <c r="R182" s="254"/>
      <c r="S182" s="254"/>
      <c r="V182" s="254"/>
      <c r="W182" s="194"/>
    </row>
    <row r="183" ht="14.25" customHeight="1">
      <c r="A183" s="186"/>
      <c r="B183" s="13"/>
      <c r="C183" s="14"/>
      <c r="D183" s="187"/>
      <c r="E183" s="188"/>
      <c r="F183" s="200"/>
      <c r="G183" s="187"/>
      <c r="H183" s="204"/>
      <c r="I183" s="204"/>
      <c r="J183" s="196"/>
      <c r="K183" s="196"/>
      <c r="L183" s="192" t="str">
        <f>IFERROR(__xludf.DUMMYFUNCTION("IF(
  AND(D183=""Saída"", J183=""Sangria""),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198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94" t="str">
        <f>IFERROR(__xludf.DUMMYFUNCTION("ifna(VALUE(REGEXEXTRACT(E183,""[0-9.]+[,]+[0-9]+"")))"),"")</f>
        <v/>
      </c>
      <c r="O183" s="258"/>
      <c r="P183" s="262"/>
      <c r="Q183" s="258"/>
      <c r="R183" s="258"/>
      <c r="S183" s="258"/>
      <c r="V183" s="258"/>
      <c r="W183" s="194"/>
    </row>
    <row r="184" ht="14.25" customHeight="1">
      <c r="A184" s="186"/>
      <c r="B184" s="13"/>
      <c r="C184" s="14"/>
      <c r="D184" s="187"/>
      <c r="E184" s="188"/>
      <c r="F184" s="200"/>
      <c r="G184" s="187"/>
      <c r="H184" s="204"/>
      <c r="I184" s="204"/>
      <c r="J184" s="196"/>
      <c r="K184" s="196"/>
      <c r="L184" s="192" t="str">
        <f>IFERROR(__xludf.DUMMYFUNCTION("IF(
  AND(D184=""Saída"", J184=""Sangria""),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197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94" t="str">
        <f>IFERROR(__xludf.DUMMYFUNCTION("ifna(VALUE(REGEXEXTRACT(E184,""[0-9.]+[,]+[0-9]+"")))"),"")</f>
        <v/>
      </c>
      <c r="O184" s="254"/>
      <c r="P184" s="263"/>
      <c r="Q184" s="254"/>
      <c r="R184" s="254"/>
      <c r="S184" s="254"/>
      <c r="V184" s="254"/>
      <c r="W184" s="194"/>
    </row>
    <row r="185" ht="14.25" customHeight="1">
      <c r="A185" s="186"/>
      <c r="B185" s="13"/>
      <c r="C185" s="14"/>
      <c r="D185" s="187"/>
      <c r="E185" s="188"/>
      <c r="F185" s="189"/>
      <c r="G185" s="187"/>
      <c r="H185" s="204"/>
      <c r="I185" s="204"/>
      <c r="J185" s="196"/>
      <c r="K185" s="196"/>
      <c r="L185" s="192" t="str">
        <f>IFERROR(__xludf.DUMMYFUNCTION("IF(
  AND(D185=""Saída"", J185=""Sangria""),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198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94" t="str">
        <f>IFERROR(__xludf.DUMMYFUNCTION("ifna(VALUE(REGEXEXTRACT(E185,""[0-9.]+[,]+[0-9]+"")))"),"")</f>
        <v/>
      </c>
      <c r="O185" s="258"/>
      <c r="P185" s="262"/>
      <c r="Q185" s="258"/>
      <c r="R185" s="258"/>
      <c r="S185" s="258"/>
      <c r="V185" s="258"/>
      <c r="W185" s="194"/>
    </row>
    <row r="186" ht="14.25" customHeight="1">
      <c r="A186" s="186"/>
      <c r="B186" s="13"/>
      <c r="C186" s="14"/>
      <c r="D186" s="187"/>
      <c r="E186" s="188"/>
      <c r="F186" s="200"/>
      <c r="G186" s="187"/>
      <c r="H186" s="204"/>
      <c r="I186" s="204"/>
      <c r="J186" s="196"/>
      <c r="K186" s="196"/>
      <c r="L186" s="192" t="str">
        <f>IFERROR(__xludf.DUMMYFUNCTION("IF(
  AND(D186=""Saída"", J186=""Sangria""),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197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94" t="str">
        <f>IFERROR(__xludf.DUMMYFUNCTION("ifna(VALUE(REGEXEXTRACT(E186,""[0-9.]+[,]+[0-9]+"")))"),"")</f>
        <v/>
      </c>
      <c r="O186" s="254"/>
      <c r="P186" s="263"/>
      <c r="Q186" s="254"/>
      <c r="R186" s="254"/>
      <c r="S186" s="254"/>
      <c r="V186" s="254"/>
      <c r="W186" s="194"/>
    </row>
    <row r="187" ht="14.25" customHeight="1">
      <c r="A187" s="186"/>
      <c r="B187" s="13"/>
      <c r="C187" s="14"/>
      <c r="D187" s="187"/>
      <c r="E187" s="188"/>
      <c r="F187" s="189"/>
      <c r="G187" s="187"/>
      <c r="H187" s="204"/>
      <c r="I187" s="204"/>
      <c r="J187" s="196"/>
      <c r="K187" s="196"/>
      <c r="L187" s="192" t="str">
        <f>IFERROR(__xludf.DUMMYFUNCTION("IF(
  AND(D187=""Saída"", J187=""Sangria""),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198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94" t="str">
        <f>IFERROR(__xludf.DUMMYFUNCTION("ifna(VALUE(REGEXEXTRACT(E187,""[0-9.]+[,]+[0-9]+"")))"),"")</f>
        <v/>
      </c>
      <c r="O187" s="258"/>
      <c r="P187" s="262"/>
      <c r="Q187" s="258"/>
      <c r="R187" s="258"/>
      <c r="S187" s="258"/>
      <c r="V187" s="258"/>
      <c r="W187" s="194"/>
    </row>
    <row r="188" ht="14.25" customHeight="1">
      <c r="A188" s="186"/>
      <c r="B188" s="13"/>
      <c r="C188" s="14"/>
      <c r="D188" s="187"/>
      <c r="E188" s="188"/>
      <c r="F188" s="189"/>
      <c r="G188" s="187"/>
      <c r="H188" s="204"/>
      <c r="I188" s="204"/>
      <c r="J188" s="196"/>
      <c r="K188" s="196"/>
      <c r="L188" s="192" t="str">
        <f>IFERROR(__xludf.DUMMYFUNCTION("IF(
  AND(D188=""Saída"", J188=""Sangria""),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197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94" t="str">
        <f>IFERROR(__xludf.DUMMYFUNCTION("ifna(VALUE(REGEXEXTRACT(E188,""[0-9.]+[,]+[0-9]+"")))"),"")</f>
        <v/>
      </c>
      <c r="O188" s="254"/>
      <c r="P188" s="263"/>
      <c r="Q188" s="254"/>
      <c r="R188" s="254"/>
      <c r="S188" s="254"/>
      <c r="V188" s="254"/>
      <c r="W188" s="194"/>
    </row>
    <row r="189" ht="14.25" customHeight="1">
      <c r="A189" s="186"/>
      <c r="B189" s="13"/>
      <c r="C189" s="14"/>
      <c r="D189" s="187"/>
      <c r="E189" s="188"/>
      <c r="F189" s="189"/>
      <c r="G189" s="187"/>
      <c r="H189" s="204"/>
      <c r="I189" s="204"/>
      <c r="J189" s="196"/>
      <c r="K189" s="196"/>
      <c r="L189" s="192" t="str">
        <f>IFERROR(__xludf.DUMMYFUNCTION("IF(
  AND(D189=""Saída"", J189=""Sangria""),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198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94" t="str">
        <f>IFERROR(__xludf.DUMMYFUNCTION("ifna(VALUE(REGEXEXTRACT(E189,""[0-9.]+[,]+[0-9]+"")))"),"")</f>
        <v/>
      </c>
      <c r="O189" s="258"/>
      <c r="P189" s="262"/>
      <c r="Q189" s="258"/>
      <c r="R189" s="258"/>
      <c r="S189" s="258"/>
      <c r="V189" s="258"/>
      <c r="W189" s="194"/>
    </row>
    <row r="190" ht="14.25" customHeight="1">
      <c r="A190" s="186"/>
      <c r="B190" s="13"/>
      <c r="C190" s="14"/>
      <c r="D190" s="187"/>
      <c r="E190" s="188"/>
      <c r="F190" s="189"/>
      <c r="G190" s="187"/>
      <c r="H190" s="204"/>
      <c r="I190" s="204"/>
      <c r="J190" s="196"/>
      <c r="K190" s="196"/>
      <c r="L190" s="192" t="str">
        <f>IFERROR(__xludf.DUMMYFUNCTION("IF(
  AND(D190=""Saída"", J190=""Sangria""),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197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94" t="str">
        <f>IFERROR(__xludf.DUMMYFUNCTION("ifna(VALUE(REGEXEXTRACT(E190,""[0-9.]+[,]+[0-9]+"")))"),"")</f>
        <v/>
      </c>
      <c r="O190" s="254"/>
      <c r="P190" s="263"/>
      <c r="Q190" s="254"/>
      <c r="R190" s="254"/>
      <c r="S190" s="254"/>
      <c r="V190" s="254"/>
      <c r="W190" s="194"/>
    </row>
    <row r="191" ht="14.25" customHeight="1">
      <c r="A191" s="186"/>
      <c r="B191" s="13"/>
      <c r="C191" s="14"/>
      <c r="D191" s="187"/>
      <c r="E191" s="188"/>
      <c r="F191" s="189"/>
      <c r="G191" s="187"/>
      <c r="H191" s="204"/>
      <c r="I191" s="204"/>
      <c r="J191" s="266"/>
      <c r="K191" s="196"/>
      <c r="L191" s="192" t="str">
        <f>IFERROR(__xludf.DUMMYFUNCTION("IF(
  AND(D191=""Saída"", J191=""Sangria""),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198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94" t="str">
        <f>IFERROR(__xludf.DUMMYFUNCTION("ifna(VALUE(REGEXEXTRACT(E191,""[0-9.]+[,]+[0-9]+"")))"),"")</f>
        <v/>
      </c>
      <c r="O191" s="258"/>
      <c r="P191" s="262"/>
      <c r="Q191" s="258"/>
      <c r="R191" s="258"/>
      <c r="S191" s="258"/>
      <c r="V191" s="258"/>
      <c r="W191" s="194"/>
    </row>
    <row r="192" ht="14.25" customHeight="1">
      <c r="A192" s="186"/>
      <c r="B192" s="13"/>
      <c r="C192" s="14"/>
      <c r="D192" s="187"/>
      <c r="E192" s="188"/>
      <c r="F192" s="200"/>
      <c r="G192" s="187"/>
      <c r="H192" s="204"/>
      <c r="I192" s="204"/>
      <c r="J192" s="196"/>
      <c r="K192" s="196"/>
      <c r="L192" s="192" t="str">
        <f>IFERROR(__xludf.DUMMYFUNCTION("IF(
  AND(D192=""Saída"", J192=""Sangria""),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197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94" t="str">
        <f>IFERROR(__xludf.DUMMYFUNCTION("ifna(VALUE(REGEXEXTRACT(E192,""[0-9.]+[,]+[0-9]+"")))"),"")</f>
        <v/>
      </c>
      <c r="O192" s="254"/>
      <c r="P192" s="263"/>
      <c r="Q192" s="254"/>
      <c r="R192" s="254"/>
      <c r="S192" s="254"/>
      <c r="V192" s="254"/>
      <c r="W192" s="194"/>
    </row>
    <row r="193" ht="14.25" customHeight="1">
      <c r="A193" s="186"/>
      <c r="B193" s="13"/>
      <c r="C193" s="14"/>
      <c r="D193" s="187"/>
      <c r="E193" s="188"/>
      <c r="F193" s="189"/>
      <c r="G193" s="187"/>
      <c r="H193" s="204"/>
      <c r="I193" s="204"/>
      <c r="J193" s="196"/>
      <c r="K193" s="196"/>
      <c r="L193" s="192" t="str">
        <f>IFERROR(__xludf.DUMMYFUNCTION("IF(
  AND(D193=""Saída"", J193=""Sangria""),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198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94" t="str">
        <f>IFERROR(__xludf.DUMMYFUNCTION("ifna(VALUE(REGEXEXTRACT(E193,""[0-9.]+[,]+[0-9]+"")))"),"")</f>
        <v/>
      </c>
      <c r="O193" s="194"/>
      <c r="P193" s="194"/>
      <c r="Q193" s="194"/>
      <c r="R193" s="194"/>
      <c r="S193" s="194"/>
      <c r="T193" s="194"/>
      <c r="U193" s="194"/>
      <c r="V193" s="194"/>
      <c r="W193" s="194"/>
    </row>
    <row r="194" ht="14.25" customHeight="1">
      <c r="A194" s="186"/>
      <c r="B194" s="13"/>
      <c r="C194" s="14"/>
      <c r="D194" s="187"/>
      <c r="E194" s="188"/>
      <c r="F194" s="189"/>
      <c r="G194" s="187"/>
      <c r="H194" s="204"/>
      <c r="I194" s="204"/>
      <c r="J194" s="196"/>
      <c r="K194" s="196"/>
      <c r="L194" s="192" t="str">
        <f>IFERROR(__xludf.DUMMYFUNCTION("IF(
  AND(D194=""Saída"", J194=""Sangria""),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197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94" t="str">
        <f>IFERROR(__xludf.DUMMYFUNCTION("ifna(VALUE(REGEXEXTRACT(E194,""[0-9.]+[,]+[0-9]+"")))"),"")</f>
        <v/>
      </c>
      <c r="O194" s="194"/>
      <c r="P194" s="194"/>
      <c r="Q194" s="194"/>
      <c r="R194" s="194"/>
      <c r="S194" s="194"/>
      <c r="T194" s="194"/>
      <c r="U194" s="194"/>
      <c r="V194" s="194"/>
      <c r="W194" s="194"/>
    </row>
    <row r="195" ht="14.25" customHeight="1">
      <c r="A195" s="186"/>
      <c r="B195" s="13"/>
      <c r="C195" s="14"/>
      <c r="D195" s="187"/>
      <c r="E195" s="188"/>
      <c r="F195" s="200"/>
      <c r="G195" s="187"/>
      <c r="H195" s="204"/>
      <c r="I195" s="204"/>
      <c r="J195" s="196"/>
      <c r="K195" s="196"/>
      <c r="L195" s="192" t="str">
        <f>IFERROR(__xludf.DUMMYFUNCTION("IF(
  AND(D195=""Saída"", J195=""Sangria""),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198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94" t="str">
        <f>IFERROR(__xludf.DUMMYFUNCTION("ifna(VALUE(REGEXEXTRACT(E195,""[0-9.]+[,]+[0-9]+"")))"),"")</f>
        <v/>
      </c>
      <c r="O195" s="194"/>
      <c r="P195" s="194"/>
      <c r="Q195" s="194"/>
      <c r="R195" s="194"/>
      <c r="S195" s="194"/>
      <c r="T195" s="194"/>
      <c r="U195" s="194"/>
      <c r="V195" s="194"/>
      <c r="W195" s="194"/>
    </row>
    <row r="196" ht="14.25" customHeight="1">
      <c r="A196" s="186"/>
      <c r="B196" s="13"/>
      <c r="C196" s="14"/>
      <c r="D196" s="187"/>
      <c r="E196" s="188"/>
      <c r="F196" s="189"/>
      <c r="G196" s="187"/>
      <c r="H196" s="204"/>
      <c r="I196" s="204"/>
      <c r="K196" s="196"/>
      <c r="L196" s="192" t="str">
        <f>IFERROR(__xludf.DUMMYFUNCTION("IF(
  AND(D196=""Saída"", J196=""Sangria""),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197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94" t="str">
        <f>IFERROR(__xludf.DUMMYFUNCTION("ifna(VALUE(REGEXEXTRACT(E196,""[0-9.]+[,]+[0-9]+"")))"),"")</f>
        <v/>
      </c>
      <c r="O196" s="194"/>
      <c r="P196" s="194"/>
      <c r="Q196" s="194"/>
      <c r="R196" s="194"/>
      <c r="S196" s="194"/>
      <c r="T196" s="194"/>
      <c r="U196" s="194"/>
      <c r="V196" s="194"/>
      <c r="W196" s="194"/>
    </row>
    <row r="197" ht="14.25" customHeight="1">
      <c r="A197" s="186"/>
      <c r="B197" s="13"/>
      <c r="C197" s="14"/>
      <c r="D197" s="187"/>
      <c r="E197" s="188"/>
      <c r="F197" s="189"/>
      <c r="G197" s="187"/>
      <c r="H197" s="204"/>
      <c r="I197" s="204"/>
      <c r="J197" s="196"/>
      <c r="K197" s="196"/>
      <c r="L197" s="192" t="str">
        <f>IFERROR(__xludf.DUMMYFUNCTION("IF(
  AND(D197=""Saída"", J197=""Sangria""),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198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94" t="str">
        <f>IFERROR(__xludf.DUMMYFUNCTION("ifna(VALUE(REGEXEXTRACT(E197,""[0-9.]+[,]+[0-9]+"")))"),"")</f>
        <v/>
      </c>
      <c r="O197" s="194"/>
      <c r="P197" s="194"/>
      <c r="Q197" s="194"/>
      <c r="R197" s="194"/>
      <c r="S197" s="194"/>
      <c r="T197" s="194"/>
      <c r="U197" s="194"/>
      <c r="V197" s="194"/>
      <c r="W197" s="194"/>
    </row>
    <row r="198" ht="14.25" customHeight="1">
      <c r="A198" s="186"/>
      <c r="B198" s="13"/>
      <c r="C198" s="14"/>
      <c r="D198" s="187"/>
      <c r="E198" s="188"/>
      <c r="F198" s="189"/>
      <c r="G198" s="187"/>
      <c r="H198" s="204"/>
      <c r="I198" s="204"/>
      <c r="J198" s="196"/>
      <c r="K198" s="196"/>
      <c r="L198" s="192" t="str">
        <f>IFERROR(__xludf.DUMMYFUNCTION("IF(
  AND(D198=""Saída"", J198=""Sangria""),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197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94" t="str">
        <f>IFERROR(__xludf.DUMMYFUNCTION("ifna(VALUE(REGEXEXTRACT(E198,""[0-9.]+[,]+[0-9]+"")))"),"")</f>
        <v/>
      </c>
      <c r="O198" s="194"/>
      <c r="P198" s="194"/>
      <c r="Q198" s="194"/>
      <c r="R198" s="194"/>
      <c r="S198" s="194"/>
      <c r="T198" s="194"/>
      <c r="U198" s="194"/>
      <c r="V198" s="194"/>
      <c r="W198" s="194"/>
    </row>
    <row r="199" ht="14.25" customHeight="1">
      <c r="A199" s="186"/>
      <c r="B199" s="13"/>
      <c r="C199" s="14"/>
      <c r="D199" s="187"/>
      <c r="E199" s="188"/>
      <c r="F199" s="189"/>
      <c r="G199" s="187"/>
      <c r="H199" s="204"/>
      <c r="I199" s="204"/>
      <c r="J199" s="196"/>
      <c r="K199" s="196"/>
      <c r="L199" s="192" t="str">
        <f>IFERROR(__xludf.DUMMYFUNCTION("IF(
  AND(D199=""Saída"", J199=""Sangria""),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198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94" t="str">
        <f>IFERROR(__xludf.DUMMYFUNCTION("ifna(VALUE(REGEXEXTRACT(E199,""[0-9.]+[,]+[0-9]+"")))"),"")</f>
        <v/>
      </c>
      <c r="O199" s="194"/>
      <c r="P199" s="194"/>
      <c r="Q199" s="194"/>
      <c r="R199" s="194"/>
      <c r="S199" s="194"/>
      <c r="T199" s="194"/>
      <c r="U199" s="194"/>
      <c r="V199" s="194"/>
      <c r="W199" s="194"/>
    </row>
    <row r="200" ht="14.25" customHeight="1">
      <c r="A200" s="186"/>
      <c r="B200" s="13"/>
      <c r="C200" s="14"/>
      <c r="D200" s="187"/>
      <c r="E200" s="188"/>
      <c r="F200" s="189"/>
      <c r="G200" s="187"/>
      <c r="H200" s="204"/>
      <c r="I200" s="204"/>
      <c r="J200" s="196"/>
      <c r="K200" s="196"/>
      <c r="L200" s="192" t="str">
        <f>IFERROR(__xludf.DUMMYFUNCTION("IF(
  AND(D200=""Saída"", J200=""Sangria""),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197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94" t="str">
        <f>IFERROR(__xludf.DUMMYFUNCTION("ifna(VALUE(REGEXEXTRACT(E200,""[0-9.]+[,]+[0-9]+"")))"),"")</f>
        <v/>
      </c>
      <c r="O200" s="194"/>
      <c r="P200" s="194"/>
      <c r="Q200" s="194"/>
      <c r="R200" s="194"/>
      <c r="S200" s="194"/>
      <c r="T200" s="194"/>
      <c r="U200" s="194"/>
      <c r="V200" s="194"/>
      <c r="W200" s="194"/>
    </row>
    <row r="201" ht="14.25" customHeight="1">
      <c r="A201" s="186"/>
      <c r="B201" s="13"/>
      <c r="C201" s="14"/>
      <c r="D201" s="187"/>
      <c r="E201" s="188"/>
      <c r="F201" s="189"/>
      <c r="G201" s="187"/>
      <c r="H201" s="204"/>
      <c r="I201" s="204"/>
      <c r="J201" s="196"/>
      <c r="K201" s="196"/>
      <c r="L201" s="192" t="str">
        <f>IFERROR(__xludf.DUMMYFUNCTION("IF(
  AND(D201=""Saída"", J201=""Sangria""),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198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94" t="str">
        <f>IFERROR(__xludf.DUMMYFUNCTION("ifna(VALUE(REGEXEXTRACT(E201,""[0-9.]+[,]+[0-9]+"")))"),"")</f>
        <v/>
      </c>
      <c r="O201" s="194"/>
      <c r="P201" s="194"/>
      <c r="Q201" s="194"/>
      <c r="R201" s="194"/>
      <c r="S201" s="194"/>
      <c r="T201" s="194"/>
      <c r="U201" s="194"/>
      <c r="V201" s="194"/>
      <c r="W201" s="194"/>
    </row>
    <row r="202" ht="14.25" customHeight="1">
      <c r="A202" s="186"/>
      <c r="B202" s="13"/>
      <c r="C202" s="14"/>
      <c r="D202" s="187"/>
      <c r="E202" s="188"/>
      <c r="F202" s="189"/>
      <c r="G202" s="187"/>
      <c r="H202" s="204"/>
      <c r="I202" s="204"/>
      <c r="J202" s="196"/>
      <c r="K202" s="196"/>
      <c r="L202" s="192" t="str">
        <f>IFERROR(__xludf.DUMMYFUNCTION("IF(
  AND(D202=""Saída"", J202=""Sangria""),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197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94" t="str">
        <f>IFERROR(__xludf.DUMMYFUNCTION("ifna(VALUE(REGEXEXTRACT(E202,""[0-9.]+[,]+[0-9]+"")))"),"")</f>
        <v/>
      </c>
      <c r="O202" s="194"/>
      <c r="P202" s="194"/>
      <c r="Q202" s="194"/>
      <c r="R202" s="194"/>
      <c r="S202" s="194"/>
      <c r="T202" s="194"/>
      <c r="U202" s="194"/>
      <c r="V202" s="194"/>
      <c r="W202" s="194"/>
    </row>
    <row r="203" ht="14.25" customHeight="1">
      <c r="A203" s="186"/>
      <c r="B203" s="13"/>
      <c r="C203" s="14"/>
      <c r="D203" s="187"/>
      <c r="E203" s="188"/>
      <c r="F203" s="189"/>
      <c r="G203" s="187"/>
      <c r="H203" s="204"/>
      <c r="I203" s="204"/>
      <c r="J203" s="196"/>
      <c r="K203" s="196"/>
      <c r="L203" s="192" t="str">
        <f>IFERROR(__xludf.DUMMYFUNCTION("IF(
  AND(D203=""Saída"", J203=""Sangria""),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198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94" t="str">
        <f>IFERROR(__xludf.DUMMYFUNCTION("ifna(VALUE(REGEXEXTRACT(E203,""[0-9.]+[,]+[0-9]+"")))"),"")</f>
        <v/>
      </c>
      <c r="O203" s="194"/>
      <c r="P203" s="194"/>
      <c r="Q203" s="194"/>
      <c r="R203" s="194"/>
      <c r="S203" s="194"/>
      <c r="T203" s="194"/>
      <c r="U203" s="194"/>
      <c r="V203" s="194"/>
      <c r="W203" s="194"/>
    </row>
    <row r="204" ht="14.25" customHeight="1">
      <c r="A204" s="186"/>
      <c r="B204" s="13"/>
      <c r="C204" s="14"/>
      <c r="D204" s="187"/>
      <c r="E204" s="188"/>
      <c r="F204" s="189"/>
      <c r="G204" s="187"/>
      <c r="H204" s="204"/>
      <c r="I204" s="204"/>
      <c r="J204" s="196"/>
      <c r="K204" s="196"/>
      <c r="L204" s="192" t="str">
        <f>IFERROR(__xludf.DUMMYFUNCTION("IF(
  AND(D204=""Saída"", J204=""Sangria""),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197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94" t="str">
        <f>IFERROR(__xludf.DUMMYFUNCTION("ifna(VALUE(REGEXEXTRACT(E204,""[0-9.]+[,]+[0-9]+"")))"),"")</f>
        <v/>
      </c>
      <c r="O204" s="194"/>
      <c r="P204" s="194"/>
      <c r="Q204" s="194"/>
      <c r="R204" s="194"/>
      <c r="S204" s="194"/>
      <c r="T204" s="194"/>
      <c r="U204" s="194"/>
      <c r="V204" s="194"/>
      <c r="W204" s="194"/>
    </row>
    <row r="205" ht="14.25" customHeight="1">
      <c r="A205" s="186"/>
      <c r="B205" s="13"/>
      <c r="C205" s="14"/>
      <c r="D205" s="187"/>
      <c r="E205" s="188"/>
      <c r="F205" s="200"/>
      <c r="G205" s="187"/>
      <c r="H205" s="204"/>
      <c r="I205" s="204"/>
      <c r="J205" s="196"/>
      <c r="K205" s="196"/>
      <c r="L205" s="192" t="str">
        <f>IFERROR(__xludf.DUMMYFUNCTION("IF(
  AND(D205=""Saída"", J205=""Sangria""),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198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94" t="str">
        <f>IFERROR(__xludf.DUMMYFUNCTION("ifna(VALUE(REGEXEXTRACT(E205,""[0-9.]+[,]+[0-9]+"")))"),"")</f>
        <v/>
      </c>
      <c r="O205" s="194"/>
      <c r="P205" s="194"/>
      <c r="Q205" s="194"/>
      <c r="R205" s="194"/>
      <c r="S205" s="194"/>
      <c r="T205" s="194"/>
      <c r="U205" s="194"/>
      <c r="V205" s="194"/>
      <c r="W205" s="194"/>
    </row>
    <row r="206" ht="14.25" customHeight="1">
      <c r="A206" s="186"/>
      <c r="B206" s="13"/>
      <c r="C206" s="14"/>
      <c r="D206" s="187"/>
      <c r="E206" s="188"/>
      <c r="F206" s="189"/>
      <c r="G206" s="187"/>
      <c r="H206" s="204"/>
      <c r="I206" s="204"/>
      <c r="J206" s="196"/>
      <c r="K206" s="196"/>
      <c r="L206" s="192" t="str">
        <f>IFERROR(__xludf.DUMMYFUNCTION("IF(
  AND(D206=""Saída"", J206=""Sangria""),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197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94" t="str">
        <f>IFERROR(__xludf.DUMMYFUNCTION("ifna(VALUE(REGEXEXTRACT(E206,""[0-9.]+[,]+[0-9]+"")))"),"")</f>
        <v/>
      </c>
      <c r="O206" s="194"/>
      <c r="P206" s="194"/>
      <c r="Q206" s="194"/>
      <c r="R206" s="194"/>
      <c r="S206" s="194"/>
      <c r="T206" s="194"/>
      <c r="U206" s="194"/>
      <c r="V206" s="194"/>
      <c r="W206" s="194"/>
    </row>
    <row r="207" ht="14.25" customHeight="1">
      <c r="A207" s="186"/>
      <c r="B207" s="13"/>
      <c r="C207" s="14"/>
      <c r="D207" s="187"/>
      <c r="E207" s="188"/>
      <c r="F207" s="189"/>
      <c r="G207" s="187"/>
      <c r="H207" s="204"/>
      <c r="I207" s="204"/>
      <c r="J207" s="196"/>
      <c r="K207" s="196"/>
      <c r="L207" s="192" t="str">
        <f>IFERROR(__xludf.DUMMYFUNCTION("IF(
  AND(D207=""Saída"", J207=""Sangria""),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198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94" t="str">
        <f>IFERROR(__xludf.DUMMYFUNCTION("ifna(VALUE(REGEXEXTRACT(E207,""[0-9.]+[,]+[0-9]+"")))"),"")</f>
        <v/>
      </c>
      <c r="O207" s="194"/>
      <c r="P207" s="194"/>
      <c r="Q207" s="194"/>
      <c r="R207" s="194"/>
      <c r="S207" s="194"/>
      <c r="T207" s="194"/>
      <c r="U207" s="194"/>
      <c r="V207" s="194"/>
      <c r="W207" s="194"/>
    </row>
    <row r="208" ht="14.25" customHeight="1">
      <c r="A208" s="186"/>
      <c r="B208" s="13"/>
      <c r="C208" s="14"/>
      <c r="D208" s="187"/>
      <c r="E208" s="188"/>
      <c r="F208" s="189"/>
      <c r="G208" s="187"/>
      <c r="H208" s="204"/>
      <c r="I208" s="204"/>
      <c r="J208" s="196"/>
      <c r="K208" s="196"/>
      <c r="L208" s="192" t="str">
        <f>IFERROR(__xludf.DUMMYFUNCTION("IF(
  AND(D208=""Saída"", J208=""Sangria""),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197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94" t="str">
        <f>IFERROR(__xludf.DUMMYFUNCTION("ifna(VALUE(REGEXEXTRACT(E208,""[0-9.]+[,]+[0-9]+"")))"),"")</f>
        <v/>
      </c>
      <c r="O208" s="194"/>
      <c r="P208" s="194"/>
      <c r="Q208" s="194"/>
      <c r="R208" s="194"/>
      <c r="S208" s="194"/>
      <c r="T208" s="194"/>
      <c r="U208" s="194"/>
      <c r="V208" s="194"/>
      <c r="W208" s="194"/>
    </row>
    <row r="209" ht="14.25" customHeight="1">
      <c r="A209" s="186"/>
      <c r="B209" s="13"/>
      <c r="C209" s="14"/>
      <c r="D209" s="187"/>
      <c r="E209" s="188"/>
      <c r="F209" s="189"/>
      <c r="G209" s="187"/>
      <c r="H209" s="204"/>
      <c r="I209" s="204"/>
      <c r="K209" s="196"/>
      <c r="L209" s="192" t="str">
        <f>IFERROR(__xludf.DUMMYFUNCTION("IF(
  AND(D209=""Saída"", J209=""Sangria""),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198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94" t="str">
        <f>IFERROR(__xludf.DUMMYFUNCTION("ifna(VALUE(REGEXEXTRACT(E209,""[0-9.]+[,]+[0-9]+"")))"),"")</f>
        <v/>
      </c>
      <c r="O209" s="194"/>
      <c r="P209" s="194"/>
      <c r="Q209" s="194"/>
      <c r="R209" s="194"/>
      <c r="S209" s="194"/>
      <c r="T209" s="194"/>
      <c r="U209" s="194"/>
      <c r="V209" s="194"/>
      <c r="W209" s="194"/>
    </row>
    <row r="210" ht="14.25" customHeight="1">
      <c r="A210" s="186"/>
      <c r="B210" s="13"/>
      <c r="C210" s="14"/>
      <c r="D210" s="187"/>
      <c r="E210" s="188"/>
      <c r="F210" s="200"/>
      <c r="G210" s="187"/>
      <c r="H210" s="204"/>
      <c r="I210" s="204"/>
      <c r="J210" s="196"/>
      <c r="K210" s="196"/>
      <c r="L210" s="192" t="str">
        <f>IFERROR(__xludf.DUMMYFUNCTION("IF(
  AND(D210=""Saída"", J210=""Sangria""),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197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94" t="str">
        <f>IFERROR(__xludf.DUMMYFUNCTION("ifna(VALUE(REGEXEXTRACT(E210,""[0-9.]+[,]+[0-9]+"")))"),"")</f>
        <v/>
      </c>
      <c r="O210" s="194"/>
      <c r="P210" s="194"/>
      <c r="Q210" s="194"/>
      <c r="R210" s="194"/>
      <c r="S210" s="194"/>
      <c r="T210" s="194"/>
      <c r="U210" s="194"/>
      <c r="V210" s="194"/>
      <c r="W210" s="194"/>
    </row>
    <row r="211" ht="14.25" customHeight="1">
      <c r="A211" s="186"/>
      <c r="B211" s="13"/>
      <c r="C211" s="14"/>
      <c r="D211" s="187"/>
      <c r="E211" s="188"/>
      <c r="F211" s="189"/>
      <c r="G211" s="187"/>
      <c r="H211" s="204"/>
      <c r="I211" s="204"/>
      <c r="J211" s="196"/>
      <c r="K211" s="196"/>
      <c r="L211" s="192" t="str">
        <f>IFERROR(__xludf.DUMMYFUNCTION("IF(
  AND(D211=""Saída"", J211=""Sangria""),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198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94" t="str">
        <f>IFERROR(__xludf.DUMMYFUNCTION("ifna(VALUE(REGEXEXTRACT(E211,""[0-9.]+[,]+[0-9]+"")))"),"")</f>
        <v/>
      </c>
      <c r="O211" s="194"/>
      <c r="P211" s="194"/>
      <c r="Q211" s="194"/>
      <c r="R211" s="194"/>
      <c r="S211" s="194"/>
      <c r="T211" s="194"/>
      <c r="U211" s="194"/>
      <c r="V211" s="194"/>
      <c r="W211" s="194"/>
    </row>
    <row r="212" ht="14.25" customHeight="1">
      <c r="A212" s="186"/>
      <c r="B212" s="13"/>
      <c r="C212" s="14"/>
      <c r="D212" s="187"/>
      <c r="E212" s="188"/>
      <c r="F212" s="200"/>
      <c r="G212" s="187"/>
      <c r="H212" s="204"/>
      <c r="I212" s="204"/>
      <c r="J212" s="196"/>
      <c r="K212" s="196"/>
      <c r="L212" s="192" t="str">
        <f>IFERROR(__xludf.DUMMYFUNCTION("IF(
  AND(D212=""Saída"", J212=""Sangria""),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197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94" t="str">
        <f>IFERROR(__xludf.DUMMYFUNCTION("ifna(VALUE(REGEXEXTRACT(E212,""[0-9.]+[,]+[0-9]+"")))"),"")</f>
        <v/>
      </c>
      <c r="O212" s="194"/>
      <c r="P212" s="194"/>
      <c r="Q212" s="194"/>
      <c r="R212" s="194"/>
      <c r="S212" s="194"/>
      <c r="T212" s="194"/>
      <c r="U212" s="194"/>
      <c r="V212" s="194"/>
      <c r="W212" s="194"/>
    </row>
    <row r="213" ht="14.25" customHeight="1">
      <c r="A213" s="186"/>
      <c r="B213" s="13"/>
      <c r="C213" s="14"/>
      <c r="D213" s="187"/>
      <c r="E213" s="188"/>
      <c r="F213" s="189"/>
      <c r="G213" s="187"/>
      <c r="H213" s="204"/>
      <c r="I213" s="204"/>
      <c r="J213" s="196"/>
      <c r="K213" s="196"/>
      <c r="L213" s="192" t="str">
        <f>IFERROR(__xludf.DUMMYFUNCTION("IF(
  AND(D213=""Saída"", J213=""Sangria""),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198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94" t="str">
        <f>IFERROR(__xludf.DUMMYFUNCTION("ifna(VALUE(REGEXEXTRACT(E213,""[0-9.]+[,]+[0-9]+"")))"),"")</f>
        <v/>
      </c>
      <c r="O213" s="194"/>
      <c r="P213" s="194"/>
      <c r="Q213" s="194"/>
      <c r="R213" s="194"/>
      <c r="S213" s="194"/>
      <c r="T213" s="194"/>
      <c r="U213" s="194"/>
      <c r="V213" s="194"/>
      <c r="W213" s="194"/>
    </row>
    <row r="214" ht="14.25" customHeight="1">
      <c r="A214" s="186"/>
      <c r="B214" s="13"/>
      <c r="C214" s="14"/>
      <c r="D214" s="187"/>
      <c r="E214" s="188"/>
      <c r="F214" s="189"/>
      <c r="G214" s="187"/>
      <c r="H214" s="204"/>
      <c r="I214" s="204"/>
      <c r="J214" s="196"/>
      <c r="K214" s="196"/>
      <c r="L214" s="192" t="str">
        <f>IFERROR(__xludf.DUMMYFUNCTION("IF(
  AND(D214=""Saída"", J214=""Sangria""),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197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94" t="str">
        <f>IFERROR(__xludf.DUMMYFUNCTION("ifna(VALUE(REGEXEXTRACT(E214,""[0-9.]+[,]+[0-9]+"")))"),"")</f>
        <v/>
      </c>
      <c r="O214" s="194"/>
      <c r="P214" s="194"/>
      <c r="Q214" s="194"/>
      <c r="R214" s="194"/>
      <c r="S214" s="194"/>
      <c r="T214" s="194"/>
      <c r="U214" s="194"/>
      <c r="V214" s="194"/>
      <c r="W214" s="194"/>
    </row>
    <row r="215" ht="14.25" customHeight="1">
      <c r="A215" s="186"/>
      <c r="B215" s="13"/>
      <c r="C215" s="14"/>
      <c r="D215" s="187"/>
      <c r="E215" s="188"/>
      <c r="F215" s="189"/>
      <c r="G215" s="187"/>
      <c r="H215" s="204"/>
      <c r="I215" s="204"/>
      <c r="J215" s="196"/>
      <c r="K215" s="196"/>
      <c r="L215" s="192" t="str">
        <f>IFERROR(__xludf.DUMMYFUNCTION("IF(
  AND(D215=""Saída"", J215=""Sangria""),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198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94" t="str">
        <f>IFERROR(__xludf.DUMMYFUNCTION("ifna(VALUE(REGEXEXTRACT(E215,""[0-9.]+[,]+[0-9]+"")))"),"")</f>
        <v/>
      </c>
      <c r="O215" s="194"/>
      <c r="P215" s="194"/>
      <c r="Q215" s="194"/>
      <c r="R215" s="194"/>
      <c r="S215" s="194"/>
      <c r="T215" s="194"/>
      <c r="U215" s="194"/>
      <c r="V215" s="194"/>
      <c r="W215" s="194"/>
    </row>
    <row r="216" ht="14.25" customHeight="1">
      <c r="A216" s="186"/>
      <c r="B216" s="13"/>
      <c r="C216" s="14"/>
      <c r="D216" s="187"/>
      <c r="E216" s="188"/>
      <c r="F216" s="200"/>
      <c r="G216" s="187"/>
      <c r="H216" s="204"/>
      <c r="I216" s="204"/>
      <c r="J216" s="196"/>
      <c r="K216" s="196"/>
      <c r="L216" s="192" t="str">
        <f>IFERROR(__xludf.DUMMYFUNCTION("IF(
  AND(D216=""Saída"", J216=""Sangria""),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197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94" t="str">
        <f>IFERROR(__xludf.DUMMYFUNCTION("ifna(VALUE(REGEXEXTRACT(E216,""[0-9.]+[,]+[0-9]+"")))"),"")</f>
        <v/>
      </c>
      <c r="O216" s="194"/>
      <c r="P216" s="194"/>
      <c r="Q216" s="194"/>
      <c r="R216" s="194"/>
      <c r="S216" s="194"/>
      <c r="T216" s="194"/>
      <c r="U216" s="194"/>
      <c r="V216" s="194"/>
      <c r="W216" s="194"/>
    </row>
    <row r="217" ht="14.25" customHeight="1">
      <c r="A217" s="186"/>
      <c r="B217" s="13"/>
      <c r="C217" s="14"/>
      <c r="D217" s="187"/>
      <c r="E217" s="188"/>
      <c r="F217" s="189"/>
      <c r="G217" s="187"/>
      <c r="H217" s="204"/>
      <c r="I217" s="204"/>
      <c r="J217" s="196"/>
      <c r="K217" s="196"/>
      <c r="L217" s="192" t="str">
        <f>IFERROR(__xludf.DUMMYFUNCTION("IF(
  AND(D217=""Saída"", J217=""Sangria""),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198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94" t="str">
        <f>IFERROR(__xludf.DUMMYFUNCTION("ifna(VALUE(REGEXEXTRACT(E217,""[0-9.]+[,]+[0-9]+"")))"),"")</f>
        <v/>
      </c>
      <c r="O217" s="194"/>
      <c r="P217" s="194"/>
      <c r="Q217" s="194"/>
      <c r="R217" s="194"/>
      <c r="S217" s="194"/>
      <c r="T217" s="194"/>
      <c r="U217" s="194"/>
      <c r="V217" s="194"/>
      <c r="W217" s="194"/>
    </row>
    <row r="218" ht="14.25" customHeight="1">
      <c r="A218" s="186"/>
      <c r="B218" s="13"/>
      <c r="C218" s="14"/>
      <c r="D218" s="187"/>
      <c r="E218" s="188"/>
      <c r="F218" s="189"/>
      <c r="G218" s="187"/>
      <c r="H218" s="204"/>
      <c r="I218" s="204"/>
      <c r="J218" s="196"/>
      <c r="K218" s="196"/>
      <c r="L218" s="192" t="str">
        <f>IFERROR(__xludf.DUMMYFUNCTION("IF(
  AND(D218=""Saída"", J218=""Sangria""),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197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94" t="str">
        <f>IFERROR(__xludf.DUMMYFUNCTION("ifna(VALUE(REGEXEXTRACT(E218,""[0-9.]+[,]+[0-9]+"")))"),"")</f>
        <v/>
      </c>
      <c r="O218" s="194"/>
      <c r="P218" s="194"/>
      <c r="Q218" s="194"/>
      <c r="R218" s="194"/>
      <c r="S218" s="194"/>
      <c r="T218" s="194"/>
      <c r="U218" s="194"/>
      <c r="V218" s="194"/>
      <c r="W218" s="194"/>
    </row>
    <row r="219" ht="14.25" customHeight="1">
      <c r="A219" s="186"/>
      <c r="B219" s="13"/>
      <c r="C219" s="14"/>
      <c r="D219" s="187"/>
      <c r="E219" s="188"/>
      <c r="F219" s="189"/>
      <c r="G219" s="187"/>
      <c r="H219" s="204"/>
      <c r="I219" s="204"/>
      <c r="J219" s="196"/>
      <c r="K219" s="196"/>
      <c r="L219" s="192" t="str">
        <f>IFERROR(__xludf.DUMMYFUNCTION("IF(
  AND(D219=""Saída"", J219=""Sangria""),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198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94" t="str">
        <f>IFERROR(__xludf.DUMMYFUNCTION("ifna(VALUE(REGEXEXTRACT(E219,""[0-9.]+[,]+[0-9]+"")))"),"")</f>
        <v/>
      </c>
      <c r="O219" s="194"/>
      <c r="P219" s="194"/>
      <c r="Q219" s="194"/>
      <c r="R219" s="194"/>
      <c r="S219" s="194"/>
      <c r="T219" s="194"/>
      <c r="U219" s="194"/>
      <c r="V219" s="194"/>
      <c r="W219" s="194"/>
    </row>
    <row r="220" ht="14.25" customHeight="1">
      <c r="A220" s="186"/>
      <c r="B220" s="13"/>
      <c r="C220" s="14"/>
      <c r="D220" s="187"/>
      <c r="E220" s="188"/>
      <c r="F220" s="189"/>
      <c r="G220" s="187"/>
      <c r="H220" s="204"/>
      <c r="I220" s="204"/>
      <c r="J220" s="196"/>
      <c r="K220" s="196"/>
      <c r="L220" s="192" t="str">
        <f>IFERROR(__xludf.DUMMYFUNCTION("IF(
  AND(D220=""Saída"", J220=""Sangria""),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197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94" t="str">
        <f>IFERROR(__xludf.DUMMYFUNCTION("ifna(VALUE(REGEXEXTRACT(E220,""[0-9.]+[,]+[0-9]+"")))"),"")</f>
        <v/>
      </c>
      <c r="O220" s="194"/>
      <c r="P220" s="194"/>
      <c r="Q220" s="194"/>
      <c r="R220" s="194"/>
      <c r="S220" s="194"/>
      <c r="T220" s="194"/>
      <c r="U220" s="194"/>
      <c r="V220" s="194"/>
      <c r="W220" s="194"/>
    </row>
    <row r="221" ht="14.25" customHeight="1">
      <c r="A221" s="186"/>
      <c r="B221" s="13"/>
      <c r="C221" s="14"/>
      <c r="D221" s="187"/>
      <c r="E221" s="188"/>
      <c r="F221" s="189"/>
      <c r="G221" s="187"/>
      <c r="H221" s="204"/>
      <c r="I221" s="204"/>
      <c r="J221" s="196"/>
      <c r="K221" s="196"/>
      <c r="L221" s="192" t="str">
        <f>IFERROR(__xludf.DUMMYFUNCTION("IF(
  AND(D221=""Saída"", J221=""Sangria""),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198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94" t="str">
        <f>IFERROR(__xludf.DUMMYFUNCTION("ifna(VALUE(REGEXEXTRACT(E221,""[0-9.]+[,]+[0-9]+"")))"),"")</f>
        <v/>
      </c>
      <c r="O221" s="194"/>
      <c r="P221" s="194"/>
      <c r="Q221" s="194"/>
      <c r="R221" s="194"/>
      <c r="S221" s="194"/>
      <c r="T221" s="194"/>
      <c r="U221" s="194"/>
      <c r="V221" s="194"/>
      <c r="W221" s="194"/>
    </row>
    <row r="222" ht="14.25" customHeight="1">
      <c r="A222" s="186"/>
      <c r="B222" s="13"/>
      <c r="C222" s="14"/>
      <c r="D222" s="187"/>
      <c r="E222" s="188"/>
      <c r="F222" s="189"/>
      <c r="G222" s="187"/>
      <c r="H222" s="204"/>
      <c r="I222" s="204"/>
      <c r="J222" s="196"/>
      <c r="K222" s="196"/>
      <c r="L222" s="192" t="str">
        <f>IFERROR(__xludf.DUMMYFUNCTION("IF(
  AND(D222=""Saída"", J222=""Sangria""),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197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94" t="str">
        <f>IFERROR(__xludf.DUMMYFUNCTION("ifna(VALUE(REGEXEXTRACT(E222,""[0-9.]+[,]+[0-9]+"")))"),"")</f>
        <v/>
      </c>
      <c r="O222" s="194"/>
      <c r="P222" s="194"/>
      <c r="Q222" s="194"/>
      <c r="R222" s="194"/>
      <c r="S222" s="194"/>
      <c r="T222" s="194"/>
      <c r="U222" s="194"/>
      <c r="V222" s="194"/>
      <c r="W222" s="194"/>
    </row>
    <row r="223" ht="14.25" customHeight="1">
      <c r="A223" s="186"/>
      <c r="B223" s="13"/>
      <c r="C223" s="14"/>
      <c r="D223" s="187"/>
      <c r="E223" s="188"/>
      <c r="F223" s="189"/>
      <c r="G223" s="187"/>
      <c r="H223" s="204"/>
      <c r="I223" s="204"/>
      <c r="J223" s="196"/>
      <c r="K223" s="196"/>
      <c r="L223" s="192" t="str">
        <f>IFERROR(__xludf.DUMMYFUNCTION("IF(
  AND(D223=""Saída"", J223=""Sangria""),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198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94" t="str">
        <f>IFERROR(__xludf.DUMMYFUNCTION("ifna(VALUE(REGEXEXTRACT(E223,""[0-9.]+[,]+[0-9]+"")))"),"")</f>
        <v/>
      </c>
      <c r="O223" s="194"/>
      <c r="P223" s="194"/>
      <c r="Q223" s="194"/>
      <c r="R223" s="194"/>
      <c r="S223" s="194"/>
      <c r="T223" s="194"/>
      <c r="U223" s="194"/>
      <c r="V223" s="194"/>
      <c r="W223" s="194"/>
    </row>
    <row r="224" ht="14.25" customHeight="1">
      <c r="A224" s="186"/>
      <c r="B224" s="13"/>
      <c r="C224" s="14"/>
      <c r="D224" s="187"/>
      <c r="E224" s="188"/>
      <c r="F224" s="189"/>
      <c r="G224" s="187"/>
      <c r="H224" s="204"/>
      <c r="I224" s="204"/>
      <c r="J224" s="196"/>
      <c r="K224" s="196"/>
      <c r="L224" s="192" t="str">
        <f>IFERROR(__xludf.DUMMYFUNCTION("IF(
  AND(D224=""Saída"", J224=""Sangria""),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197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94" t="str">
        <f>IFERROR(__xludf.DUMMYFUNCTION("ifna(VALUE(REGEXEXTRACT(E224,""[0-9.]+[,]+[0-9]+"")))"),"")</f>
        <v/>
      </c>
      <c r="O224" s="194"/>
      <c r="P224" s="194"/>
      <c r="Q224" s="194"/>
      <c r="R224" s="194"/>
      <c r="S224" s="194"/>
      <c r="T224" s="194"/>
      <c r="U224" s="194"/>
      <c r="V224" s="194"/>
      <c r="W224" s="194"/>
    </row>
    <row r="225" ht="14.25" customHeight="1">
      <c r="A225" s="186"/>
      <c r="B225" s="13"/>
      <c r="C225" s="14"/>
      <c r="D225" s="187"/>
      <c r="E225" s="188"/>
      <c r="F225" s="189"/>
      <c r="G225" s="187"/>
      <c r="H225" s="204"/>
      <c r="I225" s="204"/>
      <c r="J225" s="196"/>
      <c r="K225" s="202"/>
      <c r="L225" s="192" t="str">
        <f>IFERROR(__xludf.DUMMYFUNCTION("IF(
  AND(D225=""Saída"", J225=""Sangria""),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198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94" t="str">
        <f>IFERROR(__xludf.DUMMYFUNCTION("ifna(VALUE(REGEXEXTRACT(E225,""[0-9.]+[,]+[0-9]+"")))"),"")</f>
        <v/>
      </c>
      <c r="O225" s="194"/>
      <c r="P225" s="194"/>
      <c r="Q225" s="194"/>
      <c r="R225" s="194"/>
      <c r="S225" s="194"/>
      <c r="T225" s="194"/>
      <c r="U225" s="194"/>
      <c r="V225" s="194"/>
      <c r="W225" s="194"/>
    </row>
    <row r="226" ht="14.25" customHeight="1">
      <c r="A226" s="186"/>
      <c r="B226" s="13"/>
      <c r="C226" s="14"/>
      <c r="D226" s="187"/>
      <c r="E226" s="188"/>
      <c r="F226" s="200"/>
      <c r="G226" s="187"/>
      <c r="H226" s="204"/>
      <c r="I226" s="204"/>
      <c r="J226" s="196"/>
      <c r="K226" s="196"/>
      <c r="L226" s="192" t="str">
        <f>IFERROR(__xludf.DUMMYFUNCTION("IF(
  AND(D226=""Saída"", J226=""Sangria""),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197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94" t="str">
        <f>IFERROR(__xludf.DUMMYFUNCTION("ifna(VALUE(REGEXEXTRACT(E226,""[0-9.]+[,]+[0-9]+"")))"),"")</f>
        <v/>
      </c>
      <c r="O226" s="194"/>
      <c r="P226" s="194"/>
      <c r="Q226" s="194"/>
      <c r="R226" s="194"/>
      <c r="S226" s="194"/>
      <c r="T226" s="194"/>
      <c r="U226" s="194"/>
      <c r="V226" s="194"/>
      <c r="W226" s="194"/>
    </row>
    <row r="227" ht="14.25" customHeight="1">
      <c r="A227" s="186"/>
      <c r="B227" s="13"/>
      <c r="C227" s="14"/>
      <c r="D227" s="187"/>
      <c r="E227" s="188"/>
      <c r="F227" s="189"/>
      <c r="G227" s="187"/>
      <c r="H227" s="204"/>
      <c r="I227" s="204"/>
      <c r="J227" s="196"/>
      <c r="K227" s="196"/>
      <c r="L227" s="192" t="str">
        <f>IFERROR(__xludf.DUMMYFUNCTION("IF(
  AND(D227=""Saída"", J227=""Sangria""),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198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94" t="str">
        <f>IFERROR(__xludf.DUMMYFUNCTION("ifna(VALUE(REGEXEXTRACT(E227,""[0-9.]+[,]+[0-9]+"")))"),"")</f>
        <v/>
      </c>
      <c r="O227" s="194"/>
      <c r="P227" s="194"/>
      <c r="Q227" s="194"/>
      <c r="R227" s="194"/>
      <c r="S227" s="194"/>
      <c r="T227" s="194"/>
      <c r="U227" s="194"/>
      <c r="V227" s="194"/>
      <c r="W227" s="194"/>
    </row>
    <row r="228" ht="14.25" customHeight="1">
      <c r="A228" s="186"/>
      <c r="B228" s="13"/>
      <c r="C228" s="14"/>
      <c r="D228" s="187"/>
      <c r="E228" s="188"/>
      <c r="F228" s="189"/>
      <c r="G228" s="187"/>
      <c r="H228" s="204"/>
      <c r="I228" s="204"/>
      <c r="J228" s="196"/>
      <c r="K228" s="196"/>
      <c r="L228" s="192" t="str">
        <f>IFERROR(__xludf.DUMMYFUNCTION("IF(
  AND(D228=""Saída"", J228=""Sangria""),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197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94" t="str">
        <f>IFERROR(__xludf.DUMMYFUNCTION("ifna(VALUE(REGEXEXTRACT(E228,""[0-9.]+[,]+[0-9]+"")))"),"")</f>
        <v/>
      </c>
      <c r="O228" s="194"/>
      <c r="P228" s="194"/>
      <c r="Q228" s="194"/>
      <c r="R228" s="194"/>
      <c r="S228" s="194"/>
      <c r="T228" s="194"/>
      <c r="U228" s="194"/>
      <c r="V228" s="194"/>
      <c r="W228" s="194"/>
    </row>
    <row r="229" ht="14.25" customHeight="1">
      <c r="A229" s="186"/>
      <c r="B229" s="13"/>
      <c r="C229" s="14"/>
      <c r="D229" s="187"/>
      <c r="E229" s="188"/>
      <c r="F229" s="189"/>
      <c r="G229" s="187"/>
      <c r="H229" s="204"/>
      <c r="I229" s="204"/>
      <c r="J229" s="196"/>
      <c r="K229" s="196"/>
      <c r="L229" s="192" t="str">
        <f>IFERROR(__xludf.DUMMYFUNCTION("IF(
  AND(D229=""Saída"", J229=""Sangria""),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198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94" t="str">
        <f>IFERROR(__xludf.DUMMYFUNCTION("ifna(VALUE(REGEXEXTRACT(E229,""[0-9.]+[,]+[0-9]+"")))"),"")</f>
        <v/>
      </c>
      <c r="O229" s="194"/>
      <c r="P229" s="194"/>
      <c r="Q229" s="194"/>
      <c r="R229" s="194"/>
      <c r="S229" s="194"/>
      <c r="T229" s="194"/>
      <c r="U229" s="194"/>
      <c r="V229" s="194"/>
      <c r="W229" s="194"/>
    </row>
    <row r="230" ht="14.25" customHeight="1">
      <c r="A230" s="186"/>
      <c r="B230" s="13"/>
      <c r="C230" s="14"/>
      <c r="D230" s="187"/>
      <c r="E230" s="188"/>
      <c r="F230" s="189"/>
      <c r="G230" s="187"/>
      <c r="H230" s="204"/>
      <c r="I230" s="204"/>
      <c r="J230" s="196"/>
      <c r="K230" s="196"/>
      <c r="L230" s="192" t="str">
        <f>IFERROR(__xludf.DUMMYFUNCTION("IF(
  AND(D230=""Saída"", J230=""Sangria""),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197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94" t="str">
        <f>IFERROR(__xludf.DUMMYFUNCTION("ifna(VALUE(REGEXEXTRACT(E230,""[0-9.]+[,]+[0-9]+"")))"),"")</f>
        <v/>
      </c>
      <c r="O230" s="194"/>
      <c r="P230" s="194"/>
      <c r="Q230" s="194"/>
      <c r="R230" s="194"/>
      <c r="S230" s="194"/>
      <c r="T230" s="194"/>
      <c r="U230" s="194"/>
      <c r="V230" s="194"/>
      <c r="W230" s="194"/>
    </row>
    <row r="231" ht="14.25" customHeight="1">
      <c r="A231" s="186"/>
      <c r="B231" s="13"/>
      <c r="C231" s="14"/>
      <c r="D231" s="187"/>
      <c r="E231" s="188"/>
      <c r="F231" s="189"/>
      <c r="G231" s="13"/>
      <c r="H231" s="204"/>
      <c r="I231" s="204"/>
      <c r="J231" s="196"/>
      <c r="K231" s="196"/>
      <c r="L231" s="192" t="str">
        <f>IFERROR(__xludf.DUMMYFUNCTION("IF(
  AND(D231=""Saída"", J231=""Sangria""),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198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94" t="str">
        <f>IFERROR(__xludf.DUMMYFUNCTION("ifna(VALUE(REGEXEXTRACT(E231,""[0-9.]+[,]+[0-9]+"")))"),"")</f>
        <v/>
      </c>
      <c r="O231" s="194"/>
      <c r="P231" s="194"/>
      <c r="Q231" s="194"/>
      <c r="R231" s="194"/>
      <c r="S231" s="194"/>
      <c r="T231" s="194"/>
      <c r="U231" s="194"/>
      <c r="V231" s="194"/>
      <c r="W231" s="194"/>
    </row>
    <row r="232" ht="14.25" customHeight="1">
      <c r="A232" s="186"/>
      <c r="B232" s="13"/>
      <c r="C232" s="14"/>
      <c r="D232" s="187"/>
      <c r="E232" s="188"/>
      <c r="F232" s="200"/>
      <c r="G232" s="187"/>
      <c r="H232" s="204"/>
      <c r="I232" s="204"/>
      <c r="J232" s="196"/>
      <c r="K232" s="196"/>
      <c r="L232" s="192" t="str">
        <f>IFERROR(__xludf.DUMMYFUNCTION("IF(
  AND(D232=""Saída"", J232=""Sangria""),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197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94" t="str">
        <f>IFERROR(__xludf.DUMMYFUNCTION("ifna(VALUE(REGEXEXTRACT(E232,""[0-9.]+[,]+[0-9]+"")))"),"")</f>
        <v/>
      </c>
      <c r="O232" s="194"/>
      <c r="P232" s="194"/>
      <c r="Q232" s="194"/>
      <c r="R232" s="194"/>
      <c r="S232" s="194"/>
      <c r="T232" s="194"/>
      <c r="U232" s="194"/>
      <c r="V232" s="194"/>
      <c r="W232" s="194"/>
    </row>
    <row r="233" ht="14.25" customHeight="1">
      <c r="A233" s="186"/>
      <c r="B233" s="13"/>
      <c r="C233" s="14"/>
      <c r="D233" s="187"/>
      <c r="E233" s="188"/>
      <c r="F233" s="189"/>
      <c r="G233" s="187"/>
      <c r="H233" s="204"/>
      <c r="I233" s="204"/>
      <c r="J233" s="196"/>
      <c r="K233" s="196"/>
      <c r="L233" s="192" t="str">
        <f>IFERROR(__xludf.DUMMYFUNCTION("IF(
  AND(D233=""Saída"", J233=""Sangria""),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198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94" t="str">
        <f>IFERROR(__xludf.DUMMYFUNCTION("ifna(VALUE(REGEXEXTRACT(E233,""[0-9.]+[,]+[0-9]+"")))"),"")</f>
        <v/>
      </c>
      <c r="O233" s="194"/>
      <c r="P233" s="194"/>
      <c r="Q233" s="194"/>
      <c r="R233" s="194"/>
      <c r="S233" s="194"/>
      <c r="T233" s="194"/>
      <c r="U233" s="194"/>
      <c r="V233" s="194"/>
      <c r="W233" s="194"/>
    </row>
    <row r="234" ht="14.25" customHeight="1">
      <c r="A234" s="186"/>
      <c r="B234" s="13"/>
      <c r="C234" s="14"/>
      <c r="D234" s="187"/>
      <c r="E234" s="188"/>
      <c r="F234" s="189"/>
      <c r="G234" s="187"/>
      <c r="H234" s="204"/>
      <c r="I234" s="204"/>
      <c r="J234" s="196"/>
      <c r="K234" s="196"/>
      <c r="L234" s="192" t="str">
        <f>IFERROR(__xludf.DUMMYFUNCTION("IF(
  AND(D234=""Saída"", J234=""Sangria""),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197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94" t="str">
        <f>IFERROR(__xludf.DUMMYFUNCTION("ifna(VALUE(REGEXEXTRACT(E234,""[0-9.]+[,]+[0-9]+"")))"),"")</f>
        <v/>
      </c>
      <c r="O234" s="194"/>
      <c r="P234" s="194"/>
      <c r="Q234" s="194"/>
      <c r="R234" s="194"/>
      <c r="S234" s="194"/>
      <c r="T234" s="194"/>
      <c r="U234" s="194"/>
      <c r="V234" s="194"/>
      <c r="W234" s="194"/>
    </row>
    <row r="235" ht="14.25" customHeight="1">
      <c r="A235" s="186"/>
      <c r="C235" s="14"/>
      <c r="D235" s="187"/>
      <c r="E235" s="188"/>
      <c r="F235" s="189"/>
      <c r="G235" s="187"/>
      <c r="H235" s="204"/>
      <c r="I235" s="204"/>
      <c r="J235" s="196"/>
      <c r="K235" s="196"/>
      <c r="L235" s="192" t="str">
        <f>IFERROR(__xludf.DUMMYFUNCTION("IF(
  AND(D235=""Saída"", J235=""Sangria""),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198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94" t="str">
        <f>IFERROR(__xludf.DUMMYFUNCTION("ifna(VALUE(REGEXEXTRACT(E235,""[0-9.]+[,]+[0-9]+"")))"),"")</f>
        <v/>
      </c>
      <c r="O235" s="194"/>
      <c r="P235" s="194"/>
      <c r="Q235" s="194"/>
      <c r="R235" s="194"/>
      <c r="S235" s="194"/>
      <c r="T235" s="194"/>
      <c r="U235" s="194"/>
      <c r="V235" s="194"/>
      <c r="W235" s="194"/>
    </row>
    <row r="236" ht="14.25" customHeight="1">
      <c r="A236" s="186"/>
      <c r="B236" s="13"/>
      <c r="C236" s="14"/>
      <c r="D236" s="187"/>
      <c r="E236" s="188"/>
      <c r="F236" s="200"/>
      <c r="G236" s="187"/>
      <c r="H236" s="204"/>
      <c r="I236" s="204"/>
      <c r="J236" s="196"/>
      <c r="K236" s="196"/>
      <c r="L236" s="192" t="str">
        <f>IFERROR(__xludf.DUMMYFUNCTION("IF(
  AND(D236=""Saída"", J236=""Sangria""),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197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94" t="str">
        <f>IFERROR(__xludf.DUMMYFUNCTION("ifna(VALUE(REGEXEXTRACT(E236,""[0-9.]+[,]+[0-9]+"")))"),"")</f>
        <v/>
      </c>
      <c r="O236" s="194"/>
      <c r="P236" s="194"/>
      <c r="Q236" s="194"/>
      <c r="R236" s="194"/>
      <c r="S236" s="194"/>
      <c r="T236" s="194"/>
      <c r="U236" s="194"/>
      <c r="V236" s="194"/>
      <c r="W236" s="194"/>
    </row>
    <row r="237" ht="14.25" customHeight="1">
      <c r="A237" s="186"/>
      <c r="B237" s="13"/>
      <c r="C237" s="267"/>
      <c r="D237" s="187"/>
      <c r="E237" s="188"/>
      <c r="F237" s="189"/>
      <c r="G237" s="187"/>
      <c r="H237" s="204"/>
      <c r="I237" s="204"/>
      <c r="J237" s="196"/>
      <c r="K237" s="196"/>
      <c r="L237" s="192" t="str">
        <f>IFERROR(__xludf.DUMMYFUNCTION("IF(
  AND(D237=""Saída"", J237=""Sangria""),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198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94" t="str">
        <f>IFERROR(__xludf.DUMMYFUNCTION("ifna(VALUE(REGEXEXTRACT(E237,""[0-9.]+[,]+[0-9]+"")))"),"")</f>
        <v/>
      </c>
      <c r="O237" s="194"/>
      <c r="P237" s="194"/>
      <c r="Q237" s="194"/>
      <c r="R237" s="194"/>
      <c r="S237" s="194"/>
      <c r="T237" s="194"/>
      <c r="U237" s="194"/>
      <c r="V237" s="194"/>
      <c r="W237" s="194"/>
    </row>
    <row r="238" ht="14.25" customHeight="1">
      <c r="A238" s="186"/>
      <c r="B238" s="13"/>
      <c r="C238" s="14"/>
      <c r="D238" s="187"/>
      <c r="E238" s="188"/>
      <c r="F238" s="189"/>
      <c r="G238" s="187"/>
      <c r="H238" s="204"/>
      <c r="I238" s="204"/>
      <c r="J238" s="196"/>
      <c r="K238" s="196"/>
      <c r="L238" s="192" t="str">
        <f>IFERROR(__xludf.DUMMYFUNCTION("IF(
  AND(D238=""Saída"", J238=""Sangria""),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197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94" t="str">
        <f>IFERROR(__xludf.DUMMYFUNCTION("ifna(VALUE(REGEXEXTRACT(E238,""[0-9.]+[,]+[0-9]+"")))"),"")</f>
        <v/>
      </c>
      <c r="O238" s="194"/>
      <c r="P238" s="194"/>
      <c r="Q238" s="194"/>
      <c r="R238" s="194"/>
      <c r="S238" s="194"/>
      <c r="T238" s="194"/>
      <c r="U238" s="194"/>
      <c r="V238" s="194"/>
      <c r="W238" s="194"/>
    </row>
    <row r="239" ht="14.25" customHeight="1">
      <c r="A239" s="186"/>
      <c r="B239" s="13"/>
      <c r="C239" s="14"/>
      <c r="D239" s="187"/>
      <c r="E239" s="188"/>
      <c r="F239" s="189"/>
      <c r="G239" s="187"/>
      <c r="H239" s="204"/>
      <c r="I239" s="204"/>
      <c r="J239" s="196"/>
      <c r="K239" s="196"/>
      <c r="L239" s="192" t="str">
        <f>IFERROR(__xludf.DUMMYFUNCTION("IF(
  AND(D239=""Saída"", J239=""Sangria""),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198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94" t="str">
        <f>IFERROR(__xludf.DUMMYFUNCTION("ifna(VALUE(REGEXEXTRACT(E239,""[0-9.]+[,]+[0-9]+"")))"),"")</f>
        <v/>
      </c>
      <c r="O239" s="194"/>
      <c r="P239" s="194"/>
      <c r="Q239" s="194"/>
      <c r="R239" s="194"/>
      <c r="S239" s="194"/>
      <c r="T239" s="194"/>
      <c r="U239" s="194"/>
      <c r="V239" s="194"/>
      <c r="W239" s="194"/>
    </row>
    <row r="240" ht="14.25" customHeight="1">
      <c r="A240" s="186"/>
      <c r="B240" s="13"/>
      <c r="C240" s="14"/>
      <c r="D240" s="187"/>
      <c r="E240" s="188"/>
      <c r="F240" s="189"/>
      <c r="G240" s="187"/>
      <c r="H240" s="204"/>
      <c r="I240" s="204"/>
      <c r="J240" s="196"/>
      <c r="K240" s="196"/>
      <c r="L240" s="192" t="str">
        <f>IFERROR(__xludf.DUMMYFUNCTION("IF(
  AND(D240=""Saída"", J240=""Sangria""),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197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94" t="str">
        <f>IFERROR(__xludf.DUMMYFUNCTION("ifna(VALUE(REGEXEXTRACT(E240,""[0-9.]+[,]+[0-9]+"")))"),"")</f>
        <v/>
      </c>
      <c r="O240" s="194"/>
      <c r="P240" s="194"/>
      <c r="Q240" s="194"/>
      <c r="R240" s="194"/>
      <c r="S240" s="194"/>
      <c r="T240" s="194"/>
      <c r="U240" s="194"/>
      <c r="V240" s="194"/>
      <c r="W240" s="194"/>
    </row>
    <row r="241" ht="14.25" customHeight="1">
      <c r="A241" s="186"/>
      <c r="B241" s="13"/>
      <c r="C241" s="14"/>
      <c r="D241" s="187"/>
      <c r="E241" s="188"/>
      <c r="F241" s="189"/>
      <c r="G241" s="187"/>
      <c r="H241" s="204"/>
      <c r="I241" s="204"/>
      <c r="J241" s="196"/>
      <c r="K241" s="196"/>
      <c r="L241" s="192" t="str">
        <f>IFERROR(__xludf.DUMMYFUNCTION("IF(
  AND(D241=""Saída"", J241=""Sangria""),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198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94" t="str">
        <f>IFERROR(__xludf.DUMMYFUNCTION("ifna(VALUE(REGEXEXTRACT(E241,""[0-9.]+[,]+[0-9]+"")))"),"")</f>
        <v/>
      </c>
      <c r="O241" s="194"/>
      <c r="P241" s="194"/>
      <c r="Q241" s="194"/>
      <c r="R241" s="194"/>
      <c r="S241" s="194"/>
      <c r="T241" s="194"/>
      <c r="U241" s="194"/>
      <c r="V241" s="194"/>
      <c r="W241" s="194"/>
    </row>
    <row r="242" ht="14.25" customHeight="1">
      <c r="A242" s="186"/>
      <c r="B242" s="13"/>
      <c r="C242" s="14"/>
      <c r="D242" s="187"/>
      <c r="E242" s="188"/>
      <c r="F242" s="189"/>
      <c r="G242" s="187"/>
      <c r="H242" s="204"/>
      <c r="I242" s="204"/>
      <c r="J242" s="196"/>
      <c r="K242" s="196"/>
      <c r="L242" s="192" t="str">
        <f>IFERROR(__xludf.DUMMYFUNCTION("IF(
  AND(D242=""Saída"", J242=""Sangria""),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197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94" t="str">
        <f>IFERROR(__xludf.DUMMYFUNCTION("ifna(VALUE(REGEXEXTRACT(E242,""[0-9.]+[,]+[0-9]+"")))"),"")</f>
        <v/>
      </c>
      <c r="O242" s="194"/>
      <c r="P242" s="194"/>
      <c r="Q242" s="194"/>
      <c r="R242" s="194"/>
      <c r="S242" s="194"/>
      <c r="T242" s="194"/>
      <c r="U242" s="194"/>
      <c r="V242" s="194"/>
      <c r="W242" s="194"/>
    </row>
    <row r="243" ht="14.25" customHeight="1">
      <c r="A243" s="186"/>
      <c r="B243" s="13"/>
      <c r="C243" s="14"/>
      <c r="D243" s="187"/>
      <c r="E243" s="188"/>
      <c r="F243" s="189"/>
      <c r="G243" s="187"/>
      <c r="H243" s="204"/>
      <c r="I243" s="204"/>
      <c r="J243" s="196"/>
      <c r="K243" s="196"/>
      <c r="L243" s="192" t="str">
        <f>IFERROR(__xludf.DUMMYFUNCTION("IF(
  AND(D243=""Saída"", J243=""Sangria""),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198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94" t="str">
        <f>IFERROR(__xludf.DUMMYFUNCTION("ifna(VALUE(REGEXEXTRACT(E243,""[0-9.]+[,]+[0-9]+"")))"),"")</f>
        <v/>
      </c>
      <c r="O243" s="194"/>
      <c r="P243" s="194"/>
      <c r="Q243" s="194"/>
      <c r="R243" s="194"/>
      <c r="S243" s="194"/>
      <c r="T243" s="194"/>
      <c r="U243" s="194"/>
      <c r="V243" s="194"/>
      <c r="W243" s="194"/>
    </row>
    <row r="244" ht="14.25" customHeight="1">
      <c r="A244" s="186"/>
      <c r="B244" s="13"/>
      <c r="C244" s="14"/>
      <c r="D244" s="187"/>
      <c r="E244" s="188"/>
      <c r="F244" s="189"/>
      <c r="G244" s="187"/>
      <c r="H244" s="204"/>
      <c r="I244" s="204"/>
      <c r="J244" s="196"/>
      <c r="K244" s="196"/>
      <c r="L244" s="192" t="str">
        <f>IFERROR(__xludf.DUMMYFUNCTION("IF(
  AND(D244=""Saída"", J244=""Sangria""),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197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94" t="str">
        <f>IFERROR(__xludf.DUMMYFUNCTION("ifna(VALUE(REGEXEXTRACT(E244,""[0-9.]+[,]+[0-9]+"")))"),"")</f>
        <v/>
      </c>
      <c r="O244" s="194"/>
      <c r="P244" s="194"/>
      <c r="Q244" s="194"/>
      <c r="R244" s="194"/>
      <c r="S244" s="194"/>
      <c r="T244" s="194"/>
      <c r="U244" s="194"/>
      <c r="V244" s="194"/>
      <c r="W244" s="194"/>
    </row>
    <row r="245" ht="14.25" customHeight="1">
      <c r="A245" s="186"/>
      <c r="B245" s="13"/>
      <c r="C245" s="14"/>
      <c r="D245" s="187"/>
      <c r="E245" s="188"/>
      <c r="F245" s="189"/>
      <c r="G245" s="187"/>
      <c r="H245" s="204"/>
      <c r="I245" s="204"/>
      <c r="J245" s="196"/>
      <c r="K245" s="196"/>
      <c r="L245" s="192" t="str">
        <f>IFERROR(__xludf.DUMMYFUNCTION("IF(
  AND(D245=""Saída"", J245=""Sangria""),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198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94" t="str">
        <f>IFERROR(__xludf.DUMMYFUNCTION("ifna(VALUE(REGEXEXTRACT(E245,""[0-9.]+[,]+[0-9]+"")))"),"")</f>
        <v/>
      </c>
      <c r="O245" s="194"/>
      <c r="P245" s="194"/>
      <c r="Q245" s="194"/>
      <c r="R245" s="194"/>
      <c r="S245" s="194"/>
      <c r="T245" s="194"/>
      <c r="U245" s="194"/>
      <c r="V245" s="194"/>
      <c r="W245" s="194"/>
    </row>
    <row r="246" ht="14.25" customHeight="1">
      <c r="A246" s="186"/>
      <c r="C246" s="14"/>
      <c r="D246" s="187"/>
      <c r="E246" s="188"/>
      <c r="F246" s="189"/>
      <c r="G246" s="187"/>
      <c r="H246" s="204"/>
      <c r="I246" s="204"/>
      <c r="J246" s="196"/>
      <c r="K246" s="196"/>
      <c r="L246" s="192" t="str">
        <f>IFERROR(__xludf.DUMMYFUNCTION("IF(
  AND(D246=""Saída"", J246=""Sangria""),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197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94" t="str">
        <f>IFERROR(__xludf.DUMMYFUNCTION("ifna(VALUE(REGEXEXTRACT(E246,""[0-9.]+[,]+[0-9]+"")))"),"")</f>
        <v/>
      </c>
      <c r="O246" s="194"/>
      <c r="P246" s="194"/>
      <c r="Q246" s="194"/>
      <c r="R246" s="194"/>
      <c r="S246" s="194"/>
      <c r="T246" s="194"/>
      <c r="U246" s="194"/>
      <c r="V246" s="194"/>
      <c r="W246" s="194"/>
    </row>
    <row r="247" ht="14.25" customHeight="1">
      <c r="A247" s="186"/>
      <c r="B247" s="13"/>
      <c r="C247" s="14"/>
      <c r="D247" s="187"/>
      <c r="E247" s="188"/>
      <c r="F247" s="200"/>
      <c r="G247" s="187"/>
      <c r="H247" s="204"/>
      <c r="I247" s="204"/>
      <c r="J247" s="196"/>
      <c r="K247" s="196"/>
      <c r="L247" s="192" t="str">
        <f>IFERROR(__xludf.DUMMYFUNCTION("IF(
  AND(D247=""Saída"", J247=""Sangria""),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198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94" t="str">
        <f>IFERROR(__xludf.DUMMYFUNCTION("ifna(VALUE(REGEXEXTRACT(E247,""[0-9.]+[,]+[0-9]+"")))"),"")</f>
        <v/>
      </c>
      <c r="O247" s="194"/>
      <c r="P247" s="194"/>
      <c r="Q247" s="194"/>
      <c r="R247" s="194"/>
      <c r="S247" s="194"/>
      <c r="T247" s="194"/>
      <c r="U247" s="194"/>
      <c r="V247" s="194"/>
      <c r="W247" s="194"/>
    </row>
    <row r="248" ht="14.25" customHeight="1">
      <c r="A248" s="186"/>
      <c r="B248" s="13"/>
      <c r="C248" s="14"/>
      <c r="D248" s="187"/>
      <c r="E248" s="188"/>
      <c r="F248" s="189"/>
      <c r="G248" s="187"/>
      <c r="H248" s="204"/>
      <c r="I248" s="204"/>
      <c r="J248" s="196"/>
      <c r="K248" s="196"/>
      <c r="L248" s="192" t="str">
        <f>IFERROR(__xludf.DUMMYFUNCTION("IF(
  AND(D248=""Saída"", J248=""Sangria""),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197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94" t="str">
        <f>IFERROR(__xludf.DUMMYFUNCTION("ifna(VALUE(REGEXEXTRACT(E248,""[0-9.]+[,]+[0-9]+"")))"),"")</f>
        <v/>
      </c>
      <c r="O248" s="194"/>
      <c r="P248" s="194"/>
      <c r="Q248" s="194"/>
      <c r="R248" s="194"/>
      <c r="S248" s="194"/>
      <c r="T248" s="194"/>
      <c r="U248" s="194"/>
      <c r="V248" s="194"/>
      <c r="W248" s="194"/>
    </row>
    <row r="249" ht="14.25" customHeight="1">
      <c r="A249" s="186"/>
      <c r="B249" s="13"/>
      <c r="C249" s="14"/>
      <c r="D249" s="187"/>
      <c r="E249" s="188"/>
      <c r="F249" s="189"/>
      <c r="G249" s="13"/>
      <c r="H249" s="204"/>
      <c r="I249" s="204"/>
      <c r="J249" s="196"/>
      <c r="K249" s="196"/>
      <c r="L249" s="192" t="str">
        <f>IFERROR(__xludf.DUMMYFUNCTION("IF(
  AND(D249=""Saída"", J249=""Sangria""),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198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94" t="str">
        <f>IFERROR(__xludf.DUMMYFUNCTION("ifna(VALUE(REGEXEXTRACT(E249,""[0-9.]+[,]+[0-9]+"")))"),"")</f>
        <v/>
      </c>
      <c r="O249" s="194"/>
      <c r="P249" s="194"/>
      <c r="Q249" s="194"/>
      <c r="R249" s="194"/>
      <c r="S249" s="194"/>
      <c r="T249" s="194"/>
      <c r="U249" s="194"/>
      <c r="V249" s="194"/>
      <c r="W249" s="194"/>
    </row>
    <row r="250" ht="14.25" customHeight="1">
      <c r="A250" s="186"/>
      <c r="B250" s="13"/>
      <c r="C250" s="14"/>
      <c r="D250" s="187"/>
      <c r="E250" s="188"/>
      <c r="F250" s="200"/>
      <c r="G250" s="187"/>
      <c r="H250" s="204"/>
      <c r="I250" s="204"/>
      <c r="J250" s="196"/>
      <c r="K250" s="196"/>
      <c r="L250" s="192" t="str">
        <f>IFERROR(__xludf.DUMMYFUNCTION("IF(
  AND(D250=""Saída"", J250=""Sangria""),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197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94" t="str">
        <f>IFERROR(__xludf.DUMMYFUNCTION("ifna(VALUE(REGEXEXTRACT(E250,""[0-9.]+[,]+[0-9]+"")))"),"")</f>
        <v/>
      </c>
      <c r="O250" s="194"/>
      <c r="P250" s="194"/>
      <c r="Q250" s="194"/>
      <c r="R250" s="194"/>
      <c r="S250" s="194"/>
      <c r="T250" s="194"/>
      <c r="U250" s="194"/>
      <c r="V250" s="194"/>
      <c r="W250" s="194"/>
    </row>
    <row r="251" ht="14.25" customHeight="1">
      <c r="A251" s="186"/>
      <c r="B251" s="13"/>
      <c r="C251" s="14"/>
      <c r="D251" s="187"/>
      <c r="E251" s="188"/>
      <c r="F251" s="200"/>
      <c r="G251" s="187"/>
      <c r="H251" s="204"/>
      <c r="I251" s="204"/>
      <c r="J251" s="196"/>
      <c r="K251" s="196"/>
      <c r="L251" s="192" t="str">
        <f>IFERROR(__xludf.DUMMYFUNCTION("IF(
  AND(D251=""Saída"", J251=""Sangria""),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198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94" t="str">
        <f>IFERROR(__xludf.DUMMYFUNCTION("ifna(VALUE(REGEXEXTRACT(E251,""[0-9.]+[,]+[0-9]+"")))"),"")</f>
        <v/>
      </c>
      <c r="O251" s="194"/>
      <c r="P251" s="194"/>
      <c r="Q251" s="194"/>
      <c r="R251" s="194"/>
      <c r="S251" s="194"/>
      <c r="T251" s="194"/>
      <c r="U251" s="194"/>
      <c r="V251" s="194"/>
      <c r="W251" s="194"/>
    </row>
    <row r="252" ht="14.25" customHeight="1">
      <c r="A252" s="186"/>
      <c r="B252" s="13"/>
      <c r="C252" s="14"/>
      <c r="D252" s="13"/>
      <c r="E252" s="188"/>
      <c r="F252" s="189"/>
      <c r="G252" s="187"/>
      <c r="H252" s="204"/>
      <c r="I252" s="204"/>
      <c r="J252" s="196"/>
      <c r="K252" s="196"/>
      <c r="L252" s="192" t="str">
        <f>IFERROR(__xludf.DUMMYFUNCTION("IF(
  AND(D252=""Saída"", J252=""Sangria""),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197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94" t="str">
        <f>IFERROR(__xludf.DUMMYFUNCTION("ifna(VALUE(REGEXEXTRACT(E252,""[0-9.]+[,]+[0-9]+"")))"),"")</f>
        <v/>
      </c>
      <c r="O252" s="194"/>
      <c r="P252" s="194"/>
      <c r="Q252" s="194"/>
      <c r="R252" s="194"/>
      <c r="S252" s="194"/>
      <c r="T252" s="194"/>
      <c r="U252" s="194"/>
      <c r="V252" s="194"/>
      <c r="W252" s="194"/>
    </row>
    <row r="253" ht="14.25" customHeight="1">
      <c r="A253" s="186"/>
      <c r="B253" s="13"/>
      <c r="C253" s="14"/>
      <c r="D253" s="187"/>
      <c r="E253" s="188"/>
      <c r="F253" s="189"/>
      <c r="G253" s="187"/>
      <c r="H253" s="204"/>
      <c r="I253" s="204"/>
      <c r="J253" s="196"/>
      <c r="K253" s="196"/>
      <c r="L253" s="192" t="str">
        <f>IFERROR(__xludf.DUMMYFUNCTION("IF(
  AND(D253=""Saída"", J253=""Sangria""),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198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94" t="str">
        <f>IFERROR(__xludf.DUMMYFUNCTION("ifna(VALUE(REGEXEXTRACT(E253,""[0-9.]+[,]+[0-9]+"")))"),"")</f>
        <v/>
      </c>
      <c r="O253" s="194"/>
      <c r="P253" s="194"/>
      <c r="Q253" s="194"/>
      <c r="R253" s="194"/>
      <c r="S253" s="194"/>
      <c r="T253" s="194"/>
      <c r="U253" s="194"/>
      <c r="V253" s="194"/>
      <c r="W253" s="194"/>
    </row>
    <row r="254" ht="14.25" customHeight="1">
      <c r="A254" s="186"/>
      <c r="B254" s="13"/>
      <c r="C254" s="14"/>
      <c r="D254" s="187"/>
      <c r="E254" s="188"/>
      <c r="F254" s="189"/>
      <c r="G254" s="187"/>
      <c r="H254" s="204"/>
      <c r="I254" s="204"/>
      <c r="J254" s="196"/>
      <c r="K254" s="196"/>
      <c r="L254" s="192" t="str">
        <f>IFERROR(__xludf.DUMMYFUNCTION("IF(
  AND(D254=""Saída"", J254=""Sangria""),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197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94" t="str">
        <f>IFERROR(__xludf.DUMMYFUNCTION("ifna(VALUE(REGEXEXTRACT(E254,""[0-9.]+[,]+[0-9]+"")))"),"")</f>
        <v/>
      </c>
      <c r="O254" s="194"/>
      <c r="P254" s="194"/>
      <c r="Q254" s="194"/>
      <c r="R254" s="194"/>
      <c r="S254" s="194"/>
      <c r="T254" s="194"/>
      <c r="U254" s="194"/>
      <c r="V254" s="194"/>
      <c r="W254" s="194"/>
    </row>
    <row r="255" ht="14.25" customHeight="1">
      <c r="A255" s="186"/>
      <c r="B255" s="13"/>
      <c r="C255" s="14"/>
      <c r="D255" s="187"/>
      <c r="E255" s="188"/>
      <c r="F255" s="189"/>
      <c r="G255" s="187"/>
      <c r="H255" s="204"/>
      <c r="I255" s="204"/>
      <c r="J255" s="196"/>
      <c r="K255" s="196"/>
      <c r="L255" s="192" t="str">
        <f>IFERROR(__xludf.DUMMYFUNCTION("IF(
  AND(D255=""Saída"", J255=""Sangria""),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198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94" t="str">
        <f>IFERROR(__xludf.DUMMYFUNCTION("ifna(VALUE(REGEXEXTRACT(E255,""[0-9.]+[,]+[0-9]+"")))"),"")</f>
        <v/>
      </c>
      <c r="O255" s="194"/>
      <c r="P255" s="194"/>
      <c r="Q255" s="194"/>
      <c r="R255" s="194"/>
      <c r="S255" s="194"/>
      <c r="T255" s="194"/>
      <c r="U255" s="194"/>
      <c r="V255" s="194"/>
      <c r="W255" s="194"/>
    </row>
    <row r="256" ht="14.25" customHeight="1">
      <c r="A256" s="186"/>
      <c r="B256" s="13"/>
      <c r="C256" s="14"/>
      <c r="D256" s="187"/>
      <c r="E256" s="188"/>
      <c r="F256" s="189"/>
      <c r="G256" s="187"/>
      <c r="H256" s="204"/>
      <c r="I256" s="204"/>
      <c r="J256" s="196"/>
      <c r="K256" s="196"/>
      <c r="L256" s="192" t="str">
        <f>IFERROR(__xludf.DUMMYFUNCTION("IF(
  AND(D256=""Saída"", J256=""Sangria""),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197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94" t="str">
        <f>IFERROR(__xludf.DUMMYFUNCTION("ifna(VALUE(REGEXEXTRACT(E256,""[0-9.]+[,]+[0-9]+"")))"),"")</f>
        <v/>
      </c>
      <c r="O256" s="194"/>
      <c r="P256" s="194"/>
      <c r="Q256" s="194"/>
      <c r="R256" s="194"/>
      <c r="S256" s="194"/>
      <c r="T256" s="194"/>
      <c r="U256" s="194"/>
      <c r="V256" s="194"/>
      <c r="W256" s="194"/>
    </row>
    <row r="257" ht="14.25" customHeight="1">
      <c r="A257" s="186"/>
      <c r="B257" s="13"/>
      <c r="C257" s="14"/>
      <c r="D257" s="187"/>
      <c r="E257" s="188"/>
      <c r="F257" s="189"/>
      <c r="G257" s="187"/>
      <c r="H257" s="204"/>
      <c r="I257" s="204"/>
      <c r="J257" s="196"/>
      <c r="K257" s="196"/>
      <c r="L257" s="192" t="str">
        <f>IFERROR(__xludf.DUMMYFUNCTION("IF(
  AND(D257=""Saída"", J257=""Sangria""),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198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94" t="str">
        <f>IFERROR(__xludf.DUMMYFUNCTION("ifna(VALUE(REGEXEXTRACT(E257,""[0-9.]+[,]+[0-9]+"")))"),"")</f>
        <v/>
      </c>
      <c r="O257" s="194"/>
      <c r="P257" s="194"/>
      <c r="Q257" s="194"/>
      <c r="R257" s="194"/>
      <c r="S257" s="194"/>
      <c r="T257" s="194"/>
      <c r="U257" s="194"/>
      <c r="V257" s="194"/>
      <c r="W257" s="194"/>
    </row>
    <row r="258" ht="14.25" customHeight="1">
      <c r="A258" s="186"/>
      <c r="B258" s="13"/>
      <c r="C258" s="14"/>
      <c r="D258" s="187"/>
      <c r="E258" s="188"/>
      <c r="F258" s="189"/>
      <c r="G258" s="187"/>
      <c r="H258" s="204"/>
      <c r="I258" s="204"/>
      <c r="J258" s="196"/>
      <c r="K258" s="196"/>
      <c r="L258" s="192" t="str">
        <f>IFERROR(__xludf.DUMMYFUNCTION("IF(
  AND(D258=""Saída"", J258=""Sangria""),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197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94" t="str">
        <f>IFERROR(__xludf.DUMMYFUNCTION("ifna(VALUE(REGEXEXTRACT(E258,""[0-9.]+[,]+[0-9]+"")))"),"")</f>
        <v/>
      </c>
      <c r="O258" s="194"/>
      <c r="P258" s="194"/>
      <c r="Q258" s="194"/>
      <c r="R258" s="194"/>
      <c r="S258" s="194"/>
      <c r="T258" s="194"/>
      <c r="U258" s="194"/>
      <c r="V258" s="194"/>
      <c r="W258" s="194"/>
    </row>
    <row r="259" ht="14.25" customHeight="1">
      <c r="A259" s="186"/>
      <c r="B259" s="13"/>
      <c r="C259" s="14"/>
      <c r="D259" s="187"/>
      <c r="E259" s="188"/>
      <c r="F259" s="189"/>
      <c r="G259" s="187"/>
      <c r="H259" s="204"/>
      <c r="I259" s="204"/>
      <c r="J259" s="196"/>
      <c r="K259" s="196"/>
      <c r="L259" s="192" t="str">
        <f>IFERROR(__xludf.DUMMYFUNCTION("IF(
  AND(D259=""Saída"", J259=""Sangria""),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198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94" t="str">
        <f>IFERROR(__xludf.DUMMYFUNCTION("ifna(VALUE(REGEXEXTRACT(E259,""[0-9.]+[,]+[0-9]+"")))"),"")</f>
        <v/>
      </c>
      <c r="O259" s="194"/>
      <c r="P259" s="194"/>
      <c r="Q259" s="194"/>
      <c r="R259" s="194"/>
      <c r="S259" s="194"/>
      <c r="T259" s="194"/>
      <c r="U259" s="194"/>
      <c r="V259" s="194"/>
      <c r="W259" s="194"/>
    </row>
    <row r="260" ht="14.25" customHeight="1">
      <c r="A260" s="186"/>
      <c r="B260" s="13"/>
      <c r="C260" s="14"/>
      <c r="D260" s="187"/>
      <c r="E260" s="188"/>
      <c r="F260" s="200"/>
      <c r="G260" s="187"/>
      <c r="H260" s="204"/>
      <c r="I260" s="204"/>
      <c r="J260" s="196"/>
      <c r="K260" s="196"/>
      <c r="L260" s="192" t="str">
        <f>IFERROR(__xludf.DUMMYFUNCTION("IF(
  AND(D260=""Saída"", J260=""Sangria""),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197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94" t="str">
        <f>IFERROR(__xludf.DUMMYFUNCTION("ifna(VALUE(REGEXEXTRACT(E260,""[0-9.]+[,]+[0-9]+"")))"),"")</f>
        <v/>
      </c>
      <c r="O260" s="194"/>
      <c r="P260" s="194"/>
      <c r="Q260" s="194"/>
      <c r="R260" s="194"/>
      <c r="S260" s="194"/>
      <c r="T260" s="194"/>
      <c r="U260" s="194"/>
      <c r="V260" s="194"/>
      <c r="W260" s="194"/>
    </row>
    <row r="261" ht="14.25" customHeight="1">
      <c r="A261" s="186"/>
      <c r="B261" s="13"/>
      <c r="C261" s="14"/>
      <c r="D261" s="187"/>
      <c r="E261" s="188"/>
      <c r="F261" s="189"/>
      <c r="G261" s="13"/>
      <c r="H261" s="204"/>
      <c r="I261" s="204"/>
      <c r="J261" s="196"/>
      <c r="K261" s="196"/>
      <c r="L261" s="192" t="str">
        <f>IFERROR(__xludf.DUMMYFUNCTION("IF(
  AND(D261=""Saída"", J261=""Sangria""),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198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94" t="str">
        <f>IFERROR(__xludf.DUMMYFUNCTION("ifna(VALUE(REGEXEXTRACT(E261,""[0-9.]+[,]+[0-9]+"")))"),"")</f>
        <v/>
      </c>
      <c r="O261" s="194"/>
      <c r="P261" s="194"/>
      <c r="Q261" s="194"/>
      <c r="R261" s="194"/>
      <c r="S261" s="194"/>
      <c r="T261" s="194"/>
      <c r="U261" s="194"/>
      <c r="V261" s="194"/>
      <c r="W261" s="194"/>
    </row>
    <row r="262" ht="14.25" customHeight="1">
      <c r="A262" s="186"/>
      <c r="B262" s="13"/>
      <c r="C262" s="14"/>
      <c r="D262" s="187"/>
      <c r="E262" s="188"/>
      <c r="F262" s="189"/>
      <c r="G262" s="13"/>
      <c r="H262" s="204"/>
      <c r="I262" s="204"/>
      <c r="J262" s="196"/>
      <c r="K262" s="196"/>
      <c r="L262" s="192" t="str">
        <f>IFERROR(__xludf.DUMMYFUNCTION("IF(
  AND(D262=""Saída"", J262=""Sangria""),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197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94" t="str">
        <f>IFERROR(__xludf.DUMMYFUNCTION("ifna(VALUE(REGEXEXTRACT(E262,""[0-9.]+[,]+[0-9]+"")))"),"")</f>
        <v/>
      </c>
      <c r="O262" s="194"/>
      <c r="P262" s="194"/>
      <c r="Q262" s="194"/>
      <c r="R262" s="194"/>
      <c r="S262" s="194"/>
      <c r="T262" s="194"/>
      <c r="U262" s="194"/>
      <c r="V262" s="194"/>
      <c r="W262" s="194"/>
    </row>
    <row r="263" ht="14.25" customHeight="1">
      <c r="A263" s="186"/>
      <c r="B263" s="13"/>
      <c r="C263" s="14"/>
      <c r="D263" s="187"/>
      <c r="E263" s="188"/>
      <c r="F263" s="189"/>
      <c r="G263" s="187"/>
      <c r="H263" s="204"/>
      <c r="I263" s="204"/>
      <c r="J263" s="196"/>
      <c r="K263" s="196"/>
      <c r="L263" s="192" t="str">
        <f>IFERROR(__xludf.DUMMYFUNCTION("IF(
  AND(D263=""Saída"", J263=""Sangria""),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198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94" t="str">
        <f>IFERROR(__xludf.DUMMYFUNCTION("ifna(VALUE(REGEXEXTRACT(E263,""[0-9.]+[,]+[0-9]+"")))"),"")</f>
        <v/>
      </c>
      <c r="O263" s="194"/>
      <c r="P263" s="194"/>
      <c r="Q263" s="194"/>
      <c r="R263" s="194"/>
      <c r="S263" s="194"/>
      <c r="T263" s="194"/>
      <c r="U263" s="194"/>
      <c r="V263" s="194"/>
      <c r="W263" s="194"/>
    </row>
    <row r="264" ht="14.25" customHeight="1">
      <c r="A264" s="186"/>
      <c r="B264" s="13"/>
      <c r="C264" s="14"/>
      <c r="D264" s="187"/>
      <c r="E264" s="188"/>
      <c r="F264" s="189"/>
      <c r="G264" s="187"/>
      <c r="H264" s="204"/>
      <c r="I264" s="204"/>
      <c r="J264" s="196"/>
      <c r="K264" s="196"/>
      <c r="L264" s="192" t="str">
        <f>IFERROR(__xludf.DUMMYFUNCTION("IF(
  AND(D264=""Saída"", J264=""Sangria""),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197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94" t="str">
        <f>IFERROR(__xludf.DUMMYFUNCTION("ifna(VALUE(REGEXEXTRACT(E264,""[0-9.]+[,]+[0-9]+"")))"),"")</f>
        <v/>
      </c>
      <c r="O264" s="194"/>
      <c r="P264" s="194"/>
      <c r="Q264" s="194"/>
      <c r="R264" s="194"/>
      <c r="S264" s="194"/>
      <c r="T264" s="194"/>
      <c r="U264" s="194"/>
      <c r="V264" s="194"/>
      <c r="W264" s="194"/>
    </row>
    <row r="265" ht="14.25" customHeight="1">
      <c r="A265" s="186"/>
      <c r="B265" s="13"/>
      <c r="C265" s="14"/>
      <c r="D265" s="187"/>
      <c r="E265" s="188"/>
      <c r="F265" s="200"/>
      <c r="G265" s="187"/>
      <c r="H265" s="204"/>
      <c r="I265" s="204"/>
      <c r="J265" s="196"/>
      <c r="K265" s="196"/>
      <c r="L265" s="192" t="str">
        <f>IFERROR(__xludf.DUMMYFUNCTION("IF(
  AND(D265=""Saída"", J265=""Sangria""),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198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94" t="str">
        <f>IFERROR(__xludf.DUMMYFUNCTION("ifna(VALUE(REGEXEXTRACT(E265,""[0-9.]+[,]+[0-9]+"")))"),"")</f>
        <v/>
      </c>
      <c r="O265" s="194"/>
      <c r="P265" s="194"/>
      <c r="Q265" s="194"/>
      <c r="R265" s="194"/>
      <c r="S265" s="194"/>
      <c r="T265" s="194"/>
      <c r="U265" s="194"/>
      <c r="V265" s="194"/>
      <c r="W265" s="194"/>
    </row>
    <row r="266" ht="14.25" customHeight="1">
      <c r="A266" s="186"/>
      <c r="B266" s="268"/>
      <c r="C266" s="269"/>
      <c r="D266" s="270"/>
      <c r="E266" s="271"/>
      <c r="F266" s="272"/>
      <c r="G266" s="273"/>
      <c r="H266" s="204"/>
      <c r="I266" s="204"/>
      <c r="J266" s="196"/>
      <c r="K266" s="196"/>
      <c r="L266" s="192" t="str">
        <f>IFERROR(__xludf.DUMMYFUNCTION("IF(
  AND(D266=""Saída"", J266=""Sangria""),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197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94" t="str">
        <f>IFERROR(__xludf.DUMMYFUNCTION("ifna(VALUE(REGEXEXTRACT(E266,""[0-9.]+[,]+[0-9]+"")))"),"")</f>
        <v/>
      </c>
      <c r="O266" s="194"/>
      <c r="P266" s="194"/>
      <c r="Q266" s="194"/>
      <c r="R266" s="194"/>
      <c r="S266" s="194"/>
      <c r="T266" s="194"/>
      <c r="U266" s="194"/>
      <c r="V266" s="194"/>
      <c r="W266" s="194"/>
    </row>
    <row r="267" ht="14.25" customHeight="1">
      <c r="A267" s="186"/>
      <c r="B267" s="268"/>
      <c r="C267" s="269"/>
      <c r="D267" s="270"/>
      <c r="E267" s="271"/>
      <c r="F267" s="272"/>
      <c r="G267" s="274"/>
      <c r="H267" s="204"/>
      <c r="I267" s="204"/>
      <c r="J267" s="196"/>
      <c r="K267" s="196"/>
      <c r="L267" s="192" t="str">
        <f>IFERROR(__xludf.DUMMYFUNCTION("IF(
  AND(D267=""Saída"", J267=""Sangria""),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198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94" t="str">
        <f>IFERROR(__xludf.DUMMYFUNCTION("ifna(VALUE(REGEXEXTRACT(E267,""[0-9.]+[,]+[0-9]+"")))"),"")</f>
        <v/>
      </c>
      <c r="O267" s="194"/>
      <c r="P267" s="194"/>
      <c r="Q267" s="194"/>
      <c r="R267" s="194"/>
      <c r="S267" s="194"/>
      <c r="T267" s="194"/>
      <c r="U267" s="194"/>
      <c r="V267" s="194"/>
      <c r="W267" s="194"/>
    </row>
    <row r="268" ht="14.25" customHeight="1">
      <c r="A268" s="186"/>
      <c r="B268" s="268"/>
      <c r="C268" s="269"/>
      <c r="D268" s="270"/>
      <c r="E268" s="271"/>
      <c r="F268" s="272"/>
      <c r="G268" s="273"/>
      <c r="H268" s="204"/>
      <c r="I268" s="204"/>
      <c r="J268" s="212"/>
      <c r="K268" s="196"/>
      <c r="L268" s="192" t="str">
        <f>IFERROR(__xludf.DUMMYFUNCTION("IF(
  AND(D268=""Saída"", J268=""Sangria""),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197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94" t="str">
        <f>IFERROR(__xludf.DUMMYFUNCTION("ifna(VALUE(REGEXEXTRACT(E268,""[0-9.]+[,]+[0-9]+"")))"),"")</f>
        <v/>
      </c>
      <c r="O268" s="194"/>
      <c r="P268" s="194"/>
      <c r="Q268" s="194"/>
      <c r="R268" s="194"/>
      <c r="S268" s="194"/>
      <c r="T268" s="194"/>
      <c r="U268" s="194"/>
      <c r="V268" s="194"/>
      <c r="W268" s="194"/>
    </row>
    <row r="269" ht="14.25" customHeight="1">
      <c r="A269" s="186"/>
      <c r="B269" s="268"/>
      <c r="C269" s="269"/>
      <c r="D269" s="270"/>
      <c r="E269" s="271"/>
      <c r="F269" s="272"/>
      <c r="G269" s="273"/>
      <c r="H269" s="204"/>
      <c r="I269" s="204"/>
      <c r="J269" s="196"/>
      <c r="K269" s="196"/>
      <c r="L269" s="192" t="str">
        <f>IFERROR(__xludf.DUMMYFUNCTION("IF(
  AND(D269=""Saída"", J269=""Sangria""),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198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94" t="str">
        <f>IFERROR(__xludf.DUMMYFUNCTION("ifna(VALUE(REGEXEXTRACT(E269,""[0-9.]+[,]+[0-9]+"")))"),"")</f>
        <v/>
      </c>
      <c r="O269" s="194"/>
      <c r="P269" s="194"/>
      <c r="Q269" s="194"/>
      <c r="R269" s="194"/>
      <c r="S269" s="194"/>
      <c r="T269" s="194"/>
      <c r="U269" s="194"/>
      <c r="V269" s="194"/>
      <c r="W269" s="194"/>
    </row>
    <row r="270" ht="14.25" customHeight="1">
      <c r="A270" s="186"/>
      <c r="B270" s="268"/>
      <c r="C270" s="269"/>
      <c r="D270" s="270"/>
      <c r="E270" s="271"/>
      <c r="F270" s="272"/>
      <c r="G270" s="273"/>
      <c r="H270" s="204"/>
      <c r="I270" s="204"/>
      <c r="J270" s="196"/>
      <c r="K270" s="196"/>
      <c r="L270" s="192" t="str">
        <f>IFERROR(__xludf.DUMMYFUNCTION("IF(
  AND(D270=""Saída"", J270=""Sangria""),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197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94" t="str">
        <f>IFERROR(__xludf.DUMMYFUNCTION("ifna(VALUE(REGEXEXTRACT(E270,""[0-9.]+[,]+[0-9]+"")))"),"")</f>
        <v/>
      </c>
      <c r="O270" s="194"/>
      <c r="P270" s="194"/>
      <c r="Q270" s="194"/>
      <c r="R270" s="194"/>
      <c r="S270" s="194"/>
      <c r="T270" s="194"/>
      <c r="U270" s="194"/>
      <c r="V270" s="194"/>
      <c r="W270" s="194"/>
    </row>
    <row r="271" ht="14.25" customHeight="1">
      <c r="A271" s="186"/>
      <c r="B271" s="268"/>
      <c r="C271" s="269"/>
      <c r="D271" s="270"/>
      <c r="E271" s="275"/>
      <c r="F271" s="276"/>
      <c r="G271" s="273"/>
      <c r="H271" s="204"/>
      <c r="I271" s="204"/>
      <c r="J271" s="196"/>
      <c r="K271" s="196"/>
      <c r="L271" s="192" t="str">
        <f>IFERROR(__xludf.DUMMYFUNCTION("IF(
  AND(D271=""Saída"", J271=""Sangria""),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198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94" t="str">
        <f>IFERROR(__xludf.DUMMYFUNCTION("ifna(VALUE(REGEXEXTRACT(E271,""[0-9.]+[,]+[0-9]+"")))"),"")</f>
        <v/>
      </c>
      <c r="O271" s="194"/>
      <c r="P271" s="194"/>
      <c r="Q271" s="194"/>
      <c r="R271" s="194"/>
      <c r="S271" s="194"/>
      <c r="T271" s="194"/>
      <c r="U271" s="194"/>
      <c r="V271" s="194"/>
      <c r="W271" s="194"/>
    </row>
    <row r="272" ht="14.25" customHeight="1">
      <c r="A272" s="186"/>
      <c r="B272" s="268"/>
      <c r="C272" s="269"/>
      <c r="D272" s="270"/>
      <c r="E272" s="271"/>
      <c r="F272" s="276"/>
      <c r="G272" s="273"/>
      <c r="H272" s="204"/>
      <c r="I272" s="204"/>
      <c r="J272" s="196"/>
      <c r="K272" s="196"/>
      <c r="L272" s="192" t="str">
        <f>IFERROR(__xludf.DUMMYFUNCTION("IF(
  AND(D272=""Saída"", J272=""Sangria""),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197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94" t="str">
        <f>IFERROR(__xludf.DUMMYFUNCTION("ifna(VALUE(REGEXEXTRACT(E272,""[0-9.]+[,]+[0-9]+"")))"),"")</f>
        <v/>
      </c>
      <c r="O272" s="194"/>
      <c r="P272" s="194"/>
      <c r="Q272" s="194"/>
      <c r="R272" s="194"/>
      <c r="S272" s="194"/>
      <c r="T272" s="194"/>
      <c r="U272" s="194"/>
      <c r="V272" s="194"/>
      <c r="W272" s="194"/>
    </row>
    <row r="273" ht="14.25" customHeight="1">
      <c r="A273" s="186"/>
      <c r="B273" s="268"/>
      <c r="C273" s="269"/>
      <c r="D273" s="270"/>
      <c r="E273" s="271"/>
      <c r="F273" s="272"/>
      <c r="G273" s="273"/>
      <c r="H273" s="204"/>
      <c r="I273" s="204"/>
      <c r="J273" s="196"/>
      <c r="K273" s="196"/>
      <c r="L273" s="192" t="str">
        <f>IFERROR(__xludf.DUMMYFUNCTION("IF(
  AND(D273=""Saída"", J273=""Sangria""),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198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94" t="str">
        <f>IFERROR(__xludf.DUMMYFUNCTION("ifna(VALUE(REGEXEXTRACT(E273,""[0-9.]+[,]+[0-9]+"")))"),"")</f>
        <v/>
      </c>
      <c r="O273" s="194"/>
      <c r="P273" s="194"/>
      <c r="Q273" s="194"/>
      <c r="R273" s="194"/>
      <c r="S273" s="194"/>
      <c r="T273" s="194"/>
      <c r="U273" s="194"/>
      <c r="V273" s="194"/>
      <c r="W273" s="194"/>
    </row>
    <row r="274" ht="14.25" customHeight="1">
      <c r="A274" s="186"/>
      <c r="B274" s="268"/>
      <c r="C274" s="269"/>
      <c r="D274" s="270"/>
      <c r="E274" s="271"/>
      <c r="F274" s="272"/>
      <c r="G274" s="273"/>
      <c r="H274" s="204"/>
      <c r="I274" s="204"/>
      <c r="J274" s="196"/>
      <c r="K274" s="196"/>
      <c r="L274" s="192" t="str">
        <f>IFERROR(__xludf.DUMMYFUNCTION("IF(
  AND(D274=""Saída"", J274=""Sangria""),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197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94" t="str">
        <f>IFERROR(__xludf.DUMMYFUNCTION("ifna(VALUE(REGEXEXTRACT(E274,""[0-9.]+[,]+[0-9]+"")))"),"")</f>
        <v/>
      </c>
      <c r="O274" s="194"/>
      <c r="P274" s="194"/>
      <c r="Q274" s="194"/>
      <c r="R274" s="194"/>
      <c r="S274" s="194"/>
      <c r="T274" s="194"/>
      <c r="U274" s="194"/>
      <c r="V274" s="194"/>
      <c r="W274" s="194"/>
    </row>
    <row r="275" ht="14.25" customHeight="1">
      <c r="A275" s="186"/>
      <c r="B275" s="268"/>
      <c r="C275" s="269"/>
      <c r="D275" s="270"/>
      <c r="E275" s="271"/>
      <c r="F275" s="276"/>
      <c r="G275" s="273"/>
      <c r="H275" s="204"/>
      <c r="I275" s="204"/>
      <c r="J275" s="196"/>
      <c r="K275" s="196"/>
      <c r="L275" s="192" t="str">
        <f>IFERROR(__xludf.DUMMYFUNCTION("IF(
  AND(D275=""Saída"", J275=""Sangria""),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198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94" t="str">
        <f>IFERROR(__xludf.DUMMYFUNCTION("ifna(VALUE(REGEXEXTRACT(E275,""[0-9.]+[,]+[0-9]+"")))"),"")</f>
        <v/>
      </c>
      <c r="O275" s="194"/>
      <c r="P275" s="194"/>
      <c r="Q275" s="194"/>
      <c r="R275" s="194"/>
      <c r="S275" s="194"/>
      <c r="T275" s="194"/>
      <c r="U275" s="194"/>
      <c r="V275" s="194"/>
      <c r="W275" s="194"/>
    </row>
    <row r="276" ht="14.25" customHeight="1">
      <c r="A276" s="186"/>
      <c r="B276" s="268"/>
      <c r="C276" s="269"/>
      <c r="D276" s="270"/>
      <c r="E276" s="271"/>
      <c r="F276" s="272"/>
      <c r="G276" s="273"/>
      <c r="H276" s="204"/>
      <c r="I276" s="204"/>
      <c r="J276" s="196"/>
      <c r="K276" s="196"/>
      <c r="L276" s="192" t="str">
        <f>IFERROR(__xludf.DUMMYFUNCTION("IF(
  AND(D276=""Saída"", J276=""Sangria""),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197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94" t="str">
        <f>IFERROR(__xludf.DUMMYFUNCTION("ifna(VALUE(REGEXEXTRACT(E276,""[0-9.]+[,]+[0-9]+"")))"),"")</f>
        <v/>
      </c>
      <c r="O276" s="194"/>
      <c r="P276" s="194"/>
      <c r="Q276" s="194"/>
      <c r="R276" s="194"/>
      <c r="S276" s="194"/>
      <c r="T276" s="194"/>
      <c r="U276" s="194"/>
      <c r="V276" s="194"/>
      <c r="W276" s="194"/>
    </row>
    <row r="277" ht="14.25" customHeight="1">
      <c r="A277" s="186"/>
      <c r="B277" s="268"/>
      <c r="C277" s="269"/>
      <c r="D277" s="270"/>
      <c r="E277" s="271"/>
      <c r="F277" s="272"/>
      <c r="G277" s="273"/>
      <c r="H277" s="204"/>
      <c r="I277" s="204"/>
      <c r="J277" s="196"/>
      <c r="K277" s="196"/>
      <c r="L277" s="192" t="str">
        <f>IFERROR(__xludf.DUMMYFUNCTION("IF(
  AND(D277=""Saída"", J277=""Sangria""),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198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94" t="str">
        <f>IFERROR(__xludf.DUMMYFUNCTION("ifna(VALUE(REGEXEXTRACT(E277,""[0-9.]+[,]+[0-9]+"")))"),"")</f>
        <v/>
      </c>
      <c r="O277" s="194"/>
      <c r="P277" s="194"/>
      <c r="Q277" s="194"/>
      <c r="R277" s="194"/>
      <c r="S277" s="194"/>
      <c r="T277" s="194"/>
      <c r="U277" s="194"/>
      <c r="V277" s="194"/>
      <c r="W277" s="194"/>
    </row>
    <row r="278" ht="14.25" customHeight="1">
      <c r="A278" s="186"/>
      <c r="B278" s="268"/>
      <c r="C278" s="269"/>
      <c r="D278" s="270"/>
      <c r="E278" s="271"/>
      <c r="F278" s="272"/>
      <c r="G278" s="273"/>
      <c r="H278" s="204"/>
      <c r="I278" s="204"/>
      <c r="J278" s="196"/>
      <c r="K278" s="196"/>
      <c r="L278" s="192" t="str">
        <f>IFERROR(__xludf.DUMMYFUNCTION("IF(
  AND(D278=""Saída"", J278=""Sangria""),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197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94" t="str">
        <f>IFERROR(__xludf.DUMMYFUNCTION("ifna(VALUE(REGEXEXTRACT(E278,""[0-9.]+[,]+[0-9]+"")))"),"")</f>
        <v/>
      </c>
      <c r="O278" s="194"/>
      <c r="P278" s="194"/>
      <c r="Q278" s="194"/>
      <c r="R278" s="194"/>
      <c r="S278" s="194"/>
      <c r="T278" s="194"/>
      <c r="U278" s="194"/>
      <c r="V278" s="194"/>
      <c r="W278" s="194"/>
    </row>
    <row r="279" ht="14.25" customHeight="1">
      <c r="A279" s="186"/>
      <c r="B279" s="268"/>
      <c r="C279" s="269"/>
      <c r="D279" s="270"/>
      <c r="E279" s="271"/>
      <c r="F279" s="272"/>
      <c r="G279" s="273"/>
      <c r="H279" s="204"/>
      <c r="I279" s="204"/>
      <c r="J279" s="196"/>
      <c r="K279" s="196"/>
      <c r="L279" s="192" t="str">
        <f>IFERROR(__xludf.DUMMYFUNCTION("IF(
  AND(D279=""Saída"", J279=""Sangria""),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198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94" t="str">
        <f>IFERROR(__xludf.DUMMYFUNCTION("ifna(VALUE(REGEXEXTRACT(E279,""[0-9.]+[,]+[0-9]+"")))"),"")</f>
        <v/>
      </c>
      <c r="O279" s="194"/>
      <c r="P279" s="194"/>
      <c r="Q279" s="194"/>
      <c r="R279" s="194"/>
      <c r="S279" s="194"/>
      <c r="T279" s="194"/>
      <c r="U279" s="194"/>
      <c r="V279" s="194"/>
      <c r="W279" s="194"/>
    </row>
    <row r="280" ht="14.25" customHeight="1">
      <c r="A280" s="186"/>
      <c r="B280" s="268"/>
      <c r="C280" s="269"/>
      <c r="D280" s="270"/>
      <c r="E280" s="271"/>
      <c r="F280" s="272"/>
      <c r="G280" s="273"/>
      <c r="H280" s="204"/>
      <c r="I280" s="204"/>
      <c r="J280" s="196"/>
      <c r="K280" s="202"/>
      <c r="L280" s="192" t="str">
        <f>IFERROR(__xludf.DUMMYFUNCTION("IF(
  AND(D280=""Saída"", J280=""Sangria""),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197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94" t="str">
        <f>IFERROR(__xludf.DUMMYFUNCTION("ifna(VALUE(REGEXEXTRACT(E280,""[0-9.]+[,]+[0-9]+"")))"),"")</f>
        <v/>
      </c>
      <c r="O280" s="194"/>
      <c r="P280" s="194"/>
      <c r="Q280" s="194"/>
      <c r="R280" s="194"/>
      <c r="S280" s="194"/>
      <c r="T280" s="194"/>
      <c r="U280" s="194"/>
      <c r="V280" s="194"/>
      <c r="W280" s="194"/>
    </row>
    <row r="281" ht="14.25" customHeight="1">
      <c r="A281" s="186"/>
      <c r="B281" s="268"/>
      <c r="C281" s="269"/>
      <c r="D281" s="270"/>
      <c r="E281" s="271"/>
      <c r="F281" s="272"/>
      <c r="G281" s="273"/>
      <c r="H281" s="204"/>
      <c r="I281" s="204"/>
      <c r="J281" s="196"/>
      <c r="K281" s="196"/>
      <c r="L281" s="192" t="str">
        <f>IFERROR(__xludf.DUMMYFUNCTION("IF(
  AND(D281=""Saída"", J281=""Sangria""),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198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94" t="str">
        <f>IFERROR(__xludf.DUMMYFUNCTION("ifna(VALUE(REGEXEXTRACT(E281,""[0-9.]+[,]+[0-9]+"")))"),"")</f>
        <v/>
      </c>
      <c r="O281" s="194"/>
      <c r="P281" s="194"/>
      <c r="Q281" s="194"/>
      <c r="R281" s="194"/>
      <c r="S281" s="194"/>
      <c r="T281" s="194"/>
      <c r="U281" s="194"/>
      <c r="V281" s="194"/>
      <c r="W281" s="194"/>
    </row>
    <row r="282" ht="14.25" customHeight="1">
      <c r="A282" s="186"/>
      <c r="B282" s="268"/>
      <c r="C282" s="269"/>
      <c r="D282" s="270"/>
      <c r="E282" s="275"/>
      <c r="F282" s="272"/>
      <c r="G282" s="273"/>
      <c r="H282" s="204"/>
      <c r="I282" s="204"/>
      <c r="J282" s="196"/>
      <c r="K282" s="196"/>
      <c r="L282" s="192" t="str">
        <f>IFERROR(__xludf.DUMMYFUNCTION("IF(
  AND(D282=""Saída"", J282=""Sangria""),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197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94" t="str">
        <f>IFERROR(__xludf.DUMMYFUNCTION("ifna(VALUE(REGEXEXTRACT(E282,""[0-9.]+[,]+[0-9]+"")))"),"")</f>
        <v/>
      </c>
      <c r="O282" s="194"/>
      <c r="P282" s="194"/>
      <c r="Q282" s="194"/>
      <c r="R282" s="194"/>
      <c r="S282" s="194"/>
      <c r="T282" s="194"/>
      <c r="U282" s="194"/>
      <c r="V282" s="194"/>
      <c r="W282" s="194"/>
    </row>
    <row r="283" ht="14.25" customHeight="1">
      <c r="A283" s="186"/>
      <c r="B283" s="268"/>
      <c r="C283" s="269"/>
      <c r="D283" s="270"/>
      <c r="E283" s="271"/>
      <c r="F283" s="272"/>
      <c r="G283" s="273"/>
      <c r="H283" s="204"/>
      <c r="I283" s="204"/>
      <c r="J283" s="196"/>
      <c r="K283" s="196"/>
      <c r="L283" s="192" t="str">
        <f>IFERROR(__xludf.DUMMYFUNCTION("IF(
  AND(D283=""Saída"", J283=""Sangria""),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198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94" t="str">
        <f>IFERROR(__xludf.DUMMYFUNCTION("ifna(VALUE(REGEXEXTRACT(E283,""[0-9.]+[,]+[0-9]+"")))"),"")</f>
        <v/>
      </c>
      <c r="O283" s="194"/>
      <c r="P283" s="194"/>
      <c r="Q283" s="194"/>
      <c r="R283" s="194"/>
      <c r="S283" s="194"/>
      <c r="T283" s="194"/>
      <c r="U283" s="194"/>
      <c r="V283" s="194"/>
      <c r="W283" s="194"/>
    </row>
    <row r="284" ht="14.25" customHeight="1">
      <c r="A284" s="186"/>
      <c r="B284" s="268"/>
      <c r="C284" s="269"/>
      <c r="D284" s="270"/>
      <c r="E284" s="271"/>
      <c r="F284" s="272"/>
      <c r="G284" s="273"/>
      <c r="H284" s="204"/>
      <c r="I284" s="204"/>
      <c r="J284" s="196"/>
      <c r="K284" s="202"/>
      <c r="L284" s="192" t="str">
        <f>IFERROR(__xludf.DUMMYFUNCTION("IF(
  AND(D284=""Saída"", J284=""Sangria""),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197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94" t="str">
        <f>IFERROR(__xludf.DUMMYFUNCTION("ifna(VALUE(REGEXEXTRACT(E284,""[0-9.]+[,]+[0-9]+"")))"),"")</f>
        <v/>
      </c>
      <c r="O284" s="194"/>
      <c r="P284" s="194"/>
      <c r="Q284" s="194"/>
      <c r="R284" s="194"/>
      <c r="S284" s="194"/>
      <c r="T284" s="194"/>
      <c r="U284" s="194"/>
      <c r="V284" s="194"/>
      <c r="W284" s="194"/>
    </row>
    <row r="285" ht="14.25" customHeight="1">
      <c r="A285" s="186"/>
      <c r="B285" s="268"/>
      <c r="C285" s="269"/>
      <c r="D285" s="270"/>
      <c r="E285" s="271"/>
      <c r="F285" s="276"/>
      <c r="G285" s="273"/>
      <c r="H285" s="204"/>
      <c r="I285" s="204"/>
      <c r="J285" s="196"/>
      <c r="K285" s="196"/>
      <c r="L285" s="192" t="str">
        <f>IFERROR(__xludf.DUMMYFUNCTION("IF(
  AND(D285=""Saída"", J285=""Sangria""),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198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94" t="str">
        <f>IFERROR(__xludf.DUMMYFUNCTION("ifna(VALUE(REGEXEXTRACT(E285,""[0-9.]+[,]+[0-9]+"")))"),"")</f>
        <v/>
      </c>
      <c r="O285" s="194"/>
      <c r="P285" s="194"/>
      <c r="Q285" s="194"/>
      <c r="R285" s="194"/>
      <c r="S285" s="194"/>
      <c r="T285" s="194"/>
      <c r="U285" s="194"/>
      <c r="V285" s="194"/>
      <c r="W285" s="194"/>
    </row>
    <row r="286" ht="14.25" customHeight="1">
      <c r="A286" s="186"/>
      <c r="B286" s="268"/>
      <c r="C286" s="269"/>
      <c r="D286" s="270"/>
      <c r="E286" s="271"/>
      <c r="F286" s="276"/>
      <c r="G286" s="273"/>
      <c r="H286" s="204"/>
      <c r="I286" s="204"/>
      <c r="J286" s="196"/>
      <c r="K286" s="196"/>
      <c r="L286" s="192" t="str">
        <f>IFERROR(__xludf.DUMMYFUNCTION("IF(
  AND(D286=""Saída"", J286=""Sangria""),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197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94" t="str">
        <f>IFERROR(__xludf.DUMMYFUNCTION("ifna(VALUE(REGEXEXTRACT(E286,""[0-9.]+[,]+[0-9]+"")))"),"")</f>
        <v/>
      </c>
      <c r="O286" s="194"/>
      <c r="P286" s="194"/>
      <c r="Q286" s="194"/>
      <c r="R286" s="194"/>
      <c r="S286" s="194"/>
      <c r="T286" s="194"/>
      <c r="U286" s="194"/>
      <c r="V286" s="194"/>
      <c r="W286" s="194"/>
    </row>
    <row r="287" ht="14.25" customHeight="1">
      <c r="A287" s="186"/>
      <c r="B287" s="268"/>
      <c r="C287" s="269"/>
      <c r="D287" s="270"/>
      <c r="E287" s="271"/>
      <c r="F287" s="272"/>
      <c r="G287" s="273"/>
      <c r="H287" s="204"/>
      <c r="I287" s="204"/>
      <c r="J287" s="212"/>
      <c r="K287" s="202"/>
      <c r="L287" s="192" t="str">
        <f>IFERROR(__xludf.DUMMYFUNCTION("IF(
  AND(D287=""Saída"", J287=""Sangria""),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198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94" t="str">
        <f>IFERROR(__xludf.DUMMYFUNCTION("ifna(VALUE(REGEXEXTRACT(E287,""[0-9.]+[,]+[0-9]+"")))"),"")</f>
        <v/>
      </c>
      <c r="O287" s="194"/>
      <c r="P287" s="194"/>
      <c r="Q287" s="194"/>
      <c r="R287" s="194"/>
      <c r="S287" s="194"/>
      <c r="T287" s="194"/>
      <c r="U287" s="194"/>
      <c r="V287" s="194"/>
      <c r="W287" s="194"/>
    </row>
    <row r="288" ht="14.25" customHeight="1">
      <c r="A288" s="186"/>
      <c r="B288" s="268"/>
      <c r="C288" s="269"/>
      <c r="D288" s="270"/>
      <c r="E288" s="271"/>
      <c r="F288" s="272"/>
      <c r="G288" s="273"/>
      <c r="H288" s="204"/>
      <c r="I288" s="204"/>
      <c r="J288" s="196"/>
      <c r="K288" s="202"/>
      <c r="L288" s="192" t="str">
        <f>IFERROR(__xludf.DUMMYFUNCTION("IF(
  AND(D288=""Saída"", J288=""Sangria""),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197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94" t="str">
        <f>IFERROR(__xludf.DUMMYFUNCTION("ifna(VALUE(REGEXEXTRACT(E288,""[0-9.]+[,]+[0-9]+"")))"),"")</f>
        <v/>
      </c>
      <c r="O288" s="194"/>
      <c r="P288" s="194"/>
      <c r="Q288" s="194"/>
      <c r="R288" s="194"/>
      <c r="S288" s="194"/>
      <c r="T288" s="194"/>
      <c r="U288" s="194"/>
      <c r="V288" s="194"/>
      <c r="W288" s="194"/>
    </row>
    <row r="289" ht="14.25" customHeight="1">
      <c r="A289" s="186"/>
      <c r="B289" s="268"/>
      <c r="C289" s="269"/>
      <c r="D289" s="270"/>
      <c r="E289" s="271"/>
      <c r="F289" s="272"/>
      <c r="G289" s="273"/>
      <c r="H289" s="204"/>
      <c r="I289" s="204"/>
      <c r="J289" s="196"/>
      <c r="K289" s="196"/>
      <c r="L289" s="192" t="str">
        <f>IFERROR(__xludf.DUMMYFUNCTION("IF(
  AND(D289=""Saída"", J289=""Sangria""),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198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94" t="str">
        <f>IFERROR(__xludf.DUMMYFUNCTION("ifna(VALUE(REGEXEXTRACT(E289,""[0-9.]+[,]+[0-9]+"")))"),"")</f>
        <v/>
      </c>
      <c r="O289" s="194"/>
      <c r="P289" s="194"/>
      <c r="Q289" s="194"/>
      <c r="R289" s="194"/>
      <c r="S289" s="194"/>
      <c r="T289" s="194"/>
      <c r="U289" s="194"/>
      <c r="V289" s="194"/>
      <c r="W289" s="194"/>
    </row>
    <row r="290" ht="14.25" customHeight="1">
      <c r="A290" s="186"/>
      <c r="B290" s="268"/>
      <c r="C290" s="269"/>
      <c r="D290" s="270"/>
      <c r="E290" s="271"/>
      <c r="F290" s="272"/>
      <c r="G290" s="273"/>
      <c r="H290" s="204"/>
      <c r="I290" s="204"/>
      <c r="J290" s="196"/>
      <c r="K290" s="196"/>
      <c r="L290" s="192" t="str">
        <f>IFERROR(__xludf.DUMMYFUNCTION("IF(
  AND(D290=""Saída"", J290=""Sangria""),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197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94" t="str">
        <f>IFERROR(__xludf.DUMMYFUNCTION("ifna(VALUE(REGEXEXTRACT(E290,""[0-9.]+[,]+[0-9]+"")))"),"")</f>
        <v/>
      </c>
      <c r="O290" s="194"/>
      <c r="P290" s="194"/>
      <c r="Q290" s="194"/>
      <c r="R290" s="194"/>
      <c r="S290" s="194"/>
      <c r="T290" s="194"/>
      <c r="U290" s="194"/>
      <c r="V290" s="194"/>
      <c r="W290" s="194"/>
    </row>
    <row r="291" ht="14.25" customHeight="1">
      <c r="A291" s="186"/>
      <c r="B291" s="268"/>
      <c r="C291" s="269"/>
      <c r="D291" s="270"/>
      <c r="E291" s="271"/>
      <c r="F291" s="272"/>
      <c r="G291" s="273"/>
      <c r="H291" s="204"/>
      <c r="I291" s="204"/>
      <c r="J291" s="196"/>
      <c r="K291" s="196"/>
      <c r="L291" s="192" t="str">
        <f>IFERROR(__xludf.DUMMYFUNCTION("IF(
  AND(D291=""Saída"", J291=""Sangria""),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198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94" t="str">
        <f>IFERROR(__xludf.DUMMYFUNCTION("ifna(VALUE(REGEXEXTRACT(E291,""[0-9.]+[,]+[0-9]+"")))"),"")</f>
        <v/>
      </c>
      <c r="O291" s="194"/>
      <c r="P291" s="194"/>
      <c r="Q291" s="194"/>
      <c r="R291" s="194"/>
      <c r="S291" s="194"/>
      <c r="T291" s="194"/>
      <c r="U291" s="194"/>
      <c r="V291" s="194"/>
      <c r="W291" s="194"/>
    </row>
    <row r="292" ht="14.25" customHeight="1">
      <c r="A292" s="31"/>
      <c r="B292" s="268"/>
      <c r="C292" s="269"/>
      <c r="D292" s="270"/>
      <c r="E292" s="271"/>
      <c r="F292" s="272"/>
      <c r="G292" s="273"/>
      <c r="H292" s="204"/>
      <c r="I292" s="204"/>
      <c r="J292" s="196"/>
      <c r="K292" s="196"/>
      <c r="L292" s="192" t="str">
        <f>IFERROR(__xludf.DUMMYFUNCTION("IF(
  AND(D292=""Saída"", J292=""Sangria""),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197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94" t="str">
        <f>IFERROR(__xludf.DUMMYFUNCTION("ifna(VALUE(REGEXEXTRACT(E292,""[0-9.]+[,]+[0-9]+"")))"),"")</f>
        <v/>
      </c>
      <c r="O292" s="194"/>
      <c r="P292" s="194"/>
      <c r="Q292" s="194"/>
      <c r="R292" s="194"/>
      <c r="S292" s="194"/>
      <c r="T292" s="194"/>
      <c r="U292" s="194"/>
      <c r="V292" s="194"/>
      <c r="W292" s="194"/>
    </row>
    <row r="293" ht="14.25" customHeight="1">
      <c r="A293" s="31"/>
      <c r="B293" s="268"/>
      <c r="C293" s="269"/>
      <c r="D293" s="270"/>
      <c r="E293" s="271"/>
      <c r="F293" s="272"/>
      <c r="G293" s="273"/>
      <c r="H293" s="204"/>
      <c r="I293" s="204"/>
      <c r="J293" s="196"/>
      <c r="K293" s="202"/>
      <c r="L293" s="192" t="str">
        <f>IFERROR(__xludf.DUMMYFUNCTION("IF(
  AND(D293=""Saída"", J293=""Sangria""),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198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94" t="str">
        <f>IFERROR(__xludf.DUMMYFUNCTION("ifna(VALUE(REGEXEXTRACT(E293,""[0-9.]+[,]+[0-9]+"")))"),"")</f>
        <v/>
      </c>
      <c r="O293" s="194"/>
      <c r="P293" s="194"/>
      <c r="Q293" s="194"/>
      <c r="R293" s="194"/>
      <c r="S293" s="194"/>
      <c r="T293" s="194"/>
      <c r="U293" s="194"/>
      <c r="V293" s="194"/>
      <c r="W293" s="194"/>
    </row>
    <row r="294" ht="14.25" customHeight="1">
      <c r="A294" s="31"/>
      <c r="B294" s="268"/>
      <c r="C294" s="269"/>
      <c r="D294" s="270"/>
      <c r="E294" s="275"/>
      <c r="F294" s="272"/>
      <c r="G294" s="273"/>
      <c r="H294" s="204"/>
      <c r="I294" s="204"/>
      <c r="J294" s="196"/>
      <c r="K294" s="196"/>
      <c r="L294" s="192" t="str">
        <f>IFERROR(__xludf.DUMMYFUNCTION("IF(
  AND(D294=""Saída"", J294=""Sangria""),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197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94" t="str">
        <f>IFERROR(__xludf.DUMMYFUNCTION("ifna(VALUE(REGEXEXTRACT(E294,""[0-9.]+[,]+[0-9]+"")))"),"")</f>
        <v/>
      </c>
      <c r="O294" s="194"/>
      <c r="P294" s="194"/>
      <c r="Q294" s="194"/>
      <c r="R294" s="194"/>
      <c r="S294" s="194"/>
      <c r="T294" s="194"/>
      <c r="U294" s="194"/>
      <c r="V294" s="194"/>
      <c r="W294" s="194"/>
    </row>
    <row r="295" ht="14.25" customHeight="1">
      <c r="A295" s="31"/>
      <c r="B295" s="268"/>
      <c r="C295" s="269"/>
      <c r="D295" s="270"/>
      <c r="E295" s="271"/>
      <c r="F295" s="272"/>
      <c r="G295" s="273"/>
      <c r="H295" s="204"/>
      <c r="I295" s="204"/>
      <c r="J295" s="196"/>
      <c r="K295" s="196"/>
      <c r="L295" s="192" t="str">
        <f>IFERROR(__xludf.DUMMYFUNCTION("IF(
  AND(D295=""Saída"", J295=""Sangria""),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198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94" t="str">
        <f>IFERROR(__xludf.DUMMYFUNCTION("ifna(VALUE(REGEXEXTRACT(E295,""[0-9.]+[,]+[0-9]+"")))"),"")</f>
        <v/>
      </c>
      <c r="O295" s="194"/>
      <c r="P295" s="194"/>
      <c r="Q295" s="194"/>
      <c r="R295" s="194"/>
      <c r="S295" s="194"/>
      <c r="T295" s="194"/>
      <c r="U295" s="194"/>
      <c r="V295" s="194"/>
      <c r="W295" s="194"/>
    </row>
    <row r="296" ht="14.25" customHeight="1">
      <c r="A296" s="31"/>
      <c r="B296" s="268"/>
      <c r="C296" s="269"/>
      <c r="D296" s="270"/>
      <c r="E296" s="271"/>
      <c r="F296" s="276"/>
      <c r="G296" s="273"/>
      <c r="H296" s="204"/>
      <c r="I296" s="204"/>
      <c r="J296" s="196"/>
      <c r="K296" s="196"/>
      <c r="L296" s="192" t="str">
        <f>IFERROR(__xludf.DUMMYFUNCTION("IF(
  AND(D296=""Saída"", J296=""Sangria""),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197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94" t="str">
        <f>IFERROR(__xludf.DUMMYFUNCTION("ifna(VALUE(REGEXEXTRACT(E296,""[0-9.]+[,]+[0-9]+"")))"),"")</f>
        <v/>
      </c>
      <c r="O296" s="194"/>
      <c r="P296" s="194"/>
      <c r="Q296" s="194"/>
      <c r="R296" s="194"/>
      <c r="S296" s="194"/>
      <c r="T296" s="194"/>
      <c r="U296" s="194"/>
      <c r="V296" s="194"/>
      <c r="W296" s="194"/>
    </row>
    <row r="297" ht="14.25" customHeight="1">
      <c r="A297" s="31"/>
      <c r="B297" s="268"/>
      <c r="C297" s="269"/>
      <c r="D297" s="270"/>
      <c r="E297" s="271"/>
      <c r="F297" s="272"/>
      <c r="G297" s="273"/>
      <c r="H297" s="204"/>
      <c r="I297" s="204"/>
      <c r="J297" s="196"/>
      <c r="K297" s="196"/>
      <c r="L297" s="192" t="str">
        <f>IFERROR(__xludf.DUMMYFUNCTION("IF(
  AND(D297=""Saída"", J297=""Sangria""),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198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94" t="str">
        <f>IFERROR(__xludf.DUMMYFUNCTION("ifna(VALUE(REGEXEXTRACT(E297,""[0-9.]+[,]+[0-9]+"")))"),"")</f>
        <v/>
      </c>
      <c r="O297" s="194"/>
      <c r="P297" s="194"/>
      <c r="Q297" s="194"/>
      <c r="R297" s="194"/>
      <c r="S297" s="194"/>
      <c r="T297" s="194"/>
      <c r="U297" s="194"/>
      <c r="V297" s="194"/>
      <c r="W297" s="194"/>
    </row>
    <row r="298" ht="14.25" customHeight="1">
      <c r="A298" s="31"/>
      <c r="B298" s="268"/>
      <c r="C298" s="269"/>
      <c r="D298" s="270"/>
      <c r="E298" s="271"/>
      <c r="F298" s="272"/>
      <c r="G298" s="273"/>
      <c r="H298" s="204"/>
      <c r="I298" s="204"/>
      <c r="J298" s="196"/>
      <c r="K298" s="196"/>
      <c r="L298" s="192" t="str">
        <f>IFERROR(__xludf.DUMMYFUNCTION("IF(
  AND(D298=""Saída"", J298=""Sangria""),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197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94" t="str">
        <f>IFERROR(__xludf.DUMMYFUNCTION("ifna(VALUE(REGEXEXTRACT(E298,""[0-9.]+[,]+[0-9]+"")))"),"")</f>
        <v/>
      </c>
      <c r="O298" s="194"/>
      <c r="P298" s="194"/>
      <c r="Q298" s="194"/>
      <c r="R298" s="194"/>
      <c r="S298" s="194"/>
      <c r="T298" s="194"/>
      <c r="U298" s="194"/>
      <c r="V298" s="194"/>
      <c r="W298" s="194"/>
    </row>
    <row r="299" ht="14.25" customHeight="1">
      <c r="A299" s="31"/>
      <c r="B299" s="268"/>
      <c r="C299" s="269"/>
      <c r="D299" s="270"/>
      <c r="E299" s="271"/>
      <c r="F299" s="272"/>
      <c r="G299" s="273"/>
      <c r="H299" s="204"/>
      <c r="I299" s="204"/>
      <c r="J299" s="196"/>
      <c r="K299" s="196"/>
      <c r="L299" s="192" t="str">
        <f>IFERROR(__xludf.DUMMYFUNCTION("IF(
  AND(D299=""Saída"", J299=""Sangria""),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198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94" t="str">
        <f>IFERROR(__xludf.DUMMYFUNCTION("ifna(VALUE(REGEXEXTRACT(E299,""[0-9.]+[,]+[0-9]+"")))"),"")</f>
        <v/>
      </c>
      <c r="O299" s="194"/>
      <c r="P299" s="194"/>
      <c r="Q299" s="194"/>
      <c r="R299" s="194"/>
      <c r="S299" s="194"/>
      <c r="T299" s="194"/>
      <c r="U299" s="194"/>
      <c r="V299" s="194"/>
      <c r="W299" s="194"/>
    </row>
    <row r="300" ht="14.25" customHeight="1">
      <c r="A300" s="31"/>
      <c r="B300" s="268"/>
      <c r="C300" s="269"/>
      <c r="D300" s="270"/>
      <c r="E300" s="271"/>
      <c r="F300" s="272"/>
      <c r="G300" s="273"/>
      <c r="H300" s="204"/>
      <c r="I300" s="204"/>
      <c r="J300" s="196"/>
      <c r="K300" s="196"/>
      <c r="L300" s="192" t="str">
        <f>IFERROR(__xludf.DUMMYFUNCTION("IF(
  AND(D300=""Saída"", J300=""Sangria""),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197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94" t="str">
        <f>IFERROR(__xludf.DUMMYFUNCTION("ifna(VALUE(REGEXEXTRACT(E300,""[0-9.]+[,]+[0-9]+"")))"),"")</f>
        <v/>
      </c>
      <c r="O300" s="194"/>
      <c r="P300" s="194"/>
      <c r="Q300" s="194"/>
      <c r="R300" s="194"/>
      <c r="S300" s="194"/>
      <c r="T300" s="194"/>
      <c r="U300" s="194"/>
      <c r="V300" s="194"/>
      <c r="W300" s="194"/>
    </row>
    <row r="301" ht="14.25" customHeight="1">
      <c r="A301" s="31"/>
      <c r="B301" s="268"/>
      <c r="C301" s="269"/>
      <c r="D301" s="270"/>
      <c r="E301" s="271"/>
      <c r="F301" s="276"/>
      <c r="G301" s="273"/>
      <c r="H301" s="204"/>
      <c r="I301" s="204"/>
      <c r="J301" s="196"/>
      <c r="K301" s="196"/>
      <c r="L301" s="192" t="str">
        <f>IFERROR(__xludf.DUMMYFUNCTION("IF(
  AND(D301=""Saída"", J301=""Sangria""),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198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94" t="str">
        <f>IFERROR(__xludf.DUMMYFUNCTION("ifna(VALUE(REGEXEXTRACT(E301,""[0-9.]+[,]+[0-9]+"")))"),"")</f>
        <v/>
      </c>
      <c r="O301" s="194"/>
      <c r="P301" s="194"/>
      <c r="Q301" s="194"/>
      <c r="R301" s="194"/>
      <c r="S301" s="194"/>
      <c r="T301" s="194"/>
      <c r="U301" s="194"/>
      <c r="V301" s="194"/>
      <c r="W301" s="194"/>
    </row>
    <row r="302" ht="14.25" customHeight="1">
      <c r="A302" s="31"/>
      <c r="B302" s="268"/>
      <c r="C302" s="269"/>
      <c r="D302" s="270"/>
      <c r="E302" s="271"/>
      <c r="F302" s="272"/>
      <c r="G302" s="273"/>
      <c r="H302" s="204"/>
      <c r="I302" s="204"/>
      <c r="J302" s="196"/>
      <c r="K302" s="202"/>
      <c r="L302" s="192" t="str">
        <f>IFERROR(__xludf.DUMMYFUNCTION("IF(
  AND(D302=""Saída"", J302=""Sangria""),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197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94" t="str">
        <f>IFERROR(__xludf.DUMMYFUNCTION("ifna(VALUE(REGEXEXTRACT(E302,""[0-9.]+[,]+[0-9]+"")))"),"")</f>
        <v/>
      </c>
      <c r="O302" s="194"/>
      <c r="P302" s="194"/>
      <c r="Q302" s="194"/>
      <c r="R302" s="194"/>
      <c r="S302" s="194"/>
      <c r="T302" s="194"/>
      <c r="U302" s="194"/>
      <c r="V302" s="194"/>
      <c r="W302" s="194"/>
    </row>
    <row r="303" ht="14.25" customHeight="1">
      <c r="A303" s="31"/>
      <c r="B303" s="268"/>
      <c r="C303" s="269"/>
      <c r="D303" s="270"/>
      <c r="E303" s="271"/>
      <c r="F303" s="276"/>
      <c r="G303" s="273"/>
      <c r="H303" s="204"/>
      <c r="I303" s="204"/>
      <c r="J303" s="196"/>
      <c r="K303" s="196"/>
      <c r="L303" s="192" t="str">
        <f>IFERROR(__xludf.DUMMYFUNCTION("IF(
  AND(D303=""Saída"", J303=""Sangria""),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198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94" t="str">
        <f>IFERROR(__xludf.DUMMYFUNCTION("ifna(VALUE(REGEXEXTRACT(E303,""[0-9.]+[,]+[0-9]+"")))"),"")</f>
        <v/>
      </c>
      <c r="O303" s="194"/>
      <c r="P303" s="194"/>
      <c r="Q303" s="194"/>
      <c r="R303" s="194"/>
      <c r="S303" s="194"/>
      <c r="T303" s="194"/>
      <c r="U303" s="194"/>
      <c r="V303" s="194"/>
      <c r="W303" s="194"/>
    </row>
    <row r="304" ht="14.25" customHeight="1">
      <c r="A304" s="31"/>
      <c r="B304" s="268"/>
      <c r="C304" s="269"/>
      <c r="D304" s="270"/>
      <c r="E304" s="271"/>
      <c r="F304" s="272"/>
      <c r="G304" s="273"/>
      <c r="H304" s="204"/>
      <c r="I304" s="204"/>
      <c r="J304" s="212"/>
      <c r="K304" s="196"/>
      <c r="L304" s="192" t="str">
        <f>IFERROR(__xludf.DUMMYFUNCTION("IF(
  AND(D304=""Saída"", J304=""Sangria""),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197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94" t="str">
        <f>IFERROR(__xludf.DUMMYFUNCTION("ifna(VALUE(REGEXEXTRACT(E304,""[0-9.]+[,]+[0-9]+"")))"),"")</f>
        <v/>
      </c>
      <c r="O304" s="194"/>
      <c r="P304" s="194"/>
      <c r="Q304" s="194"/>
      <c r="R304" s="194"/>
      <c r="S304" s="194"/>
      <c r="T304" s="194"/>
      <c r="U304" s="194"/>
      <c r="V304" s="194"/>
      <c r="W304" s="194"/>
    </row>
    <row r="305" ht="14.25" customHeight="1">
      <c r="A305" s="31"/>
      <c r="B305" s="268"/>
      <c r="C305" s="269"/>
      <c r="D305" s="270"/>
      <c r="E305" s="271"/>
      <c r="F305" s="272"/>
      <c r="G305" s="273"/>
      <c r="H305" s="204"/>
      <c r="I305" s="204"/>
      <c r="J305" s="212"/>
      <c r="K305" s="196"/>
      <c r="L305" s="192" t="str">
        <f>IFERROR(__xludf.DUMMYFUNCTION("IF(
  AND(D305=""Saída"", J305=""Sangria""),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198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94" t="str">
        <f>IFERROR(__xludf.DUMMYFUNCTION("ifna(VALUE(REGEXEXTRACT(E305,""[0-9.]+[,]+[0-9]+"")))"),"")</f>
        <v/>
      </c>
      <c r="O305" s="194"/>
      <c r="P305" s="194"/>
      <c r="Q305" s="194"/>
      <c r="R305" s="194"/>
      <c r="S305" s="194"/>
      <c r="T305" s="194"/>
      <c r="U305" s="194"/>
      <c r="V305" s="194"/>
      <c r="W305" s="194"/>
    </row>
    <row r="306" ht="14.25" customHeight="1">
      <c r="A306" s="31"/>
      <c r="B306" s="268"/>
      <c r="C306" s="269"/>
      <c r="D306" s="270"/>
      <c r="E306" s="271"/>
      <c r="F306" s="272"/>
      <c r="G306" s="273"/>
      <c r="H306" s="204"/>
      <c r="I306" s="204"/>
      <c r="J306" s="196"/>
      <c r="K306" s="196"/>
      <c r="L306" s="192" t="str">
        <f>IFERROR(__xludf.DUMMYFUNCTION("IF(
  AND(D306=""Saída"", J306=""Sangria""),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197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94" t="str">
        <f>IFERROR(__xludf.DUMMYFUNCTION("ifna(VALUE(REGEXEXTRACT(E306,""[0-9.]+[,]+[0-9]+"")))"),"")</f>
        <v/>
      </c>
      <c r="O306" s="194"/>
      <c r="P306" s="194"/>
      <c r="Q306" s="194"/>
      <c r="R306" s="194"/>
      <c r="S306" s="194"/>
      <c r="T306" s="194"/>
      <c r="U306" s="194"/>
      <c r="V306" s="194"/>
      <c r="W306" s="194"/>
    </row>
    <row r="307" ht="14.25" customHeight="1">
      <c r="A307" s="31"/>
      <c r="B307" s="268"/>
      <c r="C307" s="269"/>
      <c r="D307" s="270"/>
      <c r="E307" s="271"/>
      <c r="F307" s="272"/>
      <c r="G307" s="273"/>
      <c r="H307" s="204"/>
      <c r="I307" s="204"/>
      <c r="J307" s="196"/>
      <c r="K307" s="202"/>
      <c r="L307" s="192" t="str">
        <f>IFERROR(__xludf.DUMMYFUNCTION("IF(
  AND(D307=""Saída"", J307=""Sangria""),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198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94" t="str">
        <f>IFERROR(__xludf.DUMMYFUNCTION("ifna(VALUE(REGEXEXTRACT(E307,""[0-9.]+[,]+[0-9]+"")))"),"")</f>
        <v/>
      </c>
      <c r="O307" s="194"/>
      <c r="P307" s="194"/>
      <c r="Q307" s="194"/>
      <c r="R307" s="194"/>
      <c r="S307" s="194"/>
      <c r="T307" s="194"/>
      <c r="U307" s="194"/>
      <c r="V307" s="194"/>
      <c r="W307" s="194"/>
    </row>
    <row r="308" ht="14.25" customHeight="1">
      <c r="A308" s="31"/>
      <c r="B308" s="268"/>
      <c r="C308" s="269"/>
      <c r="D308" s="270"/>
      <c r="E308" s="271"/>
      <c r="F308" s="276"/>
      <c r="G308" s="273"/>
      <c r="H308" s="204"/>
      <c r="I308" s="204"/>
      <c r="J308" s="196"/>
      <c r="K308" s="196"/>
      <c r="L308" s="192" t="str">
        <f>IFERROR(__xludf.DUMMYFUNCTION("IF(
  AND(D308=""Saída"", J308=""Sangria""),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197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94" t="str">
        <f>IFERROR(__xludf.DUMMYFUNCTION("ifna(VALUE(REGEXEXTRACT(E308,""[0-9.]+[,]+[0-9]+"")))"),"")</f>
        <v/>
      </c>
      <c r="O308" s="194"/>
      <c r="P308" s="194"/>
      <c r="Q308" s="194"/>
      <c r="R308" s="194"/>
      <c r="S308" s="194"/>
      <c r="T308" s="194"/>
      <c r="U308" s="194"/>
      <c r="V308" s="194"/>
      <c r="W308" s="194"/>
    </row>
    <row r="309" ht="14.25" customHeight="1">
      <c r="A309" s="31"/>
      <c r="B309" s="268"/>
      <c r="C309" s="269"/>
      <c r="D309" s="270"/>
      <c r="E309" s="271"/>
      <c r="F309" s="272"/>
      <c r="G309" s="273"/>
      <c r="H309" s="204"/>
      <c r="I309" s="204"/>
      <c r="J309" s="212"/>
      <c r="K309" s="196"/>
      <c r="L309" s="192" t="str">
        <f>IFERROR(__xludf.DUMMYFUNCTION("IF(
  AND(D309=""Saída"", J309=""Sangria""),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198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94" t="str">
        <f>IFERROR(__xludf.DUMMYFUNCTION("ifna(VALUE(REGEXEXTRACT(E309,""[0-9.]+[,]+[0-9]+"")))"),"")</f>
        <v/>
      </c>
      <c r="O309" s="194"/>
      <c r="P309" s="194"/>
      <c r="Q309" s="194"/>
      <c r="R309" s="194"/>
      <c r="S309" s="194"/>
      <c r="T309" s="194"/>
      <c r="U309" s="194"/>
      <c r="V309" s="194"/>
      <c r="W309" s="194"/>
    </row>
    <row r="310" ht="14.25" customHeight="1">
      <c r="A310" s="31"/>
      <c r="B310" s="268"/>
      <c r="C310" s="269"/>
      <c r="D310" s="270"/>
      <c r="E310" s="271"/>
      <c r="F310" s="272"/>
      <c r="G310" s="273"/>
      <c r="H310" s="204"/>
      <c r="I310" s="204"/>
      <c r="J310" s="196"/>
      <c r="K310" s="196"/>
      <c r="L310" s="192" t="str">
        <f>IFERROR(__xludf.DUMMYFUNCTION("IF(
  AND(D310=""Saída"", J310=""Sangria""),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197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94" t="str">
        <f>IFERROR(__xludf.DUMMYFUNCTION("ifna(VALUE(REGEXEXTRACT(E310,""[0-9.]+[,]+[0-9]+"")))"),"")</f>
        <v/>
      </c>
      <c r="O310" s="194"/>
      <c r="P310" s="194"/>
      <c r="Q310" s="194"/>
      <c r="R310" s="194"/>
      <c r="S310" s="194"/>
      <c r="T310" s="194"/>
      <c r="U310" s="194"/>
      <c r="V310" s="194"/>
      <c r="W310" s="194"/>
    </row>
    <row r="311" ht="14.25" customHeight="1">
      <c r="A311" s="31"/>
      <c r="B311" s="268"/>
      <c r="C311" s="269"/>
      <c r="D311" s="270"/>
      <c r="E311" s="271"/>
      <c r="F311" s="272"/>
      <c r="G311" s="273"/>
      <c r="H311" s="204"/>
      <c r="I311" s="204"/>
      <c r="J311" s="196"/>
      <c r="K311" s="196"/>
      <c r="L311" s="192" t="str">
        <f>IFERROR(__xludf.DUMMYFUNCTION("IF(
  AND(D311=""Saída"", J311=""Sangria""),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198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94" t="str">
        <f>IFERROR(__xludf.DUMMYFUNCTION("ifna(VALUE(REGEXEXTRACT(E311,""[0-9.]+[,]+[0-9]+"")))"),"")</f>
        <v/>
      </c>
      <c r="O311" s="194"/>
      <c r="P311" s="194"/>
      <c r="Q311" s="194"/>
      <c r="R311" s="194"/>
      <c r="S311" s="194"/>
      <c r="T311" s="194"/>
      <c r="U311" s="194"/>
      <c r="V311" s="194"/>
      <c r="W311" s="194"/>
    </row>
    <row r="312" ht="14.25" customHeight="1">
      <c r="A312" s="31"/>
      <c r="B312" s="268"/>
      <c r="C312" s="269"/>
      <c r="D312" s="270"/>
      <c r="E312" s="271"/>
      <c r="F312" s="272"/>
      <c r="G312" s="273"/>
      <c r="H312" s="204"/>
      <c r="I312" s="204"/>
      <c r="J312" s="196"/>
      <c r="K312" s="196"/>
      <c r="L312" s="192" t="str">
        <f>IFERROR(__xludf.DUMMYFUNCTION("IF(
  AND(D312=""Saída"", J312=""Sangria""),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197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94" t="str">
        <f>IFERROR(__xludf.DUMMYFUNCTION("ifna(VALUE(REGEXEXTRACT(E312,""[0-9.]+[,]+[0-9]+"")))"),"")</f>
        <v/>
      </c>
      <c r="O312" s="194"/>
      <c r="P312" s="194"/>
      <c r="Q312" s="194"/>
      <c r="R312" s="194"/>
      <c r="S312" s="194"/>
      <c r="T312" s="194"/>
      <c r="U312" s="194"/>
      <c r="V312" s="194"/>
      <c r="W312" s="194"/>
    </row>
    <row r="313" ht="14.25" customHeight="1">
      <c r="A313" s="31"/>
      <c r="B313" s="268"/>
      <c r="C313" s="269"/>
      <c r="D313" s="270"/>
      <c r="E313" s="271"/>
      <c r="F313" s="272"/>
      <c r="G313" s="273"/>
      <c r="H313" s="204"/>
      <c r="I313" s="204"/>
      <c r="J313" s="196"/>
      <c r="K313" s="196"/>
      <c r="L313" s="192" t="str">
        <f>IFERROR(__xludf.DUMMYFUNCTION("IF(
  AND(D313=""Saída"", J313=""Sangria""),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198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94" t="str">
        <f>IFERROR(__xludf.DUMMYFUNCTION("ifna(VALUE(REGEXEXTRACT(E313,""[0-9.]+[,]+[0-9]+"")))"),"")</f>
        <v/>
      </c>
      <c r="O313" s="194"/>
      <c r="P313" s="194"/>
      <c r="Q313" s="194"/>
      <c r="R313" s="194"/>
      <c r="S313" s="194"/>
      <c r="T313" s="194"/>
      <c r="U313" s="194"/>
      <c r="V313" s="194"/>
      <c r="W313" s="194"/>
    </row>
    <row r="314" ht="14.25" customHeight="1">
      <c r="A314" s="31"/>
      <c r="B314" s="268"/>
      <c r="C314" s="269"/>
      <c r="D314" s="270"/>
      <c r="E314" s="271"/>
      <c r="F314" s="276"/>
      <c r="G314" s="273"/>
      <c r="H314" s="204"/>
      <c r="I314" s="204"/>
      <c r="J314" s="196"/>
      <c r="K314" s="196"/>
      <c r="L314" s="192" t="str">
        <f>IFERROR(__xludf.DUMMYFUNCTION("IF(
  AND(D314=""Saída"", J314=""Sangria""),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197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94" t="str">
        <f>IFERROR(__xludf.DUMMYFUNCTION("ifna(VALUE(REGEXEXTRACT(E314,""[0-9.]+[,]+[0-9]+"")))"),"")</f>
        <v/>
      </c>
      <c r="O314" s="194"/>
      <c r="P314" s="194"/>
      <c r="Q314" s="194"/>
      <c r="R314" s="194"/>
      <c r="S314" s="194"/>
      <c r="T314" s="194"/>
      <c r="U314" s="194"/>
      <c r="V314" s="194"/>
      <c r="W314" s="194"/>
    </row>
    <row r="315" ht="14.25" customHeight="1">
      <c r="A315" s="31"/>
      <c r="B315" s="268"/>
      <c r="C315" s="269"/>
      <c r="D315" s="270"/>
      <c r="E315" s="271"/>
      <c r="F315" s="272"/>
      <c r="G315" s="273"/>
      <c r="H315" s="204"/>
      <c r="I315" s="204"/>
      <c r="J315" s="196"/>
      <c r="K315" s="196"/>
      <c r="L315" s="192" t="str">
        <f>IFERROR(__xludf.DUMMYFUNCTION("IF(
  AND(D315=""Saída"", J315=""Sangria""),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198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94" t="str">
        <f>IFERROR(__xludf.DUMMYFUNCTION("ifna(VALUE(REGEXEXTRACT(E315,""[0-9.]+[,]+[0-9]+"")))"),"")</f>
        <v/>
      </c>
      <c r="O315" s="194"/>
      <c r="P315" s="194"/>
      <c r="Q315" s="194"/>
      <c r="R315" s="194"/>
      <c r="S315" s="194"/>
      <c r="T315" s="194"/>
      <c r="U315" s="194"/>
      <c r="V315" s="194"/>
      <c r="W315" s="194"/>
    </row>
    <row r="316" ht="14.25" customHeight="1">
      <c r="A316" s="31"/>
      <c r="B316" s="268"/>
      <c r="C316" s="269"/>
      <c r="D316" s="270"/>
      <c r="E316" s="271"/>
      <c r="F316" s="276"/>
      <c r="G316" s="273"/>
      <c r="H316" s="204"/>
      <c r="I316" s="204"/>
      <c r="J316" s="196"/>
      <c r="K316" s="196"/>
      <c r="L316" s="192" t="str">
        <f>IFERROR(__xludf.DUMMYFUNCTION("IF(
  AND(D316=""Saída"", J316=""Sangria""),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197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94" t="str">
        <f>IFERROR(__xludf.DUMMYFUNCTION("ifna(VALUE(REGEXEXTRACT(E316,""[0-9.]+[,]+[0-9]+"")))"),"")</f>
        <v/>
      </c>
      <c r="O316" s="194"/>
      <c r="P316" s="194"/>
      <c r="Q316" s="194"/>
      <c r="R316" s="194"/>
      <c r="S316" s="194"/>
      <c r="T316" s="194"/>
      <c r="U316" s="194"/>
      <c r="V316" s="194"/>
      <c r="W316" s="194"/>
    </row>
    <row r="317" ht="14.25" customHeight="1">
      <c r="A317" s="31"/>
      <c r="B317" s="268"/>
      <c r="C317" s="269"/>
      <c r="D317" s="270"/>
      <c r="E317" s="271"/>
      <c r="F317" s="272"/>
      <c r="G317" s="273"/>
      <c r="H317" s="204"/>
      <c r="I317" s="204"/>
      <c r="J317" s="196"/>
      <c r="K317" s="196"/>
      <c r="L317" s="192" t="str">
        <f>IFERROR(__xludf.DUMMYFUNCTION("IF(
  AND(D317=""Saída"", J317=""Sangria""),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198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94" t="str">
        <f>IFERROR(__xludf.DUMMYFUNCTION("ifna(VALUE(REGEXEXTRACT(E317,""[0-9.]+[,]+[0-9]+"")))"),"")</f>
        <v/>
      </c>
      <c r="O317" s="194"/>
      <c r="P317" s="194"/>
      <c r="Q317" s="194"/>
      <c r="R317" s="194"/>
      <c r="S317" s="194"/>
      <c r="T317" s="194"/>
      <c r="U317" s="194"/>
      <c r="V317" s="194"/>
      <c r="W317" s="194"/>
    </row>
    <row r="318" ht="14.25" customHeight="1">
      <c r="A318" s="31"/>
      <c r="B318" s="268"/>
      <c r="C318" s="269"/>
      <c r="D318" s="270"/>
      <c r="E318" s="271"/>
      <c r="F318" s="272"/>
      <c r="G318" s="273"/>
      <c r="H318" s="204"/>
      <c r="I318" s="204"/>
      <c r="J318" s="196"/>
      <c r="K318" s="196"/>
      <c r="L318" s="192" t="str">
        <f>IFERROR(__xludf.DUMMYFUNCTION("IF(
  AND(D318=""Saída"", J318=""Sangria""),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197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94" t="str">
        <f>IFERROR(__xludf.DUMMYFUNCTION("ifna(VALUE(REGEXEXTRACT(E318,""[0-9.]+[,]+[0-9]+"")))"),"")</f>
        <v/>
      </c>
      <c r="O318" s="194"/>
      <c r="P318" s="194"/>
      <c r="Q318" s="194"/>
      <c r="R318" s="194"/>
      <c r="S318" s="194"/>
      <c r="T318" s="194"/>
      <c r="U318" s="194"/>
      <c r="V318" s="194"/>
      <c r="W318" s="194"/>
    </row>
    <row r="319" ht="14.25" customHeight="1">
      <c r="A319" s="31"/>
      <c r="B319" s="268"/>
      <c r="C319" s="269"/>
      <c r="D319" s="270"/>
      <c r="E319" s="271"/>
      <c r="F319" s="272"/>
      <c r="G319" s="273"/>
      <c r="H319" s="204"/>
      <c r="I319" s="204"/>
      <c r="J319" s="196"/>
      <c r="K319" s="196"/>
      <c r="L319" s="192" t="str">
        <f>IFERROR(__xludf.DUMMYFUNCTION("IF(
  AND(D319=""Saída"", J319=""Sangria""),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198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94" t="str">
        <f>IFERROR(__xludf.DUMMYFUNCTION("ifna(VALUE(REGEXEXTRACT(E319,""[0-9.]+[,]+[0-9]+"")))"),"")</f>
        <v/>
      </c>
      <c r="O319" s="194"/>
      <c r="P319" s="194"/>
      <c r="Q319" s="194"/>
      <c r="R319" s="194"/>
      <c r="S319" s="194"/>
      <c r="T319" s="194"/>
      <c r="U319" s="194"/>
      <c r="V319" s="194"/>
      <c r="W319" s="194"/>
    </row>
    <row r="320" ht="14.25" customHeight="1">
      <c r="A320" s="31"/>
      <c r="B320" s="268"/>
      <c r="C320" s="269"/>
      <c r="D320" s="270"/>
      <c r="E320" s="271"/>
      <c r="F320" s="272"/>
      <c r="G320" s="273"/>
      <c r="H320" s="204"/>
      <c r="I320" s="204"/>
      <c r="J320" s="196"/>
      <c r="K320" s="196"/>
      <c r="L320" s="192" t="str">
        <f>IFERROR(__xludf.DUMMYFUNCTION("IF(
  AND(D320=""Saída"", J320=""Sangria""),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197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94" t="str">
        <f>IFERROR(__xludf.DUMMYFUNCTION("ifna(VALUE(REGEXEXTRACT(E320,""[0-9.]+[,]+[0-9]+"")))"),"")</f>
        <v/>
      </c>
      <c r="O320" s="194"/>
      <c r="P320" s="194"/>
      <c r="Q320" s="194"/>
      <c r="R320" s="194"/>
      <c r="S320" s="194"/>
      <c r="T320" s="194"/>
      <c r="U320" s="194"/>
      <c r="V320" s="194"/>
      <c r="W320" s="194"/>
    </row>
    <row r="321" ht="14.25" customHeight="1">
      <c r="A321" s="31"/>
      <c r="B321" s="268"/>
      <c r="C321" s="269"/>
      <c r="D321" s="270"/>
      <c r="E321" s="271"/>
      <c r="F321" s="272"/>
      <c r="G321" s="273"/>
      <c r="H321" s="204"/>
      <c r="I321" s="204"/>
      <c r="J321" s="196"/>
      <c r="K321" s="196"/>
      <c r="L321" s="192" t="str">
        <f>IFERROR(__xludf.DUMMYFUNCTION("IF(
  AND(D321=""Saída"", J321=""Sangria""),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198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94" t="str">
        <f>IFERROR(__xludf.DUMMYFUNCTION("ifna(VALUE(REGEXEXTRACT(E321,""[0-9.]+[,]+[0-9]+"")))"),"")</f>
        <v/>
      </c>
      <c r="O321" s="194"/>
      <c r="P321" s="194"/>
      <c r="Q321" s="194"/>
      <c r="R321" s="194"/>
      <c r="S321" s="194"/>
      <c r="T321" s="194"/>
      <c r="U321" s="194"/>
      <c r="V321" s="194"/>
      <c r="W321" s="194"/>
    </row>
    <row r="322" ht="14.25" customHeight="1">
      <c r="A322" s="31"/>
      <c r="B322" s="268"/>
      <c r="C322" s="269"/>
      <c r="D322" s="270"/>
      <c r="E322" s="271"/>
      <c r="F322" s="272"/>
      <c r="G322" s="273"/>
      <c r="H322" s="204"/>
      <c r="I322" s="204"/>
      <c r="J322" s="196"/>
      <c r="K322" s="196"/>
      <c r="L322" s="192" t="str">
        <f>IFERROR(__xludf.DUMMYFUNCTION("IF(
  AND(D322=""Saída"", J322=""Sangria""),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197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94" t="str">
        <f>IFERROR(__xludf.DUMMYFUNCTION("ifna(VALUE(REGEXEXTRACT(E322,""[0-9.]+[,]+[0-9]+"")))"),"")</f>
        <v/>
      </c>
      <c r="O322" s="194"/>
      <c r="P322" s="194"/>
      <c r="Q322" s="194"/>
      <c r="R322" s="194"/>
      <c r="S322" s="194"/>
      <c r="T322" s="194"/>
      <c r="U322" s="194"/>
      <c r="V322" s="194"/>
      <c r="W322" s="194"/>
    </row>
    <row r="323" ht="14.25" customHeight="1">
      <c r="A323" s="31"/>
      <c r="B323" s="268"/>
      <c r="C323" s="269"/>
      <c r="D323" s="270"/>
      <c r="E323" s="271"/>
      <c r="F323" s="272"/>
      <c r="G323" s="273"/>
      <c r="H323" s="204"/>
      <c r="I323" s="204"/>
      <c r="J323" s="196"/>
      <c r="K323" s="196"/>
      <c r="L323" s="192" t="str">
        <f>IFERROR(__xludf.DUMMYFUNCTION("IF(
  AND(D323=""Saída"", J323=""Sangria""),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198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94" t="str">
        <f>IFERROR(__xludf.DUMMYFUNCTION("ifna(VALUE(REGEXEXTRACT(E323,""[0-9.]+[,]+[0-9]+"")))"),"")</f>
        <v/>
      </c>
      <c r="O323" s="194"/>
      <c r="P323" s="194"/>
      <c r="Q323" s="194"/>
      <c r="R323" s="194"/>
      <c r="S323" s="194"/>
      <c r="T323" s="194"/>
      <c r="U323" s="194"/>
      <c r="V323" s="194"/>
      <c r="W323" s="194"/>
    </row>
    <row r="324" ht="14.25" customHeight="1">
      <c r="A324" s="31"/>
      <c r="B324" s="268"/>
      <c r="C324" s="269"/>
      <c r="D324" s="270"/>
      <c r="E324" s="271"/>
      <c r="F324" s="272"/>
      <c r="G324" s="273"/>
      <c r="H324" s="204"/>
      <c r="I324" s="204"/>
      <c r="J324" s="196"/>
      <c r="K324" s="196"/>
      <c r="L324" s="192" t="str">
        <f>IFERROR(__xludf.DUMMYFUNCTION("IF(
  AND(D324=""Saída"", J324=""Sangria""),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197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94" t="str">
        <f>IFERROR(__xludf.DUMMYFUNCTION("ifna(VALUE(REGEXEXTRACT(E324,""[0-9.]+[,]+[0-9]+"")))"),"")</f>
        <v/>
      </c>
      <c r="O324" s="194"/>
      <c r="P324" s="194"/>
      <c r="Q324" s="194"/>
      <c r="R324" s="194"/>
      <c r="S324" s="194"/>
      <c r="T324" s="194"/>
      <c r="U324" s="194"/>
      <c r="V324" s="194"/>
      <c r="W324" s="194"/>
    </row>
    <row r="325" ht="14.25" customHeight="1">
      <c r="A325" s="31"/>
      <c r="B325" s="268"/>
      <c r="C325" s="269"/>
      <c r="D325" s="270"/>
      <c r="E325" s="271"/>
      <c r="F325" s="272"/>
      <c r="G325" s="273"/>
      <c r="H325" s="204"/>
      <c r="I325" s="204"/>
      <c r="J325" s="196"/>
      <c r="K325" s="196"/>
      <c r="L325" s="192" t="str">
        <f>IFERROR(__xludf.DUMMYFUNCTION("IF(
  AND(D325=""Saída"", J325=""Sangria""),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198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94" t="str">
        <f>IFERROR(__xludf.DUMMYFUNCTION("ifna(VALUE(REGEXEXTRACT(E325,""[0-9.]+[,]+[0-9]+"")))"),"")</f>
        <v/>
      </c>
      <c r="O325" s="194"/>
      <c r="P325" s="194"/>
      <c r="Q325" s="194"/>
      <c r="R325" s="194"/>
      <c r="S325" s="194"/>
      <c r="T325" s="194"/>
      <c r="U325" s="194"/>
      <c r="V325" s="194"/>
      <c r="W325" s="194"/>
    </row>
    <row r="326" ht="14.25" customHeight="1">
      <c r="A326" s="31"/>
      <c r="B326" s="268"/>
      <c r="C326" s="269"/>
      <c r="D326" s="270"/>
      <c r="E326" s="271"/>
      <c r="F326" s="276"/>
      <c r="G326" s="273"/>
      <c r="H326" s="204"/>
      <c r="I326" s="204"/>
      <c r="J326" s="196"/>
      <c r="K326" s="196"/>
      <c r="L326" s="192" t="str">
        <f>IFERROR(__xludf.DUMMYFUNCTION("IF(
  AND(D326=""Saída"", J326=""Sangria""),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197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94" t="str">
        <f>IFERROR(__xludf.DUMMYFUNCTION("ifna(VALUE(REGEXEXTRACT(E326,""[0-9.]+[,]+[0-9]+"")))"),"")</f>
        <v/>
      </c>
      <c r="O326" s="194"/>
      <c r="P326" s="194"/>
      <c r="Q326" s="194"/>
      <c r="R326" s="194"/>
      <c r="S326" s="194"/>
      <c r="T326" s="194"/>
      <c r="U326" s="194"/>
      <c r="V326" s="194"/>
      <c r="W326" s="194"/>
    </row>
    <row r="327" ht="14.25" customHeight="1">
      <c r="A327" s="31"/>
      <c r="B327" s="268"/>
      <c r="C327" s="269"/>
      <c r="D327" s="270"/>
      <c r="E327" s="271"/>
      <c r="F327" s="272"/>
      <c r="G327" s="273"/>
      <c r="H327" s="204"/>
      <c r="I327" s="204"/>
      <c r="J327" s="196"/>
      <c r="K327" s="196"/>
      <c r="L327" s="192" t="str">
        <f>IFERROR(__xludf.DUMMYFUNCTION("IF(
  AND(D327=""Saída"", J327=""Sangria""),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198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94" t="str">
        <f>IFERROR(__xludf.DUMMYFUNCTION("ifna(VALUE(REGEXEXTRACT(E327,""[0-9.]+[,]+[0-9]+"")))"),"")</f>
        <v/>
      </c>
      <c r="O327" s="194"/>
      <c r="P327" s="194"/>
      <c r="Q327" s="194"/>
      <c r="R327" s="194"/>
      <c r="S327" s="194"/>
      <c r="T327" s="194"/>
      <c r="U327" s="194"/>
      <c r="V327" s="194"/>
      <c r="W327" s="194"/>
    </row>
    <row r="328" ht="14.25" customHeight="1">
      <c r="A328" s="31"/>
      <c r="B328" s="268"/>
      <c r="C328" s="269"/>
      <c r="D328" s="270"/>
      <c r="E328" s="271"/>
      <c r="F328" s="272"/>
      <c r="G328" s="273"/>
      <c r="H328" s="204"/>
      <c r="I328" s="204"/>
      <c r="J328" s="196"/>
      <c r="K328" s="196"/>
      <c r="L328" s="192" t="str">
        <f>IFERROR(__xludf.DUMMYFUNCTION("IF(
  AND(D328=""Saída"", J328=""Sangria""),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197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94" t="str">
        <f>IFERROR(__xludf.DUMMYFUNCTION("ifna(VALUE(REGEXEXTRACT(E328,""[0-9.]+[,]+[0-9]+"")))"),"")</f>
        <v/>
      </c>
      <c r="O328" s="194"/>
      <c r="P328" s="194"/>
      <c r="Q328" s="194"/>
      <c r="R328" s="194"/>
      <c r="S328" s="194"/>
      <c r="T328" s="194"/>
      <c r="U328" s="194"/>
      <c r="V328" s="194"/>
      <c r="W328" s="194"/>
    </row>
    <row r="329" ht="14.25" customHeight="1">
      <c r="A329" s="31"/>
      <c r="B329" s="268"/>
      <c r="C329" s="269"/>
      <c r="D329" s="270"/>
      <c r="E329" s="271"/>
      <c r="F329" s="272"/>
      <c r="G329" s="273"/>
      <c r="H329" s="204"/>
      <c r="I329" s="204"/>
      <c r="J329" s="196"/>
      <c r="K329" s="196"/>
      <c r="L329" s="192" t="str">
        <f>IFERROR(__xludf.DUMMYFUNCTION("IF(
  AND(D329=""Saída"", J329=""Sangria""),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198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94" t="str">
        <f>IFERROR(__xludf.DUMMYFUNCTION("ifna(VALUE(REGEXEXTRACT(E329,""[0-9.]+[,]+[0-9]+"")))"),"")</f>
        <v/>
      </c>
      <c r="O329" s="194"/>
      <c r="P329" s="194"/>
      <c r="Q329" s="194"/>
      <c r="R329" s="194"/>
      <c r="S329" s="194"/>
      <c r="T329" s="194"/>
      <c r="U329" s="194"/>
      <c r="V329" s="194"/>
      <c r="W329" s="194"/>
    </row>
    <row r="330" ht="14.25" customHeight="1">
      <c r="A330" s="31"/>
      <c r="B330" s="268"/>
      <c r="C330" s="269"/>
      <c r="D330" s="270"/>
      <c r="E330" s="271"/>
      <c r="F330" s="272"/>
      <c r="G330" s="273"/>
      <c r="H330" s="204"/>
      <c r="I330" s="204"/>
      <c r="J330" s="196"/>
      <c r="K330" s="196"/>
      <c r="L330" s="192" t="str">
        <f>IFERROR(__xludf.DUMMYFUNCTION("IF(
  AND(D330=""Saída"", J330=""Sangria""),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197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94" t="str">
        <f>IFERROR(__xludf.DUMMYFUNCTION("ifna(VALUE(REGEXEXTRACT(E330,""[0-9.]+[,]+[0-9]+"")))"),"")</f>
        <v/>
      </c>
      <c r="O330" s="194"/>
      <c r="P330" s="194"/>
      <c r="Q330" s="194"/>
      <c r="R330" s="194"/>
      <c r="S330" s="194"/>
      <c r="T330" s="194"/>
      <c r="U330" s="194"/>
      <c r="V330" s="194"/>
      <c r="W330" s="194"/>
    </row>
    <row r="331" ht="14.25" customHeight="1">
      <c r="A331" s="31"/>
      <c r="B331" s="268"/>
      <c r="C331" s="269"/>
      <c r="D331" s="270"/>
      <c r="E331" s="271"/>
      <c r="F331" s="272"/>
      <c r="G331" s="273"/>
      <c r="H331" s="204"/>
      <c r="I331" s="204"/>
      <c r="J331" s="196"/>
      <c r="K331" s="196"/>
      <c r="L331" s="192" t="str">
        <f>IFERROR(__xludf.DUMMYFUNCTION("IF(
  AND(D331=""Saída"", J331=""Sangria""),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198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94" t="str">
        <f>IFERROR(__xludf.DUMMYFUNCTION("ifna(VALUE(REGEXEXTRACT(E331,""[0-9.]+[,]+[0-9]+"")))"),"")</f>
        <v/>
      </c>
      <c r="O331" s="194"/>
      <c r="P331" s="194"/>
      <c r="Q331" s="194"/>
      <c r="R331" s="194"/>
      <c r="S331" s="194"/>
      <c r="T331" s="194"/>
      <c r="U331" s="194"/>
      <c r="V331" s="194"/>
      <c r="W331" s="194"/>
    </row>
    <row r="332" ht="14.25" customHeight="1">
      <c r="A332" s="31"/>
      <c r="B332" s="268"/>
      <c r="C332" s="269"/>
      <c r="D332" s="270"/>
      <c r="E332" s="271"/>
      <c r="F332" s="272"/>
      <c r="G332" s="273"/>
      <c r="H332" s="204"/>
      <c r="I332" s="204"/>
      <c r="J332" s="196"/>
      <c r="K332" s="202"/>
      <c r="L332" s="192" t="str">
        <f>IFERROR(__xludf.DUMMYFUNCTION("IF(
  AND(D332=""Saída"", J332=""Sangria""),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197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94" t="str">
        <f>IFERROR(__xludf.DUMMYFUNCTION("ifna(VALUE(REGEXEXTRACT(E332,""[0-9.]+[,]+[0-9]+"")))"),"")</f>
        <v/>
      </c>
      <c r="O332" s="194"/>
      <c r="P332" s="194"/>
      <c r="Q332" s="194"/>
      <c r="R332" s="194"/>
      <c r="S332" s="194"/>
      <c r="T332" s="194"/>
      <c r="U332" s="194"/>
      <c r="V332" s="194"/>
      <c r="W332" s="194"/>
    </row>
    <row r="333" ht="14.25" customHeight="1">
      <c r="A333" s="31"/>
      <c r="B333" s="268"/>
      <c r="C333" s="269"/>
      <c r="D333" s="270"/>
      <c r="E333" s="271"/>
      <c r="F333" s="272"/>
      <c r="G333" s="273"/>
      <c r="H333" s="204"/>
      <c r="I333" s="204"/>
      <c r="J333" s="196"/>
      <c r="K333" s="196"/>
      <c r="L333" s="192" t="str">
        <f>IFERROR(__xludf.DUMMYFUNCTION("IF(
  AND(D333=""Saída"", J333=""Sangria""),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198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94" t="str">
        <f>IFERROR(__xludf.DUMMYFUNCTION("ifna(VALUE(REGEXEXTRACT(E333,""[0-9.]+[,]+[0-9]+"")))"),"")</f>
        <v/>
      </c>
      <c r="O333" s="194"/>
      <c r="P333" s="194"/>
      <c r="Q333" s="194"/>
      <c r="R333" s="194"/>
      <c r="S333" s="194"/>
      <c r="T333" s="194"/>
      <c r="U333" s="194"/>
      <c r="V333" s="194"/>
      <c r="W333" s="194"/>
    </row>
    <row r="334" ht="14.25" customHeight="1">
      <c r="A334" s="31"/>
      <c r="B334" s="268"/>
      <c r="C334" s="269"/>
      <c r="D334" s="270"/>
      <c r="E334" s="271"/>
      <c r="F334" s="272"/>
      <c r="G334" s="273"/>
      <c r="H334" s="204"/>
      <c r="I334" s="204"/>
      <c r="J334" s="196"/>
      <c r="K334" s="196"/>
      <c r="L334" s="192" t="str">
        <f>IFERROR(__xludf.DUMMYFUNCTION("IF(
  AND(D334=""Saída"", J334=""Sangria""),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197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94" t="str">
        <f>IFERROR(__xludf.DUMMYFUNCTION("ifna(VALUE(REGEXEXTRACT(E334,""[0-9.]+[,]+[0-9]+"")))"),"")</f>
        <v/>
      </c>
      <c r="O334" s="194"/>
      <c r="P334" s="194"/>
      <c r="Q334" s="194"/>
      <c r="R334" s="194"/>
      <c r="S334" s="194"/>
      <c r="T334" s="194"/>
      <c r="U334" s="194"/>
      <c r="V334" s="194"/>
      <c r="W334" s="194"/>
    </row>
    <row r="335" ht="14.25" customHeight="1">
      <c r="A335" s="31"/>
      <c r="B335" s="268"/>
      <c r="C335" s="269"/>
      <c r="D335" s="270"/>
      <c r="E335" s="271"/>
      <c r="F335" s="272"/>
      <c r="G335" s="273"/>
      <c r="H335" s="204"/>
      <c r="I335" s="204"/>
      <c r="J335" s="196"/>
      <c r="K335" s="196"/>
      <c r="L335" s="192" t="str">
        <f>IFERROR(__xludf.DUMMYFUNCTION("IF(
  AND(D335=""Saída"", J335=""Sangria""),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198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94" t="str">
        <f>IFERROR(__xludf.DUMMYFUNCTION("ifna(VALUE(REGEXEXTRACT(E335,""[0-9.]+[,]+[0-9]+"")))"),"")</f>
        <v/>
      </c>
      <c r="O335" s="194"/>
      <c r="P335" s="194"/>
      <c r="Q335" s="194"/>
      <c r="R335" s="194"/>
      <c r="S335" s="194"/>
      <c r="T335" s="194"/>
      <c r="U335" s="194"/>
      <c r="V335" s="194"/>
      <c r="W335" s="194"/>
    </row>
    <row r="336" ht="14.25" customHeight="1">
      <c r="A336" s="31"/>
      <c r="B336" s="268"/>
      <c r="C336" s="269"/>
      <c r="D336" s="270"/>
      <c r="E336" s="271"/>
      <c r="F336" s="276"/>
      <c r="G336" s="273"/>
      <c r="H336" s="204"/>
      <c r="I336" s="204"/>
      <c r="J336" s="196"/>
      <c r="K336" s="196"/>
      <c r="L336" s="192" t="str">
        <f>IFERROR(__xludf.DUMMYFUNCTION("IF(
  AND(D336=""Saída"", J336=""Sangria""),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197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94" t="str">
        <f>IFERROR(__xludf.DUMMYFUNCTION("ifna(VALUE(REGEXEXTRACT(E336,""[0-9.]+[,]+[0-9]+"")))"),"")</f>
        <v/>
      </c>
      <c r="O336" s="194"/>
      <c r="P336" s="194"/>
      <c r="Q336" s="194"/>
      <c r="R336" s="194"/>
      <c r="S336" s="194"/>
      <c r="T336" s="194"/>
      <c r="U336" s="194"/>
      <c r="V336" s="194"/>
      <c r="W336" s="194"/>
    </row>
    <row r="337" ht="14.25" customHeight="1">
      <c r="A337" s="31"/>
      <c r="B337" s="268"/>
      <c r="C337" s="269"/>
      <c r="D337" s="270"/>
      <c r="E337" s="275"/>
      <c r="F337" s="272"/>
      <c r="G337" s="273"/>
      <c r="H337" s="204"/>
      <c r="I337" s="204"/>
      <c r="J337" s="196"/>
      <c r="K337" s="196"/>
      <c r="L337" s="192" t="str">
        <f>IFERROR(__xludf.DUMMYFUNCTION("IF(
  AND(D337=""Saída"", J337=""Sangria""),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198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94" t="str">
        <f>IFERROR(__xludf.DUMMYFUNCTION("ifna(VALUE(REGEXEXTRACT(E337,""[0-9.]+[,]+[0-9]+"")))"),"")</f>
        <v/>
      </c>
      <c r="O337" s="194"/>
      <c r="P337" s="194"/>
      <c r="Q337" s="194"/>
      <c r="R337" s="194"/>
      <c r="S337" s="194"/>
      <c r="T337" s="194"/>
      <c r="U337" s="194"/>
      <c r="V337" s="194"/>
      <c r="W337" s="194"/>
    </row>
    <row r="338" ht="14.25" customHeight="1">
      <c r="A338" s="31"/>
      <c r="B338" s="268"/>
      <c r="C338" s="269"/>
      <c r="D338" s="270"/>
      <c r="E338" s="271"/>
      <c r="F338" s="272"/>
      <c r="G338" s="273"/>
      <c r="H338" s="204"/>
      <c r="I338" s="204"/>
      <c r="J338" s="196"/>
      <c r="K338" s="202"/>
      <c r="L338" s="192" t="str">
        <f>IFERROR(__xludf.DUMMYFUNCTION("IF(
  AND(D338=""Saída"", J338=""Sangria""),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197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94" t="str">
        <f>IFERROR(__xludf.DUMMYFUNCTION("ifna(VALUE(REGEXEXTRACT(E338,""[0-9.]+[,]+[0-9]+"")))"),"")</f>
        <v/>
      </c>
      <c r="O338" s="194"/>
      <c r="P338" s="194"/>
      <c r="Q338" s="194"/>
      <c r="R338" s="194"/>
      <c r="S338" s="194"/>
      <c r="T338" s="194"/>
      <c r="U338" s="194"/>
      <c r="V338" s="194"/>
      <c r="W338" s="194"/>
    </row>
    <row r="339" ht="14.25" customHeight="1">
      <c r="A339" s="31"/>
      <c r="B339" s="268"/>
      <c r="C339" s="269"/>
      <c r="D339" s="270"/>
      <c r="E339" s="271"/>
      <c r="F339" s="272"/>
      <c r="G339" s="273"/>
      <c r="H339" s="204"/>
      <c r="I339" s="204"/>
      <c r="J339" s="196"/>
      <c r="K339" s="196"/>
      <c r="L339" s="192" t="str">
        <f>IFERROR(__xludf.DUMMYFUNCTION("IF(
  AND(D339=""Saída"", J339=""Sangria""),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198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94" t="str">
        <f>IFERROR(__xludf.DUMMYFUNCTION("ifna(VALUE(REGEXEXTRACT(E339,""[0-9.]+[,]+[0-9]+"")))"),"")</f>
        <v/>
      </c>
      <c r="O339" s="194"/>
      <c r="P339" s="194"/>
      <c r="Q339" s="194"/>
      <c r="R339" s="194"/>
      <c r="S339" s="194"/>
      <c r="T339" s="194"/>
      <c r="U339" s="194"/>
      <c r="V339" s="194"/>
      <c r="W339" s="194"/>
    </row>
    <row r="340" ht="14.25" customHeight="1">
      <c r="A340" s="31"/>
      <c r="B340" s="268"/>
      <c r="C340" s="269"/>
      <c r="D340" s="270"/>
      <c r="E340" s="271"/>
      <c r="F340" s="272"/>
      <c r="G340" s="273"/>
      <c r="H340" s="204"/>
      <c r="I340" s="204"/>
      <c r="J340" s="196"/>
      <c r="K340" s="196"/>
      <c r="L340" s="192" t="str">
        <f>IFERROR(__xludf.DUMMYFUNCTION("IF(
  AND(D340=""Saída"", J340=""Sangria""),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197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94" t="str">
        <f>IFERROR(__xludf.DUMMYFUNCTION("ifna(VALUE(REGEXEXTRACT(E340,""[0-9.]+[,]+[0-9]+"")))"),"")</f>
        <v/>
      </c>
      <c r="O340" s="194"/>
      <c r="P340" s="194"/>
      <c r="Q340" s="194"/>
      <c r="R340" s="194"/>
      <c r="S340" s="194"/>
      <c r="T340" s="194"/>
      <c r="U340" s="194"/>
      <c r="V340" s="194"/>
      <c r="W340" s="194"/>
    </row>
    <row r="341" ht="14.25" customHeight="1">
      <c r="A341" s="31"/>
      <c r="B341" s="268"/>
      <c r="C341" s="269"/>
      <c r="D341" s="270"/>
      <c r="E341" s="271"/>
      <c r="F341" s="276"/>
      <c r="G341" s="273"/>
      <c r="H341" s="204"/>
      <c r="I341" s="204"/>
      <c r="J341" s="196"/>
      <c r="K341" s="196"/>
      <c r="L341" s="192" t="str">
        <f>IFERROR(__xludf.DUMMYFUNCTION("IF(
  AND(D341=""Saída"", J341=""Sangria""),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198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94" t="str">
        <f>IFERROR(__xludf.DUMMYFUNCTION("ifna(VALUE(REGEXEXTRACT(E341,""[0-9.]+[,]+[0-9]+"")))"),"")</f>
        <v/>
      </c>
      <c r="O341" s="194"/>
      <c r="P341" s="194"/>
      <c r="Q341" s="194"/>
      <c r="R341" s="194"/>
      <c r="S341" s="194"/>
      <c r="T341" s="194"/>
      <c r="U341" s="194"/>
      <c r="V341" s="194"/>
      <c r="W341" s="194"/>
    </row>
    <row r="342" ht="14.25" customHeight="1">
      <c r="A342" s="31"/>
      <c r="B342" s="268"/>
      <c r="C342" s="269"/>
      <c r="D342" s="270"/>
      <c r="E342" s="271"/>
      <c r="F342" s="272"/>
      <c r="G342" s="274"/>
      <c r="H342" s="204"/>
      <c r="I342" s="204"/>
      <c r="J342" s="196"/>
      <c r="K342" s="202"/>
      <c r="L342" s="192" t="str">
        <f>IFERROR(__xludf.DUMMYFUNCTION("IF(
  AND(D342=""Saída"", J342=""Sangria""),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197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94" t="str">
        <f>IFERROR(__xludf.DUMMYFUNCTION("ifna(VALUE(REGEXEXTRACT(E342,""[0-9.]+[,]+[0-9]+"")))"),"")</f>
        <v/>
      </c>
      <c r="O342" s="194"/>
      <c r="P342" s="194"/>
      <c r="Q342" s="194"/>
      <c r="R342" s="194"/>
      <c r="S342" s="194"/>
      <c r="T342" s="194"/>
      <c r="U342" s="194"/>
      <c r="V342" s="194"/>
      <c r="W342" s="194"/>
    </row>
    <row r="343" ht="14.25" customHeight="1">
      <c r="A343" s="31"/>
      <c r="B343" s="268"/>
      <c r="C343" s="269"/>
      <c r="D343" s="270"/>
      <c r="E343" s="271"/>
      <c r="F343" s="272"/>
      <c r="G343" s="273"/>
      <c r="H343" s="204"/>
      <c r="I343" s="204"/>
      <c r="J343" s="196"/>
      <c r="K343" s="196"/>
      <c r="L343" s="192" t="str">
        <f>IFERROR(__xludf.DUMMYFUNCTION("IF(
  AND(D343=""Saída"", J343=""Sangria""),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198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94" t="str">
        <f>IFERROR(__xludf.DUMMYFUNCTION("ifna(VALUE(REGEXEXTRACT(E343,""[0-9.]+[,]+[0-9]+"")))"),"")</f>
        <v/>
      </c>
      <c r="O343" s="194"/>
      <c r="P343" s="194"/>
      <c r="Q343" s="194"/>
      <c r="R343" s="194"/>
      <c r="S343" s="194"/>
      <c r="T343" s="194"/>
      <c r="U343" s="194"/>
      <c r="V343" s="194"/>
      <c r="W343" s="194"/>
    </row>
    <row r="344" ht="14.25" customHeight="1">
      <c r="A344" s="31"/>
      <c r="B344" s="268"/>
      <c r="C344" s="269"/>
      <c r="D344" s="270"/>
      <c r="E344" s="271"/>
      <c r="F344" s="272"/>
      <c r="G344" s="273"/>
      <c r="H344" s="204"/>
      <c r="I344" s="204"/>
      <c r="J344" s="196"/>
      <c r="K344" s="196"/>
      <c r="L344" s="192" t="str">
        <f>IFERROR(__xludf.DUMMYFUNCTION("IF(
  AND(D344=""Saída"", J344=""Sangria""),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197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94" t="str">
        <f>IFERROR(__xludf.DUMMYFUNCTION("ifna(VALUE(REGEXEXTRACT(E344,""[0-9.]+[,]+[0-9]+"")))"),"")</f>
        <v/>
      </c>
      <c r="O344" s="194"/>
      <c r="P344" s="194"/>
      <c r="Q344" s="194"/>
      <c r="R344" s="194"/>
      <c r="S344" s="194"/>
      <c r="T344" s="194"/>
      <c r="U344" s="194"/>
      <c r="V344" s="194"/>
      <c r="W344" s="194"/>
    </row>
    <row r="345" ht="14.25" customHeight="1">
      <c r="A345" s="31"/>
      <c r="B345" s="268"/>
      <c r="C345" s="269"/>
      <c r="D345" s="270"/>
      <c r="E345" s="271"/>
      <c r="F345" s="272"/>
      <c r="G345" s="273"/>
      <c r="H345" s="204"/>
      <c r="I345" s="204"/>
      <c r="J345" s="196"/>
      <c r="K345" s="196"/>
      <c r="L345" s="192" t="str">
        <f>IFERROR(__xludf.DUMMYFUNCTION("IF(
  AND(D345=""Saída"", J345=""Sangria""),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198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94" t="str">
        <f>IFERROR(__xludf.DUMMYFUNCTION("ifna(VALUE(REGEXEXTRACT(E345,""[0-9.]+[,]+[0-9]+"")))"),"")</f>
        <v/>
      </c>
      <c r="O345" s="194"/>
      <c r="P345" s="194"/>
      <c r="Q345" s="194"/>
      <c r="R345" s="194"/>
      <c r="S345" s="194"/>
      <c r="T345" s="194"/>
      <c r="U345" s="194"/>
      <c r="V345" s="194"/>
      <c r="W345" s="194"/>
    </row>
    <row r="346" ht="14.25" customHeight="1">
      <c r="A346" s="31"/>
      <c r="B346" s="268"/>
      <c r="C346" s="269"/>
      <c r="D346" s="270"/>
      <c r="E346" s="271"/>
      <c r="F346" s="272"/>
      <c r="G346" s="273"/>
      <c r="H346" s="204"/>
      <c r="I346" s="204"/>
      <c r="J346" s="196"/>
      <c r="K346" s="196"/>
      <c r="L346" s="192" t="str">
        <f>IFERROR(__xludf.DUMMYFUNCTION("IF(
  AND(D346=""Saída"", J346=""Sangria""),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197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94" t="str">
        <f>IFERROR(__xludf.DUMMYFUNCTION("ifna(VALUE(REGEXEXTRACT(E346,""[0-9.]+[,]+[0-9]+"")))"),"")</f>
        <v/>
      </c>
      <c r="O346" s="194"/>
      <c r="P346" s="194"/>
      <c r="Q346" s="194"/>
      <c r="R346" s="194"/>
      <c r="S346" s="194"/>
      <c r="T346" s="194"/>
      <c r="U346" s="194"/>
      <c r="V346" s="194"/>
      <c r="W346" s="194"/>
    </row>
    <row r="347" ht="14.25" customHeight="1">
      <c r="A347" s="31"/>
      <c r="B347" s="268"/>
      <c r="C347" s="269"/>
      <c r="D347" s="270"/>
      <c r="E347" s="271"/>
      <c r="F347" s="272"/>
      <c r="G347" s="273"/>
      <c r="H347" s="204"/>
      <c r="I347" s="204"/>
      <c r="J347" s="196"/>
      <c r="K347" s="202"/>
      <c r="L347" s="192" t="str">
        <f>IFERROR(__xludf.DUMMYFUNCTION("IF(
  AND(D347=""Saída"", J347=""Sangria""),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198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94" t="str">
        <f>IFERROR(__xludf.DUMMYFUNCTION("ifna(VALUE(REGEXEXTRACT(E347,""[0-9.]+[,]+[0-9]+"")))"),"")</f>
        <v/>
      </c>
      <c r="O347" s="194"/>
      <c r="P347" s="194"/>
      <c r="Q347" s="194"/>
      <c r="R347" s="194"/>
      <c r="S347" s="194"/>
      <c r="T347" s="194"/>
      <c r="U347" s="194"/>
      <c r="V347" s="194"/>
      <c r="W347" s="194"/>
    </row>
    <row r="348" ht="14.25" customHeight="1">
      <c r="A348" s="31"/>
      <c r="B348" s="268"/>
      <c r="C348" s="269"/>
      <c r="D348" s="270"/>
      <c r="E348" s="271"/>
      <c r="F348" s="272"/>
      <c r="G348" s="273"/>
      <c r="H348" s="204"/>
      <c r="I348" s="204"/>
      <c r="J348" s="196"/>
      <c r="K348" s="196"/>
      <c r="L348" s="192" t="str">
        <f>IFERROR(__xludf.DUMMYFUNCTION("IF(
  AND(D348=""Saída"", J348=""Sangria""),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197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94" t="str">
        <f>IFERROR(__xludf.DUMMYFUNCTION("ifna(VALUE(REGEXEXTRACT(E348,""[0-9.]+[,]+[0-9]+"")))"),"")</f>
        <v/>
      </c>
      <c r="O348" s="194"/>
      <c r="P348" s="194"/>
      <c r="Q348" s="194"/>
      <c r="R348" s="194"/>
      <c r="S348" s="194"/>
      <c r="T348" s="194"/>
      <c r="U348" s="194"/>
      <c r="V348" s="194"/>
      <c r="W348" s="194"/>
    </row>
    <row r="349" ht="14.25" customHeight="1">
      <c r="A349" s="31"/>
      <c r="B349" s="268"/>
      <c r="C349" s="269"/>
      <c r="D349" s="270"/>
      <c r="E349" s="275"/>
      <c r="F349" s="272"/>
      <c r="G349" s="273"/>
      <c r="H349" s="204"/>
      <c r="I349" s="204"/>
      <c r="J349" s="196"/>
      <c r="K349" s="196"/>
      <c r="L349" s="192" t="str">
        <f>IFERROR(__xludf.DUMMYFUNCTION("IF(
  AND(D349=""Saída"", J349=""Sangria""),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198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94" t="str">
        <f>IFERROR(__xludf.DUMMYFUNCTION("ifna(VALUE(REGEXEXTRACT(E349,""[0-9.]+[,]+[0-9]+"")))"),"")</f>
        <v/>
      </c>
      <c r="O349" s="194"/>
      <c r="P349" s="194"/>
      <c r="Q349" s="194"/>
      <c r="R349" s="194"/>
      <c r="S349" s="194"/>
      <c r="T349" s="194"/>
      <c r="U349" s="194"/>
      <c r="V349" s="194"/>
      <c r="W349" s="194"/>
    </row>
    <row r="350" ht="14.25" customHeight="1">
      <c r="A350" s="31"/>
      <c r="B350" s="268"/>
      <c r="C350" s="269"/>
      <c r="D350" s="270"/>
      <c r="E350" s="271"/>
      <c r="F350" s="272"/>
      <c r="G350" s="273"/>
      <c r="H350" s="204"/>
      <c r="I350" s="204"/>
      <c r="J350" s="196"/>
      <c r="K350" s="202"/>
      <c r="L350" s="192" t="str">
        <f>IFERROR(__xludf.DUMMYFUNCTION("IF(
  AND(D350=""Saída"", J350=""Sangria""),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197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94" t="str">
        <f>IFERROR(__xludf.DUMMYFUNCTION("ifna(VALUE(REGEXEXTRACT(E350,""[0-9.]+[,]+[0-9]+"")))"),"")</f>
        <v/>
      </c>
      <c r="O350" s="194"/>
      <c r="P350" s="194"/>
      <c r="Q350" s="194"/>
      <c r="R350" s="194"/>
      <c r="S350" s="194"/>
      <c r="T350" s="194"/>
      <c r="U350" s="194"/>
      <c r="V350" s="194"/>
      <c r="W350" s="194"/>
    </row>
    <row r="351" ht="14.25" customHeight="1">
      <c r="A351" s="31"/>
      <c r="B351" s="268"/>
      <c r="C351" s="269"/>
      <c r="D351" s="270"/>
      <c r="E351" s="271"/>
      <c r="F351" s="276"/>
      <c r="G351" s="273"/>
      <c r="H351" s="204"/>
      <c r="I351" s="204"/>
      <c r="J351" s="196"/>
      <c r="K351" s="202"/>
      <c r="L351" s="192" t="str">
        <f>IFERROR(__xludf.DUMMYFUNCTION("IF(
  AND(D351=""Saída"", J351=""Sangria""),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198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94" t="str">
        <f>IFERROR(__xludf.DUMMYFUNCTION("ifna(VALUE(REGEXEXTRACT(E351,""[0-9.]+[,]+[0-9]+"")))"),"")</f>
        <v/>
      </c>
      <c r="O351" s="194"/>
      <c r="P351" s="194"/>
      <c r="Q351" s="194"/>
      <c r="R351" s="194"/>
      <c r="S351" s="194"/>
      <c r="T351" s="194"/>
      <c r="U351" s="194"/>
      <c r="V351" s="194"/>
      <c r="W351" s="194"/>
    </row>
    <row r="352" ht="14.25" customHeight="1">
      <c r="A352" s="31"/>
      <c r="B352" s="268"/>
      <c r="C352" s="269"/>
      <c r="D352" s="270"/>
      <c r="E352" s="271"/>
      <c r="F352" s="272"/>
      <c r="G352" s="273"/>
      <c r="H352" s="204"/>
      <c r="I352" s="204"/>
      <c r="J352" s="196"/>
      <c r="K352" s="196"/>
      <c r="L352" s="192" t="str">
        <f>IFERROR(__xludf.DUMMYFUNCTION("IF(
  AND(D352=""Saída"", J352=""Sangria""),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197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94" t="str">
        <f>IFERROR(__xludf.DUMMYFUNCTION("ifna(VALUE(REGEXEXTRACT(E352,""[0-9.]+[,]+[0-9]+"")))"),"")</f>
        <v/>
      </c>
      <c r="O352" s="194"/>
      <c r="P352" s="194"/>
      <c r="Q352" s="194"/>
      <c r="R352" s="194"/>
      <c r="S352" s="194"/>
      <c r="T352" s="194"/>
      <c r="U352" s="194"/>
      <c r="V352" s="194"/>
      <c r="W352" s="194"/>
    </row>
    <row r="353" ht="14.25" customHeight="1">
      <c r="A353" s="31"/>
      <c r="B353" s="268"/>
      <c r="C353" s="269"/>
      <c r="D353" s="270"/>
      <c r="E353" s="271"/>
      <c r="F353" s="276"/>
      <c r="G353" s="273"/>
      <c r="H353" s="204"/>
      <c r="I353" s="204"/>
      <c r="J353" s="196"/>
      <c r="K353" s="196"/>
      <c r="L353" s="192" t="str">
        <f>IFERROR(__xludf.DUMMYFUNCTION("IF(
  AND(D353=""Saída"", J353=""Sangria""),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198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94" t="str">
        <f>IFERROR(__xludf.DUMMYFUNCTION("ifna(VALUE(REGEXEXTRACT(E353,""[0-9.]+[,]+[0-9]+"")))"),"")</f>
        <v/>
      </c>
      <c r="O353" s="194"/>
      <c r="P353" s="194"/>
      <c r="Q353" s="194"/>
      <c r="R353" s="194"/>
      <c r="S353" s="194"/>
      <c r="T353" s="194"/>
      <c r="U353" s="194"/>
      <c r="V353" s="194"/>
      <c r="W353" s="194"/>
    </row>
    <row r="354" ht="14.25" customHeight="1">
      <c r="A354" s="31"/>
      <c r="B354" s="268"/>
      <c r="C354" s="269"/>
      <c r="D354" s="270"/>
      <c r="E354" s="271"/>
      <c r="F354" s="272"/>
      <c r="G354" s="273"/>
      <c r="H354" s="204"/>
      <c r="I354" s="204"/>
      <c r="J354" s="196"/>
      <c r="K354" s="196"/>
      <c r="L354" s="192" t="str">
        <f>IFERROR(__xludf.DUMMYFUNCTION("IF(
  AND(D354=""Saída"", J354=""Sangria""),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197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94" t="str">
        <f>IFERROR(__xludf.DUMMYFUNCTION("ifna(VALUE(REGEXEXTRACT(E354,""[0-9.]+[,]+[0-9]+"")))"),"")</f>
        <v/>
      </c>
      <c r="O354" s="194"/>
      <c r="P354" s="194"/>
      <c r="Q354" s="194"/>
      <c r="R354" s="194"/>
      <c r="S354" s="194"/>
      <c r="T354" s="194"/>
      <c r="U354" s="194"/>
      <c r="V354" s="194"/>
      <c r="W354" s="194"/>
    </row>
    <row r="355" ht="14.25" customHeight="1">
      <c r="A355" s="31"/>
      <c r="B355" s="268"/>
      <c r="C355" s="269"/>
      <c r="D355" s="270"/>
      <c r="E355" s="271"/>
      <c r="F355" s="272"/>
      <c r="G355" s="273"/>
      <c r="H355" s="204"/>
      <c r="I355" s="204"/>
      <c r="J355" s="196"/>
      <c r="K355" s="196"/>
      <c r="L355" s="192" t="str">
        <f>IFERROR(__xludf.DUMMYFUNCTION("IF(
  AND(D355=""Saída"", J355=""Sangria""),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198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94" t="str">
        <f>IFERROR(__xludf.DUMMYFUNCTION("ifna(VALUE(REGEXEXTRACT(E355,""[0-9.]+[,]+[0-9]+"")))"),"")</f>
        <v/>
      </c>
      <c r="O355" s="194"/>
      <c r="P355" s="194"/>
      <c r="Q355" s="194"/>
      <c r="R355" s="194"/>
      <c r="S355" s="194"/>
      <c r="T355" s="194"/>
      <c r="U355" s="194"/>
      <c r="V355" s="194"/>
      <c r="W355" s="194"/>
    </row>
    <row r="356" ht="14.25" customHeight="1">
      <c r="A356" s="31"/>
      <c r="B356" s="268"/>
      <c r="C356" s="269"/>
      <c r="D356" s="270"/>
      <c r="E356" s="271"/>
      <c r="F356" s="272"/>
      <c r="G356" s="273"/>
      <c r="H356" s="204"/>
      <c r="I356" s="204"/>
      <c r="J356" s="196"/>
      <c r="K356" s="196"/>
      <c r="L356" s="192" t="str">
        <f>IFERROR(__xludf.DUMMYFUNCTION("IF(
  AND(D356=""Saída"", J356=""Sangria""),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197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94" t="str">
        <f>IFERROR(__xludf.DUMMYFUNCTION("ifna(VALUE(REGEXEXTRACT(E356,""[0-9.]+[,]+[0-9]+"")))"),"")</f>
        <v/>
      </c>
      <c r="O356" s="194"/>
      <c r="P356" s="194"/>
      <c r="Q356" s="194"/>
      <c r="R356" s="194"/>
      <c r="S356" s="194"/>
      <c r="T356" s="194"/>
      <c r="U356" s="194"/>
      <c r="V356" s="194"/>
      <c r="W356" s="194"/>
    </row>
    <row r="357" ht="14.25" customHeight="1">
      <c r="A357" s="31"/>
      <c r="B357" s="268"/>
      <c r="C357" s="269"/>
      <c r="D357" s="270"/>
      <c r="E357" s="275"/>
      <c r="F357" s="272"/>
      <c r="G357" s="273"/>
      <c r="H357" s="204"/>
      <c r="I357" s="204"/>
      <c r="J357" s="196"/>
      <c r="K357" s="196"/>
      <c r="L357" s="192" t="str">
        <f>IFERROR(__xludf.DUMMYFUNCTION("IF(
  AND(D357=""Saída"", J357=""Sangria""),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198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94" t="str">
        <f>IFERROR(__xludf.DUMMYFUNCTION("ifna(VALUE(REGEXEXTRACT(E357,""[0-9.]+[,]+[0-9]+"")))"),"")</f>
        <v/>
      </c>
      <c r="O357" s="194"/>
      <c r="P357" s="194"/>
      <c r="Q357" s="194"/>
      <c r="R357" s="194"/>
      <c r="S357" s="194"/>
      <c r="T357" s="194"/>
      <c r="U357" s="194"/>
      <c r="V357" s="194"/>
      <c r="W357" s="194"/>
    </row>
    <row r="358" ht="14.25" customHeight="1">
      <c r="A358" s="31"/>
      <c r="B358" s="268"/>
      <c r="C358" s="269"/>
      <c r="D358" s="270"/>
      <c r="E358" s="271"/>
      <c r="F358" s="272"/>
      <c r="G358" s="273"/>
      <c r="H358" s="204"/>
      <c r="I358" s="204"/>
      <c r="J358" s="196"/>
      <c r="K358" s="202"/>
      <c r="L358" s="192" t="str">
        <f>IFERROR(__xludf.DUMMYFUNCTION("IF(
  AND(D358=""Saída"", J358=""Sangria""),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197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94" t="str">
        <f>IFERROR(__xludf.DUMMYFUNCTION("ifna(VALUE(REGEXEXTRACT(E358,""[0-9.]+[,]+[0-9]+"")))"),"")</f>
        <v/>
      </c>
      <c r="O358" s="194"/>
      <c r="P358" s="194"/>
      <c r="Q358" s="194"/>
      <c r="R358" s="194"/>
      <c r="S358" s="194"/>
      <c r="T358" s="194"/>
      <c r="U358" s="194"/>
      <c r="V358" s="194"/>
      <c r="W358" s="194"/>
    </row>
    <row r="359" ht="14.25" customHeight="1">
      <c r="A359" s="31"/>
      <c r="B359" s="268"/>
      <c r="C359" s="269"/>
      <c r="D359" s="270"/>
      <c r="E359" s="271"/>
      <c r="F359" s="272"/>
      <c r="G359" s="273"/>
      <c r="H359" s="204"/>
      <c r="I359" s="204"/>
      <c r="J359" s="196"/>
      <c r="K359" s="202"/>
      <c r="L359" s="192" t="str">
        <f>IFERROR(__xludf.DUMMYFUNCTION("IF(
  AND(D359=""Saída"", J359=""Sangria""),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198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94" t="str">
        <f>IFERROR(__xludf.DUMMYFUNCTION("ifna(VALUE(REGEXEXTRACT(E359,""[0-9.]+[,]+[0-9]+"")))"),"")</f>
        <v/>
      </c>
      <c r="O359" s="194"/>
      <c r="P359" s="194"/>
      <c r="Q359" s="194"/>
      <c r="R359" s="194"/>
      <c r="S359" s="194"/>
      <c r="T359" s="194"/>
      <c r="U359" s="194"/>
      <c r="V359" s="194"/>
      <c r="W359" s="194"/>
    </row>
    <row r="360" ht="14.25" customHeight="1">
      <c r="A360" s="31"/>
      <c r="B360" s="268"/>
      <c r="C360" s="269"/>
      <c r="D360" s="270"/>
      <c r="E360" s="271"/>
      <c r="F360" s="272"/>
      <c r="G360" s="273"/>
      <c r="H360" s="204"/>
      <c r="I360" s="204"/>
      <c r="J360" s="196"/>
      <c r="K360" s="196"/>
      <c r="L360" s="192" t="str">
        <f>IFERROR(__xludf.DUMMYFUNCTION("IF(
  AND(D360=""Saída"", J360=""Sangria""),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197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94" t="str">
        <f>IFERROR(__xludf.DUMMYFUNCTION("ifna(VALUE(REGEXEXTRACT(E360,""[0-9.]+[,]+[0-9]+"")))"),"")</f>
        <v/>
      </c>
      <c r="O360" s="194"/>
      <c r="P360" s="194"/>
      <c r="Q360" s="194"/>
      <c r="R360" s="194"/>
      <c r="S360" s="194"/>
      <c r="T360" s="194"/>
      <c r="U360" s="194"/>
      <c r="V360" s="194"/>
      <c r="W360" s="194"/>
    </row>
    <row r="361" ht="14.25" customHeight="1">
      <c r="A361" s="31"/>
      <c r="B361" s="268"/>
      <c r="C361" s="269"/>
      <c r="D361" s="270"/>
      <c r="E361" s="271"/>
      <c r="F361" s="272"/>
      <c r="G361" s="273"/>
      <c r="H361" s="204"/>
      <c r="I361" s="204"/>
      <c r="J361" s="196"/>
      <c r="K361" s="196"/>
      <c r="L361" s="192" t="str">
        <f>IFERROR(__xludf.DUMMYFUNCTION("IF(
  AND(D361=""Saída"", J361=""Sangria""),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198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94" t="str">
        <f>IFERROR(__xludf.DUMMYFUNCTION("ifna(VALUE(REGEXEXTRACT(E361,""[0-9.]+[,]+[0-9]+"")))"),"")</f>
        <v/>
      </c>
      <c r="O361" s="194"/>
      <c r="P361" s="194"/>
      <c r="Q361" s="194"/>
      <c r="R361" s="194"/>
      <c r="S361" s="194"/>
      <c r="T361" s="194"/>
      <c r="U361" s="194"/>
      <c r="V361" s="194"/>
      <c r="W361" s="194"/>
    </row>
    <row r="362" ht="14.25" customHeight="1">
      <c r="A362" s="31"/>
      <c r="B362" s="268"/>
      <c r="C362" s="269"/>
      <c r="D362" s="270"/>
      <c r="E362" s="271"/>
      <c r="F362" s="272"/>
      <c r="G362" s="273"/>
      <c r="H362" s="204"/>
      <c r="I362" s="204"/>
      <c r="J362" s="196"/>
      <c r="K362" s="196"/>
      <c r="L362" s="192" t="str">
        <f>IFERROR(__xludf.DUMMYFUNCTION("IF(
  AND(D362=""Saída"", J362=""Sangria""),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197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94" t="str">
        <f>IFERROR(__xludf.DUMMYFUNCTION("ifna(VALUE(REGEXEXTRACT(E362,""[0-9.]+[,]+[0-9]+"")))"),"")</f>
        <v/>
      </c>
      <c r="O362" s="194"/>
      <c r="P362" s="194"/>
      <c r="Q362" s="194"/>
      <c r="R362" s="194"/>
      <c r="S362" s="194"/>
      <c r="T362" s="194"/>
      <c r="U362" s="194"/>
      <c r="V362" s="194"/>
      <c r="W362" s="194"/>
    </row>
    <row r="363" ht="14.25" customHeight="1">
      <c r="A363" s="31"/>
      <c r="B363" s="268"/>
      <c r="C363" s="269"/>
      <c r="D363" s="270"/>
      <c r="E363" s="271"/>
      <c r="F363" s="276"/>
      <c r="G363" s="273"/>
      <c r="H363" s="204"/>
      <c r="I363" s="204"/>
      <c r="J363" s="196"/>
      <c r="K363" s="196"/>
      <c r="L363" s="192" t="str">
        <f>IFERROR(__xludf.DUMMYFUNCTION("IF(
  AND(D363=""Saída"", J363=""Sangria""),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198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94" t="str">
        <f>IFERROR(__xludf.DUMMYFUNCTION("ifna(VALUE(REGEXEXTRACT(E363,""[0-9.]+[,]+[0-9]+"")))"),"")</f>
        <v/>
      </c>
      <c r="O363" s="194"/>
      <c r="P363" s="194"/>
      <c r="Q363" s="194"/>
      <c r="R363" s="194"/>
      <c r="S363" s="194"/>
      <c r="T363" s="194"/>
      <c r="U363" s="194"/>
      <c r="V363" s="194"/>
      <c r="W363" s="194"/>
    </row>
    <row r="364" ht="14.25" customHeight="1">
      <c r="A364" s="31"/>
      <c r="B364" s="268"/>
      <c r="C364" s="269"/>
      <c r="D364" s="270"/>
      <c r="E364" s="271"/>
      <c r="F364" s="272"/>
      <c r="G364" s="273"/>
      <c r="H364" s="204"/>
      <c r="I364" s="204"/>
      <c r="J364" s="196"/>
      <c r="K364" s="196"/>
      <c r="L364" s="192" t="str">
        <f>IFERROR(__xludf.DUMMYFUNCTION("IF(
  AND(D364=""Saída"", J364=""Sangria""),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197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94" t="str">
        <f>IFERROR(__xludf.DUMMYFUNCTION("ifna(VALUE(REGEXEXTRACT(E364,""[0-9.]+[,]+[0-9]+"")))"),"")</f>
        <v/>
      </c>
      <c r="O364" s="194"/>
      <c r="P364" s="194"/>
      <c r="Q364" s="194"/>
      <c r="R364" s="194"/>
      <c r="S364" s="194"/>
      <c r="T364" s="194"/>
      <c r="U364" s="194"/>
      <c r="V364" s="194"/>
      <c r="W364" s="194"/>
    </row>
    <row r="365" ht="14.25" customHeight="1">
      <c r="A365" s="31"/>
      <c r="B365" s="268"/>
      <c r="C365" s="269"/>
      <c r="D365" s="270"/>
      <c r="E365" s="271"/>
      <c r="F365" s="272"/>
      <c r="G365" s="273"/>
      <c r="H365" s="204"/>
      <c r="I365" s="204"/>
      <c r="J365" s="196"/>
      <c r="K365" s="196"/>
      <c r="L365" s="192" t="str">
        <f>IFERROR(__xludf.DUMMYFUNCTION("IF(
  AND(D365=""Saída"", J365=""Sangria""),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198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94" t="str">
        <f>IFERROR(__xludf.DUMMYFUNCTION("ifna(VALUE(REGEXEXTRACT(E365,""[0-9.]+[,]+[0-9]+"")))"),"")</f>
        <v/>
      </c>
      <c r="O365" s="194"/>
      <c r="P365" s="194"/>
      <c r="Q365" s="194"/>
      <c r="R365" s="194"/>
      <c r="S365" s="194"/>
      <c r="T365" s="194"/>
      <c r="U365" s="194"/>
      <c r="V365" s="194"/>
      <c r="W365" s="194"/>
    </row>
    <row r="366" ht="14.25" customHeight="1">
      <c r="A366" s="31"/>
      <c r="B366" s="268"/>
      <c r="C366" s="269"/>
      <c r="D366" s="270"/>
      <c r="E366" s="271"/>
      <c r="F366" s="272"/>
      <c r="G366" s="273"/>
      <c r="H366" s="204"/>
      <c r="I366" s="204"/>
      <c r="J366" s="196"/>
      <c r="K366" s="196"/>
      <c r="L366" s="192" t="str">
        <f>IFERROR(__xludf.DUMMYFUNCTION("IF(
  AND(D366=""Saída"", J366=""Sangria""),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197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94" t="str">
        <f>IFERROR(__xludf.DUMMYFUNCTION("ifna(VALUE(REGEXEXTRACT(E366,""[0-9.]+[,]+[0-9]+"")))"),"")</f>
        <v/>
      </c>
      <c r="O366" s="194"/>
      <c r="P366" s="194"/>
      <c r="Q366" s="194"/>
      <c r="R366" s="194"/>
      <c r="S366" s="194"/>
      <c r="T366" s="194"/>
      <c r="U366" s="194"/>
      <c r="V366" s="194"/>
      <c r="W366" s="194"/>
    </row>
    <row r="367" ht="14.25" customHeight="1">
      <c r="A367" s="31"/>
      <c r="B367" s="268"/>
      <c r="C367" s="269"/>
      <c r="D367" s="270"/>
      <c r="E367" s="271"/>
      <c r="F367" s="272"/>
      <c r="G367" s="273"/>
      <c r="H367" s="204"/>
      <c r="I367" s="204"/>
      <c r="J367" s="196"/>
      <c r="K367" s="202"/>
      <c r="L367" s="192" t="str">
        <f>IFERROR(__xludf.DUMMYFUNCTION("IF(
  AND(D367=""Saída"", J367=""Sangria""),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198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94" t="str">
        <f>IFERROR(__xludf.DUMMYFUNCTION("ifna(VALUE(REGEXEXTRACT(E367,""[0-9.]+[,]+[0-9]+"")))"),"")</f>
        <v/>
      </c>
      <c r="O367" s="194"/>
      <c r="P367" s="194"/>
      <c r="Q367" s="194"/>
      <c r="R367" s="194"/>
      <c r="S367" s="194"/>
      <c r="T367" s="194"/>
      <c r="U367" s="194"/>
      <c r="V367" s="194"/>
      <c r="W367" s="194"/>
    </row>
    <row r="368" ht="14.25" customHeight="1">
      <c r="A368" s="31"/>
      <c r="B368" s="268"/>
      <c r="C368" s="269"/>
      <c r="D368" s="270"/>
      <c r="E368" s="271"/>
      <c r="F368" s="272"/>
      <c r="G368" s="273"/>
      <c r="H368" s="204"/>
      <c r="I368" s="204"/>
      <c r="J368" s="196"/>
      <c r="K368" s="202"/>
      <c r="L368" s="192" t="str">
        <f>IFERROR(__xludf.DUMMYFUNCTION("IF(
  AND(D368=""Saída"", J368=""Sangria""),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197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94" t="str">
        <f>IFERROR(__xludf.DUMMYFUNCTION("ifna(VALUE(REGEXEXTRACT(E368,""[0-9.]+[,]+[0-9]+"")))"),"")</f>
        <v/>
      </c>
      <c r="O368" s="194"/>
      <c r="P368" s="194"/>
      <c r="Q368" s="194"/>
      <c r="R368" s="194"/>
      <c r="S368" s="194"/>
      <c r="T368" s="194"/>
      <c r="U368" s="194"/>
      <c r="V368" s="194"/>
      <c r="W368" s="194"/>
    </row>
    <row r="369" ht="14.25" customHeight="1">
      <c r="A369" s="31"/>
      <c r="B369" s="268"/>
      <c r="C369" s="269"/>
      <c r="D369" s="270"/>
      <c r="E369" s="271"/>
      <c r="F369" s="276"/>
      <c r="G369" s="273"/>
      <c r="H369" s="204"/>
      <c r="I369" s="204"/>
      <c r="J369" s="196"/>
      <c r="K369" s="196"/>
      <c r="L369" s="192" t="str">
        <f>IFERROR(__xludf.DUMMYFUNCTION("IF(
  AND(D369=""Saída"", J369=""Sangria""),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198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94" t="str">
        <f>IFERROR(__xludf.DUMMYFUNCTION("ifna(VALUE(REGEXEXTRACT(E369,""[0-9.]+[,]+[0-9]+"")))"),"")</f>
        <v/>
      </c>
      <c r="O369" s="194"/>
      <c r="P369" s="194"/>
      <c r="Q369" s="194"/>
      <c r="R369" s="194"/>
      <c r="S369" s="194"/>
      <c r="T369" s="194"/>
      <c r="U369" s="194"/>
      <c r="V369" s="194"/>
      <c r="W369" s="194"/>
    </row>
    <row r="370" ht="14.25" customHeight="1">
      <c r="A370" s="31"/>
      <c r="B370" s="268"/>
      <c r="C370" s="269"/>
      <c r="D370" s="270"/>
      <c r="E370" s="271"/>
      <c r="F370" s="272"/>
      <c r="G370" s="273"/>
      <c r="H370" s="204"/>
      <c r="I370" s="204"/>
      <c r="J370" s="196"/>
      <c r="K370" s="196"/>
      <c r="L370" s="192" t="str">
        <f>IFERROR(__xludf.DUMMYFUNCTION("IF(
  AND(D370=""Saída"", J370=""Sangria""),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197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94" t="str">
        <f>IFERROR(__xludf.DUMMYFUNCTION("ifna(VALUE(REGEXEXTRACT(E370,""[0-9.]+[,]+[0-9]+"")))"),"")</f>
        <v/>
      </c>
      <c r="O370" s="194"/>
      <c r="P370" s="194"/>
      <c r="Q370" s="194"/>
      <c r="R370" s="194"/>
      <c r="S370" s="194"/>
      <c r="T370" s="194"/>
      <c r="U370" s="194"/>
      <c r="V370" s="194"/>
      <c r="W370" s="194"/>
    </row>
    <row r="371" ht="14.25" customHeight="1">
      <c r="A371" s="31"/>
      <c r="B371" s="268"/>
      <c r="C371" s="269"/>
      <c r="D371" s="270"/>
      <c r="E371" s="271"/>
      <c r="F371" s="272"/>
      <c r="G371" s="273"/>
      <c r="H371" s="204"/>
      <c r="I371" s="204"/>
      <c r="J371" s="196"/>
      <c r="K371" s="196"/>
      <c r="L371" s="192" t="str">
        <f>IFERROR(__xludf.DUMMYFUNCTION("IF(
  AND(D371=""Saída"", J371=""Sangria""),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198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94" t="str">
        <f>IFERROR(__xludf.DUMMYFUNCTION("ifna(VALUE(REGEXEXTRACT(E371,""[0-9.]+[,]+[0-9]+"")))"),"")</f>
        <v/>
      </c>
      <c r="O371" s="194"/>
      <c r="P371" s="194"/>
      <c r="Q371" s="194"/>
      <c r="R371" s="194"/>
      <c r="S371" s="194"/>
      <c r="T371" s="194"/>
      <c r="U371" s="194"/>
      <c r="V371" s="194"/>
      <c r="W371" s="194"/>
    </row>
    <row r="372" ht="14.25" customHeight="1">
      <c r="A372" s="31"/>
      <c r="B372" s="268"/>
      <c r="C372" s="269"/>
      <c r="D372" s="270"/>
      <c r="E372" s="271"/>
      <c r="F372" s="276"/>
      <c r="G372" s="273"/>
      <c r="H372" s="204"/>
      <c r="I372" s="204"/>
      <c r="J372" s="196"/>
      <c r="K372" s="196"/>
      <c r="L372" s="192" t="str">
        <f>IFERROR(__xludf.DUMMYFUNCTION("IF(
  AND(D372=""Saída"", J372=""Sangria""),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197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94" t="str">
        <f>IFERROR(__xludf.DUMMYFUNCTION("ifna(VALUE(REGEXEXTRACT(E372,""[0-9.]+[,]+[0-9]+"")))"),"")</f>
        <v/>
      </c>
      <c r="O372" s="194"/>
      <c r="P372" s="194"/>
      <c r="Q372" s="194"/>
      <c r="R372" s="194"/>
      <c r="S372" s="194"/>
      <c r="T372" s="194"/>
      <c r="U372" s="194"/>
      <c r="V372" s="194"/>
      <c r="W372" s="194"/>
    </row>
    <row r="373" ht="14.25" customHeight="1">
      <c r="A373" s="31"/>
      <c r="B373" s="268"/>
      <c r="C373" s="269"/>
      <c r="D373" s="270"/>
      <c r="E373" s="271"/>
      <c r="F373" s="272"/>
      <c r="G373" s="273"/>
      <c r="H373" s="204"/>
      <c r="I373" s="204"/>
      <c r="J373" s="196"/>
      <c r="K373" s="196"/>
      <c r="L373" s="192" t="str">
        <f>IFERROR(__xludf.DUMMYFUNCTION("IF(
  AND(D373=""Saída"", J373=""Sangria""),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198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94" t="str">
        <f>IFERROR(__xludf.DUMMYFUNCTION("ifna(VALUE(REGEXEXTRACT(E373,""[0-9.]+[,]+[0-9]+"")))"),"")</f>
        <v/>
      </c>
      <c r="O373" s="194"/>
      <c r="P373" s="194"/>
      <c r="Q373" s="194"/>
      <c r="R373" s="194"/>
      <c r="S373" s="194"/>
      <c r="T373" s="194"/>
      <c r="U373" s="194"/>
      <c r="V373" s="194"/>
      <c r="W373" s="194"/>
    </row>
    <row r="374" ht="14.25" customHeight="1">
      <c r="A374" s="31"/>
      <c r="B374" s="268"/>
      <c r="C374" s="212"/>
      <c r="D374" s="270"/>
      <c r="E374" s="271"/>
      <c r="F374" s="272"/>
      <c r="G374" s="273"/>
      <c r="H374" s="204"/>
      <c r="I374" s="204"/>
      <c r="J374" s="196"/>
      <c r="K374" s="202"/>
      <c r="L374" s="192" t="str">
        <f>IFERROR(__xludf.DUMMYFUNCTION("IF(
  AND(D374=""Saída"", J374=""Sangria""),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197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94" t="str">
        <f>IFERROR(__xludf.DUMMYFUNCTION("ifna(VALUE(REGEXEXTRACT(E374,""[0-9.]+[,]+[0-9]+"")))"),"")</f>
        <v/>
      </c>
      <c r="O374" s="194"/>
      <c r="P374" s="194"/>
      <c r="Q374" s="194"/>
      <c r="R374" s="194"/>
      <c r="S374" s="194"/>
      <c r="T374" s="194"/>
      <c r="U374" s="194"/>
      <c r="V374" s="194"/>
      <c r="W374" s="194"/>
    </row>
    <row r="375" ht="14.25" customHeight="1">
      <c r="A375" s="31"/>
      <c r="B375" s="268"/>
      <c r="C375" s="212"/>
      <c r="D375" s="270"/>
      <c r="E375" s="271"/>
      <c r="F375" s="272"/>
      <c r="G375" s="284"/>
      <c r="H375" s="204"/>
      <c r="I375" s="204"/>
      <c r="J375" s="196"/>
      <c r="K375" s="196"/>
      <c r="L375" s="192" t="str">
        <f>IFERROR(__xludf.DUMMYFUNCTION("IF(
  AND(D375=""Saída"", J375=""Sangria""),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198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94" t="str">
        <f>IFERROR(__xludf.DUMMYFUNCTION("ifna(VALUE(REGEXEXTRACT(E375,""[0-9.]+[,]+[0-9]+"")))"),"")</f>
        <v/>
      </c>
      <c r="O375" s="194"/>
      <c r="P375" s="194"/>
      <c r="Q375" s="194"/>
      <c r="R375" s="194"/>
      <c r="S375" s="194"/>
      <c r="T375" s="194"/>
      <c r="U375" s="194"/>
      <c r="V375" s="194"/>
      <c r="W375" s="194"/>
    </row>
    <row r="376" ht="14.25" customHeight="1">
      <c r="A376" s="31"/>
      <c r="B376" s="268"/>
      <c r="C376" s="269"/>
      <c r="D376" s="270"/>
      <c r="E376" s="271"/>
      <c r="F376" s="272"/>
      <c r="G376" s="273"/>
      <c r="H376" s="204"/>
      <c r="I376" s="204"/>
      <c r="J376" s="196"/>
      <c r="K376" s="196"/>
      <c r="L376" s="192" t="str">
        <f>IFERROR(__xludf.DUMMYFUNCTION("IF(
  AND(D376=""Saída"", J376=""Sangria""),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197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94" t="str">
        <f>IFERROR(__xludf.DUMMYFUNCTION("ifna(VALUE(REGEXEXTRACT(E376,""[0-9.]+[,]+[0-9]+"")))"),"")</f>
        <v/>
      </c>
      <c r="O376" s="194"/>
      <c r="P376" s="194"/>
      <c r="Q376" s="194"/>
      <c r="R376" s="194"/>
      <c r="S376" s="194"/>
      <c r="T376" s="194"/>
      <c r="U376" s="194"/>
      <c r="V376" s="194"/>
      <c r="W376" s="194"/>
    </row>
    <row r="377" ht="14.25" customHeight="1">
      <c r="A377" s="31"/>
      <c r="B377" s="268"/>
      <c r="C377" s="269"/>
      <c r="D377" s="270"/>
      <c r="E377" s="271"/>
      <c r="F377" s="272"/>
      <c r="G377" s="273"/>
      <c r="H377" s="204"/>
      <c r="I377" s="204"/>
      <c r="J377" s="212"/>
      <c r="K377" s="196"/>
      <c r="L377" s="192" t="str">
        <f>IFERROR(__xludf.DUMMYFUNCTION("IF(
  AND(D377=""Saída"", J377=""Sangria""),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198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94" t="str">
        <f>IFERROR(__xludf.DUMMYFUNCTION("ifna(VALUE(REGEXEXTRACT(E377,""[0-9.]+[,]+[0-9]+"")))"),"")</f>
        <v/>
      </c>
      <c r="O377" s="194"/>
      <c r="P377" s="194"/>
      <c r="Q377" s="194"/>
      <c r="R377" s="194"/>
      <c r="S377" s="194"/>
      <c r="T377" s="194"/>
      <c r="U377" s="194"/>
      <c r="V377" s="194"/>
      <c r="W377" s="194"/>
    </row>
    <row r="378" ht="14.25" customHeight="1">
      <c r="A378" s="31"/>
      <c r="B378" s="268"/>
      <c r="C378" s="269"/>
      <c r="D378" s="270"/>
      <c r="E378" s="271"/>
      <c r="F378" s="272"/>
      <c r="G378" s="273"/>
      <c r="H378" s="204"/>
      <c r="I378" s="204"/>
      <c r="J378" s="196"/>
      <c r="K378" s="202"/>
      <c r="L378" s="192" t="str">
        <f>IFERROR(__xludf.DUMMYFUNCTION("IF(
  AND(D378=""Saída"", J378=""Sangria""),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197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94" t="str">
        <f>IFERROR(__xludf.DUMMYFUNCTION("ifna(VALUE(REGEXEXTRACT(E378,""[0-9.]+[,]+[0-9]+"")))"),"")</f>
        <v/>
      </c>
      <c r="O378" s="194"/>
      <c r="P378" s="194"/>
      <c r="Q378" s="194"/>
      <c r="R378" s="194"/>
      <c r="S378" s="194"/>
      <c r="T378" s="194"/>
      <c r="U378" s="194"/>
      <c r="V378" s="194"/>
      <c r="W378" s="194"/>
    </row>
    <row r="379" ht="14.25" customHeight="1">
      <c r="A379" s="31"/>
      <c r="B379" s="268"/>
      <c r="C379" s="269"/>
      <c r="D379" s="270"/>
      <c r="E379" s="271"/>
      <c r="F379" s="272"/>
      <c r="G379" s="273"/>
      <c r="H379" s="204"/>
      <c r="I379" s="204"/>
      <c r="J379" s="196"/>
      <c r="K379" s="202"/>
      <c r="L379" s="192" t="str">
        <f>IFERROR(__xludf.DUMMYFUNCTION("IF(
  AND(D379=""Saída"", J379=""Sangria""),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198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94" t="str">
        <f>IFERROR(__xludf.DUMMYFUNCTION("ifna(VALUE(REGEXEXTRACT(E379,""[0-9.]+[,]+[0-9]+"")))"),"")</f>
        <v/>
      </c>
      <c r="O379" s="194"/>
      <c r="P379" s="194"/>
      <c r="Q379" s="194"/>
      <c r="R379" s="194"/>
      <c r="S379" s="194"/>
      <c r="T379" s="194"/>
      <c r="U379" s="194"/>
      <c r="V379" s="194"/>
      <c r="W379" s="194"/>
    </row>
    <row r="380" ht="14.25" customHeight="1">
      <c r="A380" s="31"/>
      <c r="B380" s="285"/>
      <c r="C380" s="212"/>
      <c r="D380" s="270"/>
      <c r="E380" s="271"/>
      <c r="F380" s="272"/>
      <c r="G380" s="273"/>
      <c r="H380" s="204"/>
      <c r="I380" s="204"/>
      <c r="J380" s="196"/>
      <c r="K380" s="196"/>
      <c r="L380" s="192" t="str">
        <f>IFERROR(__xludf.DUMMYFUNCTION("IF(
  AND(D380=""Saída"", J380=""Sangria""),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197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94" t="str">
        <f>IFERROR(__xludf.DUMMYFUNCTION("ifna(VALUE(REGEXEXTRACT(E380,""[0-9.]+[,]+[0-9]+"")))"),"")</f>
        <v/>
      </c>
      <c r="O380" s="194"/>
      <c r="P380" s="194"/>
      <c r="Q380" s="194"/>
      <c r="R380" s="194"/>
      <c r="S380" s="194"/>
      <c r="T380" s="194"/>
      <c r="U380" s="194"/>
      <c r="V380" s="194"/>
      <c r="W380" s="194"/>
    </row>
    <row r="381" ht="14.25" customHeight="1">
      <c r="A381" s="31"/>
      <c r="B381" s="268"/>
      <c r="C381" s="212"/>
      <c r="D381" s="270"/>
      <c r="E381" s="271"/>
      <c r="F381" s="272"/>
      <c r="G381" s="273"/>
      <c r="H381" s="204"/>
      <c r="I381" s="204"/>
      <c r="J381" s="196"/>
      <c r="K381" s="202"/>
      <c r="L381" s="192" t="str">
        <f>IFERROR(__xludf.DUMMYFUNCTION("IF(
  AND(D381=""Saída"", J381=""Sangria""),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198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94" t="str">
        <f>IFERROR(__xludf.DUMMYFUNCTION("ifna(VALUE(REGEXEXTRACT(E381,""[0-9.]+[,]+[0-9]+"")))"),"")</f>
        <v/>
      </c>
      <c r="O381" s="194"/>
      <c r="P381" s="194"/>
      <c r="Q381" s="194"/>
      <c r="R381" s="194"/>
      <c r="S381" s="194"/>
      <c r="T381" s="194"/>
      <c r="U381" s="194"/>
      <c r="V381" s="194"/>
      <c r="W381" s="194"/>
    </row>
    <row r="382" ht="14.25" customHeight="1">
      <c r="A382" s="31"/>
      <c r="B382" s="268"/>
      <c r="C382" s="269"/>
      <c r="D382" s="270"/>
      <c r="E382" s="271"/>
      <c r="F382" s="276"/>
      <c r="G382" s="273"/>
      <c r="H382" s="204"/>
      <c r="I382" s="204"/>
      <c r="J382" s="196"/>
      <c r="K382" s="202"/>
      <c r="L382" s="192" t="str">
        <f>IFERROR(__xludf.DUMMYFUNCTION("IF(
  AND(D382=""Saída"", J382=""Sangria""),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197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94" t="str">
        <f>IFERROR(__xludf.DUMMYFUNCTION("ifna(VALUE(REGEXEXTRACT(E382,""[0-9.]+[,]+[0-9]+"")))"),"")</f>
        <v/>
      </c>
      <c r="O382" s="194"/>
      <c r="P382" s="194"/>
      <c r="Q382" s="194"/>
      <c r="R382" s="194"/>
      <c r="S382" s="194"/>
      <c r="T382" s="194"/>
      <c r="U382" s="194"/>
      <c r="V382" s="194"/>
      <c r="W382" s="194"/>
    </row>
    <row r="383" ht="14.25" customHeight="1">
      <c r="A383" s="31"/>
      <c r="B383" s="268"/>
      <c r="C383" s="212"/>
      <c r="D383" s="270"/>
      <c r="E383" s="271"/>
      <c r="F383" s="272"/>
      <c r="G383" s="273"/>
      <c r="H383" s="204"/>
      <c r="I383" s="204"/>
      <c r="J383" s="196"/>
      <c r="K383" s="196"/>
      <c r="L383" s="192" t="str">
        <f>IFERROR(__xludf.DUMMYFUNCTION("IF(
  AND(D383=""Saída"", J383=""Sangria""),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198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94" t="str">
        <f>IFERROR(__xludf.DUMMYFUNCTION("ifna(VALUE(REGEXEXTRACT(E383,""[0-9.]+[,]+[0-9]+"")))"),"")</f>
        <v/>
      </c>
      <c r="O383" s="194"/>
      <c r="P383" s="194"/>
      <c r="Q383" s="194"/>
      <c r="R383" s="194"/>
      <c r="S383" s="194"/>
      <c r="T383" s="194"/>
      <c r="U383" s="194"/>
      <c r="V383" s="194"/>
      <c r="W383" s="194"/>
    </row>
    <row r="384" ht="14.25" customHeight="1">
      <c r="A384" s="31"/>
      <c r="B384" s="268"/>
      <c r="C384" s="269"/>
      <c r="D384" s="270"/>
      <c r="E384" s="271"/>
      <c r="F384" s="276"/>
      <c r="G384" s="273"/>
      <c r="H384" s="204"/>
      <c r="I384" s="204"/>
      <c r="J384" s="196"/>
      <c r="K384" s="196"/>
      <c r="L384" s="192" t="str">
        <f>IFERROR(__xludf.DUMMYFUNCTION("IF(
  AND(D384=""Saída"", J384=""Sangria""),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197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94" t="str">
        <f>IFERROR(__xludf.DUMMYFUNCTION("ifna(VALUE(REGEXEXTRACT(E384,""[0-9.]+[,]+[0-9]+"")))"),"")</f>
        <v/>
      </c>
      <c r="O384" s="194"/>
      <c r="P384" s="194"/>
      <c r="Q384" s="194"/>
      <c r="R384" s="194"/>
      <c r="S384" s="194"/>
      <c r="T384" s="194"/>
      <c r="U384" s="194"/>
      <c r="V384" s="194"/>
      <c r="W384" s="194"/>
    </row>
    <row r="385" ht="14.25" customHeight="1">
      <c r="A385" s="31"/>
      <c r="B385" s="268"/>
      <c r="C385" s="269"/>
      <c r="D385" s="270"/>
      <c r="E385" s="271"/>
      <c r="F385" s="276"/>
      <c r="G385" s="273"/>
      <c r="H385" s="204"/>
      <c r="I385" s="204"/>
      <c r="J385" s="196"/>
      <c r="K385" s="202"/>
      <c r="L385" s="192" t="str">
        <f>IFERROR(__xludf.DUMMYFUNCTION("IF(
  AND(D385=""Saída"", J385=""Sangria""),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198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94" t="str">
        <f>IFERROR(__xludf.DUMMYFUNCTION("ifna(VALUE(REGEXEXTRACT(E385,""[0-9.]+[,]+[0-9]+"")))"),"")</f>
        <v/>
      </c>
      <c r="O385" s="194"/>
      <c r="P385" s="194"/>
      <c r="Q385" s="194"/>
      <c r="R385" s="194"/>
      <c r="S385" s="194"/>
      <c r="T385" s="194"/>
      <c r="U385" s="194"/>
      <c r="V385" s="194"/>
      <c r="W385" s="194"/>
    </row>
    <row r="386" ht="14.25" customHeight="1">
      <c r="A386" s="31"/>
      <c r="B386" s="268"/>
      <c r="C386" s="269"/>
      <c r="D386" s="270"/>
      <c r="E386" s="271"/>
      <c r="F386" s="276"/>
      <c r="G386" s="273"/>
      <c r="H386" s="204"/>
      <c r="I386" s="204"/>
      <c r="J386" s="196"/>
      <c r="K386" s="202"/>
      <c r="L386" s="192" t="str">
        <f>IFERROR(__xludf.DUMMYFUNCTION("IF(
  AND(D386=""Saída"", J386=""Sangria""),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197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94" t="str">
        <f>IFERROR(__xludf.DUMMYFUNCTION("ifna(VALUE(REGEXEXTRACT(E386,""[0-9.]+[,]+[0-9]+"")))"),"")</f>
        <v/>
      </c>
      <c r="O386" s="194"/>
      <c r="P386" s="194"/>
      <c r="Q386" s="194"/>
      <c r="R386" s="194"/>
      <c r="S386" s="194"/>
      <c r="T386" s="194"/>
      <c r="U386" s="194"/>
      <c r="V386" s="194"/>
      <c r="W386" s="194"/>
    </row>
    <row r="387" ht="14.25" customHeight="1">
      <c r="A387" s="31"/>
      <c r="B387" s="268"/>
      <c r="C387" s="269"/>
      <c r="D387" s="270"/>
      <c r="E387" s="271"/>
      <c r="F387" s="276"/>
      <c r="G387" s="273"/>
      <c r="H387" s="204"/>
      <c r="I387" s="204"/>
      <c r="J387" s="196"/>
      <c r="K387" s="202"/>
      <c r="L387" s="192" t="str">
        <f>IFERROR(__xludf.DUMMYFUNCTION("IF(
  AND(D387=""Saída"", J387=""Sangria""),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198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94" t="str">
        <f>IFERROR(__xludf.DUMMYFUNCTION("ifna(VALUE(REGEXEXTRACT(E387,""[0-9.]+[,]+[0-9]+"")))"),"")</f>
        <v/>
      </c>
      <c r="O387" s="194"/>
      <c r="P387" s="194"/>
      <c r="Q387" s="194"/>
      <c r="R387" s="194"/>
      <c r="S387" s="194"/>
      <c r="T387" s="194"/>
      <c r="U387" s="194"/>
      <c r="V387" s="194"/>
      <c r="W387" s="194"/>
    </row>
    <row r="388" ht="14.25" customHeight="1">
      <c r="A388" s="31"/>
      <c r="B388" s="268"/>
      <c r="C388" s="269"/>
      <c r="D388" s="270"/>
      <c r="E388" s="271"/>
      <c r="F388" s="276"/>
      <c r="G388" s="273"/>
      <c r="H388" s="204"/>
      <c r="I388" s="204"/>
      <c r="J388" s="196"/>
      <c r="K388" s="202"/>
      <c r="L388" s="192" t="str">
        <f>IFERROR(__xludf.DUMMYFUNCTION("IF(
  AND(D388=""Saída"", J388=""Sangria""),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197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94" t="str">
        <f>IFERROR(__xludf.DUMMYFUNCTION("ifna(VALUE(REGEXEXTRACT(E388,""[0-9.]+[,]+[0-9]+"")))"),"")</f>
        <v/>
      </c>
      <c r="O388" s="194"/>
      <c r="P388" s="194"/>
      <c r="Q388" s="194"/>
      <c r="R388" s="194"/>
      <c r="S388" s="194"/>
      <c r="T388" s="194"/>
      <c r="U388" s="194"/>
      <c r="V388" s="194"/>
      <c r="W388" s="194"/>
    </row>
    <row r="389" ht="14.25" customHeight="1">
      <c r="A389" s="31"/>
      <c r="B389" s="268"/>
      <c r="C389" s="269"/>
      <c r="D389" s="270"/>
      <c r="E389" s="271"/>
      <c r="F389" s="276"/>
      <c r="G389" s="273"/>
      <c r="H389" s="204"/>
      <c r="I389" s="204"/>
      <c r="J389" s="212"/>
      <c r="K389" s="202"/>
      <c r="L389" s="192" t="str">
        <f>IFERROR(__xludf.DUMMYFUNCTION("IF(
  AND(D389=""Saída"", J389=""Sangria""),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198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94" t="str">
        <f>IFERROR(__xludf.DUMMYFUNCTION("ifna(VALUE(REGEXEXTRACT(E389,""[0-9.]+[,]+[0-9]+"")))"),"")</f>
        <v/>
      </c>
      <c r="O389" s="194"/>
      <c r="P389" s="194"/>
      <c r="Q389" s="194"/>
      <c r="R389" s="194"/>
      <c r="S389" s="194"/>
      <c r="T389" s="194"/>
      <c r="U389" s="194"/>
      <c r="V389" s="194"/>
      <c r="W389" s="194"/>
    </row>
    <row r="390" ht="14.25" customHeight="1">
      <c r="A390" s="31"/>
      <c r="B390" s="268"/>
      <c r="C390" s="269"/>
      <c r="D390" s="270"/>
      <c r="E390" s="271"/>
      <c r="F390" s="276"/>
      <c r="G390" s="273"/>
      <c r="H390" s="204"/>
      <c r="I390" s="204"/>
      <c r="J390" s="196"/>
      <c r="K390" s="196"/>
      <c r="L390" s="192" t="str">
        <f>IFERROR(__xludf.DUMMYFUNCTION("IF(
  AND(D390=""Saída"", J390=""Sangria""),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197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94" t="str">
        <f>IFERROR(__xludf.DUMMYFUNCTION("ifna(VALUE(REGEXEXTRACT(E390,""[0-9.]+[,]+[0-9]+"")))"),"")</f>
        <v/>
      </c>
      <c r="O390" s="194"/>
      <c r="P390" s="194"/>
      <c r="Q390" s="194"/>
      <c r="R390" s="194"/>
      <c r="S390" s="194"/>
      <c r="T390" s="194"/>
      <c r="U390" s="194"/>
      <c r="V390" s="194"/>
      <c r="W390" s="194"/>
    </row>
    <row r="391" ht="14.25" customHeight="1">
      <c r="A391" s="31"/>
      <c r="B391" s="268"/>
      <c r="C391" s="269"/>
      <c r="D391" s="270"/>
      <c r="E391" s="271"/>
      <c r="F391" s="276"/>
      <c r="G391" s="273"/>
      <c r="H391" s="204"/>
      <c r="I391" s="204"/>
      <c r="J391" s="196"/>
      <c r="K391" s="202"/>
      <c r="L391" s="192" t="str">
        <f>IFERROR(__xludf.DUMMYFUNCTION("IF(
  AND(D391=""Saída"", J391=""Sangria""),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198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94" t="str">
        <f>IFERROR(__xludf.DUMMYFUNCTION("ifna(VALUE(REGEXEXTRACT(E391,""[0-9.]+[,]+[0-9]+"")))"),"")</f>
        <v/>
      </c>
      <c r="O391" s="194"/>
      <c r="P391" s="194"/>
      <c r="Q391" s="194"/>
      <c r="R391" s="194"/>
      <c r="S391" s="194"/>
      <c r="T391" s="194"/>
      <c r="U391" s="194"/>
      <c r="V391" s="194"/>
      <c r="W391" s="194"/>
    </row>
    <row r="392" ht="14.25" customHeight="1">
      <c r="A392" s="31"/>
      <c r="B392" s="268"/>
      <c r="C392" s="269"/>
      <c r="D392" s="270"/>
      <c r="E392" s="271"/>
      <c r="F392" s="276"/>
      <c r="G392" s="273"/>
      <c r="H392" s="204"/>
      <c r="I392" s="204"/>
      <c r="J392" s="196"/>
      <c r="K392" s="196"/>
      <c r="L392" s="192" t="str">
        <f>IFERROR(__xludf.DUMMYFUNCTION("IF(
  AND(D392=""Saída"", J392=""Sangria""),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197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94" t="str">
        <f>IFERROR(__xludf.DUMMYFUNCTION("ifna(VALUE(REGEXEXTRACT(E392,""[0-9.]+[,]+[0-9]+"")))"),"")</f>
        <v/>
      </c>
      <c r="O392" s="194"/>
      <c r="P392" s="194"/>
      <c r="Q392" s="194"/>
      <c r="R392" s="194"/>
      <c r="S392" s="194"/>
      <c r="T392" s="194"/>
      <c r="U392" s="194"/>
      <c r="V392" s="194"/>
      <c r="W392" s="194"/>
    </row>
    <row r="393" ht="14.25" customHeight="1">
      <c r="A393" s="31"/>
      <c r="B393" s="268"/>
      <c r="C393" s="269"/>
      <c r="D393" s="270"/>
      <c r="E393" s="271"/>
      <c r="F393" s="276"/>
      <c r="G393" s="273"/>
      <c r="H393" s="204"/>
      <c r="I393" s="204"/>
      <c r="J393" s="196"/>
      <c r="K393" s="196"/>
      <c r="L393" s="192" t="str">
        <f>IFERROR(__xludf.DUMMYFUNCTION("IF(
  AND(D393=""Saída"", J393=""Sangria""),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198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94" t="str">
        <f>IFERROR(__xludf.DUMMYFUNCTION("ifna(VALUE(REGEXEXTRACT(E393,""[0-9.]+[,]+[0-9]+"")))"),"")</f>
        <v/>
      </c>
      <c r="O393" s="194"/>
      <c r="P393" s="194"/>
      <c r="Q393" s="194"/>
      <c r="R393" s="194"/>
      <c r="S393" s="194"/>
      <c r="T393" s="194"/>
      <c r="U393" s="194"/>
      <c r="V393" s="194"/>
      <c r="W393" s="194"/>
    </row>
    <row r="394" ht="14.25" customHeight="1">
      <c r="A394" s="31"/>
      <c r="B394" s="268"/>
      <c r="C394" s="286"/>
      <c r="D394" s="270"/>
      <c r="E394" s="271"/>
      <c r="F394" s="204"/>
      <c r="G394" s="273"/>
      <c r="H394" s="204"/>
      <c r="I394" s="204"/>
      <c r="J394" s="202"/>
      <c r="K394" s="202"/>
      <c r="L394" s="192" t="str">
        <f>IFERROR(__xludf.DUMMYFUNCTION("IF(
  AND(D394=""Saída"", J394=""Sangria""),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197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94" t="str">
        <f>IFERROR(__xludf.DUMMYFUNCTION("ifna(VALUE(REGEXEXTRACT(E394,""[0-9.]+[,]+[0-9]+"")))"),"")</f>
        <v/>
      </c>
      <c r="O394" s="194"/>
      <c r="P394" s="194"/>
      <c r="Q394" s="194"/>
      <c r="R394" s="194"/>
      <c r="S394" s="194"/>
      <c r="T394" s="194"/>
      <c r="U394" s="194"/>
      <c r="V394" s="194"/>
      <c r="W394" s="194"/>
    </row>
    <row r="395" ht="14.25" customHeight="1">
      <c r="A395" s="31"/>
      <c r="B395" s="287"/>
      <c r="C395" s="286"/>
      <c r="D395" s="270"/>
      <c r="E395" s="271"/>
      <c r="F395" s="204"/>
      <c r="G395" s="273"/>
      <c r="H395" s="204"/>
      <c r="I395" s="204"/>
      <c r="J395" s="202"/>
      <c r="K395" s="202"/>
      <c r="L395" s="192" t="str">
        <f>IFERROR(__xludf.DUMMYFUNCTION("IF(
  AND(D395=""Saída"", J395=""Sangria""),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198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94" t="str">
        <f>IFERROR(__xludf.DUMMYFUNCTION("ifna(VALUE(REGEXEXTRACT(E395,""[0-9.]+[,]+[0-9]+"")))"),"")</f>
        <v/>
      </c>
      <c r="O395" s="194"/>
      <c r="P395" s="194"/>
      <c r="Q395" s="194"/>
      <c r="R395" s="194"/>
      <c r="S395" s="194"/>
      <c r="T395" s="194"/>
      <c r="U395" s="194"/>
      <c r="V395" s="194"/>
      <c r="W395" s="194"/>
    </row>
    <row r="396" ht="14.25" customHeight="1">
      <c r="A396" s="31"/>
      <c r="B396" s="287"/>
      <c r="C396" s="286"/>
      <c r="D396" s="270"/>
      <c r="E396" s="271"/>
      <c r="F396" s="204"/>
      <c r="G396" s="273"/>
      <c r="H396" s="204"/>
      <c r="I396" s="204"/>
      <c r="J396" s="202"/>
      <c r="K396" s="202"/>
      <c r="L396" s="192" t="str">
        <f>IFERROR(__xludf.DUMMYFUNCTION("IF(
  AND(D396=""Saída"", J396=""Sangria""),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197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94" t="str">
        <f>IFERROR(__xludf.DUMMYFUNCTION("ifna(VALUE(REGEXEXTRACT(E396,""[0-9.]+[,]+[0-9]+"")))"),"")</f>
        <v/>
      </c>
      <c r="O396" s="194"/>
      <c r="P396" s="194"/>
      <c r="Q396" s="194"/>
      <c r="R396" s="194"/>
      <c r="S396" s="194"/>
      <c r="T396" s="194"/>
      <c r="U396" s="194"/>
      <c r="V396" s="194"/>
      <c r="W396" s="194"/>
    </row>
    <row r="397" ht="14.25" customHeight="1">
      <c r="A397" s="31"/>
      <c r="B397" s="287"/>
      <c r="C397" s="286"/>
      <c r="D397" s="270"/>
      <c r="E397" s="271"/>
      <c r="F397" s="204"/>
      <c r="G397" s="273"/>
      <c r="H397" s="204"/>
      <c r="I397" s="204"/>
      <c r="J397" s="202"/>
      <c r="K397" s="202"/>
      <c r="L397" s="192" t="str">
        <f>IFERROR(__xludf.DUMMYFUNCTION("IF(
  AND(D397=""Saída"", J397=""Sangria""),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198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94" t="str">
        <f>IFERROR(__xludf.DUMMYFUNCTION("ifna(VALUE(REGEXEXTRACT(E397,""[0-9.]+[,]+[0-9]+"")))"),"")</f>
        <v/>
      </c>
      <c r="O397" s="194"/>
      <c r="P397" s="194"/>
      <c r="Q397" s="194"/>
      <c r="R397" s="194"/>
      <c r="S397" s="194"/>
      <c r="T397" s="194"/>
      <c r="U397" s="194"/>
      <c r="V397" s="194"/>
      <c r="W397" s="194"/>
    </row>
    <row r="398" ht="14.25" customHeight="1">
      <c r="A398" s="31"/>
      <c r="B398" s="287"/>
      <c r="C398" s="286"/>
      <c r="D398" s="270"/>
      <c r="E398" s="271"/>
      <c r="F398" s="204"/>
      <c r="G398" s="273"/>
      <c r="H398" s="204"/>
      <c r="I398" s="204"/>
      <c r="J398" s="202"/>
      <c r="K398" s="202"/>
      <c r="L398" s="192" t="str">
        <f>IFERROR(__xludf.DUMMYFUNCTION("IF(
  AND(D398=""Saída"", J398=""Sangria""),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197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94" t="str">
        <f>IFERROR(__xludf.DUMMYFUNCTION("ifna(VALUE(REGEXEXTRACT(E398,""[0-9.]+[,]+[0-9]+"")))"),"")</f>
        <v/>
      </c>
      <c r="O398" s="194"/>
      <c r="P398" s="194"/>
      <c r="Q398" s="194"/>
      <c r="R398" s="194"/>
      <c r="S398" s="194"/>
      <c r="T398" s="194"/>
      <c r="U398" s="194"/>
      <c r="V398" s="194"/>
      <c r="W398" s="194"/>
    </row>
    <row r="399" ht="14.25" customHeight="1">
      <c r="A399" s="31"/>
      <c r="B399" s="287"/>
      <c r="C399" s="286"/>
      <c r="D399" s="270"/>
      <c r="E399" s="271"/>
      <c r="F399" s="204"/>
      <c r="G399" s="273"/>
      <c r="H399" s="204"/>
      <c r="I399" s="204"/>
      <c r="J399" s="202"/>
      <c r="K399" s="202"/>
      <c r="L399" s="192" t="str">
        <f>IFERROR(__xludf.DUMMYFUNCTION("IF(
  AND(D399=""Saída"", J399=""Sangria""),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198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94" t="str">
        <f>IFERROR(__xludf.DUMMYFUNCTION("ifna(VALUE(REGEXEXTRACT(E399,""[0-9.]+[,]+[0-9]+"")))"),"")</f>
        <v/>
      </c>
      <c r="O399" s="194"/>
      <c r="P399" s="194"/>
      <c r="Q399" s="194"/>
      <c r="R399" s="194"/>
      <c r="S399" s="194"/>
      <c r="T399" s="194"/>
      <c r="U399" s="194"/>
      <c r="V399" s="194"/>
      <c r="W399" s="194"/>
    </row>
    <row r="400" ht="14.25" customHeight="1">
      <c r="A400" s="31"/>
      <c r="B400" s="287"/>
      <c r="C400" s="286"/>
      <c r="D400" s="270"/>
      <c r="E400" s="271"/>
      <c r="F400" s="204"/>
      <c r="G400" s="273"/>
      <c r="H400" s="204"/>
      <c r="I400" s="204"/>
      <c r="J400" s="202"/>
      <c r="K400" s="202"/>
      <c r="L400" s="192" t="str">
        <f>IFERROR(__xludf.DUMMYFUNCTION("IF(
  AND(D400=""Saída"", J400=""Sangria""),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197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94" t="str">
        <f>IFERROR(__xludf.DUMMYFUNCTION("ifna(VALUE(REGEXEXTRACT(E400,""[0-9.]+[,]+[0-9]+"")))"),"")</f>
        <v/>
      </c>
      <c r="O400" s="194"/>
      <c r="P400" s="194"/>
      <c r="Q400" s="194"/>
      <c r="R400" s="194"/>
      <c r="S400" s="194"/>
      <c r="T400" s="194"/>
      <c r="U400" s="194"/>
      <c r="V400" s="194"/>
      <c r="W400" s="194"/>
    </row>
    <row r="401" ht="14.25" customHeight="1">
      <c r="A401" s="31"/>
      <c r="B401" s="287"/>
      <c r="C401" s="286"/>
      <c r="D401" s="270"/>
      <c r="E401" s="271"/>
      <c r="F401" s="204"/>
      <c r="G401" s="273"/>
      <c r="H401" s="204"/>
      <c r="I401" s="204"/>
      <c r="J401" s="202"/>
      <c r="K401" s="202"/>
      <c r="L401" s="192" t="str">
        <f>IFERROR(__xludf.DUMMYFUNCTION("IF(
  AND(D401=""Saída"", J401=""Sangria""),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198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94" t="str">
        <f>IFERROR(__xludf.DUMMYFUNCTION("ifna(VALUE(REGEXEXTRACT(E401,""[0-9.]+[,]+[0-9]+"")))"),"")</f>
        <v/>
      </c>
      <c r="O401" s="194"/>
      <c r="P401" s="194"/>
      <c r="Q401" s="194"/>
      <c r="R401" s="194"/>
      <c r="S401" s="194"/>
      <c r="T401" s="194"/>
      <c r="U401" s="194"/>
      <c r="V401" s="194"/>
      <c r="W401" s="194"/>
    </row>
    <row r="402" ht="14.25" customHeight="1">
      <c r="A402" s="31"/>
      <c r="B402" s="287"/>
      <c r="C402" s="286"/>
      <c r="D402" s="270"/>
      <c r="E402" s="271"/>
      <c r="F402" s="204"/>
      <c r="G402" s="273"/>
      <c r="H402" s="204"/>
      <c r="I402" s="204"/>
      <c r="J402" s="202"/>
      <c r="K402" s="202"/>
      <c r="L402" s="192" t="str">
        <f>IFERROR(__xludf.DUMMYFUNCTION("IF(
  AND(D402=""Saída"", J402=""Sangria""),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197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94" t="str">
        <f>IFERROR(__xludf.DUMMYFUNCTION("ifna(VALUE(REGEXEXTRACT(E402,""[0-9.]+[,]+[0-9]+"")))"),"")</f>
        <v/>
      </c>
      <c r="O402" s="194"/>
      <c r="P402" s="194"/>
      <c r="Q402" s="194"/>
      <c r="R402" s="194"/>
      <c r="S402" s="194"/>
      <c r="T402" s="194"/>
      <c r="U402" s="194"/>
      <c r="V402" s="194"/>
      <c r="W402" s="194"/>
    </row>
    <row r="403" ht="14.25" customHeight="1">
      <c r="A403" s="31"/>
      <c r="B403" s="287"/>
      <c r="C403" s="286"/>
      <c r="D403" s="270"/>
      <c r="E403" s="271"/>
      <c r="F403" s="204"/>
      <c r="G403" s="273"/>
      <c r="H403" s="204"/>
      <c r="I403" s="204"/>
      <c r="J403" s="202"/>
      <c r="K403" s="202"/>
      <c r="L403" s="192" t="str">
        <f>IFERROR(__xludf.DUMMYFUNCTION("IF(
  AND(D403=""Saída"", J403=""Sangria""),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198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94" t="str">
        <f>IFERROR(__xludf.DUMMYFUNCTION("ifna(VALUE(REGEXEXTRACT(E403,""[0-9.]+[,]+[0-9]+"")))"),"")</f>
        <v/>
      </c>
      <c r="O403" s="194"/>
      <c r="P403" s="194"/>
      <c r="Q403" s="194"/>
      <c r="R403" s="194"/>
      <c r="S403" s="194"/>
      <c r="T403" s="194"/>
      <c r="U403" s="194"/>
      <c r="V403" s="194"/>
      <c r="W403" s="194"/>
    </row>
    <row r="404" ht="14.25" customHeight="1">
      <c r="A404" s="31"/>
      <c r="B404" s="287"/>
      <c r="C404" s="286"/>
      <c r="D404" s="270"/>
      <c r="E404" s="271"/>
      <c r="F404" s="204"/>
      <c r="G404" s="273"/>
      <c r="H404" s="204"/>
      <c r="I404" s="204"/>
      <c r="J404" s="202"/>
      <c r="K404" s="202"/>
      <c r="L404" s="192" t="str">
        <f>IFERROR(__xludf.DUMMYFUNCTION("IF(
  AND(D404=""Saída"", J404=""Sangria""),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197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94" t="str">
        <f>IFERROR(__xludf.DUMMYFUNCTION("ifna(VALUE(REGEXEXTRACT(E404,""[0-9.]+[,]+[0-9]+"")))"),"")</f>
        <v/>
      </c>
      <c r="O404" s="194"/>
      <c r="P404" s="194"/>
      <c r="Q404" s="194"/>
      <c r="R404" s="194"/>
      <c r="S404" s="194"/>
      <c r="T404" s="194"/>
      <c r="U404" s="194"/>
      <c r="V404" s="194"/>
      <c r="W404" s="194"/>
    </row>
    <row r="405" ht="14.25" customHeight="1">
      <c r="A405" s="31"/>
      <c r="B405" s="287"/>
      <c r="C405" s="286"/>
      <c r="D405" s="270"/>
      <c r="E405" s="271"/>
      <c r="F405" s="204"/>
      <c r="G405" s="273"/>
      <c r="H405" s="204"/>
      <c r="I405" s="204"/>
      <c r="J405" s="202"/>
      <c r="K405" s="202"/>
      <c r="L405" s="192" t="str">
        <f>IFERROR(__xludf.DUMMYFUNCTION("IF(
  AND(D405=""Saída"", J405=""Sangria""),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198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94" t="str">
        <f>IFERROR(__xludf.DUMMYFUNCTION("ifna(VALUE(REGEXEXTRACT(E405,""[0-9.]+[,]+[0-9]+"")))"),"")</f>
        <v/>
      </c>
      <c r="O405" s="194"/>
      <c r="P405" s="194"/>
      <c r="Q405" s="194"/>
      <c r="R405" s="194"/>
      <c r="S405" s="194"/>
      <c r="T405" s="194"/>
      <c r="U405" s="194"/>
      <c r="V405" s="194"/>
      <c r="W405" s="194"/>
    </row>
    <row r="406" ht="14.25" customHeight="1">
      <c r="A406" s="31"/>
      <c r="B406" s="287"/>
      <c r="C406" s="286"/>
      <c r="D406" s="270"/>
      <c r="E406" s="288"/>
      <c r="F406" s="204"/>
      <c r="G406" s="273"/>
      <c r="H406" s="204"/>
      <c r="I406" s="204"/>
      <c r="J406" s="202"/>
      <c r="K406" s="202"/>
      <c r="L406" s="192" t="str">
        <f>IFERROR(__xludf.DUMMYFUNCTION("IF(
  AND(D406=""Saída"", J406=""Sangria""),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197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94" t="str">
        <f>IFERROR(__xludf.DUMMYFUNCTION("ifna(VALUE(REGEXEXTRACT(E406,""[0-9.]+[,]+[0-9]+"")))"),"")</f>
        <v/>
      </c>
      <c r="O406" s="194"/>
      <c r="P406" s="194"/>
      <c r="Q406" s="194"/>
      <c r="R406" s="194"/>
      <c r="S406" s="194"/>
      <c r="T406" s="194"/>
      <c r="U406" s="194"/>
      <c r="V406" s="194"/>
      <c r="W406" s="194"/>
    </row>
    <row r="407" ht="14.25" customHeight="1">
      <c r="A407" s="31"/>
      <c r="B407" s="287"/>
      <c r="C407" s="286"/>
      <c r="D407" s="270"/>
      <c r="E407" s="288"/>
      <c r="F407" s="204"/>
      <c r="G407" s="289"/>
      <c r="H407" s="204"/>
      <c r="I407" s="204"/>
      <c r="J407" s="202"/>
      <c r="K407" s="202"/>
      <c r="L407" s="192" t="str">
        <f>IFERROR(__xludf.DUMMYFUNCTION("IF(
  AND(D407=""Saída"", J407=""Sangria""),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198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94" t="str">
        <f>IFERROR(__xludf.DUMMYFUNCTION("ifna(VALUE(REGEXEXTRACT(E407,""[0-9.]+[,]+[0-9]+"")))"),"")</f>
        <v/>
      </c>
      <c r="O407" s="194"/>
      <c r="P407" s="194"/>
      <c r="Q407" s="194"/>
      <c r="R407" s="194"/>
      <c r="S407" s="194"/>
      <c r="T407" s="194"/>
      <c r="U407" s="194"/>
      <c r="V407" s="194"/>
      <c r="W407" s="194"/>
    </row>
    <row r="408" ht="14.25" customHeight="1">
      <c r="A408" s="31"/>
      <c r="B408" s="287"/>
      <c r="C408" s="286"/>
      <c r="D408" s="270"/>
      <c r="E408" s="288"/>
      <c r="F408" s="204"/>
      <c r="G408" s="289"/>
      <c r="H408" s="204"/>
      <c r="I408" s="204"/>
      <c r="J408" s="202"/>
      <c r="K408" s="202"/>
      <c r="L408" s="192" t="str">
        <f>IFERROR(__xludf.DUMMYFUNCTION("IF(
  AND(D408=""Saída"", J408=""Sangria""),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197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94" t="str">
        <f>IFERROR(__xludf.DUMMYFUNCTION("ifna(VALUE(REGEXEXTRACT(E408,""[0-9.]+[,]+[0-9]+"")))"),"")</f>
        <v/>
      </c>
      <c r="O408" s="194"/>
      <c r="P408" s="194"/>
      <c r="Q408" s="194"/>
      <c r="R408" s="194"/>
      <c r="S408" s="194"/>
      <c r="T408" s="194"/>
      <c r="U408" s="194"/>
      <c r="V408" s="194"/>
      <c r="W408" s="194"/>
    </row>
    <row r="409" ht="14.25" customHeight="1">
      <c r="A409" s="31"/>
      <c r="B409" s="287"/>
      <c r="C409" s="286"/>
      <c r="D409" s="270"/>
      <c r="E409" s="288"/>
      <c r="F409" s="204"/>
      <c r="G409" s="289"/>
      <c r="H409" s="204"/>
      <c r="I409" s="204"/>
      <c r="J409" s="202"/>
      <c r="K409" s="202"/>
      <c r="L409" s="192" t="str">
        <f>IFERROR(__xludf.DUMMYFUNCTION("IF(
  AND(D409=""Saída"", J409=""Sangria""),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198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94" t="str">
        <f>IFERROR(__xludf.DUMMYFUNCTION("ifna(VALUE(REGEXEXTRACT(E409,""[0-9.]+[,]+[0-9]+"")))"),"")</f>
        <v/>
      </c>
      <c r="O409" s="194"/>
      <c r="P409" s="194"/>
      <c r="Q409" s="194"/>
      <c r="R409" s="194"/>
      <c r="S409" s="194"/>
      <c r="T409" s="194"/>
      <c r="U409" s="194"/>
      <c r="V409" s="194"/>
      <c r="W409" s="194"/>
    </row>
    <row r="410" ht="14.25" customHeight="1">
      <c r="A410" s="31"/>
      <c r="B410" s="287"/>
      <c r="C410" s="286"/>
      <c r="D410" s="270"/>
      <c r="E410" s="288"/>
      <c r="F410" s="204"/>
      <c r="G410" s="289"/>
      <c r="H410" s="204"/>
      <c r="I410" s="204"/>
      <c r="J410" s="202"/>
      <c r="K410" s="202"/>
      <c r="L410" s="192" t="str">
        <f>IFERROR(__xludf.DUMMYFUNCTION("IF(
  AND(D410=""Saída"", J410=""Sangria""),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197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94" t="str">
        <f>IFERROR(__xludf.DUMMYFUNCTION("ifna(VALUE(REGEXEXTRACT(E410,""[0-9.]+[,]+[0-9]+"")))"),"")</f>
        <v/>
      </c>
      <c r="O410" s="194"/>
      <c r="P410" s="194"/>
      <c r="Q410" s="194"/>
      <c r="R410" s="194"/>
      <c r="S410" s="194"/>
      <c r="T410" s="194"/>
      <c r="U410" s="194"/>
      <c r="V410" s="194"/>
      <c r="W410" s="194"/>
    </row>
    <row r="411" ht="14.25" customHeight="1">
      <c r="A411" s="31"/>
      <c r="B411" s="287"/>
      <c r="C411" s="286"/>
      <c r="D411" s="204"/>
      <c r="E411" s="288"/>
      <c r="F411" s="204"/>
      <c r="G411" s="289"/>
      <c r="H411" s="204"/>
      <c r="I411" s="204"/>
      <c r="J411" s="202"/>
      <c r="K411" s="202"/>
      <c r="L411" s="192" t="str">
        <f>IFERROR(__xludf.DUMMYFUNCTION("IF(
  AND(D411=""Saída"", J411=""Sangria""),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198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94" t="str">
        <f>IFERROR(__xludf.DUMMYFUNCTION("ifna(VALUE(REGEXEXTRACT(E411,""[0-9.]+[,]+[0-9]+"")))"),"")</f>
        <v/>
      </c>
      <c r="O411" s="194"/>
      <c r="P411" s="194"/>
      <c r="Q411" s="194"/>
      <c r="R411" s="194"/>
      <c r="S411" s="194"/>
      <c r="T411" s="194"/>
      <c r="U411" s="194"/>
      <c r="V411" s="194"/>
      <c r="W411" s="194"/>
    </row>
    <row r="412" ht="14.25" customHeight="1">
      <c r="A412" s="31"/>
      <c r="B412" s="287"/>
      <c r="C412" s="286"/>
      <c r="D412" s="204"/>
      <c r="E412" s="288"/>
      <c r="F412" s="204"/>
      <c r="G412" s="289"/>
      <c r="H412" s="204"/>
      <c r="I412" s="204"/>
      <c r="J412" s="202"/>
      <c r="K412" s="202"/>
      <c r="L412" s="192" t="str">
        <f>IFERROR(__xludf.DUMMYFUNCTION("IF(
  AND(D412=""Saída"", J412=""Sangria""),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197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94" t="str">
        <f>IFERROR(__xludf.DUMMYFUNCTION("ifna(VALUE(REGEXEXTRACT(E412,""[0-9.]+[,]+[0-9]+"")))"),"")</f>
        <v/>
      </c>
      <c r="O412" s="194"/>
      <c r="P412" s="194"/>
      <c r="Q412" s="194"/>
      <c r="R412" s="194"/>
      <c r="S412" s="194"/>
      <c r="T412" s="194"/>
      <c r="U412" s="194"/>
      <c r="V412" s="194"/>
      <c r="W412" s="194"/>
    </row>
    <row r="413" ht="14.25" customHeight="1">
      <c r="A413" s="31"/>
      <c r="B413" s="287"/>
      <c r="C413" s="286"/>
      <c r="D413" s="204"/>
      <c r="E413" s="288"/>
      <c r="F413" s="204"/>
      <c r="G413" s="289"/>
      <c r="H413" s="204"/>
      <c r="I413" s="204"/>
      <c r="J413" s="202"/>
      <c r="K413" s="202"/>
      <c r="L413" s="192" t="str">
        <f>IFERROR(__xludf.DUMMYFUNCTION("IF(
  AND(D413=""Saída"", J413=""Sangria""),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198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94" t="str">
        <f>IFERROR(__xludf.DUMMYFUNCTION("ifna(VALUE(REGEXEXTRACT(E413,""[0-9.]+[,]+[0-9]+"")))"),"")</f>
        <v/>
      </c>
      <c r="O413" s="194"/>
      <c r="P413" s="194"/>
      <c r="Q413" s="194"/>
      <c r="R413" s="194"/>
      <c r="S413" s="194"/>
      <c r="T413" s="194"/>
      <c r="U413" s="194"/>
      <c r="V413" s="194"/>
      <c r="W413" s="194"/>
    </row>
    <row r="414" ht="14.25" customHeight="1">
      <c r="A414" s="31"/>
      <c r="B414" s="287"/>
      <c r="C414" s="286"/>
      <c r="D414" s="204"/>
      <c r="E414" s="288"/>
      <c r="F414" s="204"/>
      <c r="G414" s="289"/>
      <c r="H414" s="204"/>
      <c r="I414" s="204"/>
      <c r="J414" s="202"/>
      <c r="K414" s="202"/>
      <c r="L414" s="192" t="str">
        <f>IFERROR(__xludf.DUMMYFUNCTION("IF(
  AND(D414=""Saída"", J414=""Sangria""),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197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94" t="str">
        <f>IFERROR(__xludf.DUMMYFUNCTION("ifna(VALUE(REGEXEXTRACT(E414,""[0-9.]+[,]+[0-9]+"")))"),"")</f>
        <v/>
      </c>
      <c r="O414" s="194"/>
      <c r="P414" s="194"/>
      <c r="Q414" s="194"/>
      <c r="R414" s="194"/>
      <c r="S414" s="194"/>
      <c r="T414" s="194"/>
      <c r="U414" s="194"/>
      <c r="V414" s="194"/>
      <c r="W414" s="194"/>
    </row>
    <row r="415" ht="14.25" customHeight="1">
      <c r="A415" s="31"/>
      <c r="B415" s="287"/>
      <c r="C415" s="286"/>
      <c r="D415" s="204"/>
      <c r="E415" s="288"/>
      <c r="F415" s="204"/>
      <c r="G415" s="289"/>
      <c r="H415" s="204"/>
      <c r="I415" s="204"/>
      <c r="J415" s="202"/>
      <c r="K415" s="202"/>
      <c r="L415" s="192" t="str">
        <f>IFERROR(__xludf.DUMMYFUNCTION("IF(
  AND(D415=""Saída"", J415=""Sangria""),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198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94" t="str">
        <f>IFERROR(__xludf.DUMMYFUNCTION("ifna(VALUE(REGEXEXTRACT(E415,""[0-9.]+[,]+[0-9]+"")))"),"")</f>
        <v/>
      </c>
      <c r="O415" s="194"/>
      <c r="P415" s="194"/>
      <c r="Q415" s="194"/>
      <c r="R415" s="194"/>
      <c r="S415" s="194"/>
      <c r="T415" s="194"/>
      <c r="U415" s="194"/>
      <c r="V415" s="194"/>
      <c r="W415" s="194"/>
    </row>
    <row r="416" ht="14.25" customHeight="1">
      <c r="A416" s="31"/>
      <c r="B416" s="287"/>
      <c r="C416" s="286"/>
      <c r="D416" s="204"/>
      <c r="E416" s="288"/>
      <c r="F416" s="204"/>
      <c r="G416" s="289"/>
      <c r="H416" s="204"/>
      <c r="I416" s="204"/>
      <c r="J416" s="202"/>
      <c r="K416" s="202"/>
      <c r="L416" s="192" t="str">
        <f>IFERROR(__xludf.DUMMYFUNCTION("IF(
  AND(D416=""Saída"", J416=""Sangria""),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197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94" t="str">
        <f>IFERROR(__xludf.DUMMYFUNCTION("ifna(VALUE(REGEXEXTRACT(E416,""[0-9.]+[,]+[0-9]+"")))"),"")</f>
        <v/>
      </c>
      <c r="O416" s="194"/>
      <c r="P416" s="194"/>
      <c r="Q416" s="194"/>
      <c r="R416" s="194"/>
      <c r="S416" s="194"/>
      <c r="T416" s="194"/>
      <c r="U416" s="194"/>
      <c r="V416" s="194"/>
      <c r="W416" s="194"/>
    </row>
    <row r="417" ht="14.25" customHeight="1">
      <c r="A417" s="31"/>
      <c r="B417" s="287"/>
      <c r="C417" s="286"/>
      <c r="D417" s="204"/>
      <c r="E417" s="288"/>
      <c r="F417" s="204"/>
      <c r="G417" s="289"/>
      <c r="H417" s="204"/>
      <c r="I417" s="204"/>
      <c r="J417" s="202"/>
      <c r="K417" s="202"/>
      <c r="L417" s="192" t="str">
        <f>IFERROR(__xludf.DUMMYFUNCTION("IF(
  AND(D417=""Saída"", J417=""Sangria""),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198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94" t="str">
        <f>IFERROR(__xludf.DUMMYFUNCTION("ifna(VALUE(REGEXEXTRACT(E417,""[0-9.]+[,]+[0-9]+"")))"),"")</f>
        <v/>
      </c>
      <c r="O417" s="194"/>
      <c r="P417" s="194"/>
      <c r="Q417" s="194"/>
      <c r="R417" s="194"/>
      <c r="S417" s="194"/>
      <c r="T417" s="194"/>
      <c r="U417" s="194"/>
      <c r="V417" s="194"/>
      <c r="W417" s="194"/>
    </row>
    <row r="418" ht="14.25" customHeight="1">
      <c r="A418" s="31"/>
      <c r="B418" s="287"/>
      <c r="C418" s="286"/>
      <c r="D418" s="204"/>
      <c r="E418" s="288"/>
      <c r="F418" s="204"/>
      <c r="G418" s="289"/>
      <c r="H418" s="204"/>
      <c r="I418" s="204"/>
      <c r="J418" s="202"/>
      <c r="K418" s="202"/>
      <c r="L418" s="192" t="str">
        <f>IFERROR(__xludf.DUMMYFUNCTION("IF(
  AND(D418=""Saída"", J418=""Sangria""),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197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94" t="str">
        <f>IFERROR(__xludf.DUMMYFUNCTION("ifna(VALUE(REGEXEXTRACT(E418,""[0-9.]+[,]+[0-9]+"")))"),"")</f>
        <v/>
      </c>
      <c r="O418" s="194"/>
      <c r="P418" s="194"/>
      <c r="Q418" s="194"/>
      <c r="R418" s="194"/>
      <c r="S418" s="194"/>
      <c r="T418" s="194"/>
      <c r="U418" s="194"/>
      <c r="V418" s="194"/>
      <c r="W418" s="194"/>
    </row>
    <row r="419" ht="14.25" customHeight="1">
      <c r="A419" s="31"/>
      <c r="B419" s="287"/>
      <c r="C419" s="286"/>
      <c r="D419" s="204"/>
      <c r="E419" s="288"/>
      <c r="F419" s="204"/>
      <c r="G419" s="289"/>
      <c r="H419" s="204"/>
      <c r="I419" s="204"/>
      <c r="J419" s="202"/>
      <c r="K419" s="202"/>
      <c r="L419" s="192" t="str">
        <f>IFERROR(__xludf.DUMMYFUNCTION("IF(
  AND(D419=""Saída"", J419=""Sangria""),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198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94" t="str">
        <f>IFERROR(__xludf.DUMMYFUNCTION("ifna(VALUE(REGEXEXTRACT(E419,""[0-9.]+[,]+[0-9]+"")))"),"")</f>
        <v/>
      </c>
      <c r="O419" s="194"/>
      <c r="P419" s="194"/>
      <c r="Q419" s="194"/>
      <c r="R419" s="194"/>
      <c r="S419" s="194"/>
      <c r="T419" s="194"/>
      <c r="U419" s="194"/>
      <c r="V419" s="194"/>
      <c r="W419" s="194"/>
    </row>
    <row r="420" ht="14.25" customHeight="1">
      <c r="A420" s="31"/>
      <c r="B420" s="287"/>
      <c r="C420" s="286"/>
      <c r="D420" s="204"/>
      <c r="E420" s="288"/>
      <c r="F420" s="204"/>
      <c r="G420" s="289"/>
      <c r="H420" s="204"/>
      <c r="I420" s="204"/>
      <c r="J420" s="202"/>
      <c r="K420" s="202"/>
      <c r="L420" s="192" t="str">
        <f>IFERROR(__xludf.DUMMYFUNCTION("IF(
  AND(D420=""Saída"", J420=""Sangria""),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197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94" t="str">
        <f>IFERROR(__xludf.DUMMYFUNCTION("ifna(VALUE(REGEXEXTRACT(E420,""[0-9.]+[,]+[0-9]+"")))"),"")</f>
        <v/>
      </c>
      <c r="O420" s="194"/>
      <c r="P420" s="194"/>
      <c r="Q420" s="194"/>
      <c r="R420" s="194"/>
      <c r="S420" s="194"/>
      <c r="T420" s="194"/>
      <c r="U420" s="194"/>
      <c r="V420" s="194"/>
      <c r="W420" s="194"/>
    </row>
    <row r="421" ht="14.25" customHeight="1">
      <c r="A421" s="31"/>
      <c r="B421" s="287"/>
      <c r="C421" s="286"/>
      <c r="D421" s="204"/>
      <c r="E421" s="288"/>
      <c r="F421" s="204"/>
      <c r="G421" s="289"/>
      <c r="H421" s="204"/>
      <c r="I421" s="204"/>
      <c r="J421" s="202"/>
      <c r="K421" s="202"/>
      <c r="L421" s="192" t="str">
        <f>IFERROR(__xludf.DUMMYFUNCTION("IF(
  AND(D421=""Saída"", J421=""Sangria""),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198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94" t="str">
        <f>IFERROR(__xludf.DUMMYFUNCTION("ifna(VALUE(REGEXEXTRACT(E421,""[0-9.]+[,]+[0-9]+"")))"),"")</f>
        <v/>
      </c>
      <c r="O421" s="194"/>
      <c r="P421" s="194"/>
      <c r="Q421" s="194"/>
      <c r="R421" s="194"/>
      <c r="S421" s="194"/>
      <c r="T421" s="194"/>
      <c r="U421" s="194"/>
      <c r="V421" s="194"/>
      <c r="W421" s="194"/>
    </row>
    <row r="422" ht="14.25" customHeight="1">
      <c r="A422" s="31"/>
      <c r="B422" s="287"/>
      <c r="C422" s="286"/>
      <c r="D422" s="204"/>
      <c r="E422" s="288"/>
      <c r="F422" s="204"/>
      <c r="G422" s="289"/>
      <c r="H422" s="204"/>
      <c r="I422" s="204"/>
      <c r="J422" s="202"/>
      <c r="K422" s="202"/>
      <c r="L422" s="192" t="str">
        <f>IFERROR(__xludf.DUMMYFUNCTION("IF(
  AND(D422=""Saída"", J422=""Sangria""),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197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94" t="str">
        <f>IFERROR(__xludf.DUMMYFUNCTION("ifna(VALUE(REGEXEXTRACT(E422,""[0-9.]+[,]+[0-9]+"")))"),"")</f>
        <v/>
      </c>
      <c r="O422" s="194"/>
      <c r="P422" s="194"/>
      <c r="Q422" s="194"/>
      <c r="R422" s="194"/>
      <c r="S422" s="194"/>
      <c r="T422" s="194"/>
      <c r="U422" s="194"/>
      <c r="V422" s="194"/>
      <c r="W422" s="194"/>
    </row>
    <row r="423" ht="14.25" customHeight="1">
      <c r="A423" s="31"/>
      <c r="B423" s="287"/>
      <c r="C423" s="286"/>
      <c r="D423" s="204"/>
      <c r="E423" s="288"/>
      <c r="F423" s="204"/>
      <c r="G423" s="289"/>
      <c r="H423" s="204"/>
      <c r="I423" s="204"/>
      <c r="J423" s="202"/>
      <c r="K423" s="202"/>
      <c r="L423" s="192" t="str">
        <f>IFERROR(__xludf.DUMMYFUNCTION("IF(
  AND(D423=""Saída"", J423=""Sangria""),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198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94" t="str">
        <f>IFERROR(__xludf.DUMMYFUNCTION("ifna(VALUE(REGEXEXTRACT(E423,""[0-9.]+[,]+[0-9]+"")))"),"")</f>
        <v/>
      </c>
      <c r="O423" s="194"/>
      <c r="P423" s="194"/>
      <c r="Q423" s="194"/>
      <c r="R423" s="194"/>
      <c r="S423" s="194"/>
      <c r="T423" s="194"/>
      <c r="U423" s="194"/>
      <c r="V423" s="194"/>
      <c r="W423" s="194"/>
    </row>
    <row r="424" ht="14.25" customHeight="1">
      <c r="A424" s="31"/>
      <c r="B424" s="287"/>
      <c r="C424" s="286"/>
      <c r="D424" s="204"/>
      <c r="E424" s="288"/>
      <c r="F424" s="204"/>
      <c r="G424" s="289"/>
      <c r="H424" s="204"/>
      <c r="I424" s="204"/>
      <c r="J424" s="202"/>
      <c r="K424" s="202"/>
      <c r="L424" s="192" t="str">
        <f>IFERROR(__xludf.DUMMYFUNCTION("IF(
  AND(D424=""Saída"", J424=""Sangria""),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197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94" t="str">
        <f>IFERROR(__xludf.DUMMYFUNCTION("ifna(VALUE(REGEXEXTRACT(E424,""[0-9.]+[,]+[0-9]+"")))"),"")</f>
        <v/>
      </c>
      <c r="O424" s="194"/>
      <c r="P424" s="194"/>
      <c r="Q424" s="194"/>
      <c r="R424" s="194"/>
      <c r="S424" s="194"/>
      <c r="T424" s="194"/>
      <c r="U424" s="194"/>
      <c r="V424" s="194"/>
      <c r="W424" s="194"/>
    </row>
    <row r="425" ht="14.25" customHeight="1">
      <c r="A425" s="31"/>
      <c r="B425" s="287"/>
      <c r="C425" s="286"/>
      <c r="D425" s="204"/>
      <c r="E425" s="288"/>
      <c r="F425" s="204"/>
      <c r="G425" s="289"/>
      <c r="H425" s="204"/>
      <c r="I425" s="204"/>
      <c r="J425" s="202"/>
      <c r="K425" s="202"/>
      <c r="L425" s="192" t="str">
        <f>IFERROR(__xludf.DUMMYFUNCTION("IF(
  AND(D425=""Saída"", J425=""Sangria""),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198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94" t="str">
        <f>IFERROR(__xludf.DUMMYFUNCTION("ifna(VALUE(REGEXEXTRACT(E425,""[0-9.]+[,]+[0-9]+"")))"),"")</f>
        <v/>
      </c>
      <c r="O425" s="194"/>
      <c r="P425" s="194"/>
      <c r="Q425" s="194"/>
      <c r="R425" s="194"/>
      <c r="S425" s="194"/>
      <c r="T425" s="194"/>
      <c r="U425" s="194"/>
      <c r="V425" s="194"/>
      <c r="W425" s="194"/>
    </row>
    <row r="426" ht="14.25" customHeight="1">
      <c r="A426" s="31"/>
      <c r="B426" s="287"/>
      <c r="C426" s="286"/>
      <c r="D426" s="204"/>
      <c r="E426" s="288"/>
      <c r="F426" s="204"/>
      <c r="G426" s="289"/>
      <c r="H426" s="204"/>
      <c r="I426" s="204"/>
      <c r="J426" s="202"/>
      <c r="K426" s="202"/>
      <c r="L426" s="192" t="str">
        <f>IFERROR(__xludf.DUMMYFUNCTION("IF(
  AND(D426=""Saída"", J426=""Sangria""),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197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94" t="str">
        <f>IFERROR(__xludf.DUMMYFUNCTION("ifna(VALUE(REGEXEXTRACT(E426,""[0-9.]+[,]+[0-9]+"")))"),"")</f>
        <v/>
      </c>
      <c r="O426" s="194"/>
      <c r="P426" s="194"/>
      <c r="Q426" s="194"/>
      <c r="R426" s="194"/>
      <c r="S426" s="194"/>
      <c r="T426" s="194"/>
      <c r="U426" s="194"/>
      <c r="V426" s="194"/>
      <c r="W426" s="194"/>
    </row>
    <row r="427" ht="14.25" customHeight="1">
      <c r="A427" s="31"/>
      <c r="B427" s="287"/>
      <c r="C427" s="286"/>
      <c r="D427" s="204"/>
      <c r="E427" s="288"/>
      <c r="F427" s="204"/>
      <c r="G427" s="289"/>
      <c r="H427" s="204"/>
      <c r="I427" s="204"/>
      <c r="J427" s="202"/>
      <c r="K427" s="202"/>
      <c r="L427" s="192" t="str">
        <f>IFERROR(__xludf.DUMMYFUNCTION("IF(
  AND(D427=""Saída"", J427=""Sangria""),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198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94" t="str">
        <f>IFERROR(__xludf.DUMMYFUNCTION("ifna(VALUE(REGEXEXTRACT(E427,""[0-9.]+[,]+[0-9]+"")))"),"")</f>
        <v/>
      </c>
      <c r="O427" s="194"/>
      <c r="P427" s="194"/>
      <c r="Q427" s="194"/>
      <c r="R427" s="194"/>
      <c r="S427" s="194"/>
      <c r="T427" s="194"/>
      <c r="U427" s="194"/>
      <c r="V427" s="194"/>
      <c r="W427" s="194"/>
    </row>
    <row r="428" ht="14.25" customHeight="1">
      <c r="A428" s="31"/>
      <c r="B428" s="287"/>
      <c r="C428" s="286"/>
      <c r="D428" s="204"/>
      <c r="E428" s="288"/>
      <c r="F428" s="204"/>
      <c r="G428" s="289"/>
      <c r="H428" s="204"/>
      <c r="I428" s="204"/>
      <c r="J428" s="202"/>
      <c r="K428" s="202"/>
      <c r="L428" s="192" t="str">
        <f>IFERROR(__xludf.DUMMYFUNCTION("IF(
  AND(D428=""Saída"", J428=""Sangria""),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197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94" t="str">
        <f>IFERROR(__xludf.DUMMYFUNCTION("ifna(VALUE(REGEXEXTRACT(E428,""[0-9.]+[,]+[0-9]+"")))"),"")</f>
        <v/>
      </c>
      <c r="O428" s="194"/>
      <c r="P428" s="194"/>
      <c r="Q428" s="194"/>
      <c r="R428" s="194"/>
      <c r="S428" s="194"/>
      <c r="T428" s="194"/>
      <c r="U428" s="194"/>
      <c r="V428" s="194"/>
      <c r="W428" s="194"/>
    </row>
    <row r="429" ht="14.25" customHeight="1">
      <c r="A429" s="31"/>
      <c r="B429" s="287"/>
      <c r="C429" s="286"/>
      <c r="D429" s="204"/>
      <c r="E429" s="288"/>
      <c r="F429" s="204"/>
      <c r="G429" s="289"/>
      <c r="H429" s="204"/>
      <c r="I429" s="204"/>
      <c r="J429" s="202"/>
      <c r="K429" s="202"/>
      <c r="L429" s="192" t="str">
        <f>IFERROR(__xludf.DUMMYFUNCTION("IF(
  AND(D429=""Saída"", J429=""Sangria""),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198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94" t="str">
        <f>IFERROR(__xludf.DUMMYFUNCTION("ifna(VALUE(REGEXEXTRACT(E429,""[0-9.]+[,]+[0-9]+"")))"),"")</f>
        <v/>
      </c>
      <c r="O429" s="194"/>
      <c r="P429" s="194"/>
      <c r="Q429" s="194"/>
      <c r="R429" s="194"/>
      <c r="S429" s="194"/>
      <c r="T429" s="194"/>
      <c r="U429" s="194"/>
      <c r="V429" s="194"/>
      <c r="W429" s="194"/>
    </row>
    <row r="430" ht="14.25" customHeight="1">
      <c r="A430" s="31"/>
      <c r="B430" s="287"/>
      <c r="C430" s="286"/>
      <c r="D430" s="204"/>
      <c r="E430" s="288"/>
      <c r="F430" s="204"/>
      <c r="G430" s="289"/>
      <c r="H430" s="204"/>
      <c r="I430" s="204"/>
      <c r="J430" s="202"/>
      <c r="K430" s="202"/>
      <c r="L430" s="192" t="str">
        <f>IFERROR(__xludf.DUMMYFUNCTION("IF(
  AND(D430=""Saída"", J430=""Sangria""),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197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94" t="str">
        <f>IFERROR(__xludf.DUMMYFUNCTION("ifna(VALUE(REGEXEXTRACT(E430,""[0-9.]+[,]+[0-9]+"")))"),"")</f>
        <v/>
      </c>
      <c r="O430" s="194"/>
      <c r="P430" s="194"/>
      <c r="Q430" s="194"/>
      <c r="R430" s="194"/>
      <c r="S430" s="194"/>
      <c r="T430" s="194"/>
      <c r="U430" s="194"/>
      <c r="V430" s="194"/>
      <c r="W430" s="194"/>
    </row>
    <row r="431" ht="14.25" customHeight="1">
      <c r="A431" s="31"/>
      <c r="B431" s="287"/>
      <c r="C431" s="286"/>
      <c r="D431" s="204"/>
      <c r="E431" s="288"/>
      <c r="F431" s="204"/>
      <c r="G431" s="289"/>
      <c r="H431" s="204"/>
      <c r="I431" s="204"/>
      <c r="J431" s="202"/>
      <c r="K431" s="202"/>
      <c r="L431" s="192" t="str">
        <f>IFERROR(__xludf.DUMMYFUNCTION("IF(
  AND(D431=""Saída"", J431=""Sangria""),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198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94" t="str">
        <f>IFERROR(__xludf.DUMMYFUNCTION("ifna(VALUE(REGEXEXTRACT(E431,""[0-9.]+[,]+[0-9]+"")))"),"")</f>
        <v/>
      </c>
      <c r="O431" s="194"/>
      <c r="P431" s="194"/>
      <c r="Q431" s="194"/>
      <c r="R431" s="194"/>
      <c r="S431" s="194"/>
      <c r="T431" s="194"/>
      <c r="U431" s="194"/>
      <c r="V431" s="194"/>
      <c r="W431" s="194"/>
    </row>
    <row r="432" ht="14.25" customHeight="1">
      <c r="A432" s="31"/>
      <c r="B432" s="287"/>
      <c r="C432" s="286"/>
      <c r="D432" s="204"/>
      <c r="E432" s="288"/>
      <c r="F432" s="204"/>
      <c r="G432" s="289"/>
      <c r="H432" s="204"/>
      <c r="I432" s="204"/>
      <c r="J432" s="202"/>
      <c r="K432" s="202"/>
      <c r="L432" s="192" t="str">
        <f>IFERROR(__xludf.DUMMYFUNCTION("IF(
  AND(D432=""Saída"", J432=""Sangria""),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197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94" t="str">
        <f>IFERROR(__xludf.DUMMYFUNCTION("ifna(VALUE(REGEXEXTRACT(E432,""[0-9.]+[,]+[0-9]+"")))"),"")</f>
        <v/>
      </c>
      <c r="O432" s="194"/>
      <c r="P432" s="194"/>
      <c r="Q432" s="194"/>
      <c r="R432" s="194"/>
      <c r="S432" s="194"/>
      <c r="T432" s="194"/>
      <c r="U432" s="194"/>
      <c r="V432" s="194"/>
      <c r="W432" s="194"/>
    </row>
    <row r="433" ht="14.25" customHeight="1">
      <c r="A433" s="31"/>
      <c r="B433" s="287"/>
      <c r="C433" s="286"/>
      <c r="D433" s="204"/>
      <c r="E433" s="288"/>
      <c r="F433" s="204"/>
      <c r="G433" s="289"/>
      <c r="H433" s="204"/>
      <c r="I433" s="204"/>
      <c r="J433" s="202"/>
      <c r="K433" s="202"/>
      <c r="L433" s="192" t="str">
        <f>IFERROR(__xludf.DUMMYFUNCTION("IF(
  AND(D433=""Saída"", J433=""Sangria""),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198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94" t="str">
        <f>IFERROR(__xludf.DUMMYFUNCTION("ifna(VALUE(REGEXEXTRACT(E433,""[0-9.]+[,]+[0-9]+"")))"),"")</f>
        <v/>
      </c>
      <c r="O433" s="194"/>
      <c r="P433" s="194"/>
      <c r="Q433" s="194"/>
      <c r="R433" s="194"/>
      <c r="S433" s="194"/>
      <c r="T433" s="194"/>
      <c r="U433" s="194"/>
      <c r="V433" s="194"/>
      <c r="W433" s="194"/>
    </row>
    <row r="434" ht="14.25" customHeight="1">
      <c r="A434" s="31"/>
      <c r="B434" s="287"/>
      <c r="C434" s="286"/>
      <c r="D434" s="204"/>
      <c r="E434" s="288"/>
      <c r="F434" s="204"/>
      <c r="G434" s="289"/>
      <c r="H434" s="204"/>
      <c r="I434" s="204"/>
      <c r="J434" s="202"/>
      <c r="K434" s="202"/>
      <c r="L434" s="192" t="str">
        <f>IFERROR(__xludf.DUMMYFUNCTION("IF(
  AND(D434=""Saída"", J434=""Sangria""),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197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94" t="str">
        <f>IFERROR(__xludf.DUMMYFUNCTION("ifna(VALUE(REGEXEXTRACT(E434,""[0-9.]+[,]+[0-9]+"")))"),"")</f>
        <v/>
      </c>
      <c r="O434" s="194"/>
      <c r="P434" s="194"/>
      <c r="Q434" s="194"/>
      <c r="R434" s="194"/>
      <c r="S434" s="194"/>
      <c r="T434" s="194"/>
      <c r="U434" s="194"/>
      <c r="V434" s="194"/>
      <c r="W434" s="194"/>
    </row>
    <row r="435" ht="14.25" customHeight="1">
      <c r="A435" s="31"/>
      <c r="B435" s="287"/>
      <c r="C435" s="286"/>
      <c r="D435" s="204"/>
      <c r="E435" s="288"/>
      <c r="F435" s="204"/>
      <c r="G435" s="289"/>
      <c r="H435" s="204"/>
      <c r="I435" s="204"/>
      <c r="J435" s="202"/>
      <c r="K435" s="202"/>
      <c r="L435" s="192" t="str">
        <f>IFERROR(__xludf.DUMMYFUNCTION("IF(
  AND(D435=""Saída"", J435=""Sangria""),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198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94" t="str">
        <f>IFERROR(__xludf.DUMMYFUNCTION("ifna(VALUE(REGEXEXTRACT(E435,""[0-9.]+[,]+[0-9]+"")))"),"")</f>
        <v/>
      </c>
      <c r="O435" s="194"/>
      <c r="P435" s="194"/>
      <c r="Q435" s="194"/>
      <c r="R435" s="194"/>
      <c r="S435" s="194"/>
      <c r="T435" s="194"/>
      <c r="U435" s="194"/>
      <c r="V435" s="194"/>
      <c r="W435" s="194"/>
    </row>
    <row r="436" ht="14.25" customHeight="1">
      <c r="A436" s="31"/>
      <c r="B436" s="287"/>
      <c r="C436" s="286"/>
      <c r="D436" s="204"/>
      <c r="E436" s="288"/>
      <c r="F436" s="204"/>
      <c r="G436" s="289"/>
      <c r="H436" s="204"/>
      <c r="I436" s="204"/>
      <c r="J436" s="202"/>
      <c r="K436" s="202"/>
      <c r="L436" s="192" t="str">
        <f>IFERROR(__xludf.DUMMYFUNCTION("IF(
  AND(D436=""Saída"", J436=""Sangria""),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197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94" t="str">
        <f>IFERROR(__xludf.DUMMYFUNCTION("ifna(VALUE(REGEXEXTRACT(E436,""[0-9.]+[,]+[0-9]+"")))"),"")</f>
        <v/>
      </c>
      <c r="O436" s="194"/>
      <c r="P436" s="194"/>
      <c r="Q436" s="194"/>
      <c r="R436" s="194"/>
      <c r="S436" s="194"/>
      <c r="T436" s="194"/>
      <c r="U436" s="194"/>
      <c r="V436" s="194"/>
      <c r="W436" s="194"/>
    </row>
    <row r="437" ht="14.25" customHeight="1">
      <c r="A437" s="31"/>
      <c r="B437" s="287"/>
      <c r="C437" s="286"/>
      <c r="D437" s="204"/>
      <c r="E437" s="288"/>
      <c r="F437" s="204"/>
      <c r="G437" s="289"/>
      <c r="H437" s="204"/>
      <c r="I437" s="204"/>
      <c r="J437" s="202"/>
      <c r="K437" s="202"/>
      <c r="L437" s="192" t="str">
        <f>IFERROR(__xludf.DUMMYFUNCTION("IF(
  AND(D437=""Saída"", J437=""Sangria""),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198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94" t="str">
        <f>IFERROR(__xludf.DUMMYFUNCTION("ifna(VALUE(REGEXEXTRACT(E437,""[0-9.]+[,]+[0-9]+"")))"),"")</f>
        <v/>
      </c>
      <c r="O437" s="194"/>
      <c r="P437" s="194"/>
      <c r="Q437" s="194"/>
      <c r="R437" s="194"/>
      <c r="S437" s="194"/>
      <c r="T437" s="194"/>
      <c r="U437" s="194"/>
      <c r="V437" s="194"/>
      <c r="W437" s="194"/>
    </row>
    <row r="438" ht="14.25" customHeight="1">
      <c r="A438" s="31"/>
      <c r="B438" s="287"/>
      <c r="C438" s="286"/>
      <c r="D438" s="204"/>
      <c r="E438" s="288"/>
      <c r="F438" s="204"/>
      <c r="G438" s="289"/>
      <c r="H438" s="204"/>
      <c r="I438" s="204"/>
      <c r="J438" s="202"/>
      <c r="K438" s="202"/>
      <c r="L438" s="192" t="str">
        <f>IFERROR(__xludf.DUMMYFUNCTION("IF(
  AND(D438=""Saída"", J438=""Sangria""),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197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94" t="str">
        <f>IFERROR(__xludf.DUMMYFUNCTION("ifna(VALUE(REGEXEXTRACT(E438,""[0-9.]+[,]+[0-9]+"")))"),"")</f>
        <v/>
      </c>
      <c r="O438" s="194"/>
      <c r="P438" s="194"/>
      <c r="Q438" s="194"/>
      <c r="R438" s="194"/>
      <c r="S438" s="194"/>
      <c r="T438" s="194"/>
      <c r="U438" s="194"/>
      <c r="V438" s="194"/>
      <c r="W438" s="194"/>
    </row>
    <row r="439" ht="14.25" customHeight="1">
      <c r="A439" s="31"/>
      <c r="B439" s="287"/>
      <c r="C439" s="286"/>
      <c r="D439" s="204"/>
      <c r="E439" s="288"/>
      <c r="F439" s="204"/>
      <c r="G439" s="289"/>
      <c r="H439" s="204"/>
      <c r="I439" s="204"/>
      <c r="J439" s="202"/>
      <c r="K439" s="202"/>
      <c r="L439" s="192" t="str">
        <f>IFERROR(__xludf.DUMMYFUNCTION("IF(
  AND(D439=""Saída"", J439=""Sangria""),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198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94" t="str">
        <f>IFERROR(__xludf.DUMMYFUNCTION("ifna(VALUE(REGEXEXTRACT(E439,""[0-9.]+[,]+[0-9]+"")))"),"")</f>
        <v/>
      </c>
      <c r="O439" s="194"/>
      <c r="P439" s="194"/>
      <c r="Q439" s="194"/>
      <c r="R439" s="194"/>
      <c r="S439" s="194"/>
      <c r="T439" s="194"/>
      <c r="U439" s="194"/>
      <c r="V439" s="194"/>
      <c r="W439" s="194"/>
    </row>
    <row r="440" ht="14.25" customHeight="1">
      <c r="A440" s="31"/>
      <c r="B440" s="287"/>
      <c r="C440" s="286"/>
      <c r="D440" s="204"/>
      <c r="E440" s="288"/>
      <c r="F440" s="204"/>
      <c r="G440" s="289"/>
      <c r="H440" s="204"/>
      <c r="I440" s="204"/>
      <c r="J440" s="202"/>
      <c r="K440" s="202"/>
      <c r="L440" s="192" t="str">
        <f>IFERROR(__xludf.DUMMYFUNCTION("IF(
  AND(D440=""Saída"", J440=""Sangria""),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197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94" t="str">
        <f>IFERROR(__xludf.DUMMYFUNCTION("ifna(VALUE(REGEXEXTRACT(E440,""[0-9.]+[,]+[0-9]+"")))"),"")</f>
        <v/>
      </c>
      <c r="O440" s="194"/>
      <c r="P440" s="194"/>
      <c r="Q440" s="194"/>
      <c r="R440" s="194"/>
      <c r="S440" s="194"/>
      <c r="T440" s="194"/>
      <c r="U440" s="194"/>
      <c r="V440" s="194"/>
      <c r="W440" s="194"/>
    </row>
    <row r="441" ht="14.25" customHeight="1">
      <c r="A441" s="31"/>
      <c r="B441" s="287"/>
      <c r="C441" s="286"/>
      <c r="D441" s="204"/>
      <c r="E441" s="288"/>
      <c r="F441" s="204"/>
      <c r="G441" s="289"/>
      <c r="H441" s="204"/>
      <c r="I441" s="204"/>
      <c r="J441" s="202"/>
      <c r="K441" s="202"/>
      <c r="L441" s="192" t="str">
        <f>IFERROR(__xludf.DUMMYFUNCTION("IF(
  AND(D441=""Saída"", J441=""Sangria""),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198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94" t="str">
        <f>IFERROR(__xludf.DUMMYFUNCTION("ifna(VALUE(REGEXEXTRACT(E441,""[0-9.]+[,]+[0-9]+"")))"),"")</f>
        <v/>
      </c>
      <c r="O441" s="194"/>
      <c r="P441" s="194"/>
      <c r="Q441" s="194"/>
      <c r="R441" s="194"/>
      <c r="S441" s="194"/>
      <c r="T441" s="194"/>
      <c r="U441" s="194"/>
      <c r="V441" s="194"/>
      <c r="W441" s="194"/>
    </row>
    <row r="442" ht="14.25" customHeight="1">
      <c r="A442" s="31"/>
      <c r="B442" s="287"/>
      <c r="C442" s="286"/>
      <c r="D442" s="204"/>
      <c r="E442" s="288"/>
      <c r="F442" s="204"/>
      <c r="G442" s="289"/>
      <c r="H442" s="204"/>
      <c r="I442" s="204"/>
      <c r="J442" s="202"/>
      <c r="K442" s="202"/>
      <c r="L442" s="192" t="str">
        <f>IFERROR(__xludf.DUMMYFUNCTION("IF(
  AND(D442=""Saída"", J442=""Sangria""),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197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94" t="str">
        <f>IFERROR(__xludf.DUMMYFUNCTION("ifna(VALUE(REGEXEXTRACT(E442,""[0-9.]+[,]+[0-9]+"")))"),"")</f>
        <v/>
      </c>
      <c r="O442" s="194"/>
      <c r="P442" s="194"/>
      <c r="Q442" s="194"/>
      <c r="R442" s="194"/>
      <c r="S442" s="194"/>
      <c r="T442" s="194"/>
      <c r="U442" s="194"/>
      <c r="V442" s="194"/>
      <c r="W442" s="194"/>
    </row>
    <row r="443" ht="14.25" customHeight="1">
      <c r="A443" s="31"/>
      <c r="B443" s="287"/>
      <c r="C443" s="286"/>
      <c r="D443" s="204"/>
      <c r="E443" s="288"/>
      <c r="F443" s="204"/>
      <c r="G443" s="289"/>
      <c r="H443" s="204"/>
      <c r="I443" s="204"/>
      <c r="J443" s="202"/>
      <c r="K443" s="202"/>
      <c r="L443" s="192" t="str">
        <f>IFERROR(__xludf.DUMMYFUNCTION("IF(
  AND(D443=""Saída"", J443=""Sangria""),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198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94" t="str">
        <f>IFERROR(__xludf.DUMMYFUNCTION("ifna(VALUE(REGEXEXTRACT(E443,""[0-9.]+[,]+[0-9]+"")))"),"")</f>
        <v/>
      </c>
      <c r="O443" s="194"/>
      <c r="P443" s="194"/>
      <c r="Q443" s="194"/>
      <c r="R443" s="194"/>
      <c r="S443" s="194"/>
      <c r="T443" s="194"/>
      <c r="U443" s="194"/>
      <c r="V443" s="194"/>
      <c r="W443" s="194"/>
    </row>
    <row r="444" ht="14.25" customHeight="1">
      <c r="A444" s="31"/>
      <c r="B444" s="287"/>
      <c r="C444" s="286"/>
      <c r="D444" s="204"/>
      <c r="E444" s="288"/>
      <c r="F444" s="204"/>
      <c r="G444" s="289"/>
      <c r="H444" s="204"/>
      <c r="I444" s="204"/>
      <c r="J444" s="202"/>
      <c r="K444" s="202"/>
      <c r="L444" s="192" t="str">
        <f>IFERROR(__xludf.DUMMYFUNCTION("IF(
  AND(D444=""Saída"", J444=""Sangria""),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197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94" t="str">
        <f>IFERROR(__xludf.DUMMYFUNCTION("ifna(VALUE(REGEXEXTRACT(E444,""[0-9.]+[,]+[0-9]+"")))"),"")</f>
        <v/>
      </c>
      <c r="O444" s="194"/>
      <c r="P444" s="194"/>
      <c r="Q444" s="194"/>
      <c r="R444" s="194"/>
      <c r="S444" s="194"/>
      <c r="T444" s="194"/>
      <c r="U444" s="194"/>
      <c r="V444" s="194"/>
      <c r="W444" s="194"/>
    </row>
    <row r="445" ht="14.25" customHeight="1">
      <c r="A445" s="31"/>
      <c r="B445" s="287"/>
      <c r="C445" s="286"/>
      <c r="D445" s="204"/>
      <c r="E445" s="288"/>
      <c r="F445" s="204"/>
      <c r="G445" s="289"/>
      <c r="H445" s="204"/>
      <c r="I445" s="204"/>
      <c r="J445" s="202"/>
      <c r="K445" s="202"/>
      <c r="L445" s="192" t="str">
        <f>IFERROR(__xludf.DUMMYFUNCTION("IF(
  AND(D445=""Saída"", J445=""Sangria""),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198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94" t="str">
        <f>IFERROR(__xludf.DUMMYFUNCTION("ifna(VALUE(REGEXEXTRACT(E445,""[0-9.]+[,]+[0-9]+"")))"),"")</f>
        <v/>
      </c>
      <c r="O445" s="194"/>
      <c r="P445" s="194"/>
      <c r="Q445" s="194"/>
      <c r="R445" s="194"/>
      <c r="S445" s="194"/>
      <c r="T445" s="194"/>
      <c r="U445" s="194"/>
      <c r="V445" s="194"/>
      <c r="W445" s="194"/>
    </row>
    <row r="446" ht="14.25" customHeight="1">
      <c r="A446" s="31"/>
      <c r="B446" s="287"/>
      <c r="C446" s="286"/>
      <c r="D446" s="204"/>
      <c r="E446" s="288"/>
      <c r="F446" s="204"/>
      <c r="G446" s="289"/>
      <c r="H446" s="204"/>
      <c r="I446" s="204"/>
      <c r="J446" s="202"/>
      <c r="K446" s="202"/>
      <c r="L446" s="192" t="str">
        <f>IFERROR(__xludf.DUMMYFUNCTION("IF(
  AND(D446=""Saída"", J446=""Sangria""),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197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94" t="str">
        <f>IFERROR(__xludf.DUMMYFUNCTION("ifna(VALUE(REGEXEXTRACT(E446,""[0-9.]+[,]+[0-9]+"")))"),"")</f>
        <v/>
      </c>
      <c r="O446" s="194"/>
      <c r="P446" s="194"/>
      <c r="Q446" s="194"/>
      <c r="R446" s="194"/>
      <c r="S446" s="194"/>
      <c r="T446" s="194"/>
      <c r="U446" s="194"/>
      <c r="V446" s="194"/>
      <c r="W446" s="194"/>
    </row>
    <row r="447" ht="14.25" customHeight="1">
      <c r="A447" s="31"/>
      <c r="B447" s="287"/>
      <c r="C447" s="286"/>
      <c r="D447" s="204"/>
      <c r="E447" s="288"/>
      <c r="F447" s="204"/>
      <c r="G447" s="289"/>
      <c r="H447" s="204"/>
      <c r="I447" s="204"/>
      <c r="J447" s="202"/>
      <c r="K447" s="202"/>
      <c r="L447" s="192" t="str">
        <f>IFERROR(__xludf.DUMMYFUNCTION("IF(
  AND(D447=""Saída"", J447=""Sangria""),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198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94" t="str">
        <f>IFERROR(__xludf.DUMMYFUNCTION("ifna(VALUE(REGEXEXTRACT(E447,""[0-9.]+[,]+[0-9]+"")))"),"")</f>
        <v/>
      </c>
      <c r="O447" s="194"/>
      <c r="P447" s="194"/>
      <c r="Q447" s="194"/>
      <c r="R447" s="194"/>
      <c r="S447" s="194"/>
      <c r="T447" s="194"/>
      <c r="U447" s="194"/>
      <c r="V447" s="194"/>
      <c r="W447" s="194"/>
    </row>
    <row r="448" ht="14.25" customHeight="1">
      <c r="A448" s="31"/>
      <c r="B448" s="287"/>
      <c r="C448" s="286"/>
      <c r="D448" s="204"/>
      <c r="E448" s="288"/>
      <c r="F448" s="204"/>
      <c r="G448" s="289"/>
      <c r="H448" s="204"/>
      <c r="I448" s="204"/>
      <c r="J448" s="202"/>
      <c r="K448" s="202"/>
      <c r="L448" s="192" t="str">
        <f>IFERROR(__xludf.DUMMYFUNCTION("IF(
  AND(D448=""Saída"", J448=""Sangria""),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197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94" t="str">
        <f>IFERROR(__xludf.DUMMYFUNCTION("ifna(VALUE(REGEXEXTRACT(E448,""[0-9.]+[,]+[0-9]+"")))"),"")</f>
        <v/>
      </c>
      <c r="O448" s="194"/>
      <c r="P448" s="194"/>
      <c r="Q448" s="194"/>
      <c r="R448" s="194"/>
      <c r="S448" s="194"/>
      <c r="T448" s="194"/>
      <c r="U448" s="194"/>
      <c r="V448" s="194"/>
      <c r="W448" s="194"/>
    </row>
    <row r="449" ht="14.25" customHeight="1">
      <c r="A449" s="31"/>
      <c r="B449" s="287"/>
      <c r="C449" s="286"/>
      <c r="D449" s="204"/>
      <c r="E449" s="288"/>
      <c r="F449" s="204"/>
      <c r="G449" s="289"/>
      <c r="H449" s="204"/>
      <c r="I449" s="204"/>
      <c r="J449" s="202"/>
      <c r="K449" s="202"/>
      <c r="L449" s="192" t="str">
        <f>IFERROR(__xludf.DUMMYFUNCTION("IF(
  AND(D449=""Saída"", J449=""Sangria""),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198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94" t="str">
        <f>IFERROR(__xludf.DUMMYFUNCTION("ifna(VALUE(REGEXEXTRACT(E449,""[0-9.]+[,]+[0-9]+"")))"),"")</f>
        <v/>
      </c>
      <c r="O449" s="194"/>
      <c r="P449" s="194"/>
      <c r="Q449" s="194"/>
      <c r="R449" s="194"/>
      <c r="S449" s="194"/>
      <c r="T449" s="194"/>
      <c r="U449" s="194"/>
      <c r="V449" s="194"/>
      <c r="W449" s="194"/>
    </row>
    <row r="450" ht="14.25" customHeight="1">
      <c r="A450" s="31"/>
      <c r="B450" s="287"/>
      <c r="C450" s="286"/>
      <c r="D450" s="204"/>
      <c r="E450" s="288"/>
      <c r="F450" s="204"/>
      <c r="G450" s="289"/>
      <c r="H450" s="204"/>
      <c r="I450" s="204"/>
      <c r="J450" s="202"/>
      <c r="K450" s="202"/>
      <c r="L450" s="192" t="str">
        <f>IFERROR(__xludf.DUMMYFUNCTION("IF(
  AND(D450=""Saída"", J450=""Sangria""),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197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94" t="str">
        <f>IFERROR(__xludf.DUMMYFUNCTION("ifna(VALUE(REGEXEXTRACT(E450,""[0-9.]+[,]+[0-9]+"")))"),"")</f>
        <v/>
      </c>
      <c r="O450" s="194"/>
      <c r="P450" s="194"/>
      <c r="Q450" s="194"/>
      <c r="R450" s="194"/>
      <c r="S450" s="194"/>
      <c r="T450" s="194"/>
      <c r="U450" s="194"/>
      <c r="V450" s="194"/>
      <c r="W450" s="194"/>
    </row>
    <row r="451" ht="14.25" customHeight="1">
      <c r="A451" s="31"/>
      <c r="B451" s="287"/>
      <c r="C451" s="286"/>
      <c r="D451" s="204"/>
      <c r="E451" s="288"/>
      <c r="F451" s="204"/>
      <c r="G451" s="289"/>
      <c r="H451" s="204"/>
      <c r="I451" s="204"/>
      <c r="J451" s="202"/>
      <c r="K451" s="202"/>
      <c r="L451" s="192" t="str">
        <f>IFERROR(__xludf.DUMMYFUNCTION("IF(
  AND(D451=""Saída"", J451=""Sangria""),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198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94" t="str">
        <f>IFERROR(__xludf.DUMMYFUNCTION("ifna(VALUE(REGEXEXTRACT(E451,""[0-9.]+[,]+[0-9]+"")))"),"")</f>
        <v/>
      </c>
      <c r="O451" s="194"/>
      <c r="P451" s="194"/>
      <c r="Q451" s="194"/>
      <c r="R451" s="194"/>
      <c r="S451" s="194"/>
      <c r="T451" s="194"/>
      <c r="U451" s="194"/>
      <c r="V451" s="194"/>
      <c r="W451" s="194"/>
    </row>
    <row r="452" ht="14.25" customHeight="1">
      <c r="A452" s="31"/>
      <c r="B452" s="287"/>
      <c r="C452" s="286"/>
      <c r="D452" s="204"/>
      <c r="E452" s="288"/>
      <c r="F452" s="204"/>
      <c r="G452" s="289"/>
      <c r="H452" s="204"/>
      <c r="I452" s="204"/>
      <c r="J452" s="202"/>
      <c r="K452" s="202"/>
      <c r="L452" s="192" t="str">
        <f>IFERROR(__xludf.DUMMYFUNCTION("IF(
  AND(D452=""Saída"", J452=""Sangria""),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197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94" t="str">
        <f>IFERROR(__xludf.DUMMYFUNCTION("ifna(VALUE(REGEXEXTRACT(E452,""[0-9.]+[,]+[0-9]+"")))"),"")</f>
        <v/>
      </c>
      <c r="O452" s="194"/>
      <c r="P452" s="194"/>
      <c r="Q452" s="194"/>
      <c r="R452" s="194"/>
      <c r="S452" s="194"/>
      <c r="T452" s="194"/>
      <c r="U452" s="194"/>
      <c r="V452" s="194"/>
      <c r="W452" s="194"/>
    </row>
    <row r="453" ht="14.25" customHeight="1">
      <c r="A453" s="31"/>
      <c r="B453" s="287"/>
      <c r="C453" s="286"/>
      <c r="D453" s="204"/>
      <c r="E453" s="288"/>
      <c r="F453" s="204"/>
      <c r="G453" s="289"/>
      <c r="H453" s="204"/>
      <c r="I453" s="204"/>
      <c r="J453" s="202"/>
      <c r="K453" s="202"/>
      <c r="L453" s="192" t="str">
        <f>IFERROR(__xludf.DUMMYFUNCTION("IF(
  AND(D453=""Saída"", J453=""Sangria""),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198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94" t="str">
        <f>IFERROR(__xludf.DUMMYFUNCTION("ifna(VALUE(REGEXEXTRACT(E453,""[0-9.]+[,]+[0-9]+"")))"),"")</f>
        <v/>
      </c>
      <c r="O453" s="194"/>
      <c r="P453" s="194"/>
      <c r="Q453" s="194"/>
      <c r="R453" s="194"/>
      <c r="S453" s="194"/>
      <c r="T453" s="194"/>
      <c r="U453" s="194"/>
      <c r="V453" s="194"/>
      <c r="W453" s="194"/>
    </row>
    <row r="454" ht="14.25" customHeight="1">
      <c r="A454" s="31"/>
      <c r="B454" s="287"/>
      <c r="C454" s="286"/>
      <c r="D454" s="204"/>
      <c r="E454" s="288"/>
      <c r="F454" s="204"/>
      <c r="G454" s="289"/>
      <c r="H454" s="204"/>
      <c r="I454" s="204"/>
      <c r="J454" s="202"/>
      <c r="K454" s="202"/>
      <c r="L454" s="192" t="str">
        <f>IFERROR(__xludf.DUMMYFUNCTION("IF(
  AND(D454=""Saída"", J454=""Sangria""),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197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94" t="str">
        <f>IFERROR(__xludf.DUMMYFUNCTION("ifna(VALUE(REGEXEXTRACT(E454,""[0-9.]+[,]+[0-9]+"")))"),"")</f>
        <v/>
      </c>
      <c r="O454" s="194"/>
      <c r="P454" s="194"/>
      <c r="Q454" s="194"/>
      <c r="R454" s="194"/>
      <c r="S454" s="194"/>
      <c r="T454" s="194"/>
      <c r="U454" s="194"/>
      <c r="V454" s="194"/>
      <c r="W454" s="194"/>
    </row>
    <row r="455" ht="14.25" customHeight="1">
      <c r="A455" s="31"/>
      <c r="B455" s="287"/>
      <c r="C455" s="286"/>
      <c r="D455" s="204"/>
      <c r="E455" s="288"/>
      <c r="F455" s="204"/>
      <c r="G455" s="289"/>
      <c r="H455" s="204"/>
      <c r="I455" s="204"/>
      <c r="J455" s="202"/>
      <c r="K455" s="202"/>
      <c r="L455" s="192" t="str">
        <f>IFERROR(__xludf.DUMMYFUNCTION("IF(
  AND(D455=""Saída"", J455=""Sangria""),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198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94" t="str">
        <f>IFERROR(__xludf.DUMMYFUNCTION("ifna(VALUE(REGEXEXTRACT(E455,""[0-9.]+[,]+[0-9]+"")))"),"")</f>
        <v/>
      </c>
      <c r="O455" s="194"/>
      <c r="P455" s="194"/>
      <c r="Q455" s="194"/>
      <c r="R455" s="194"/>
      <c r="S455" s="194"/>
      <c r="T455" s="194"/>
      <c r="U455" s="194"/>
      <c r="V455" s="194"/>
      <c r="W455" s="194"/>
    </row>
    <row r="456" ht="14.25" customHeight="1">
      <c r="A456" s="31"/>
      <c r="B456" s="287"/>
      <c r="C456" s="286"/>
      <c r="D456" s="204"/>
      <c r="E456" s="288"/>
      <c r="F456" s="204"/>
      <c r="G456" s="289"/>
      <c r="H456" s="204"/>
      <c r="I456" s="204"/>
      <c r="J456" s="202"/>
      <c r="K456" s="202"/>
      <c r="L456" s="192" t="str">
        <f>IFERROR(__xludf.DUMMYFUNCTION("IF(
  AND(D456=""Saída"", J456=""Sangria""),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197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94" t="str">
        <f>IFERROR(__xludf.DUMMYFUNCTION("ifna(VALUE(REGEXEXTRACT(E456,""[0-9.]+[,]+[0-9]+"")))"),"")</f>
        <v/>
      </c>
      <c r="O456" s="194"/>
      <c r="P456" s="194"/>
      <c r="Q456" s="194"/>
      <c r="R456" s="194"/>
      <c r="S456" s="194"/>
      <c r="T456" s="194"/>
      <c r="U456" s="194"/>
      <c r="V456" s="194"/>
      <c r="W456" s="194"/>
    </row>
    <row r="457" ht="14.25" customHeight="1">
      <c r="A457" s="31"/>
      <c r="B457" s="287"/>
      <c r="C457" s="286"/>
      <c r="D457" s="204"/>
      <c r="E457" s="288"/>
      <c r="F457" s="204"/>
      <c r="G457" s="289"/>
      <c r="H457" s="204"/>
      <c r="I457" s="204"/>
      <c r="J457" s="202"/>
      <c r="K457" s="202"/>
      <c r="L457" s="192" t="str">
        <f>IFERROR(__xludf.DUMMYFUNCTION("IF(
  AND(D457=""Saída"", J457=""Sangria""),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198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94" t="str">
        <f>IFERROR(__xludf.DUMMYFUNCTION("ifna(VALUE(REGEXEXTRACT(E457,""[0-9.]+[,]+[0-9]+"")))"),"")</f>
        <v/>
      </c>
      <c r="O457" s="194"/>
      <c r="P457" s="194"/>
      <c r="Q457" s="194"/>
      <c r="R457" s="194"/>
      <c r="S457" s="194"/>
      <c r="T457" s="194"/>
      <c r="U457" s="194"/>
      <c r="V457" s="194"/>
      <c r="W457" s="194"/>
    </row>
    <row r="458" ht="14.25" customHeight="1">
      <c r="A458" s="31"/>
      <c r="B458" s="287"/>
      <c r="C458" s="286"/>
      <c r="D458" s="204"/>
      <c r="E458" s="288"/>
      <c r="F458" s="204"/>
      <c r="G458" s="289"/>
      <c r="H458" s="204"/>
      <c r="I458" s="204"/>
      <c r="J458" s="202"/>
      <c r="K458" s="202"/>
      <c r="L458" s="192" t="str">
        <f>IFERROR(__xludf.DUMMYFUNCTION("IF(
  AND(D458=""Saída"", J458=""Sangria""),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197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94" t="str">
        <f>IFERROR(__xludf.DUMMYFUNCTION("ifna(VALUE(REGEXEXTRACT(E458,""[0-9.]+[,]+[0-9]+"")))"),"")</f>
        <v/>
      </c>
      <c r="O458" s="194"/>
      <c r="P458" s="194"/>
      <c r="Q458" s="194"/>
      <c r="R458" s="194"/>
      <c r="S458" s="194"/>
      <c r="T458" s="194"/>
      <c r="U458" s="194"/>
      <c r="V458" s="194"/>
      <c r="W458" s="194"/>
    </row>
    <row r="459" ht="14.25" customHeight="1">
      <c r="A459" s="31"/>
      <c r="B459" s="287"/>
      <c r="C459" s="286"/>
      <c r="D459" s="204"/>
      <c r="E459" s="288"/>
      <c r="F459" s="204"/>
      <c r="G459" s="289"/>
      <c r="H459" s="204"/>
      <c r="I459" s="204"/>
      <c r="J459" s="202"/>
      <c r="K459" s="202"/>
      <c r="L459" s="192" t="str">
        <f>IFERROR(__xludf.DUMMYFUNCTION("IF(
  AND(D459=""Saída"", J459=""Sangria""),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198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94" t="str">
        <f>IFERROR(__xludf.DUMMYFUNCTION("ifna(VALUE(REGEXEXTRACT(E459,""[0-9.]+[,]+[0-9]+"")))"),"")</f>
        <v/>
      </c>
      <c r="O459" s="194"/>
      <c r="P459" s="194"/>
      <c r="Q459" s="194"/>
      <c r="R459" s="194"/>
      <c r="S459" s="194"/>
      <c r="T459" s="194"/>
      <c r="U459" s="194"/>
      <c r="V459" s="194"/>
      <c r="W459" s="194"/>
    </row>
    <row r="460" ht="14.25" customHeight="1">
      <c r="A460" s="31"/>
      <c r="B460" s="287"/>
      <c r="C460" s="286"/>
      <c r="D460" s="204"/>
      <c r="E460" s="288"/>
      <c r="F460" s="204"/>
      <c r="G460" s="289"/>
      <c r="H460" s="204"/>
      <c r="I460" s="204"/>
      <c r="J460" s="202"/>
      <c r="K460" s="202"/>
      <c r="L460" s="192" t="str">
        <f>IFERROR(__xludf.DUMMYFUNCTION("IF(
  AND(D460=""Saída"", J460=""Sangria""),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197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94" t="str">
        <f>IFERROR(__xludf.DUMMYFUNCTION("ifna(VALUE(REGEXEXTRACT(E460,""[0-9.]+[,]+[0-9]+"")))"),"")</f>
        <v/>
      </c>
      <c r="O460" s="194"/>
      <c r="P460" s="194"/>
      <c r="Q460" s="194"/>
      <c r="R460" s="194"/>
      <c r="S460" s="194"/>
      <c r="T460" s="194"/>
      <c r="U460" s="194"/>
      <c r="V460" s="194"/>
      <c r="W460" s="194"/>
    </row>
    <row r="461" ht="14.25" customHeight="1">
      <c r="A461" s="31"/>
      <c r="B461" s="287"/>
      <c r="C461" s="286"/>
      <c r="D461" s="204"/>
      <c r="E461" s="288"/>
      <c r="F461" s="204"/>
      <c r="G461" s="289"/>
      <c r="H461" s="204"/>
      <c r="I461" s="204"/>
      <c r="J461" s="202"/>
      <c r="K461" s="202"/>
      <c r="L461" s="192" t="str">
        <f>IFERROR(__xludf.DUMMYFUNCTION("IF(
  AND(D461=""Saída"", J461=""Sangria""),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198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94" t="str">
        <f>IFERROR(__xludf.DUMMYFUNCTION("ifna(VALUE(REGEXEXTRACT(E461,""[0-9.]+[,]+[0-9]+"")))"),"")</f>
        <v/>
      </c>
      <c r="O461" s="194"/>
      <c r="P461" s="194"/>
      <c r="Q461" s="194"/>
      <c r="R461" s="194"/>
      <c r="S461" s="194"/>
      <c r="T461" s="194"/>
      <c r="U461" s="194"/>
      <c r="V461" s="194"/>
      <c r="W461" s="194"/>
    </row>
    <row r="462" ht="14.25" customHeight="1">
      <c r="A462" s="31"/>
      <c r="B462" s="287"/>
      <c r="C462" s="286"/>
      <c r="D462" s="204"/>
      <c r="E462" s="288"/>
      <c r="F462" s="204"/>
      <c r="G462" s="289"/>
      <c r="H462" s="204"/>
      <c r="I462" s="204"/>
      <c r="J462" s="202"/>
      <c r="K462" s="202"/>
      <c r="L462" s="192" t="str">
        <f>IFERROR(__xludf.DUMMYFUNCTION("IF(
  AND(D462=""Saída"", J462=""Sangria""),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197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94" t="str">
        <f>IFERROR(__xludf.DUMMYFUNCTION("ifna(VALUE(REGEXEXTRACT(E462,""[0-9.]+[,]+[0-9]+"")))"),"")</f>
        <v/>
      </c>
      <c r="O462" s="194"/>
      <c r="P462" s="194"/>
      <c r="Q462" s="194"/>
      <c r="R462" s="194"/>
      <c r="S462" s="194"/>
      <c r="T462" s="194"/>
      <c r="U462" s="194"/>
      <c r="V462" s="194"/>
      <c r="W462" s="194"/>
    </row>
    <row r="463" ht="14.25" customHeight="1">
      <c r="A463" s="31"/>
      <c r="B463" s="287"/>
      <c r="C463" s="286"/>
      <c r="D463" s="204"/>
      <c r="E463" s="288"/>
      <c r="F463" s="204"/>
      <c r="G463" s="289"/>
      <c r="H463" s="204"/>
      <c r="I463" s="204"/>
      <c r="J463" s="202"/>
      <c r="K463" s="202"/>
      <c r="L463" s="192" t="str">
        <f>IFERROR(__xludf.DUMMYFUNCTION("IF(
  AND(D463=""Saída"", J463=""Sangria""),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198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94" t="str">
        <f>IFERROR(__xludf.DUMMYFUNCTION("ifna(VALUE(REGEXEXTRACT(E463,""[0-9.]+[,]+[0-9]+"")))"),"")</f>
        <v/>
      </c>
      <c r="O463" s="194"/>
      <c r="P463" s="194"/>
      <c r="Q463" s="194"/>
      <c r="R463" s="194"/>
      <c r="S463" s="194"/>
      <c r="T463" s="194"/>
      <c r="U463" s="194"/>
      <c r="V463" s="194"/>
      <c r="W463" s="194"/>
    </row>
    <row r="464" ht="14.25" customHeight="1">
      <c r="A464" s="31"/>
      <c r="B464" s="287"/>
      <c r="C464" s="286"/>
      <c r="D464" s="204"/>
      <c r="E464" s="288"/>
      <c r="F464" s="204"/>
      <c r="G464" s="289"/>
      <c r="H464" s="204"/>
      <c r="I464" s="204"/>
      <c r="J464" s="202"/>
      <c r="K464" s="202"/>
      <c r="L464" s="192" t="str">
        <f>IFERROR(__xludf.DUMMYFUNCTION("IF(
  AND(D464=""Saída"", J464=""Sangria""),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197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94" t="str">
        <f>IFERROR(__xludf.DUMMYFUNCTION("ifna(VALUE(REGEXEXTRACT(E464,""[0-9.]+[,]+[0-9]+"")))"),"")</f>
        <v/>
      </c>
      <c r="O464" s="194"/>
      <c r="P464" s="194"/>
      <c r="Q464" s="194"/>
      <c r="R464" s="194"/>
      <c r="S464" s="194"/>
      <c r="T464" s="194"/>
      <c r="U464" s="194"/>
      <c r="V464" s="194"/>
      <c r="W464" s="194"/>
    </row>
    <row r="465" ht="14.25" customHeight="1">
      <c r="A465" s="31"/>
      <c r="B465" s="287"/>
      <c r="C465" s="286"/>
      <c r="D465" s="204"/>
      <c r="E465" s="288"/>
      <c r="F465" s="204"/>
      <c r="G465" s="289"/>
      <c r="H465" s="204"/>
      <c r="I465" s="204"/>
      <c r="J465" s="202"/>
      <c r="K465" s="202"/>
      <c r="L465" s="192" t="str">
        <f>IFERROR(__xludf.DUMMYFUNCTION("IF(
  AND(D465=""Saída"", J465=""Sangria""),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198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94" t="str">
        <f>IFERROR(__xludf.DUMMYFUNCTION("ifna(VALUE(REGEXEXTRACT(E465,""[0-9.]+[,]+[0-9]+"")))"),"")</f>
        <v/>
      </c>
      <c r="O465" s="194"/>
      <c r="P465" s="194"/>
      <c r="Q465" s="194"/>
      <c r="R465" s="194"/>
      <c r="S465" s="194"/>
      <c r="T465" s="194"/>
      <c r="U465" s="194"/>
      <c r="V465" s="194"/>
      <c r="W465" s="194"/>
    </row>
    <row r="466" ht="14.25" customHeight="1">
      <c r="A466" s="31"/>
      <c r="B466" s="287"/>
      <c r="C466" s="286"/>
      <c r="D466" s="204"/>
      <c r="E466" s="288"/>
      <c r="F466" s="204"/>
      <c r="G466" s="289"/>
      <c r="H466" s="204"/>
      <c r="I466" s="204"/>
      <c r="J466" s="202"/>
      <c r="K466" s="202"/>
      <c r="L466" s="192" t="str">
        <f>IFERROR(__xludf.DUMMYFUNCTION("IF(
  AND(D466=""Saída"", J466=""Sangria""),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197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94" t="str">
        <f>IFERROR(__xludf.DUMMYFUNCTION("ifna(VALUE(REGEXEXTRACT(E466,""[0-9.]+[,]+[0-9]+"")))"),"")</f>
        <v/>
      </c>
      <c r="O466" s="194"/>
      <c r="P466" s="194"/>
      <c r="Q466" s="194"/>
      <c r="R466" s="194"/>
      <c r="S466" s="194"/>
      <c r="T466" s="194"/>
      <c r="U466" s="194"/>
      <c r="V466" s="194"/>
      <c r="W466" s="194"/>
    </row>
    <row r="467" ht="14.25" customHeight="1">
      <c r="A467" s="31"/>
      <c r="B467" s="287"/>
      <c r="C467" s="286"/>
      <c r="D467" s="204"/>
      <c r="E467" s="288"/>
      <c r="F467" s="204"/>
      <c r="G467" s="289"/>
      <c r="H467" s="204"/>
      <c r="I467" s="204"/>
      <c r="J467" s="202"/>
      <c r="K467" s="202"/>
      <c r="L467" s="192" t="str">
        <f>IFERROR(__xludf.DUMMYFUNCTION("IF(
  AND(D467=""Saída"", J467=""Sangria""),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198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94" t="str">
        <f>IFERROR(__xludf.DUMMYFUNCTION("ifna(VALUE(REGEXEXTRACT(E467,""[0-9.]+[,]+[0-9]+"")))"),"")</f>
        <v/>
      </c>
      <c r="O467" s="194"/>
      <c r="P467" s="194"/>
      <c r="Q467" s="194"/>
      <c r="R467" s="194"/>
      <c r="S467" s="194"/>
      <c r="T467" s="194"/>
      <c r="U467" s="194"/>
      <c r="V467" s="194"/>
      <c r="W467" s="194"/>
    </row>
    <row r="468" ht="14.25" customHeight="1">
      <c r="A468" s="31"/>
      <c r="B468" s="287"/>
      <c r="C468" s="286"/>
      <c r="D468" s="204"/>
      <c r="E468" s="288"/>
      <c r="F468" s="204"/>
      <c r="G468" s="289"/>
      <c r="H468" s="204"/>
      <c r="I468" s="204"/>
      <c r="J468" s="202"/>
      <c r="K468" s="202"/>
      <c r="L468" s="192" t="str">
        <f>IFERROR(__xludf.DUMMYFUNCTION("IF(
  AND(D468=""Saída"", J468=""Sangria""),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197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94" t="str">
        <f>IFERROR(__xludf.DUMMYFUNCTION("ifna(VALUE(REGEXEXTRACT(E468,""[0-9.]+[,]+[0-9]+"")))"),"")</f>
        <v/>
      </c>
      <c r="O468" s="194"/>
      <c r="P468" s="194"/>
      <c r="Q468" s="194"/>
      <c r="R468" s="194"/>
      <c r="S468" s="194"/>
      <c r="T468" s="194"/>
      <c r="U468" s="194"/>
      <c r="V468" s="194"/>
      <c r="W468" s="194"/>
    </row>
    <row r="469" ht="14.25" customHeight="1">
      <c r="A469" s="31"/>
      <c r="B469" s="287"/>
      <c r="C469" s="286"/>
      <c r="D469" s="204"/>
      <c r="E469" s="288"/>
      <c r="F469" s="204"/>
      <c r="G469" s="289"/>
      <c r="H469" s="204"/>
      <c r="I469" s="204"/>
      <c r="J469" s="202"/>
      <c r="K469" s="202"/>
      <c r="L469" s="192" t="str">
        <f>IFERROR(__xludf.DUMMYFUNCTION("IF(
  AND(D469=""Saída"", J469=""Sangria""),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198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94" t="str">
        <f>IFERROR(__xludf.DUMMYFUNCTION("ifna(VALUE(REGEXEXTRACT(E469,""[0-9.]+[,]+[0-9]+"")))"),"")</f>
        <v/>
      </c>
      <c r="O469" s="194"/>
      <c r="P469" s="194"/>
      <c r="Q469" s="194"/>
      <c r="R469" s="194"/>
      <c r="S469" s="194"/>
      <c r="T469" s="194"/>
      <c r="U469" s="194"/>
      <c r="V469" s="194"/>
      <c r="W469" s="194"/>
    </row>
    <row r="470" ht="14.25" customHeight="1">
      <c r="A470" s="31"/>
      <c r="B470" s="287"/>
      <c r="C470" s="286"/>
      <c r="D470" s="204"/>
      <c r="E470" s="288"/>
      <c r="F470" s="204"/>
      <c r="G470" s="289"/>
      <c r="H470" s="204"/>
      <c r="I470" s="204"/>
      <c r="J470" s="202"/>
      <c r="K470" s="202"/>
      <c r="L470" s="192" t="str">
        <f>IFERROR(__xludf.DUMMYFUNCTION("IF(
  AND(D470=""Saída"", J470=""Sangria""),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197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94" t="str">
        <f>IFERROR(__xludf.DUMMYFUNCTION("ifna(VALUE(REGEXEXTRACT(E470,""[0-9.]+[,]+[0-9]+"")))"),"")</f>
        <v/>
      </c>
      <c r="O470" s="194"/>
      <c r="P470" s="194"/>
      <c r="Q470" s="194"/>
      <c r="R470" s="194"/>
      <c r="S470" s="194"/>
      <c r="T470" s="194"/>
      <c r="U470" s="194"/>
      <c r="V470" s="194"/>
      <c r="W470" s="194"/>
    </row>
    <row r="471" ht="14.25" customHeight="1">
      <c r="A471" s="31"/>
      <c r="B471" s="287"/>
      <c r="C471" s="286"/>
      <c r="D471" s="204"/>
      <c r="E471" s="288"/>
      <c r="F471" s="204"/>
      <c r="G471" s="289"/>
      <c r="H471" s="204"/>
      <c r="I471" s="204"/>
      <c r="J471" s="202"/>
      <c r="K471" s="202"/>
      <c r="L471" s="192" t="str">
        <f>IFERROR(__xludf.DUMMYFUNCTION("IF(
  AND(D471=""Saída"", J471=""Sangria""),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198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94" t="str">
        <f>IFERROR(__xludf.DUMMYFUNCTION("ifna(VALUE(REGEXEXTRACT(E471,""[0-9.]+[,]+[0-9]+"")))"),"")</f>
        <v/>
      </c>
      <c r="O471" s="194"/>
      <c r="P471" s="194"/>
      <c r="Q471" s="194"/>
      <c r="R471" s="194"/>
      <c r="S471" s="194"/>
      <c r="T471" s="194"/>
      <c r="U471" s="194"/>
      <c r="V471" s="194"/>
      <c r="W471" s="194"/>
    </row>
    <row r="472" ht="14.25" customHeight="1">
      <c r="A472" s="31"/>
      <c r="B472" s="287"/>
      <c r="C472" s="286"/>
      <c r="D472" s="204"/>
      <c r="E472" s="288"/>
      <c r="F472" s="204"/>
      <c r="G472" s="289"/>
      <c r="H472" s="204"/>
      <c r="I472" s="204"/>
      <c r="J472" s="202"/>
      <c r="K472" s="202"/>
      <c r="L472" s="192" t="str">
        <f>IFERROR(__xludf.DUMMYFUNCTION("IF(
  AND(D472=""Saída"", J472=""Sangria""),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197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94" t="str">
        <f>IFERROR(__xludf.DUMMYFUNCTION("ifna(VALUE(REGEXEXTRACT(E472,""[0-9.]+[,]+[0-9]+"")))"),"")</f>
        <v/>
      </c>
      <c r="O472" s="194"/>
      <c r="P472" s="194"/>
      <c r="Q472" s="194"/>
      <c r="R472" s="194"/>
      <c r="S472" s="194"/>
      <c r="T472" s="194"/>
      <c r="U472" s="194"/>
      <c r="V472" s="194"/>
      <c r="W472" s="194"/>
    </row>
    <row r="473" ht="14.25" customHeight="1">
      <c r="A473" s="31"/>
      <c r="B473" s="287"/>
      <c r="C473" s="286"/>
      <c r="D473" s="204"/>
      <c r="E473" s="288"/>
      <c r="F473" s="204"/>
      <c r="G473" s="289"/>
      <c r="H473" s="204"/>
      <c r="I473" s="204"/>
      <c r="J473" s="202"/>
      <c r="K473" s="202"/>
      <c r="L473" s="192" t="str">
        <f>IFERROR(__xludf.DUMMYFUNCTION("IF(
  AND(D473=""Saída"", J473=""Sangria""),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198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94" t="str">
        <f>IFERROR(__xludf.DUMMYFUNCTION("ifna(VALUE(REGEXEXTRACT(E473,""[0-9.]+[,]+[0-9]+"")))"),"")</f>
        <v/>
      </c>
      <c r="O473" s="194"/>
      <c r="P473" s="194"/>
      <c r="Q473" s="194"/>
      <c r="R473" s="194"/>
      <c r="S473" s="194"/>
      <c r="T473" s="194"/>
      <c r="U473" s="194"/>
      <c r="V473" s="194"/>
      <c r="W473" s="194"/>
    </row>
    <row r="474" ht="14.25" customHeight="1">
      <c r="A474" s="31"/>
      <c r="B474" s="287"/>
      <c r="C474" s="286"/>
      <c r="D474" s="204"/>
      <c r="E474" s="288"/>
      <c r="F474" s="204"/>
      <c r="G474" s="289"/>
      <c r="H474" s="204"/>
      <c r="I474" s="204"/>
      <c r="J474" s="202"/>
      <c r="K474" s="202"/>
      <c r="L474" s="192" t="str">
        <f>IFERROR(__xludf.DUMMYFUNCTION("IF(
  AND(D474=""Saída"", J474=""Sangria""),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197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94" t="str">
        <f>IFERROR(__xludf.DUMMYFUNCTION("ifna(VALUE(REGEXEXTRACT(E474,""[0-9.]+[,]+[0-9]+"")))"),"")</f>
        <v/>
      </c>
      <c r="O474" s="194"/>
      <c r="P474" s="194"/>
      <c r="Q474" s="194"/>
      <c r="R474" s="194"/>
      <c r="S474" s="194"/>
      <c r="T474" s="194"/>
      <c r="U474" s="194"/>
      <c r="V474" s="194"/>
      <c r="W474" s="194"/>
    </row>
    <row r="475" ht="14.25" customHeight="1">
      <c r="A475" s="31"/>
      <c r="B475" s="287"/>
      <c r="C475" s="286"/>
      <c r="D475" s="204"/>
      <c r="E475" s="288"/>
      <c r="F475" s="204"/>
      <c r="G475" s="289"/>
      <c r="H475" s="204"/>
      <c r="I475" s="204"/>
      <c r="J475" s="202"/>
      <c r="K475" s="202"/>
      <c r="L475" s="192" t="str">
        <f>IFERROR(__xludf.DUMMYFUNCTION("IF(
  AND(D475=""Saída"", J475=""Sangria""),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198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94" t="str">
        <f>IFERROR(__xludf.DUMMYFUNCTION("ifna(VALUE(REGEXEXTRACT(E475,""[0-9.]+[,]+[0-9]+"")))"),"")</f>
        <v/>
      </c>
      <c r="O475" s="194"/>
      <c r="P475" s="194"/>
      <c r="Q475" s="194"/>
      <c r="R475" s="194"/>
      <c r="S475" s="194"/>
      <c r="T475" s="194"/>
      <c r="U475" s="194"/>
      <c r="V475" s="194"/>
      <c r="W475" s="194"/>
    </row>
    <row r="476" ht="14.25" customHeight="1">
      <c r="A476" s="31"/>
      <c r="B476" s="287"/>
      <c r="C476" s="286"/>
      <c r="D476" s="204"/>
      <c r="E476" s="288"/>
      <c r="F476" s="204"/>
      <c r="G476" s="289"/>
      <c r="H476" s="204"/>
      <c r="I476" s="204"/>
      <c r="J476" s="202"/>
      <c r="K476" s="202"/>
      <c r="L476" s="192" t="str">
        <f>IFERROR(__xludf.DUMMYFUNCTION("IF(
  AND(D476=""Saída"", J476=""Sangria""),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197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94" t="str">
        <f>IFERROR(__xludf.DUMMYFUNCTION("ifna(VALUE(REGEXEXTRACT(E476,""[0-9.]+[,]+[0-9]+"")))"),"")</f>
        <v/>
      </c>
      <c r="O476" s="194"/>
      <c r="P476" s="194"/>
      <c r="Q476" s="194"/>
      <c r="R476" s="194"/>
      <c r="S476" s="194"/>
      <c r="T476" s="194"/>
      <c r="U476" s="194"/>
      <c r="V476" s="194"/>
      <c r="W476" s="194"/>
    </row>
    <row r="477" ht="14.25" customHeight="1">
      <c r="A477" s="31"/>
      <c r="B477" s="287"/>
      <c r="C477" s="286"/>
      <c r="D477" s="204"/>
      <c r="E477" s="288"/>
      <c r="F477" s="204"/>
      <c r="G477" s="289"/>
      <c r="H477" s="204"/>
      <c r="I477" s="204"/>
      <c r="J477" s="202"/>
      <c r="K477" s="202"/>
      <c r="L477" s="192" t="str">
        <f>IFERROR(__xludf.DUMMYFUNCTION("IF(
  AND(D477=""Saída"", J477=""Sangria""),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198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94" t="str">
        <f>IFERROR(__xludf.DUMMYFUNCTION("ifna(VALUE(REGEXEXTRACT(E477,""[0-9.]+[,]+[0-9]+"")))"),"")</f>
        <v/>
      </c>
      <c r="O477" s="194"/>
      <c r="P477" s="194"/>
      <c r="Q477" s="194"/>
      <c r="R477" s="194"/>
      <c r="S477" s="194"/>
      <c r="T477" s="194"/>
      <c r="U477" s="194"/>
      <c r="V477" s="194"/>
      <c r="W477" s="194"/>
    </row>
    <row r="478" ht="14.25" customHeight="1">
      <c r="A478" s="31"/>
      <c r="B478" s="287"/>
      <c r="C478" s="286"/>
      <c r="D478" s="204"/>
      <c r="E478" s="288"/>
      <c r="F478" s="204"/>
      <c r="G478" s="289"/>
      <c r="H478" s="204"/>
      <c r="I478" s="204"/>
      <c r="J478" s="202"/>
      <c r="K478" s="202"/>
      <c r="L478" s="192" t="str">
        <f>IFERROR(__xludf.DUMMYFUNCTION("IF(
  AND(D478=""Saída"", J478=""Sangria""),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197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94" t="str">
        <f>IFERROR(__xludf.DUMMYFUNCTION("ifna(VALUE(REGEXEXTRACT(E478,""[0-9.]+[,]+[0-9]+"")))"),"")</f>
        <v/>
      </c>
      <c r="O478" s="194"/>
      <c r="P478" s="194"/>
      <c r="Q478" s="194"/>
      <c r="R478" s="194"/>
      <c r="S478" s="194"/>
      <c r="T478" s="194"/>
      <c r="U478" s="194"/>
      <c r="V478" s="194"/>
      <c r="W478" s="194"/>
    </row>
    <row r="479" ht="14.25" customHeight="1">
      <c r="A479" s="31"/>
      <c r="B479" s="287"/>
      <c r="C479" s="286"/>
      <c r="D479" s="204"/>
      <c r="E479" s="288"/>
      <c r="F479" s="204"/>
      <c r="G479" s="289"/>
      <c r="H479" s="204"/>
      <c r="I479" s="204"/>
      <c r="J479" s="202"/>
      <c r="K479" s="202"/>
      <c r="L479" s="192" t="str">
        <f>IFERROR(__xludf.DUMMYFUNCTION("IF(
  AND(D479=""Saída"", J479=""Sangria""),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198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94" t="str">
        <f>IFERROR(__xludf.DUMMYFUNCTION("ifna(VALUE(REGEXEXTRACT(E479,""[0-9.]+[,]+[0-9]+"")))"),"")</f>
        <v/>
      </c>
      <c r="O479" s="194"/>
      <c r="P479" s="194"/>
      <c r="Q479" s="194"/>
      <c r="R479" s="194"/>
      <c r="S479" s="194"/>
      <c r="T479" s="194"/>
      <c r="U479" s="194"/>
      <c r="V479" s="194"/>
      <c r="W479" s="194"/>
    </row>
    <row r="480" ht="14.25" customHeight="1">
      <c r="A480" s="31"/>
      <c r="B480" s="287"/>
      <c r="C480" s="286"/>
      <c r="D480" s="204"/>
      <c r="E480" s="288"/>
      <c r="F480" s="204"/>
      <c r="G480" s="289"/>
      <c r="H480" s="204"/>
      <c r="I480" s="204"/>
      <c r="J480" s="202"/>
      <c r="K480" s="202"/>
      <c r="L480" s="192" t="str">
        <f>IFERROR(__xludf.DUMMYFUNCTION("IF(
  AND(D480=""Saída"", J480=""Sangria""),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197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94" t="str">
        <f>IFERROR(__xludf.DUMMYFUNCTION("ifna(VALUE(REGEXEXTRACT(E480,""[0-9.]+[,]+[0-9]+"")))"),"")</f>
        <v/>
      </c>
      <c r="O480" s="194"/>
      <c r="P480" s="194"/>
      <c r="Q480" s="194"/>
      <c r="R480" s="194"/>
      <c r="S480" s="194"/>
      <c r="T480" s="194"/>
      <c r="U480" s="194"/>
      <c r="V480" s="194"/>
      <c r="W480" s="194"/>
    </row>
    <row r="481" ht="14.25" customHeight="1">
      <c r="A481" s="31"/>
      <c r="B481" s="287"/>
      <c r="C481" s="286"/>
      <c r="D481" s="204"/>
      <c r="E481" s="288"/>
      <c r="F481" s="204"/>
      <c r="G481" s="289"/>
      <c r="H481" s="204"/>
      <c r="I481" s="204"/>
      <c r="J481" s="202"/>
      <c r="K481" s="202"/>
      <c r="L481" s="192" t="str">
        <f>IFERROR(__xludf.DUMMYFUNCTION("IF(
  AND(D481=""Saída"", J481=""Sangria""),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198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94" t="str">
        <f>IFERROR(__xludf.DUMMYFUNCTION("ifna(VALUE(REGEXEXTRACT(E481,""[0-9.]+[,]+[0-9]+"")))"),"")</f>
        <v/>
      </c>
      <c r="O481" s="194"/>
      <c r="P481" s="194"/>
      <c r="Q481" s="194"/>
      <c r="R481" s="194"/>
      <c r="S481" s="194"/>
      <c r="T481" s="194"/>
      <c r="U481" s="194"/>
      <c r="V481" s="194"/>
      <c r="W481" s="194"/>
    </row>
    <row r="482" ht="14.25" customHeight="1">
      <c r="A482" s="31"/>
      <c r="B482" s="287"/>
      <c r="C482" s="286"/>
      <c r="D482" s="204"/>
      <c r="E482" s="288"/>
      <c r="F482" s="204"/>
      <c r="G482" s="289"/>
      <c r="H482" s="204"/>
      <c r="I482" s="204"/>
      <c r="J482" s="202"/>
      <c r="K482" s="202"/>
      <c r="L482" s="192" t="str">
        <f>IFERROR(__xludf.DUMMYFUNCTION("IF(
  AND(D482=""Saída"", J482=""Sangria""),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197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94" t="str">
        <f>IFERROR(__xludf.DUMMYFUNCTION("ifna(VALUE(REGEXEXTRACT(E482,""[0-9.]+[,]+[0-9]+"")))"),"")</f>
        <v/>
      </c>
      <c r="O482" s="194"/>
      <c r="P482" s="194"/>
      <c r="Q482" s="194"/>
      <c r="R482" s="194"/>
      <c r="S482" s="194"/>
      <c r="T482" s="194"/>
      <c r="U482" s="194"/>
      <c r="V482" s="194"/>
      <c r="W482" s="194"/>
    </row>
    <row r="483" ht="14.25" customHeight="1">
      <c r="A483" s="31"/>
      <c r="B483" s="287"/>
      <c r="C483" s="286"/>
      <c r="D483" s="204"/>
      <c r="E483" s="288"/>
      <c r="F483" s="204"/>
      <c r="G483" s="289"/>
      <c r="H483" s="204"/>
      <c r="I483" s="204"/>
      <c r="J483" s="202"/>
      <c r="K483" s="202"/>
      <c r="L483" s="192" t="str">
        <f>IFERROR(__xludf.DUMMYFUNCTION("IF(
  AND(D483=""Saída"", J483=""Sangria""),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198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94" t="str">
        <f>IFERROR(__xludf.DUMMYFUNCTION("ifna(VALUE(REGEXEXTRACT(E483,""[0-9.]+[,]+[0-9]+"")))"),"")</f>
        <v/>
      </c>
      <c r="O483" s="194"/>
      <c r="P483" s="194"/>
      <c r="Q483" s="194"/>
      <c r="R483" s="194"/>
      <c r="S483" s="194"/>
      <c r="T483" s="194"/>
      <c r="U483" s="194"/>
      <c r="V483" s="194"/>
      <c r="W483" s="194"/>
    </row>
    <row r="484" ht="14.25" customHeight="1">
      <c r="A484" s="31"/>
      <c r="B484" s="287"/>
      <c r="C484" s="286"/>
      <c r="D484" s="204"/>
      <c r="E484" s="288"/>
      <c r="F484" s="204"/>
      <c r="G484" s="289"/>
      <c r="H484" s="204"/>
      <c r="I484" s="204"/>
      <c r="J484" s="202"/>
      <c r="K484" s="202"/>
      <c r="L484" s="192" t="str">
        <f>IFERROR(__xludf.DUMMYFUNCTION("IF(
  AND(D484=""Saída"", J484=""Sangria""),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197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94" t="str">
        <f>IFERROR(__xludf.DUMMYFUNCTION("ifna(VALUE(REGEXEXTRACT(E484,""[0-9.]+[,]+[0-9]+"")))"),"")</f>
        <v/>
      </c>
      <c r="O484" s="194"/>
      <c r="P484" s="194"/>
      <c r="Q484" s="194"/>
      <c r="R484" s="194"/>
      <c r="S484" s="194"/>
      <c r="T484" s="194"/>
      <c r="U484" s="194"/>
      <c r="V484" s="194"/>
      <c r="W484" s="194"/>
    </row>
    <row r="485" ht="14.25" customHeight="1">
      <c r="A485" s="31"/>
      <c r="B485" s="287"/>
      <c r="C485" s="286"/>
      <c r="D485" s="204"/>
      <c r="E485" s="288"/>
      <c r="F485" s="204"/>
      <c r="G485" s="289"/>
      <c r="H485" s="204"/>
      <c r="I485" s="204"/>
      <c r="J485" s="202"/>
      <c r="K485" s="202"/>
      <c r="L485" s="192" t="str">
        <f>IFERROR(__xludf.DUMMYFUNCTION("IF(
  AND(D485=""Saída"", J485=""Sangria""),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198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94" t="str">
        <f>IFERROR(__xludf.DUMMYFUNCTION("ifna(VALUE(REGEXEXTRACT(E485,""[0-9.]+[,]+[0-9]+"")))"),"")</f>
        <v/>
      </c>
      <c r="O485" s="194"/>
      <c r="P485" s="194"/>
      <c r="Q485" s="194"/>
      <c r="R485" s="194"/>
      <c r="S485" s="194"/>
      <c r="T485" s="194"/>
      <c r="U485" s="194"/>
      <c r="V485" s="194"/>
      <c r="W485" s="194"/>
    </row>
    <row r="486" ht="14.25" customHeight="1">
      <c r="A486" s="31"/>
      <c r="B486" s="287"/>
      <c r="C486" s="286"/>
      <c r="D486" s="204"/>
      <c r="E486" s="288"/>
      <c r="F486" s="204"/>
      <c r="G486" s="289"/>
      <c r="H486" s="204"/>
      <c r="I486" s="204"/>
      <c r="J486" s="202"/>
      <c r="K486" s="202"/>
      <c r="L486" s="192" t="str">
        <f>IFERROR(__xludf.DUMMYFUNCTION("IF(
  AND(D486=""Saída"", J486=""Sangria""),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197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94" t="str">
        <f>IFERROR(__xludf.DUMMYFUNCTION("ifna(VALUE(REGEXEXTRACT(E486,""[0-9.]+[,]+[0-9]+"")))"),"")</f>
        <v/>
      </c>
      <c r="O486" s="194"/>
      <c r="P486" s="194"/>
      <c r="Q486" s="194"/>
      <c r="R486" s="194"/>
      <c r="S486" s="194"/>
      <c r="T486" s="194"/>
      <c r="U486" s="194"/>
      <c r="V486" s="194"/>
      <c r="W486" s="194"/>
    </row>
    <row r="487" ht="14.25" customHeight="1">
      <c r="A487" s="31"/>
      <c r="B487" s="287"/>
      <c r="C487" s="286"/>
      <c r="D487" s="204"/>
      <c r="E487" s="288"/>
      <c r="F487" s="204"/>
      <c r="G487" s="289"/>
      <c r="H487" s="204"/>
      <c r="I487" s="204"/>
      <c r="J487" s="202"/>
      <c r="K487" s="202"/>
      <c r="L487" s="192" t="str">
        <f>IFERROR(__xludf.DUMMYFUNCTION("IF(
  AND(D487=""Saída"", J487=""Sangria""),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198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94" t="str">
        <f>IFERROR(__xludf.DUMMYFUNCTION("ifna(VALUE(REGEXEXTRACT(E487,""[0-9.]+[,]+[0-9]+"")))"),"")</f>
        <v/>
      </c>
      <c r="O487" s="194"/>
      <c r="P487" s="194"/>
      <c r="Q487" s="194"/>
      <c r="R487" s="194"/>
      <c r="S487" s="194"/>
      <c r="T487" s="194"/>
      <c r="U487" s="194"/>
      <c r="V487" s="194"/>
      <c r="W487" s="194"/>
    </row>
    <row r="488" ht="14.25" customHeight="1">
      <c r="A488" s="31"/>
      <c r="B488" s="287"/>
      <c r="C488" s="286"/>
      <c r="D488" s="204"/>
      <c r="E488" s="288"/>
      <c r="F488" s="204"/>
      <c r="G488" s="289"/>
      <c r="H488" s="204"/>
      <c r="I488" s="204"/>
      <c r="J488" s="202"/>
      <c r="K488" s="202"/>
      <c r="L488" s="192" t="str">
        <f>IFERROR(__xludf.DUMMYFUNCTION("IF(
  AND(D488=""Saída"", J488=""Sangria""),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197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94" t="str">
        <f>IFERROR(__xludf.DUMMYFUNCTION("ifna(VALUE(REGEXEXTRACT(E488,""[0-9.]+[,]+[0-9]+"")))"),"")</f>
        <v/>
      </c>
      <c r="O488" s="194"/>
      <c r="P488" s="194"/>
      <c r="Q488" s="194"/>
      <c r="R488" s="194"/>
      <c r="S488" s="194"/>
      <c r="T488" s="194"/>
      <c r="U488" s="194"/>
      <c r="V488" s="194"/>
      <c r="W488" s="194"/>
    </row>
    <row r="489" ht="14.25" customHeight="1">
      <c r="A489" s="31"/>
      <c r="B489" s="287"/>
      <c r="C489" s="286"/>
      <c r="D489" s="204"/>
      <c r="E489" s="288"/>
      <c r="F489" s="204"/>
      <c r="G489" s="289"/>
      <c r="H489" s="204"/>
      <c r="I489" s="204"/>
      <c r="J489" s="202"/>
      <c r="K489" s="202"/>
      <c r="L489" s="192" t="str">
        <f>IFERROR(__xludf.DUMMYFUNCTION("IF(
  AND(D489=""Saída"", J489=""Sangria""),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198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94" t="str">
        <f>IFERROR(__xludf.DUMMYFUNCTION("ifna(VALUE(REGEXEXTRACT(E489,""[0-9.]+[,]+[0-9]+"")))"),"")</f>
        <v/>
      </c>
      <c r="O489" s="194"/>
      <c r="P489" s="194"/>
      <c r="Q489" s="194"/>
      <c r="R489" s="194"/>
      <c r="S489" s="194"/>
      <c r="T489" s="194"/>
      <c r="U489" s="194"/>
      <c r="V489" s="194"/>
      <c r="W489" s="194"/>
    </row>
    <row r="490" ht="14.25" customHeight="1">
      <c r="A490" s="31"/>
      <c r="B490" s="287"/>
      <c r="C490" s="286"/>
      <c r="D490" s="204"/>
      <c r="E490" s="288"/>
      <c r="F490" s="204"/>
      <c r="G490" s="289"/>
      <c r="H490" s="204"/>
      <c r="I490" s="204"/>
      <c r="J490" s="202"/>
      <c r="K490" s="202"/>
      <c r="L490" s="192" t="str">
        <f>IFERROR(__xludf.DUMMYFUNCTION("IF(
  AND(D490=""Saída"", J490=""Sangria""),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197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94" t="str">
        <f>IFERROR(__xludf.DUMMYFUNCTION("ifna(VALUE(REGEXEXTRACT(E490,""[0-9.]+[,]+[0-9]+"")))"),"")</f>
        <v/>
      </c>
      <c r="O490" s="194"/>
      <c r="P490" s="194"/>
      <c r="Q490" s="194"/>
      <c r="R490" s="194"/>
      <c r="S490" s="194"/>
      <c r="T490" s="194"/>
      <c r="U490" s="194"/>
      <c r="V490" s="194"/>
      <c r="W490" s="194"/>
    </row>
    <row r="491" ht="14.25" customHeight="1">
      <c r="A491" s="31"/>
      <c r="B491" s="287"/>
      <c r="C491" s="286"/>
      <c r="D491" s="204"/>
      <c r="E491" s="288"/>
      <c r="F491" s="204"/>
      <c r="G491" s="289"/>
      <c r="H491" s="204"/>
      <c r="I491" s="204"/>
      <c r="J491" s="202"/>
      <c r="K491" s="202"/>
      <c r="L491" s="192" t="str">
        <f>IFERROR(__xludf.DUMMYFUNCTION("IF(
  AND(D491=""Saída"", J491=""Sangria""),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198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94" t="str">
        <f>IFERROR(__xludf.DUMMYFUNCTION("ifna(VALUE(REGEXEXTRACT(E491,""[0-9.]+[,]+[0-9]+"")))"),"")</f>
        <v/>
      </c>
      <c r="O491" s="194"/>
      <c r="P491" s="194"/>
      <c r="Q491" s="194"/>
      <c r="R491" s="194"/>
      <c r="S491" s="194"/>
      <c r="T491" s="194"/>
      <c r="U491" s="194"/>
      <c r="V491" s="194"/>
      <c r="W491" s="194"/>
    </row>
    <row r="492" ht="14.25" customHeight="1">
      <c r="A492" s="31"/>
      <c r="B492" s="287"/>
      <c r="C492" s="286"/>
      <c r="D492" s="204"/>
      <c r="E492" s="288"/>
      <c r="F492" s="204"/>
      <c r="G492" s="289"/>
      <c r="H492" s="204"/>
      <c r="I492" s="204"/>
      <c r="J492" s="202"/>
      <c r="K492" s="202"/>
      <c r="L492" s="192" t="str">
        <f>IFERROR(__xludf.DUMMYFUNCTION("IF(
  AND(D492=""Saída"", J492=""Sangria""),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197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94" t="str">
        <f>IFERROR(__xludf.DUMMYFUNCTION("ifna(VALUE(REGEXEXTRACT(E492,""[0-9.]+[,]+[0-9]+"")))"),"")</f>
        <v/>
      </c>
      <c r="O492" s="194"/>
      <c r="P492" s="194"/>
      <c r="Q492" s="194"/>
      <c r="R492" s="194"/>
      <c r="S492" s="194"/>
      <c r="T492" s="194"/>
      <c r="U492" s="194"/>
      <c r="V492" s="194"/>
      <c r="W492" s="194"/>
    </row>
    <row r="493" ht="14.25" customHeight="1">
      <c r="A493" s="31"/>
      <c r="B493" s="287"/>
      <c r="C493" s="286"/>
      <c r="D493" s="204"/>
      <c r="E493" s="288"/>
      <c r="F493" s="204"/>
      <c r="G493" s="289"/>
      <c r="H493" s="204"/>
      <c r="I493" s="204"/>
      <c r="J493" s="202"/>
      <c r="K493" s="202"/>
      <c r="L493" s="192" t="str">
        <f>IFERROR(__xludf.DUMMYFUNCTION("IF(
  AND(D493=""Saída"", J493=""Sangria""),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198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94" t="str">
        <f>IFERROR(__xludf.DUMMYFUNCTION("ifna(VALUE(REGEXEXTRACT(E493,""[0-9.]+[,]+[0-9]+"")))"),"")</f>
        <v/>
      </c>
      <c r="O493" s="194"/>
      <c r="P493" s="194"/>
      <c r="Q493" s="194"/>
      <c r="R493" s="194"/>
      <c r="S493" s="194"/>
      <c r="T493" s="194"/>
      <c r="U493" s="194"/>
      <c r="V493" s="194"/>
      <c r="W493" s="194"/>
    </row>
    <row r="494" ht="14.25" customHeight="1">
      <c r="A494" s="31"/>
      <c r="B494" s="287"/>
      <c r="C494" s="286"/>
      <c r="D494" s="204"/>
      <c r="E494" s="288"/>
      <c r="F494" s="204"/>
      <c r="G494" s="289"/>
      <c r="H494" s="204"/>
      <c r="I494" s="204"/>
      <c r="J494" s="202"/>
      <c r="K494" s="202"/>
      <c r="L494" s="192" t="str">
        <f>IFERROR(__xludf.DUMMYFUNCTION("IF(
  AND(D494=""Saída"", J494=""Sangria""),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197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94" t="str">
        <f>IFERROR(__xludf.DUMMYFUNCTION("ifna(VALUE(REGEXEXTRACT(E494,""[0-9.]+[,]+[0-9]+"")))"),"")</f>
        <v/>
      </c>
      <c r="O494" s="194"/>
      <c r="P494" s="194"/>
      <c r="Q494" s="194"/>
      <c r="R494" s="194"/>
      <c r="S494" s="194"/>
      <c r="T494" s="194"/>
      <c r="U494" s="194"/>
      <c r="V494" s="194"/>
      <c r="W494" s="194"/>
    </row>
    <row r="495" ht="14.25" customHeight="1">
      <c r="A495" s="31"/>
      <c r="B495" s="287"/>
      <c r="C495" s="286"/>
      <c r="D495" s="204"/>
      <c r="E495" s="288"/>
      <c r="F495" s="204"/>
      <c r="G495" s="289"/>
      <c r="H495" s="204"/>
      <c r="I495" s="204"/>
      <c r="J495" s="202"/>
      <c r="K495" s="202"/>
      <c r="L495" s="192" t="str">
        <f>IFERROR(__xludf.DUMMYFUNCTION("IF(
  AND(D495=""Saída"", J495=""Sangria""),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198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94" t="str">
        <f>IFERROR(__xludf.DUMMYFUNCTION("ifna(VALUE(REGEXEXTRACT(E495,""[0-9.]+[,]+[0-9]+"")))"),"")</f>
        <v/>
      </c>
      <c r="O495" s="194"/>
      <c r="P495" s="194"/>
      <c r="Q495" s="194"/>
      <c r="R495" s="194"/>
      <c r="S495" s="194"/>
      <c r="T495" s="194"/>
      <c r="U495" s="194"/>
      <c r="V495" s="194"/>
      <c r="W495" s="194"/>
    </row>
    <row r="496" ht="14.25" customHeight="1">
      <c r="A496" s="31"/>
      <c r="B496" s="287"/>
      <c r="C496" s="286"/>
      <c r="D496" s="204"/>
      <c r="E496" s="288"/>
      <c r="F496" s="204"/>
      <c r="G496" s="289"/>
      <c r="H496" s="204"/>
      <c r="I496" s="204"/>
      <c r="J496" s="202"/>
      <c r="K496" s="202"/>
      <c r="L496" s="192" t="str">
        <f>IFERROR(__xludf.DUMMYFUNCTION("IF(
  AND(D496=""Saída"", J496=""Sangria""),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197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94" t="str">
        <f>IFERROR(__xludf.DUMMYFUNCTION("ifna(VALUE(REGEXEXTRACT(E496,""[0-9.]+[,]+[0-9]+"")))"),"")</f>
        <v/>
      </c>
      <c r="O496" s="194"/>
      <c r="P496" s="194"/>
      <c r="Q496" s="194"/>
      <c r="R496" s="194"/>
      <c r="S496" s="194"/>
      <c r="T496" s="194"/>
      <c r="U496" s="194"/>
      <c r="V496" s="194"/>
      <c r="W496" s="194"/>
    </row>
    <row r="497" ht="14.25" customHeight="1">
      <c r="A497" s="31"/>
      <c r="B497" s="287"/>
      <c r="C497" s="286"/>
      <c r="D497" s="204"/>
      <c r="E497" s="288"/>
      <c r="F497" s="204"/>
      <c r="G497" s="289"/>
      <c r="H497" s="204"/>
      <c r="I497" s="204"/>
      <c r="J497" s="202"/>
      <c r="K497" s="202"/>
      <c r="L497" s="192" t="str">
        <f>IFERROR(__xludf.DUMMYFUNCTION("IF(
  AND(D497=""Saída"", J497=""Sangria""),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198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94" t="str">
        <f>IFERROR(__xludf.DUMMYFUNCTION("ifna(VALUE(REGEXEXTRACT(E497,""[0-9.]+[,]+[0-9]+"")))"),"")</f>
        <v/>
      </c>
      <c r="O497" s="194"/>
      <c r="P497" s="194"/>
      <c r="Q497" s="194"/>
      <c r="R497" s="194"/>
      <c r="S497" s="194"/>
      <c r="T497" s="194"/>
      <c r="U497" s="194"/>
      <c r="V497" s="194"/>
      <c r="W497" s="194"/>
    </row>
    <row r="498" ht="14.25" customHeight="1">
      <c r="A498" s="31"/>
      <c r="B498" s="287"/>
      <c r="C498" s="286"/>
      <c r="D498" s="204"/>
      <c r="E498" s="288"/>
      <c r="F498" s="204"/>
      <c r="G498" s="289"/>
      <c r="H498" s="204"/>
      <c r="I498" s="204"/>
      <c r="J498" s="202"/>
      <c r="K498" s="202"/>
      <c r="L498" s="192" t="str">
        <f>IFERROR(__xludf.DUMMYFUNCTION("IF(
  AND(D498=""Saída"", J498=""Sangria""),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197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94" t="str">
        <f>IFERROR(__xludf.DUMMYFUNCTION("ifna(VALUE(REGEXEXTRACT(E498,""[0-9.]+[,]+[0-9]+"")))"),"")</f>
        <v/>
      </c>
      <c r="O498" s="194"/>
      <c r="P498" s="194"/>
      <c r="Q498" s="194"/>
      <c r="R498" s="194"/>
      <c r="S498" s="194"/>
      <c r="T498" s="194"/>
      <c r="U498" s="194"/>
      <c r="V498" s="194"/>
      <c r="W498" s="194"/>
    </row>
    <row r="499" ht="14.25" customHeight="1">
      <c r="A499" s="31"/>
      <c r="B499" s="287"/>
      <c r="C499" s="286"/>
      <c r="D499" s="204"/>
      <c r="E499" s="288"/>
      <c r="F499" s="204"/>
      <c r="G499" s="289"/>
      <c r="H499" s="204"/>
      <c r="I499" s="204"/>
      <c r="J499" s="202"/>
      <c r="K499" s="202"/>
      <c r="L499" s="192" t="str">
        <f>IFERROR(__xludf.DUMMYFUNCTION("IF(
  AND(D499=""Saída"", J499=""Sangria""),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198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94" t="str">
        <f>IFERROR(__xludf.DUMMYFUNCTION("ifna(VALUE(REGEXEXTRACT(E499,""[0-9.]+[,]+[0-9]+"")))"),"")</f>
        <v/>
      </c>
      <c r="O499" s="194"/>
      <c r="P499" s="194"/>
      <c r="Q499" s="194"/>
      <c r="R499" s="194"/>
      <c r="S499" s="194"/>
      <c r="T499" s="194"/>
      <c r="U499" s="194"/>
      <c r="V499" s="194"/>
      <c r="W499" s="194"/>
    </row>
    <row r="500" ht="14.25" customHeight="1">
      <c r="A500" s="31"/>
      <c r="B500" s="287"/>
      <c r="C500" s="286"/>
      <c r="D500" s="204"/>
      <c r="E500" s="288"/>
      <c r="F500" s="204"/>
      <c r="G500" s="289"/>
      <c r="H500" s="204"/>
      <c r="I500" s="204"/>
      <c r="J500" s="202"/>
      <c r="K500" s="202"/>
      <c r="L500" s="192" t="str">
        <f>IFERROR(__xludf.DUMMYFUNCTION("IF(
  AND(D500=""Saída"", J500=""Sangria""),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197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94" t="str">
        <f>IFERROR(__xludf.DUMMYFUNCTION("ifna(VALUE(REGEXEXTRACT(E500,""[0-9.]+[,]+[0-9]+"")))"),"")</f>
        <v/>
      </c>
      <c r="O500" s="194"/>
      <c r="P500" s="194"/>
      <c r="Q500" s="194"/>
      <c r="R500" s="194"/>
      <c r="S500" s="194"/>
      <c r="T500" s="194"/>
      <c r="U500" s="194"/>
      <c r="V500" s="194"/>
      <c r="W500" s="194"/>
    </row>
    <row r="501" ht="14.25" customHeight="1">
      <c r="A501" s="31"/>
      <c r="B501" s="287"/>
      <c r="C501" s="286"/>
      <c r="D501" s="204"/>
      <c r="E501" s="288"/>
      <c r="F501" s="204"/>
      <c r="G501" s="289"/>
      <c r="H501" s="204"/>
      <c r="I501" s="204"/>
      <c r="J501" s="202"/>
      <c r="K501" s="202"/>
      <c r="L501" s="192" t="str">
        <f>IFERROR(__xludf.DUMMYFUNCTION("IF(
  AND(D501=""Saída"", J501=""Sangria""),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198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94" t="str">
        <f>IFERROR(__xludf.DUMMYFUNCTION("ifna(VALUE(REGEXEXTRACT(E501,""[0-9.]+[,]+[0-9]+"")))"),"")</f>
        <v/>
      </c>
      <c r="O501" s="194"/>
      <c r="P501" s="194"/>
      <c r="Q501" s="194"/>
      <c r="R501" s="194"/>
      <c r="S501" s="194"/>
      <c r="T501" s="194"/>
      <c r="U501" s="194"/>
      <c r="V501" s="194"/>
      <c r="W501" s="194"/>
    </row>
    <row r="502" ht="14.25" customHeight="1">
      <c r="A502" s="31"/>
      <c r="B502" s="287"/>
      <c r="C502" s="286"/>
      <c r="D502" s="204"/>
      <c r="E502" s="288"/>
      <c r="F502" s="204"/>
      <c r="G502" s="289"/>
      <c r="H502" s="204"/>
      <c r="I502" s="204"/>
      <c r="J502" s="202"/>
      <c r="K502" s="202"/>
      <c r="L502" s="192" t="str">
        <f>IFERROR(__xludf.DUMMYFUNCTION("IF(
  AND(D502=""Saída"", J502=""Sangria""),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197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94" t="str">
        <f>IFERROR(__xludf.DUMMYFUNCTION("ifna(VALUE(REGEXEXTRACT(E502,""[0-9.]+[,]+[0-9]+"")))"),"")</f>
        <v/>
      </c>
      <c r="O502" s="194"/>
      <c r="P502" s="194"/>
      <c r="Q502" s="194"/>
      <c r="R502" s="194"/>
      <c r="S502" s="194"/>
      <c r="T502" s="194"/>
      <c r="U502" s="194"/>
      <c r="V502" s="194"/>
      <c r="W502" s="194"/>
    </row>
    <row r="503" ht="14.25" customHeight="1">
      <c r="A503" s="31"/>
      <c r="B503" s="287"/>
      <c r="C503" s="286"/>
      <c r="D503" s="204"/>
      <c r="E503" s="288"/>
      <c r="F503" s="204"/>
      <c r="G503" s="289"/>
      <c r="H503" s="204"/>
      <c r="I503" s="204"/>
      <c r="J503" s="202"/>
      <c r="K503" s="202"/>
      <c r="L503" s="192" t="str">
        <f>IFERROR(__xludf.DUMMYFUNCTION("IF(
  AND(D503=""Saída"", J503=""Sangria""),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198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94" t="str">
        <f>IFERROR(__xludf.DUMMYFUNCTION("ifna(VALUE(REGEXEXTRACT(E503,""[0-9.]+[,]+[0-9]+"")))"),"")</f>
        <v/>
      </c>
      <c r="O503" s="194"/>
      <c r="P503" s="194"/>
      <c r="Q503" s="194"/>
      <c r="R503" s="194"/>
      <c r="S503" s="194"/>
      <c r="T503" s="194"/>
      <c r="U503" s="194"/>
      <c r="V503" s="194"/>
      <c r="W503" s="194"/>
    </row>
    <row r="504" ht="14.25" customHeight="1">
      <c r="A504" s="31"/>
      <c r="B504" s="293"/>
      <c r="C504" s="294"/>
      <c r="D504" s="295"/>
      <c r="E504" s="296"/>
      <c r="F504" s="295"/>
      <c r="G504" s="297"/>
      <c r="H504" s="295"/>
      <c r="I504" s="295"/>
      <c r="J504" s="298"/>
      <c r="K504" s="298"/>
      <c r="L504" s="192" t="str">
        <f>IFERROR(__xludf.DUMMYFUNCTION("IF(
  AND(D504=""Saída"", J504=""Sangria""),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197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94" t="str">
        <f>IFERROR(__xludf.DUMMYFUNCTION("ifna(VALUE(REGEXEXTRACT(E504,""[0-9.]+[,]+[0-9]+"")))"),"")</f>
        <v/>
      </c>
      <c r="O504" s="194"/>
      <c r="P504" s="194"/>
      <c r="Q504" s="194"/>
      <c r="R504" s="194"/>
      <c r="S504" s="194"/>
      <c r="T504" s="194"/>
      <c r="U504" s="194"/>
      <c r="V504" s="194"/>
      <c r="W504" s="194"/>
    </row>
    <row r="505" ht="14.25" customHeight="1">
      <c r="A505" s="31"/>
      <c r="B505" s="299"/>
      <c r="C505" s="286"/>
      <c r="D505" s="204"/>
      <c r="E505" s="288"/>
      <c r="F505" s="204"/>
      <c r="G505" s="289"/>
      <c r="H505" s="204"/>
      <c r="I505" s="204"/>
      <c r="J505" s="202"/>
      <c r="K505" s="202"/>
      <c r="L505" s="192" t="str">
        <f>IFERROR(__xludf.DUMMYFUNCTION("IF(
  AND(D505=""Saída"", J505=""Sangria""),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198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</row>
    <row r="506" ht="14.25" customHeight="1">
      <c r="A506" s="31"/>
      <c r="B506" s="299"/>
      <c r="C506" s="286"/>
      <c r="D506" s="204"/>
      <c r="E506" s="288"/>
      <c r="F506" s="204"/>
      <c r="G506" s="289"/>
      <c r="H506" s="204"/>
      <c r="I506" s="204"/>
      <c r="J506" s="202"/>
      <c r="K506" s="202"/>
      <c r="L506" s="192" t="str">
        <f>IFERROR(__xludf.DUMMYFUNCTION("IF(
  AND(D506=""Saída"", J506=""Sangria""),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197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</row>
    <row r="507" ht="14.25" customHeight="1">
      <c r="A507" s="31"/>
      <c r="B507" s="299"/>
      <c r="C507" s="286"/>
      <c r="D507" s="204"/>
      <c r="E507" s="288"/>
      <c r="F507" s="204"/>
      <c r="G507" s="289"/>
      <c r="H507" s="204"/>
      <c r="I507" s="204"/>
      <c r="J507" s="202"/>
      <c r="K507" s="202"/>
      <c r="L507" s="192" t="str">
        <f>IFERROR(__xludf.DUMMYFUNCTION("IF(
  AND(D507=""Saída"", J507=""Sangria""),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198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</row>
  </sheetData>
  <mergeCells count="100">
    <mergeCell ref="O93:T94"/>
    <mergeCell ref="S95:T95"/>
    <mergeCell ref="O140:V140"/>
    <mergeCell ref="S141:U141"/>
    <mergeCell ref="S142:U142"/>
    <mergeCell ref="S143:U143"/>
    <mergeCell ref="S144:U144"/>
    <mergeCell ref="S145:U145"/>
    <mergeCell ref="S146:U146"/>
    <mergeCell ref="S147:U147"/>
    <mergeCell ref="S148:U148"/>
    <mergeCell ref="S149:U149"/>
    <mergeCell ref="S150:U150"/>
    <mergeCell ref="S151:U151"/>
    <mergeCell ref="S152:U152"/>
    <mergeCell ref="S153:U153"/>
    <mergeCell ref="S154:U154"/>
    <mergeCell ref="S155:U155"/>
    <mergeCell ref="S156:U156"/>
    <mergeCell ref="S157:U157"/>
    <mergeCell ref="S158:U158"/>
    <mergeCell ref="S159:U159"/>
    <mergeCell ref="S160:U160"/>
    <mergeCell ref="S161:U161"/>
    <mergeCell ref="S162:U162"/>
    <mergeCell ref="S163:U163"/>
    <mergeCell ref="S164:U164"/>
    <mergeCell ref="S165:U165"/>
    <mergeCell ref="S166:U166"/>
    <mergeCell ref="S167:U167"/>
    <mergeCell ref="S168:U168"/>
    <mergeCell ref="S169:U169"/>
    <mergeCell ref="S170:U170"/>
    <mergeCell ref="S171:U171"/>
    <mergeCell ref="S172:U172"/>
    <mergeCell ref="S173:U173"/>
    <mergeCell ref="S174:U174"/>
    <mergeCell ref="S175:U175"/>
    <mergeCell ref="S176:U176"/>
    <mergeCell ref="S177:U177"/>
    <mergeCell ref="S178:U178"/>
    <mergeCell ref="S179:U179"/>
    <mergeCell ref="S187:U187"/>
    <mergeCell ref="S188:U188"/>
    <mergeCell ref="S189:U189"/>
    <mergeCell ref="S190:U190"/>
    <mergeCell ref="S191:U191"/>
    <mergeCell ref="S192:U192"/>
    <mergeCell ref="S180:U180"/>
    <mergeCell ref="S181:U181"/>
    <mergeCell ref="S182:U182"/>
    <mergeCell ref="S183:U183"/>
    <mergeCell ref="S184:U184"/>
    <mergeCell ref="S185:U185"/>
    <mergeCell ref="S186:U186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C19:D19"/>
    <mergeCell ref="C23:D23"/>
    <mergeCell ref="E23:F23"/>
    <mergeCell ref="G23:H23"/>
    <mergeCell ref="I23:J23"/>
    <mergeCell ref="I24:J24"/>
    <mergeCell ref="I25:J25"/>
    <mergeCell ref="B27:M27"/>
    <mergeCell ref="G14:H14"/>
    <mergeCell ref="I14:J14"/>
    <mergeCell ref="C18:D18"/>
    <mergeCell ref="E18:H18"/>
    <mergeCell ref="I18:J18"/>
    <mergeCell ref="E19:F19"/>
    <mergeCell ref="I22:J22"/>
    <mergeCell ref="K18:L18"/>
    <mergeCell ref="K19:L19"/>
    <mergeCell ref="T19:W19"/>
    <mergeCell ref="O48:R48"/>
    <mergeCell ref="T48:W48"/>
    <mergeCell ref="O68:R68"/>
    <mergeCell ref="T68:W68"/>
  </mergeCells>
  <conditionalFormatting sqref="M29:M507">
    <cfRule type="cellIs" dxfId="5" priority="1" operator="equal">
      <formula>"Não Encontrada"</formula>
    </cfRule>
  </conditionalFormatting>
  <conditionalFormatting sqref="E29:E198">
    <cfRule type="expression" dxfId="6" priority="2">
      <formula>and($J$22:$J$497="Sangria",$D$22:$D$497="Saída")</formula>
    </cfRule>
  </conditionalFormatting>
  <conditionalFormatting sqref="D4 D11">
    <cfRule type="cellIs" dxfId="7" priority="3" operator="greaterThanOrEqual">
      <formula>500</formula>
    </cfRule>
  </conditionalFormatting>
  <conditionalFormatting sqref="D4 D11">
    <cfRule type="cellIs" dxfId="8" priority="4" operator="between">
      <formula>400</formula>
      <formula>500</formula>
    </cfRule>
  </conditionalFormatting>
  <conditionalFormatting sqref="F4 F11">
    <cfRule type="cellIs" dxfId="7" priority="5" operator="greaterThanOrEqual">
      <formula>500</formula>
    </cfRule>
  </conditionalFormatting>
  <conditionalFormatting sqref="F4 F11">
    <cfRule type="cellIs" dxfId="5" priority="6" operator="between">
      <formula>400</formula>
      <formula>500</formula>
    </cfRule>
  </conditionalFormatting>
  <conditionalFormatting sqref="H4 H11">
    <cfRule type="cellIs" dxfId="7" priority="7" operator="greaterThanOrEqual">
      <formula>500</formula>
    </cfRule>
  </conditionalFormatting>
  <conditionalFormatting sqref="H4 H11">
    <cfRule type="cellIs" dxfId="5" priority="8" operator="between">
      <formula>400</formula>
      <formula>500</formula>
    </cfRule>
  </conditionalFormatting>
  <conditionalFormatting sqref="J4 J11">
    <cfRule type="cellIs" dxfId="7" priority="9" operator="greaterThanOrEqual">
      <formula>500</formula>
    </cfRule>
  </conditionalFormatting>
  <conditionalFormatting sqref="J4 J11">
    <cfRule type="cellIs" dxfId="8" priority="10" operator="between">
      <formula>400</formula>
      <formula>500</formula>
    </cfRule>
  </conditionalFormatting>
  <conditionalFormatting sqref="L4:W4 L11 D20 S20:W20 O49:W49 O69:W69">
    <cfRule type="cellIs" dxfId="7" priority="11" operator="greaterThanOrEqual">
      <formula>500</formula>
    </cfRule>
  </conditionalFormatting>
  <conditionalFormatting sqref="L4:W4 L11 D20 S20:W20 O49:W49 O69:W69">
    <cfRule type="cellIs" dxfId="8" priority="12" operator="between">
      <formula>400</formula>
      <formula>500</formula>
    </cfRule>
  </conditionalFormatting>
  <conditionalFormatting sqref="E29:E507">
    <cfRule type="containsText" dxfId="9" priority="13" operator="containsText" text="R$">
      <formula>NOT(ISERROR(SEARCH(("R$"),(E29))))</formula>
    </cfRule>
  </conditionalFormatting>
  <conditionalFormatting sqref="B29:K507">
    <cfRule type="expression" dxfId="6" priority="14">
      <formula>and($J$29:$J$504="Sangria",$D$29:$D$504="Saída")</formula>
    </cfRule>
  </conditionalFormatting>
  <conditionalFormatting sqref="K29:K507">
    <cfRule type="expression" dxfId="10" priority="15">
      <formula>or($J$29:$J$218="Compra Moedas",$J$29:$J$218="Cortesias",$J$29:$J$218="Troco")</formula>
    </cfRule>
  </conditionalFormatting>
  <conditionalFormatting sqref="K29:K507">
    <cfRule type="expression" dxfId="11" priority="16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7">
    <cfRule type="expression" dxfId="5" priority="17">
      <formula>and(SEARCH("Vale",G29),or(J29="Consumo",J29="Sangria",J29="Compra Moedas",J29="Cortesia",J29="Troco",J29="Estorno Cliente",J29="Outros Pagamentos",J29="Inadimplência"))</formula>
    </cfRule>
  </conditionalFormatting>
  <conditionalFormatting sqref="I29:I507">
    <cfRule type="expression" dxfId="5" priority="18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9">
      <formula>LEN(TRIM(I43))&gt;0</formula>
    </cfRule>
  </conditionalFormatting>
  <conditionalFormatting sqref="I29:I507">
    <cfRule type="expression" dxfId="5" priority="20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7">
    <cfRule type="expression" dxfId="5" priority="21">
      <formula>and(SEARCH("Cortesia",G29),or(J29="Consumo",J29="Sangria",J29="Adiantamento",J29="Troco",J29="Estorno Cliente",J29="Outros Pagamentos",J29="Inadimplência"))</formula>
    </cfRule>
  </conditionalFormatting>
  <conditionalFormatting sqref="C29:C507">
    <cfRule type="expression" dxfId="11" priority="22">
      <formula>and($C$29:$C$218="",or($D$29:$D$218="Entrada",$D$29:$D$218="Saída"))</formula>
    </cfRule>
  </conditionalFormatting>
  <conditionalFormatting sqref="I29:I507">
    <cfRule type="expression" dxfId="5" priority="23">
      <formula>and(K29 = "",or(J29="Consumo",J29="Adiantamento"))</formula>
    </cfRule>
  </conditionalFormatting>
  <conditionalFormatting sqref="L29:L507">
    <cfRule type="cellIs" dxfId="5" priority="24" operator="equal">
      <formula>"Caixa Sangria"</formula>
    </cfRule>
  </conditionalFormatting>
  <dataValidations>
    <dataValidation type="list" allowBlank="1" showErrorMessage="1" sqref="K29:K507">
      <formula1>'ABRIL 2026'!$B$4:$B$16</formula1>
    </dataValidation>
    <dataValidation type="list" allowBlank="1" showErrorMessage="1" sqref="J29:J176 J178:J179 J181:J190 J192:J195 J197:J208 J210:J267 J269:J286 J288:J303 J306:J308 J310:J376 J378:J388 J390:J507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7.8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5.75"/>
    <col customWidth="1" min="14" max="14" width="3.88"/>
    <col customWidth="1" min="15" max="15" width="10.13"/>
    <col customWidth="1" min="16" max="16" width="12.0"/>
    <col customWidth="1" min="17" max="17" width="12.75"/>
    <col customWidth="1" min="18" max="18" width="12.38"/>
    <col customWidth="1" min="19" max="19" width="0.63"/>
    <col customWidth="1" min="20" max="20" width="10.13"/>
    <col customWidth="1" min="21" max="21" width="21.13"/>
    <col customWidth="1" min="22" max="22" width="12.5"/>
    <col customWidth="1" min="23" max="23" width="13.63"/>
  </cols>
  <sheetData>
    <row r="1" ht="8.25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1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>
      <c r="A2" s="33" t="s">
        <v>5940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5"/>
      <c r="M2" s="32"/>
      <c r="N2" s="32"/>
      <c r="O2" s="36" t="s">
        <v>5945</v>
      </c>
      <c r="P2" s="34"/>
      <c r="Q2" s="34"/>
      <c r="R2" s="34"/>
      <c r="S2" s="34"/>
      <c r="T2" s="34"/>
      <c r="U2" s="34"/>
      <c r="V2" s="34"/>
      <c r="W2" s="35"/>
    </row>
    <row r="3">
      <c r="A3" s="37" t="s">
        <v>5950</v>
      </c>
      <c r="B3" s="38"/>
      <c r="C3" s="39" t="str">
        <f>B4</f>
        <v>Mariselma</v>
      </c>
      <c r="D3" s="38"/>
      <c r="E3" s="40" t="str">
        <f>B5</f>
        <v>Jeniffer</v>
      </c>
      <c r="F3" s="38"/>
      <c r="G3" s="40" t="str">
        <f>B6</f>
        <v>Sabrina</v>
      </c>
      <c r="H3" s="38"/>
      <c r="I3" s="40" t="str">
        <f>B7</f>
        <v>Renata</v>
      </c>
      <c r="J3" s="38"/>
      <c r="K3" s="40" t="str">
        <f>B8</f>
        <v>Joice</v>
      </c>
      <c r="L3" s="41"/>
      <c r="M3" s="42"/>
      <c r="N3" s="42"/>
      <c r="O3" s="43" t="str">
        <f>B4</f>
        <v>Mariselma</v>
      </c>
      <c r="P3" s="34"/>
      <c r="Q3" s="34"/>
      <c r="R3" s="35"/>
      <c r="S3" s="44"/>
      <c r="T3" s="45" t="str">
        <f>B5</f>
        <v>Jeniffer</v>
      </c>
      <c r="U3" s="34"/>
      <c r="V3" s="34"/>
      <c r="W3" s="35"/>
    </row>
    <row r="4" ht="15.75" customHeight="1">
      <c r="A4" s="46" t="s">
        <v>225</v>
      </c>
      <c r="B4" s="47" t="s">
        <v>5991</v>
      </c>
      <c r="C4" s="48" t="s">
        <v>783</v>
      </c>
      <c r="D4" s="49">
        <f>SUMIFS(N29:N504,J29:J504,C4,K29:K504,C3)+SUMIF(Q96:Q138,A4,R96:R138)+D9</f>
        <v>0</v>
      </c>
      <c r="E4" s="50" t="s">
        <v>783</v>
      </c>
      <c r="F4" s="49">
        <f>SUMIFS(N29:N504,J29:J504,E4,K29:K504,E3)+SUMIF(Q96:Q138,A5,R96:R138)+F9</f>
        <v>0</v>
      </c>
      <c r="G4" s="50" t="s">
        <v>783</v>
      </c>
      <c r="H4" s="49">
        <f>SUMIFS(N29:N504,J29:J504,C4,K29:K504,G3)+SUMIF(Q96:Q138,A6,R96:R138)+H9</f>
        <v>500</v>
      </c>
      <c r="I4" s="50" t="s">
        <v>783</v>
      </c>
      <c r="J4" s="49">
        <f>SUMIFS(N29:N504,J29:J504,C4,K29:K504,I3)+SUMIF(Q96:Q138,A7,R96:R138)+J9</f>
        <v>0</v>
      </c>
      <c r="K4" s="50" t="s">
        <v>783</v>
      </c>
      <c r="L4" s="51">
        <f>SUMIFS(N29:N504,J29:J504,C4,K29:K504,K3)+SUMIF(Q96:Q138,A8,R96:R138)+L9</f>
        <v>0</v>
      </c>
      <c r="M4" s="32"/>
      <c r="N4" s="32"/>
      <c r="O4" s="52" t="str">
        <f>IFERROR(__xludf.DUMMYFUNCTION("query(C28:L507,""select Col1,Col3,Col8,Col9 where (Col8 = 'Adiantamento' or Col8 = 'Consumo') and Col9 = '""&amp;B4&amp;""'"",1)"),"Data")</f>
        <v>Data</v>
      </c>
      <c r="P4" s="53" t="str">
        <f>IFERROR(__xludf.DUMMYFUNCTION("""COMPUTED_VALUE"""),"Valor ")</f>
        <v>Valor </v>
      </c>
      <c r="Q4" s="53" t="str">
        <f>IFERROR(__xludf.DUMMYFUNCTION("""COMPUTED_VALUE"""),"Tipo")</f>
        <v>Tipo</v>
      </c>
      <c r="R4" s="54" t="str">
        <f>IFERROR(__xludf.DUMMYFUNCTION("""COMPUTED_VALUE"""),"Funcionário")</f>
        <v>Funcionário</v>
      </c>
      <c r="S4" s="55"/>
      <c r="T4" s="56" t="str">
        <f>IFERROR(__xludf.DUMMYFUNCTION("query(C28:L507,""select Col1,Col3,Col8,Col9 where (Col8 = 'Adiantamento' or Col8 = 'Consumo') and Col9 = '""&amp;B5&amp;""'"",1)"),"Data")</f>
        <v>Data</v>
      </c>
      <c r="U4" s="56" t="str">
        <f>IFERROR(__xludf.DUMMYFUNCTION("""COMPUTED_VALUE"""),"Valor ")</f>
        <v>Valor </v>
      </c>
      <c r="V4" s="56" t="str">
        <f>IFERROR(__xludf.DUMMYFUNCTION("""COMPUTED_VALUE"""),"Tipo")</f>
        <v>Tipo</v>
      </c>
      <c r="W4" s="57" t="str">
        <f>IFERROR(__xludf.DUMMYFUNCTION("""COMPUTED_VALUE"""),"Funcionário")</f>
        <v>Funcionário</v>
      </c>
    </row>
    <row r="5" ht="15.0" customHeight="1">
      <c r="A5" s="46" t="s">
        <v>145</v>
      </c>
      <c r="B5" s="47" t="s">
        <v>6198</v>
      </c>
      <c r="C5" s="48" t="s">
        <v>6080</v>
      </c>
      <c r="D5" s="49">
        <f>SUMIFS(N29:N504,J29:J504,C5,K29:K504,C3)</f>
        <v>33.79</v>
      </c>
      <c r="E5" s="50" t="s">
        <v>6080</v>
      </c>
      <c r="F5" s="49">
        <f>SUMIFS(N29:N504,J29:J504,C5,K29:K504,E3)</f>
        <v>152.9</v>
      </c>
      <c r="G5" s="50" t="s">
        <v>6080</v>
      </c>
      <c r="H5" s="49">
        <f>SUMIFS(N29:N504,J29:J504,C5,K29:K504,G3)</f>
        <v>284.67</v>
      </c>
      <c r="I5" s="50" t="s">
        <v>6080</v>
      </c>
      <c r="J5" s="49">
        <f>SUMIFS(N29:N504,J29:J504,C5,K29:K504,I3)</f>
        <v>197.85</v>
      </c>
      <c r="K5" s="50" t="s">
        <v>6080</v>
      </c>
      <c r="L5" s="51">
        <f>SUMIFS(N29:N504,J29:J504,C5,K29:K504,K3)</f>
        <v>0</v>
      </c>
      <c r="M5" s="32"/>
      <c r="N5" s="32"/>
      <c r="O5" s="58">
        <f>IFERROR(__xludf.DUMMYFUNCTION("""COMPUTED_VALUE"""),46160.748715277776)</f>
        <v>46160.74872</v>
      </c>
      <c r="P5" s="59" t="str">
        <f>IFERROR(__xludf.DUMMYFUNCTION("""COMPUTED_VALUE"""),"R$ 11,02")</f>
        <v>R$ 11,02</v>
      </c>
      <c r="Q5" s="59" t="str">
        <f>IFERROR(__xludf.DUMMYFUNCTION("""COMPUTED_VALUE"""),"Consumo")</f>
        <v>Consumo</v>
      </c>
      <c r="R5" s="60" t="str">
        <f>IFERROR(__xludf.DUMMYFUNCTION("""COMPUTED_VALUE"""),"Mariselma")</f>
        <v>Mariselma</v>
      </c>
      <c r="S5" s="61"/>
      <c r="T5" s="162">
        <f>IFERROR(__xludf.DUMMYFUNCTION("""COMPUTED_VALUE"""),46138.79640046296)</f>
        <v>46138.7964</v>
      </c>
      <c r="U5" s="59" t="str">
        <f>IFERROR(__xludf.DUMMYFUNCTION("""COMPUTED_VALUE"""),"R$ 35,85")</f>
        <v>R$ 35,85</v>
      </c>
      <c r="V5" s="59" t="str">
        <f>IFERROR(__xludf.DUMMYFUNCTION("""COMPUTED_VALUE"""),"Consumo")</f>
        <v>Consumo</v>
      </c>
      <c r="W5" s="60" t="str">
        <f>IFERROR(__xludf.DUMMYFUNCTION("""COMPUTED_VALUE"""),"Jeniffer")</f>
        <v>Jeniffer</v>
      </c>
    </row>
    <row r="6" ht="16.5" customHeight="1">
      <c r="A6" s="46" t="s">
        <v>126</v>
      </c>
      <c r="B6" s="47" t="s">
        <v>6111</v>
      </c>
      <c r="C6" s="48" t="s">
        <v>6112</v>
      </c>
      <c r="D6" s="49">
        <f>D5*0.8</f>
        <v>27.032</v>
      </c>
      <c r="E6" s="50" t="s">
        <v>6112</v>
      </c>
      <c r="F6" s="49">
        <f>F5*0.8</f>
        <v>122.32</v>
      </c>
      <c r="G6" s="50" t="s">
        <v>6112</v>
      </c>
      <c r="H6" s="49">
        <f>H5*0.8</f>
        <v>227.736</v>
      </c>
      <c r="I6" s="50" t="s">
        <v>6112</v>
      </c>
      <c r="J6" s="49">
        <f>J5*0.8</f>
        <v>158.28</v>
      </c>
      <c r="K6" s="62" t="s">
        <v>6112</v>
      </c>
      <c r="L6" s="51">
        <f>L5*0.8</f>
        <v>0</v>
      </c>
      <c r="M6" s="32"/>
      <c r="N6" s="32"/>
      <c r="O6" s="58">
        <f>IFERROR(__xludf.DUMMYFUNCTION("""COMPUTED_VALUE"""),46161.70721064815)</f>
        <v>46161.70721</v>
      </c>
      <c r="P6" s="59" t="str">
        <f>IFERROR(__xludf.DUMMYFUNCTION("""COMPUTED_VALUE"""),"R$ 11,57")</f>
        <v>R$ 11,57</v>
      </c>
      <c r="Q6" s="59" t="str">
        <f>IFERROR(__xludf.DUMMYFUNCTION("""COMPUTED_VALUE"""),"Consumo")</f>
        <v>Consumo</v>
      </c>
      <c r="R6" s="60" t="str">
        <f>IFERROR(__xludf.DUMMYFUNCTION("""COMPUTED_VALUE"""),"Mariselma")</f>
        <v>Mariselma</v>
      </c>
      <c r="S6" s="61"/>
      <c r="T6" s="162">
        <f>IFERROR(__xludf.DUMMYFUNCTION("""COMPUTED_VALUE"""),46148.78210648148)</f>
        <v>46148.78211</v>
      </c>
      <c r="U6" s="59" t="str">
        <f>IFERROR(__xludf.DUMMYFUNCTION("""COMPUTED_VALUE"""),"R$ 19,90")</f>
        <v>R$ 19,90</v>
      </c>
      <c r="V6" s="59" t="str">
        <f>IFERROR(__xludf.DUMMYFUNCTION("""COMPUTED_VALUE"""),"Consumo")</f>
        <v>Consumo</v>
      </c>
      <c r="W6" s="60" t="str">
        <f>IFERROR(__xludf.DUMMYFUNCTION("""COMPUTED_VALUE"""),"Jeniffer")</f>
        <v>Jeniffer</v>
      </c>
    </row>
    <row r="7" ht="14.25" customHeight="1">
      <c r="A7" s="46" t="s">
        <v>113</v>
      </c>
      <c r="B7" s="47" t="s">
        <v>6159</v>
      </c>
      <c r="C7" s="63" t="s">
        <v>6160</v>
      </c>
      <c r="D7" s="64"/>
      <c r="E7" s="65" t="s">
        <v>6160</v>
      </c>
      <c r="F7" s="64"/>
      <c r="G7" s="65" t="s">
        <v>6160</v>
      </c>
      <c r="H7" s="64"/>
      <c r="I7" s="65" t="s">
        <v>6160</v>
      </c>
      <c r="J7" s="64"/>
      <c r="K7" s="65" t="s">
        <v>6160</v>
      </c>
      <c r="L7" s="67"/>
      <c r="M7" s="68"/>
      <c r="N7" s="68"/>
      <c r="O7" s="58">
        <f>IFERROR(__xludf.DUMMYFUNCTION("""COMPUTED_VALUE"""),46162.67820601852)</f>
        <v>46162.67821</v>
      </c>
      <c r="P7" s="59" t="str">
        <f>IFERROR(__xludf.DUMMYFUNCTION("""COMPUTED_VALUE"""),"R$ 11,20")</f>
        <v>R$ 11,20</v>
      </c>
      <c r="Q7" s="59" t="str">
        <f>IFERROR(__xludf.DUMMYFUNCTION("""COMPUTED_VALUE"""),"Consumo")</f>
        <v>Consumo</v>
      </c>
      <c r="R7" s="60" t="str">
        <f>IFERROR(__xludf.DUMMYFUNCTION("""COMPUTED_VALUE"""),"Mariselma")</f>
        <v>Mariselma</v>
      </c>
      <c r="S7" s="61"/>
      <c r="T7" s="162">
        <f>IFERROR(__xludf.DUMMYFUNCTION("""COMPUTED_VALUE"""),46152.774675925924)</f>
        <v>46152.77468</v>
      </c>
      <c r="U7" s="59" t="str">
        <f>IFERROR(__xludf.DUMMYFUNCTION("""COMPUTED_VALUE"""),"R$ 40,00")</f>
        <v>R$ 40,00</v>
      </c>
      <c r="V7" s="59" t="str">
        <f>IFERROR(__xludf.DUMMYFUNCTION("""COMPUTED_VALUE"""),"Consumo")</f>
        <v>Consumo</v>
      </c>
      <c r="W7" s="60" t="str">
        <f>IFERROR(__xludf.DUMMYFUNCTION("""COMPUTED_VALUE"""),"Jeniffer")</f>
        <v>Jeniffer</v>
      </c>
    </row>
    <row r="8" ht="14.25" customHeight="1">
      <c r="A8" s="11" t="s">
        <v>877</v>
      </c>
      <c r="B8" s="47" t="s">
        <v>6180</v>
      </c>
      <c r="C8" s="69" t="s">
        <v>6182</v>
      </c>
      <c r="D8" s="73"/>
      <c r="E8" s="71" t="s">
        <v>6182</v>
      </c>
      <c r="F8" s="72"/>
      <c r="G8" s="71" t="s">
        <v>6182</v>
      </c>
      <c r="H8" s="70"/>
      <c r="I8" s="71" t="s">
        <v>6182</v>
      </c>
      <c r="J8" s="73"/>
      <c r="K8" s="71" t="s">
        <v>6182</v>
      </c>
      <c r="L8" s="74"/>
      <c r="M8" s="75"/>
      <c r="N8" s="75"/>
      <c r="O8" s="58"/>
      <c r="P8" s="59"/>
      <c r="Q8" s="59"/>
      <c r="R8" s="60"/>
      <c r="S8" s="61"/>
      <c r="T8" s="162">
        <f>IFERROR(__xludf.DUMMYFUNCTION("""COMPUTED_VALUE"""),46155.8230787037)</f>
        <v>46155.82308</v>
      </c>
      <c r="U8" s="59" t="str">
        <f>IFERROR(__xludf.DUMMYFUNCTION("""COMPUTED_VALUE"""),"R$ 19,90")</f>
        <v>R$ 19,90</v>
      </c>
      <c r="V8" s="59" t="str">
        <f>IFERROR(__xludf.DUMMYFUNCTION("""COMPUTED_VALUE"""),"Consumo")</f>
        <v>Consumo</v>
      </c>
      <c r="W8" s="60" t="str">
        <f>IFERROR(__xludf.DUMMYFUNCTION("""COMPUTED_VALUE"""),"Jeniffer")</f>
        <v>Jeniffer</v>
      </c>
    </row>
    <row r="9">
      <c r="A9" s="46" t="s">
        <v>3739</v>
      </c>
      <c r="B9" s="47" t="s">
        <v>6197</v>
      </c>
      <c r="C9" s="76" t="s">
        <v>51</v>
      </c>
      <c r="D9" s="77"/>
      <c r="E9" s="78" t="s">
        <v>51</v>
      </c>
      <c r="F9" s="79"/>
      <c r="G9" s="78" t="s">
        <v>51</v>
      </c>
      <c r="H9" s="77"/>
      <c r="I9" s="78" t="s">
        <v>51</v>
      </c>
      <c r="J9" s="77"/>
      <c r="K9" s="78" t="s">
        <v>51</v>
      </c>
      <c r="L9" s="80"/>
      <c r="M9" s="75"/>
      <c r="N9" s="75"/>
      <c r="O9" s="58"/>
      <c r="P9" s="59"/>
      <c r="Q9" s="59"/>
      <c r="R9" s="60"/>
      <c r="S9" s="61"/>
      <c r="T9" s="162">
        <f>IFERROR(__xludf.DUMMYFUNCTION("""COMPUTED_VALUE"""),46160.78759259259)</f>
        <v>46160.78759</v>
      </c>
      <c r="U9" s="59" t="str">
        <f>IFERROR(__xludf.DUMMYFUNCTION("""COMPUTED_VALUE"""),"R$ 17,74")</f>
        <v>R$ 17,74</v>
      </c>
      <c r="V9" s="59" t="str">
        <f>IFERROR(__xludf.DUMMYFUNCTION("""COMPUTED_VALUE"""),"Consumo")</f>
        <v>Consumo</v>
      </c>
      <c r="W9" s="60" t="str">
        <f>IFERROR(__xludf.DUMMYFUNCTION("""COMPUTED_VALUE"""),"Jeniffer")</f>
        <v>Jeniffer</v>
      </c>
    </row>
    <row r="10" ht="21.75" customHeight="1">
      <c r="A10" s="46"/>
      <c r="B10" s="47"/>
      <c r="C10" s="81" t="str">
        <f>B9</f>
        <v>Fernando</v>
      </c>
      <c r="D10" s="82"/>
      <c r="E10" s="83" t="str">
        <f>B10</f>
        <v/>
      </c>
      <c r="F10" s="82"/>
      <c r="G10" s="83" t="str">
        <f>B11</f>
        <v/>
      </c>
      <c r="H10" s="82"/>
      <c r="I10" s="83" t="str">
        <f>B12</f>
        <v/>
      </c>
      <c r="J10" s="82"/>
      <c r="K10" s="83" t="str">
        <f>B13</f>
        <v/>
      </c>
      <c r="L10" s="84"/>
      <c r="M10" s="31"/>
      <c r="N10" s="31"/>
      <c r="O10" s="58"/>
      <c r="P10" s="85"/>
      <c r="Q10" s="85"/>
      <c r="R10" s="86"/>
      <c r="S10" s="87"/>
      <c r="T10" s="162">
        <f>IFERROR(__xludf.DUMMYFUNCTION("""COMPUTED_VALUE"""),46160.78920138889)</f>
        <v>46160.7892</v>
      </c>
      <c r="U10" s="85" t="str">
        <f>IFERROR(__xludf.DUMMYFUNCTION("""COMPUTED_VALUE"""),"R$ 0,01")</f>
        <v>R$ 0,01</v>
      </c>
      <c r="V10" s="85" t="str">
        <f>IFERROR(__xludf.DUMMYFUNCTION("""COMPUTED_VALUE"""),"Consumo")</f>
        <v>Consumo</v>
      </c>
      <c r="W10" s="86" t="str">
        <f>IFERROR(__xludf.DUMMYFUNCTION("""COMPUTED_VALUE"""),"Jeniffer")</f>
        <v>Jeniffer</v>
      </c>
    </row>
    <row r="11">
      <c r="A11" s="88"/>
      <c r="B11" s="89"/>
      <c r="C11" s="90" t="s">
        <v>783</v>
      </c>
      <c r="D11" s="91">
        <f>SUMIFS(N29:N514,J29:J514,C11,K29:K514,C10)+SUMIF(Q96:Q138,A9,R96:R138)+D16</f>
        <v>0</v>
      </c>
      <c r="E11" s="92" t="s">
        <v>783</v>
      </c>
      <c r="F11" s="91">
        <f>SUMIFS(N29:N514,J29:J514,E11,K29:K514,E10)+SUMIF(Q96:Q138,A10,R96:R138)+F16</f>
        <v>0</v>
      </c>
      <c r="G11" s="92" t="s">
        <v>783</v>
      </c>
      <c r="H11" s="91">
        <f>SUMIFS(N29:N514,J29:J514,C11,K29:K514,G10)+SUMIF(Q96:Q138,A11,R96:R138)+H16</f>
        <v>0</v>
      </c>
      <c r="I11" s="92" t="s">
        <v>783</v>
      </c>
      <c r="J11" s="91">
        <f>SUMIFS(N29:N514,J29:J514,C11,K29:K514,I10)+SUMIF(Q96:Q138,A11,R96:R138)+J16</f>
        <v>0</v>
      </c>
      <c r="K11" s="92" t="s">
        <v>783</v>
      </c>
      <c r="L11" s="93">
        <f>SUMIFS(N29:N514,J29:J514,C11,K29:K514,K10)+SUMIF(Q96:Q138,A13,R96:R138)+L16</f>
        <v>0</v>
      </c>
      <c r="M11" s="31"/>
      <c r="N11" s="31"/>
      <c r="O11" s="94"/>
      <c r="P11" s="95"/>
      <c r="Q11" s="95"/>
      <c r="R11" s="96"/>
      <c r="S11" s="97"/>
      <c r="T11" s="206">
        <f>IFERROR(__xludf.DUMMYFUNCTION("""COMPUTED_VALUE"""),46162.78769675926)</f>
        <v>46162.7877</v>
      </c>
      <c r="U11" s="95" t="str">
        <f>IFERROR(__xludf.DUMMYFUNCTION("""COMPUTED_VALUE"""),"R$ 19,50")</f>
        <v>R$ 19,50</v>
      </c>
      <c r="V11" s="95" t="str">
        <f>IFERROR(__xludf.DUMMYFUNCTION("""COMPUTED_VALUE"""),"Consumo")</f>
        <v>Consumo</v>
      </c>
      <c r="W11" s="96" t="str">
        <f>IFERROR(__xludf.DUMMYFUNCTION("""COMPUTED_VALUE"""),"Jeniffer")</f>
        <v>Jeniffer</v>
      </c>
    </row>
    <row r="12">
      <c r="A12" s="88"/>
      <c r="B12" s="89"/>
      <c r="C12" s="90" t="s">
        <v>6080</v>
      </c>
      <c r="D12" s="91">
        <f>SUMIFS(N36:N514,J36:J514,C12,K36:K514,C10)</f>
        <v>0</v>
      </c>
      <c r="E12" s="92" t="s">
        <v>6080</v>
      </c>
      <c r="F12" s="91">
        <f>SUMIFS(N29:N514,J29:J514,C12,K29:K514,E10)</f>
        <v>0</v>
      </c>
      <c r="G12" s="92" t="s">
        <v>6080</v>
      </c>
      <c r="H12" s="91">
        <f>SUMIFS(N36:N514,J36:J514,C12,K36:K514,G10)</f>
        <v>0</v>
      </c>
      <c r="I12" s="92" t="s">
        <v>6080</v>
      </c>
      <c r="J12" s="91">
        <f>SUMIFS(N29:N514,J29:J514,C12,K29:K514,I10)</f>
        <v>0</v>
      </c>
      <c r="K12" s="92" t="s">
        <v>6080</v>
      </c>
      <c r="L12" s="93">
        <f>SUMIFS(N29:N514,J29:J514,C12,K29:K514,K10)</f>
        <v>0</v>
      </c>
      <c r="M12" s="31"/>
      <c r="N12" s="31"/>
      <c r="O12" s="94"/>
      <c r="P12" s="95"/>
      <c r="Q12" s="95"/>
      <c r="R12" s="96"/>
      <c r="S12" s="97"/>
      <c r="T12" s="95"/>
      <c r="U12" s="95"/>
      <c r="V12" s="95"/>
      <c r="W12" s="96"/>
    </row>
    <row r="13">
      <c r="A13" s="98"/>
      <c r="B13" s="99"/>
      <c r="C13" s="90" t="s">
        <v>6112</v>
      </c>
      <c r="D13" s="91">
        <f>D12*0.8</f>
        <v>0</v>
      </c>
      <c r="E13" s="92" t="s">
        <v>6112</v>
      </c>
      <c r="F13" s="91">
        <f>F12*0.8</f>
        <v>0</v>
      </c>
      <c r="G13" s="92" t="s">
        <v>6112</v>
      </c>
      <c r="H13" s="91">
        <f>H12*0.8</f>
        <v>0</v>
      </c>
      <c r="I13" s="92" t="s">
        <v>6112</v>
      </c>
      <c r="J13" s="91">
        <f>J12*0.8</f>
        <v>0</v>
      </c>
      <c r="K13" s="100" t="s">
        <v>6112</v>
      </c>
      <c r="L13" s="93">
        <f>L12*0.8</f>
        <v>0</v>
      </c>
      <c r="M13" s="31"/>
      <c r="N13" s="31"/>
      <c r="O13" s="94"/>
      <c r="P13" s="95"/>
      <c r="Q13" s="95"/>
      <c r="R13" s="96"/>
      <c r="S13" s="97"/>
      <c r="T13" s="95"/>
      <c r="U13" s="95"/>
      <c r="V13" s="95"/>
      <c r="W13" s="96"/>
    </row>
    <row r="14">
      <c r="A14" s="98"/>
      <c r="B14" s="99"/>
      <c r="C14" s="63" t="s">
        <v>6160</v>
      </c>
      <c r="D14" s="64"/>
      <c r="E14" s="65" t="s">
        <v>6160</v>
      </c>
      <c r="F14" s="64"/>
      <c r="G14" s="65" t="s">
        <v>6160</v>
      </c>
      <c r="H14" s="64"/>
      <c r="I14" s="65" t="s">
        <v>6160</v>
      </c>
      <c r="J14" s="64"/>
      <c r="K14" s="65" t="s">
        <v>6160</v>
      </c>
      <c r="L14" s="67"/>
      <c r="M14" s="31"/>
      <c r="N14" s="31"/>
      <c r="O14" s="94"/>
      <c r="P14" s="95"/>
      <c r="Q14" s="95"/>
      <c r="R14" s="96"/>
      <c r="S14" s="97"/>
      <c r="T14" s="95"/>
      <c r="U14" s="95"/>
      <c r="V14" s="95"/>
      <c r="W14" s="96"/>
    </row>
    <row r="15">
      <c r="A15" s="98"/>
      <c r="B15" s="99"/>
      <c r="C15" s="69" t="s">
        <v>6182</v>
      </c>
      <c r="D15" s="70"/>
      <c r="E15" s="71" t="s">
        <v>6182</v>
      </c>
      <c r="F15" s="72"/>
      <c r="G15" s="71" t="s">
        <v>6182</v>
      </c>
      <c r="H15" s="73"/>
      <c r="I15" s="71" t="s">
        <v>6182</v>
      </c>
      <c r="J15" s="73"/>
      <c r="K15" s="71" t="s">
        <v>6182</v>
      </c>
      <c r="L15" s="74"/>
      <c r="M15" s="31"/>
      <c r="N15" s="31"/>
      <c r="O15" s="94"/>
      <c r="P15" s="95"/>
      <c r="Q15" s="95"/>
      <c r="R15" s="96"/>
      <c r="S15" s="97"/>
      <c r="T15" s="95"/>
      <c r="U15" s="95"/>
      <c r="V15" s="95"/>
      <c r="W15" s="96"/>
    </row>
    <row r="16">
      <c r="A16" s="101"/>
      <c r="B16" s="102"/>
      <c r="C16" s="103" t="s">
        <v>51</v>
      </c>
      <c r="D16" s="104"/>
      <c r="E16" s="105" t="s">
        <v>51</v>
      </c>
      <c r="F16" s="106"/>
      <c r="G16" s="105" t="s">
        <v>51</v>
      </c>
      <c r="H16" s="104"/>
      <c r="I16" s="105" t="s">
        <v>51</v>
      </c>
      <c r="J16" s="104"/>
      <c r="K16" s="105" t="s">
        <v>51</v>
      </c>
      <c r="L16" s="107"/>
      <c r="M16" s="31"/>
      <c r="N16" s="31"/>
      <c r="O16" s="94"/>
      <c r="P16" s="95"/>
      <c r="Q16" s="95"/>
      <c r="R16" s="96"/>
      <c r="S16" s="97"/>
      <c r="T16" s="95"/>
      <c r="U16" s="95"/>
      <c r="V16" s="95"/>
      <c r="W16" s="96"/>
    </row>
    <row r="17">
      <c r="A17" s="87"/>
      <c r="B17" s="87"/>
      <c r="C17" s="31"/>
      <c r="D17" s="31"/>
      <c r="E17" s="108"/>
      <c r="F17" s="108"/>
      <c r="G17" s="108"/>
      <c r="H17" s="108"/>
      <c r="I17" s="108"/>
      <c r="J17" s="108"/>
      <c r="K17" s="108"/>
      <c r="L17" s="108"/>
      <c r="M17" s="31"/>
      <c r="N17" s="31"/>
      <c r="O17" s="94"/>
      <c r="P17" s="95"/>
      <c r="Q17" s="95"/>
      <c r="R17" s="96"/>
      <c r="S17" s="97"/>
      <c r="T17" s="95"/>
      <c r="U17" s="95"/>
      <c r="V17" s="95"/>
      <c r="W17" s="96"/>
    </row>
    <row r="18">
      <c r="A18" s="87"/>
      <c r="B18" s="87"/>
      <c r="C18" s="109"/>
      <c r="D18" s="110"/>
      <c r="E18" s="111" t="s">
        <v>6285</v>
      </c>
      <c r="F18" s="112"/>
      <c r="G18" s="112"/>
      <c r="H18" s="113"/>
      <c r="I18" s="111" t="s">
        <v>6287</v>
      </c>
      <c r="J18" s="113"/>
      <c r="K18" s="111" t="s">
        <v>6290</v>
      </c>
      <c r="L18" s="113"/>
      <c r="M18" s="31"/>
      <c r="N18" s="31"/>
      <c r="O18" s="114"/>
      <c r="P18" s="115"/>
      <c r="Q18" s="115"/>
      <c r="R18" s="115"/>
      <c r="S18" s="116"/>
      <c r="T18" s="115"/>
      <c r="U18" s="115"/>
      <c r="V18" s="115"/>
      <c r="W18" s="117"/>
    </row>
    <row r="19">
      <c r="A19" s="30"/>
      <c r="B19" s="30"/>
      <c r="C19" s="118"/>
      <c r="D19" s="119"/>
      <c r="E19" s="118"/>
      <c r="F19" s="120"/>
      <c r="G19" s="121" t="s">
        <v>6299</v>
      </c>
      <c r="H19" s="122">
        <f>SUMIF(L29:L499,G19,N29:N499)</f>
        <v>0</v>
      </c>
      <c r="I19" s="123" t="s">
        <v>6300</v>
      </c>
      <c r="J19" s="124" t="s">
        <v>6302</v>
      </c>
      <c r="K19" s="125" t="s">
        <v>6304</v>
      </c>
      <c r="L19" s="119"/>
      <c r="M19" s="31"/>
      <c r="N19" s="31"/>
      <c r="O19" s="126"/>
      <c r="P19" s="127"/>
      <c r="Q19" s="127"/>
      <c r="R19" s="127"/>
      <c r="S19" s="128"/>
      <c r="T19" s="129" t="str">
        <f>B7</f>
        <v>Renata</v>
      </c>
      <c r="U19" s="112"/>
      <c r="V19" s="112"/>
      <c r="W19" s="130"/>
    </row>
    <row r="20">
      <c r="A20" s="131"/>
      <c r="B20" s="131"/>
      <c r="C20" s="132" t="s">
        <v>783</v>
      </c>
      <c r="D20" s="133">
        <f>SUMIFS(N29:N504,J29:J504,C20,K29:K504,C19)+SUMIF(Q102:Q138,A9,R102:R138)+D25</f>
        <v>0</v>
      </c>
      <c r="E20" s="132" t="s">
        <v>783</v>
      </c>
      <c r="F20" s="134">
        <f>SUMIFS(N29:N504,J29:J504,C20,K29:K504,E19)+SUMIF(Q102:Q138,A10,R102:R138)+F25</f>
        <v>0</v>
      </c>
      <c r="G20" s="135" t="s">
        <v>6328</v>
      </c>
      <c r="H20" s="136">
        <v>0.0</v>
      </c>
      <c r="I20" s="137">
        <f>SUMIF(J29:J504,I19,N29:N504)</f>
        <v>0</v>
      </c>
      <c r="J20" s="138">
        <f>SUMIF(J29:J504,J19,N29:N504)</f>
        <v>0</v>
      </c>
      <c r="K20" s="139" t="s">
        <v>6335</v>
      </c>
      <c r="L20" s="140"/>
      <c r="M20" s="31"/>
      <c r="N20" s="31"/>
      <c r="O20" s="141"/>
      <c r="P20" s="142"/>
      <c r="Q20" s="142"/>
      <c r="R20" s="142"/>
      <c r="S20" s="55"/>
      <c r="T20" s="56" t="str">
        <f>IFERROR(__xludf.DUMMYFUNCTION("query(C28:L507,""select Col1,Col3,Col8,Col9 where (Col8 = 'Adiantamento' or Col8 = 'Consumo') and Col9 = '""&amp;B7&amp;""'"",1)"),"Data")</f>
        <v>Data</v>
      </c>
      <c r="U20" s="56" t="str">
        <f>IFERROR(__xludf.DUMMYFUNCTION("""COMPUTED_VALUE"""),"Valor ")</f>
        <v>Valor </v>
      </c>
      <c r="V20" s="56" t="str">
        <f>IFERROR(__xludf.DUMMYFUNCTION("""COMPUTED_VALUE"""),"Tipo")</f>
        <v>Tipo</v>
      </c>
      <c r="W20" s="57" t="str">
        <f>IFERROR(__xludf.DUMMYFUNCTION("""COMPUTED_VALUE"""),"Funcionário")</f>
        <v>Funcionário</v>
      </c>
    </row>
    <row r="21" ht="19.5" customHeight="1">
      <c r="A21" s="143"/>
      <c r="B21" s="143"/>
      <c r="C21" s="132" t="s">
        <v>6080</v>
      </c>
      <c r="D21" s="133">
        <f>SUMIFS(N29:N504,J29:J504,C21,K29:K504,C19)</f>
        <v>0</v>
      </c>
      <c r="E21" s="132" t="s">
        <v>6080</v>
      </c>
      <c r="F21" s="134">
        <f>SUMIFS(N29:N504,J29:J504,E21,K29:K504,E19)</f>
        <v>0</v>
      </c>
      <c r="G21" s="92" t="s">
        <v>6354</v>
      </c>
      <c r="H21" s="133">
        <f>SUMIFS(N29:N504,D29:D504,"Saída",J29:J504,"Sangria")</f>
        <v>2500</v>
      </c>
      <c r="I21" s="144"/>
      <c r="J21" s="145"/>
      <c r="K21" s="139" t="s">
        <v>6364</v>
      </c>
      <c r="L21" s="140"/>
      <c r="M21" s="31"/>
      <c r="N21" s="31"/>
      <c r="O21" s="114"/>
      <c r="P21" s="59"/>
      <c r="Q21" s="59"/>
      <c r="R21" s="60"/>
      <c r="S21" s="61"/>
      <c r="T21" s="162">
        <f>IFERROR(__xludf.DUMMYFUNCTION("""COMPUTED_VALUE"""),46154.746469907404)</f>
        <v>46154.74647</v>
      </c>
      <c r="U21" s="59" t="str">
        <f>IFERROR(__xludf.DUMMYFUNCTION("""COMPUTED_VALUE"""),"R$ 45,23")</f>
        <v>R$ 45,23</v>
      </c>
      <c r="V21" s="59" t="str">
        <f>IFERROR(__xludf.DUMMYFUNCTION("""COMPUTED_VALUE"""),"Consumo")</f>
        <v>Consumo</v>
      </c>
      <c r="W21" s="60" t="str">
        <f>IFERROR(__xludf.DUMMYFUNCTION("""COMPUTED_VALUE"""),"Renata")</f>
        <v>Renata</v>
      </c>
    </row>
    <row r="22">
      <c r="A22" s="143"/>
      <c r="B22" s="143"/>
      <c r="C22" s="146" t="s">
        <v>6112</v>
      </c>
      <c r="D22" s="133">
        <f>D21*0.8</f>
        <v>0</v>
      </c>
      <c r="E22" s="146" t="s">
        <v>6112</v>
      </c>
      <c r="F22" s="147">
        <f>F21*0.8</f>
        <v>0</v>
      </c>
      <c r="G22" s="148" t="s">
        <v>6369</v>
      </c>
      <c r="H22" s="149">
        <f>SUMIFS(N29:N504,D29:D504,"Entrada",J29:J504,"Sangria")</f>
        <v>0</v>
      </c>
      <c r="I22" s="150" t="s">
        <v>6370</v>
      </c>
      <c r="J22" s="151"/>
      <c r="K22" s="139" t="s">
        <v>6372</v>
      </c>
      <c r="L22" s="140"/>
      <c r="M22" s="31"/>
      <c r="N22" s="31"/>
      <c r="O22" s="58"/>
      <c r="P22" s="59"/>
      <c r="Q22" s="59"/>
      <c r="R22" s="60"/>
      <c r="S22" s="61"/>
      <c r="T22" s="162">
        <f>IFERROR(__xludf.DUMMYFUNCTION("""COMPUTED_VALUE"""),46156.6781712963)</f>
        <v>46156.67817</v>
      </c>
      <c r="U22" s="59" t="str">
        <f>IFERROR(__xludf.DUMMYFUNCTION("""COMPUTED_VALUE"""),"R$ 25,41")</f>
        <v>R$ 25,41</v>
      </c>
      <c r="V22" s="59" t="str">
        <f>IFERROR(__xludf.DUMMYFUNCTION("""COMPUTED_VALUE"""),"Consumo")</f>
        <v>Consumo</v>
      </c>
      <c r="W22" s="60" t="str">
        <f>IFERROR(__xludf.DUMMYFUNCTION("""COMPUTED_VALUE"""),"Renata")</f>
        <v>Renata</v>
      </c>
    </row>
    <row r="23">
      <c r="A23" s="152"/>
      <c r="B23" s="152"/>
      <c r="C23" s="153" t="s">
        <v>6160</v>
      </c>
      <c r="D23" s="154"/>
      <c r="E23" s="153" t="s">
        <v>6160</v>
      </c>
      <c r="F23" s="154"/>
      <c r="G23" s="155" t="s">
        <v>6380</v>
      </c>
      <c r="H23" s="156"/>
      <c r="I23" s="157">
        <f>SUMIF(J29:J504,I22,N29:N504)</f>
        <v>0</v>
      </c>
      <c r="J23" s="158"/>
      <c r="K23" s="139" t="s">
        <v>6389</v>
      </c>
      <c r="L23" s="140"/>
      <c r="M23" s="31"/>
      <c r="N23" s="31"/>
      <c r="O23" s="58"/>
      <c r="P23" s="59"/>
      <c r="Q23" s="59"/>
      <c r="R23" s="60"/>
      <c r="S23" s="61"/>
      <c r="T23" s="162">
        <f>IFERROR(__xludf.DUMMYFUNCTION("""COMPUTED_VALUE"""),46160.69447916667)</f>
        <v>46160.69448</v>
      </c>
      <c r="U23" s="59" t="str">
        <f>IFERROR(__xludf.DUMMYFUNCTION("""COMPUTED_VALUE"""),"R$ 22,14")</f>
        <v>R$ 22,14</v>
      </c>
      <c r="V23" s="59" t="str">
        <f>IFERROR(__xludf.DUMMYFUNCTION("""COMPUTED_VALUE"""),"Consumo")</f>
        <v>Consumo</v>
      </c>
      <c r="W23" s="60" t="str">
        <f>IFERROR(__xludf.DUMMYFUNCTION("""COMPUTED_VALUE"""),"Renata")</f>
        <v>Renata</v>
      </c>
    </row>
    <row r="24">
      <c r="A24" s="159"/>
      <c r="B24" s="159"/>
      <c r="C24" s="160" t="s">
        <v>6182</v>
      </c>
      <c r="D24" s="161"/>
      <c r="E24" s="160" t="s">
        <v>6182</v>
      </c>
      <c r="F24" s="161"/>
      <c r="G24" s="92" t="s">
        <v>6398</v>
      </c>
      <c r="H24" s="163">
        <f>SUMIF(L29:L504,G24,N29:N504)</f>
        <v>0</v>
      </c>
      <c r="I24" s="164" t="s">
        <v>6404</v>
      </c>
      <c r="J24" s="156"/>
      <c r="K24" s="139" t="s">
        <v>6407</v>
      </c>
      <c r="L24" s="140"/>
      <c r="M24" s="31"/>
      <c r="N24" s="31"/>
      <c r="O24" s="58"/>
      <c r="P24" s="59"/>
      <c r="Q24" s="59"/>
      <c r="R24" s="60"/>
      <c r="S24" s="61"/>
      <c r="T24" s="162">
        <f>IFERROR(__xludf.DUMMYFUNCTION("""COMPUTED_VALUE"""),46161.760624999995)</f>
        <v>46161.76063</v>
      </c>
      <c r="U24" s="59" t="str">
        <f>IFERROR(__xludf.DUMMYFUNCTION("""COMPUTED_VALUE"""),"R$ 40,38")</f>
        <v>R$ 40,38</v>
      </c>
      <c r="V24" s="59" t="str">
        <f>IFERROR(__xludf.DUMMYFUNCTION("""COMPUTED_VALUE"""),"Consumo")</f>
        <v>Consumo</v>
      </c>
      <c r="W24" s="60" t="str">
        <f>IFERROR(__xludf.DUMMYFUNCTION("""COMPUTED_VALUE"""),"Renata")</f>
        <v>Renata</v>
      </c>
    </row>
    <row r="25" ht="14.25" customHeight="1">
      <c r="A25" s="159"/>
      <c r="B25" s="159"/>
      <c r="C25" s="165" t="s">
        <v>51</v>
      </c>
      <c r="D25" s="166"/>
      <c r="E25" s="165" t="s">
        <v>51</v>
      </c>
      <c r="F25" s="166"/>
      <c r="G25" s="167" t="s">
        <v>6416</v>
      </c>
      <c r="H25" s="168">
        <f>SUMIF(L29:L504,G25,N29:N504)</f>
        <v>0</v>
      </c>
      <c r="I25" s="157">
        <f>SUMIF(J29:J504,I24,N29:N504)</f>
        <v>0</v>
      </c>
      <c r="J25" s="158"/>
      <c r="K25" s="169"/>
      <c r="L25" s="170"/>
      <c r="M25" s="32"/>
      <c r="N25" s="32"/>
      <c r="O25" s="58"/>
      <c r="P25" s="59"/>
      <c r="Q25" s="59"/>
      <c r="R25" s="60"/>
      <c r="S25" s="61"/>
      <c r="T25" s="162">
        <f>IFERROR(__xludf.DUMMYFUNCTION("""COMPUTED_VALUE"""),46162.679768518516)</f>
        <v>46162.67977</v>
      </c>
      <c r="U25" s="59" t="str">
        <f>IFERROR(__xludf.DUMMYFUNCTION("""COMPUTED_VALUE"""),"R$ 19,88")</f>
        <v>R$ 19,88</v>
      </c>
      <c r="V25" s="59" t="str">
        <f>IFERROR(__xludf.DUMMYFUNCTION("""COMPUTED_VALUE"""),"Consumo")</f>
        <v>Consumo</v>
      </c>
      <c r="W25" s="60" t="str">
        <f>IFERROR(__xludf.DUMMYFUNCTION("""COMPUTED_VALUE"""),"Renata")</f>
        <v>Renata</v>
      </c>
    </row>
    <row r="26" ht="14.25" customHeight="1">
      <c r="A26" s="171"/>
      <c r="B26" s="171"/>
      <c r="C26" s="171"/>
      <c r="D26" s="171"/>
      <c r="E26" s="171"/>
      <c r="F26" s="171"/>
      <c r="G26" s="172"/>
      <c r="H26" s="171"/>
      <c r="I26" s="171"/>
      <c r="J26" s="173"/>
      <c r="K26" s="173"/>
      <c r="L26" s="173"/>
      <c r="M26" s="174"/>
      <c r="N26" s="174"/>
      <c r="O26" s="58"/>
      <c r="P26" s="85"/>
      <c r="Q26" s="85"/>
      <c r="R26" s="86"/>
      <c r="S26" s="87"/>
      <c r="T26" s="162">
        <f>IFERROR(__xludf.DUMMYFUNCTION("""COMPUTED_VALUE"""),46163.713900462964)</f>
        <v>46163.7139</v>
      </c>
      <c r="U26" s="85" t="str">
        <f>IFERROR(__xludf.DUMMYFUNCTION("""COMPUTED_VALUE"""),"R$ 7,30")</f>
        <v>R$ 7,30</v>
      </c>
      <c r="V26" s="85" t="str">
        <f>IFERROR(__xludf.DUMMYFUNCTION("""COMPUTED_VALUE"""),"Consumo")</f>
        <v>Consumo</v>
      </c>
      <c r="W26" s="86" t="str">
        <f>IFERROR(__xludf.DUMMYFUNCTION("""COMPUTED_VALUE"""),"Renata")</f>
        <v>Renata</v>
      </c>
    </row>
    <row r="27">
      <c r="A27" s="175"/>
      <c r="B27" s="176" t="s">
        <v>6426</v>
      </c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10"/>
      <c r="N27" s="174"/>
      <c r="O27" s="94"/>
      <c r="P27" s="95"/>
      <c r="Q27" s="95"/>
      <c r="R27" s="96"/>
      <c r="S27" s="97"/>
      <c r="T27" s="206">
        <f>IFERROR(__xludf.DUMMYFUNCTION("""COMPUTED_VALUE"""),46164.59892361111)</f>
        <v>46164.59892</v>
      </c>
      <c r="U27" s="95" t="str">
        <f>IFERROR(__xludf.DUMMYFUNCTION("""COMPUTED_VALUE"""),"R$ 16,00")</f>
        <v>R$ 16,00</v>
      </c>
      <c r="V27" s="95" t="str">
        <f>IFERROR(__xludf.DUMMYFUNCTION("""COMPUTED_VALUE"""),"Consumo")</f>
        <v>Consumo</v>
      </c>
      <c r="W27" s="96" t="str">
        <f>IFERROR(__xludf.DUMMYFUNCTION("""COMPUTED_VALUE"""),"Renata")</f>
        <v>Renata</v>
      </c>
    </row>
    <row r="28">
      <c r="A28" s="178"/>
      <c r="B28" s="179" t="s">
        <v>0</v>
      </c>
      <c r="C28" s="180" t="s">
        <v>10</v>
      </c>
      <c r="D28" s="181" t="s">
        <v>18</v>
      </c>
      <c r="E28" s="180" t="s">
        <v>21</v>
      </c>
      <c r="F28" s="181"/>
      <c r="G28" s="181" t="s">
        <v>6</v>
      </c>
      <c r="H28" s="182"/>
      <c r="I28" s="183" t="s">
        <v>47</v>
      </c>
      <c r="J28" s="181" t="s">
        <v>52</v>
      </c>
      <c r="K28" s="180" t="s">
        <v>38</v>
      </c>
      <c r="L28" s="184" t="s">
        <v>6443</v>
      </c>
      <c r="M28" s="185" t="s">
        <v>5</v>
      </c>
      <c r="N28" s="174"/>
      <c r="O28" s="94"/>
      <c r="P28" s="95"/>
      <c r="Q28" s="95"/>
      <c r="R28" s="96"/>
      <c r="S28" s="97"/>
      <c r="T28" s="206">
        <f>IFERROR(__xludf.DUMMYFUNCTION("""COMPUTED_VALUE"""),46167.65756944445)</f>
        <v>46167.65757</v>
      </c>
      <c r="U28" s="95" t="str">
        <f>IFERROR(__xludf.DUMMYFUNCTION("""COMPUTED_VALUE"""),"R$ 21,51")</f>
        <v>R$ 21,51</v>
      </c>
      <c r="V28" s="95" t="str">
        <f>IFERROR(__xludf.DUMMYFUNCTION("""COMPUTED_VALUE"""),"Consumo")</f>
        <v>Consumo</v>
      </c>
      <c r="W28" s="96" t="str">
        <f>IFERROR(__xludf.DUMMYFUNCTION("""COMPUTED_VALUE"""),"Renata")</f>
        <v>Renata</v>
      </c>
    </row>
    <row r="29">
      <c r="A29" s="186"/>
      <c r="B29" s="13">
        <v>2149886.0</v>
      </c>
      <c r="C29" s="14">
        <v>46138.68716435185</v>
      </c>
      <c r="D29" s="187" t="s">
        <v>97</v>
      </c>
      <c r="E29" s="188" t="s">
        <v>8688</v>
      </c>
      <c r="F29" s="189"/>
      <c r="G29" s="187" t="s">
        <v>8689</v>
      </c>
      <c r="H29" s="190"/>
      <c r="I29" s="190"/>
      <c r="J29" s="191" t="s">
        <v>6446</v>
      </c>
      <c r="K29" s="191"/>
      <c r="L29" s="192" t="str">
        <f>IFERROR(__xludf.DUMMYFUNCTION("IF(
  AND(D29=""Saída"", J29=""Sangria""),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193" t="str">
        <f>IFERROR(__xludf.DUMMYFUNCTION("IF(J29=""Compra de Mercadorias"",
   IF(
      COUNTIF(ARRAYFORMULA(TRIM(CLEAN(TO_TEXT(Notas!BS:BS)))), TRIM(CLEAN(TO_TEXT(B29)))) &gt; 0,
      ""Encontrada"",
      ""Não Encontrada""
   ),
"""")"),"Encontrada")</f>
        <v>Encontrada</v>
      </c>
      <c r="N29" s="194">
        <f>IFERROR(__xludf.DUMMYFUNCTION("ifna(VALUE(REGEXEXTRACT(E29,""[0-9.]+[,]+[0-9]+"")))"),273.0)</f>
        <v>273</v>
      </c>
      <c r="O29" s="94"/>
      <c r="P29" s="95"/>
      <c r="Q29" s="95"/>
      <c r="R29" s="96"/>
      <c r="S29" s="97"/>
      <c r="T29" s="95"/>
      <c r="U29" s="95"/>
      <c r="V29" s="95"/>
      <c r="W29" s="96"/>
    </row>
    <row r="30" ht="14.25" customHeight="1">
      <c r="A30" s="186"/>
      <c r="B30" s="13">
        <v>2150090.0</v>
      </c>
      <c r="C30" s="14">
        <v>46138.73121527778</v>
      </c>
      <c r="D30" s="187" t="s">
        <v>97</v>
      </c>
      <c r="E30" s="188" t="s">
        <v>8400</v>
      </c>
      <c r="F30" s="189"/>
      <c r="G30" s="187" t="s">
        <v>151</v>
      </c>
      <c r="H30" s="195"/>
      <c r="I30" s="195"/>
      <c r="J30" s="196" t="s">
        <v>6080</v>
      </c>
      <c r="K30" s="196" t="s">
        <v>6111</v>
      </c>
      <c r="L30" s="192" t="str">
        <f>IFERROR(__xludf.DUMMYFUNCTION("IF(
  AND(D30=""Saída"", J30=""Sangria""),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197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94">
        <f>IFERROR(__xludf.DUMMYFUNCTION("ifna(VALUE(REGEXEXTRACT(E30,""[0-9.]+[,]+[0-9]+"")))"),16.48)</f>
        <v>16.48</v>
      </c>
      <c r="O30" s="94"/>
      <c r="P30" s="95"/>
      <c r="Q30" s="95"/>
      <c r="R30" s="96"/>
      <c r="S30" s="97"/>
      <c r="T30" s="95"/>
      <c r="U30" s="95"/>
      <c r="V30" s="95"/>
      <c r="W30" s="96"/>
    </row>
    <row r="31" ht="14.25" customHeight="1">
      <c r="A31" s="186"/>
      <c r="B31" s="13">
        <v>2150387.0</v>
      </c>
      <c r="C31" s="14">
        <v>46138.79640046296</v>
      </c>
      <c r="D31" s="187" t="s">
        <v>97</v>
      </c>
      <c r="E31" s="188" t="s">
        <v>8690</v>
      </c>
      <c r="F31" s="189"/>
      <c r="G31" s="187" t="s">
        <v>8691</v>
      </c>
      <c r="H31" s="195"/>
      <c r="I31" s="195"/>
      <c r="J31" s="196" t="s">
        <v>6080</v>
      </c>
      <c r="K31" s="196" t="s">
        <v>6198</v>
      </c>
      <c r="L31" s="192" t="str">
        <f>IFERROR(__xludf.DUMMYFUNCTION("IF(
  AND(D31=""Saída"", J31=""Sangria""),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198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94">
        <f>IFERROR(__xludf.DUMMYFUNCTION("ifna(VALUE(REGEXEXTRACT(E31,""[0-9.]+[,]+[0-9]+"")))"),35.85)</f>
        <v>35.85</v>
      </c>
      <c r="O31" s="94"/>
      <c r="P31" s="95"/>
      <c r="Q31" s="95"/>
      <c r="R31" s="96"/>
      <c r="S31" s="97"/>
      <c r="T31" s="95"/>
      <c r="U31" s="95"/>
      <c r="V31" s="95"/>
      <c r="W31" s="96"/>
    </row>
    <row r="32" ht="14.25" customHeight="1">
      <c r="A32" s="186"/>
      <c r="B32" s="13">
        <v>2150408.0</v>
      </c>
      <c r="C32" s="14">
        <v>46138.80144675926</v>
      </c>
      <c r="D32" s="187" t="s">
        <v>97</v>
      </c>
      <c r="E32" s="188" t="s">
        <v>8692</v>
      </c>
      <c r="F32" s="189"/>
      <c r="G32" s="187" t="s">
        <v>151</v>
      </c>
      <c r="H32" s="195"/>
      <c r="I32" s="195"/>
      <c r="J32" s="196" t="s">
        <v>6080</v>
      </c>
      <c r="K32" s="196" t="s">
        <v>6111</v>
      </c>
      <c r="L32" s="192" t="str">
        <f>IFERROR(__xludf.DUMMYFUNCTION("IF(
  AND(D32=""Saída"", J32=""Sangria""),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199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94">
        <f>IFERROR(__xludf.DUMMYFUNCTION("ifna(VALUE(REGEXEXTRACT(E32,""[0-9.]+[,]+[0-9]+"")))"),50.95)</f>
        <v>50.95</v>
      </c>
      <c r="O32" s="94"/>
      <c r="P32" s="95"/>
      <c r="Q32" s="95"/>
      <c r="R32" s="96"/>
      <c r="S32" s="97"/>
      <c r="T32" s="95"/>
      <c r="U32" s="95"/>
      <c r="V32" s="95"/>
      <c r="W32" s="96"/>
    </row>
    <row r="33" ht="14.25" customHeight="1">
      <c r="A33" s="186"/>
      <c r="B33" s="13">
        <v>2150955.0</v>
      </c>
      <c r="C33" s="14">
        <v>46138.89847222222</v>
      </c>
      <c r="D33" s="187" t="s">
        <v>97</v>
      </c>
      <c r="E33" s="188" t="s">
        <v>8693</v>
      </c>
      <c r="F33" s="189"/>
      <c r="G33" s="187" t="s">
        <v>8694</v>
      </c>
      <c r="H33" s="195"/>
      <c r="I33" s="195"/>
      <c r="J33" s="196" t="s">
        <v>6551</v>
      </c>
      <c r="K33" s="196"/>
      <c r="L33" s="192" t="str">
        <f>IFERROR(__xludf.DUMMYFUNCTION("IF(
  AND(D33=""Saída"", J33=""Sangria""),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198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94">
        <f>IFERROR(__xludf.DUMMYFUNCTION("ifna(VALUE(REGEXEXTRACT(E33,""[0-9.]+[,]+[0-9]+"")))"),588.0)</f>
        <v>588</v>
      </c>
      <c r="O33" s="94"/>
      <c r="P33" s="95"/>
      <c r="Q33" s="95"/>
      <c r="R33" s="96"/>
      <c r="S33" s="97"/>
      <c r="T33" s="95"/>
      <c r="U33" s="95"/>
      <c r="V33" s="95"/>
      <c r="W33" s="96"/>
    </row>
    <row r="34" ht="14.25" customHeight="1">
      <c r="A34" s="186"/>
      <c r="B34" s="13">
        <v>2150986.0</v>
      </c>
      <c r="C34" s="14">
        <v>46138.90085648148</v>
      </c>
      <c r="D34" s="187" t="s">
        <v>97</v>
      </c>
      <c r="E34" s="188" t="s">
        <v>8613</v>
      </c>
      <c r="F34" s="189"/>
      <c r="G34" s="187" t="s">
        <v>8614</v>
      </c>
      <c r="H34" s="195"/>
      <c r="I34" s="195"/>
      <c r="J34" s="196" t="s">
        <v>6469</v>
      </c>
      <c r="K34" s="196"/>
      <c r="L34" s="192" t="str">
        <f>IFERROR(__xludf.DUMMYFUNCTION("IF(
  AND(D34=""Saída"", J34=""Sangria""),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197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94">
        <f>IFERROR(__xludf.DUMMYFUNCTION("ifna(VALUE(REGEXEXTRACT(E34,""[0-9.]+[,]+[0-9]+"")))"),143.0)</f>
        <v>143</v>
      </c>
      <c r="O34" s="114"/>
      <c r="P34" s="115"/>
      <c r="Q34" s="115"/>
      <c r="R34" s="115"/>
      <c r="S34" s="116"/>
      <c r="T34" s="115"/>
      <c r="U34" s="115"/>
      <c r="V34" s="115"/>
      <c r="W34" s="117"/>
    </row>
    <row r="35" ht="18.75" customHeight="1">
      <c r="A35" s="186"/>
      <c r="B35" s="13">
        <v>2151014.0</v>
      </c>
      <c r="C35" s="14">
        <v>46138.90490740741</v>
      </c>
      <c r="D35" s="187" t="s">
        <v>97</v>
      </c>
      <c r="E35" s="188" t="s">
        <v>8695</v>
      </c>
      <c r="F35" s="189"/>
      <c r="G35" s="187" t="s">
        <v>8696</v>
      </c>
      <c r="H35" s="195"/>
      <c r="I35" s="195"/>
      <c r="J35" s="196" t="s">
        <v>6469</v>
      </c>
      <c r="K35" s="196"/>
      <c r="L35" s="192" t="str">
        <f>IFERROR(__xludf.DUMMYFUNCTION("IF(
  AND(D35=""Saída"", J35=""Sangria""),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198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94">
        <f>IFERROR(__xludf.DUMMYFUNCTION("ifna(VALUE(REGEXEXTRACT(E35,""[0-9.]+[,]+[0-9]+"")))"),102.0)</f>
        <v>102</v>
      </c>
      <c r="O35" s="31"/>
      <c r="P35" s="31"/>
      <c r="Q35" s="31"/>
      <c r="R35" s="31"/>
      <c r="S35" s="31"/>
      <c r="T35" s="31"/>
      <c r="U35" s="31"/>
      <c r="V35" s="31"/>
      <c r="W35" s="31"/>
    </row>
    <row r="36" ht="14.25" customHeight="1">
      <c r="A36" s="186"/>
      <c r="B36" s="13">
        <v>2153841.0</v>
      </c>
      <c r="C36" s="14">
        <v>46140.74731481481</v>
      </c>
      <c r="D36" s="187" t="s">
        <v>97</v>
      </c>
      <c r="E36" s="188" t="s">
        <v>8673</v>
      </c>
      <c r="F36" s="189"/>
      <c r="G36" s="187" t="s">
        <v>8697</v>
      </c>
      <c r="H36" s="195"/>
      <c r="I36" s="195"/>
      <c r="J36" s="196" t="s">
        <v>6446</v>
      </c>
      <c r="K36" s="196"/>
      <c r="L36" s="192" t="str">
        <f>IFERROR(__xludf.DUMMYFUNCTION("IF(
  AND(D36=""Saída"", J36=""Sangria""),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197" t="str">
        <f>IFERROR(__xludf.DUMMYFUNCTION("IF(J36=""Compra de Mercadorias"",
   IF(
      COUNTIF(ARRAYFORMULA(TRIM(CLEAN(TO_TEXT(Notas!BS:BS)))), TRIM(CLEAN(TO_TEXT(B36)))) &gt; 0,
      ""Encontrada"",
      ""Não Encontrada""
   ),
"""")"),"Encontrada")</f>
        <v>Encontrada</v>
      </c>
      <c r="N36" s="194">
        <f>IFERROR(__xludf.DUMMYFUNCTION("ifna(VALUE(REGEXEXTRACT(E36,""[0-9.]+[,]+[0-9]+"")))"),180.0)</f>
        <v>180</v>
      </c>
      <c r="O36" s="31"/>
      <c r="P36" s="31"/>
      <c r="Q36" s="31"/>
      <c r="R36" s="31"/>
      <c r="S36" s="31"/>
      <c r="T36" s="31"/>
      <c r="U36" s="31"/>
      <c r="V36" s="31"/>
      <c r="W36" s="31"/>
    </row>
    <row r="37" ht="14.25" customHeight="1">
      <c r="A37" s="186"/>
      <c r="B37" s="13">
        <v>2153868.0</v>
      </c>
      <c r="C37" s="14">
        <v>46140.754537037035</v>
      </c>
      <c r="D37" s="187" t="s">
        <v>97</v>
      </c>
      <c r="E37" s="188" t="s">
        <v>233</v>
      </c>
      <c r="F37" s="189"/>
      <c r="G37" s="187" t="s">
        <v>151</v>
      </c>
      <c r="H37" s="195"/>
      <c r="I37" s="195"/>
      <c r="J37" s="196" t="s">
        <v>6080</v>
      </c>
      <c r="K37" s="196" t="s">
        <v>6111</v>
      </c>
      <c r="L37" s="192" t="str">
        <f>IFERROR(__xludf.DUMMYFUNCTION("IF(
  AND(D37=""Saída"", J37=""Sangria""),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01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94">
        <f>IFERROR(__xludf.DUMMYFUNCTION("ifna(VALUE(REGEXEXTRACT(E37,""[0-9.]+[,]+[0-9]+"")))"),19.0)</f>
        <v>19</v>
      </c>
      <c r="O37" s="31"/>
      <c r="P37" s="31"/>
      <c r="Q37" s="31"/>
      <c r="R37" s="31"/>
      <c r="S37" s="31"/>
      <c r="T37" s="31"/>
      <c r="U37" s="31"/>
      <c r="V37" s="31"/>
      <c r="W37" s="31"/>
    </row>
    <row r="38" ht="14.25" customHeight="1">
      <c r="A38" s="186"/>
      <c r="B38" s="13">
        <v>2155386.0</v>
      </c>
      <c r="C38" s="14">
        <v>46141.84644675926</v>
      </c>
      <c r="D38" s="187" t="s">
        <v>97</v>
      </c>
      <c r="E38" s="188" t="s">
        <v>1780</v>
      </c>
      <c r="F38" s="189"/>
      <c r="G38" s="187" t="s">
        <v>151</v>
      </c>
      <c r="H38" s="195"/>
      <c r="I38" s="195"/>
      <c r="J38" s="196" t="s">
        <v>6080</v>
      </c>
      <c r="K38" s="196" t="s">
        <v>6111</v>
      </c>
      <c r="L38" s="192" t="str">
        <f>IFERROR(__xludf.DUMMYFUNCTION("IF(
  AND(D38=""Saída"", J38=""Sangria""),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197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94">
        <f>IFERROR(__xludf.DUMMYFUNCTION("ifna(VALUE(REGEXEXTRACT(E38,""[0-9.]+[,]+[0-9]+"")))"),5.0)</f>
        <v>5</v>
      </c>
      <c r="O38" s="31"/>
      <c r="P38" s="31"/>
      <c r="Q38" s="31"/>
      <c r="R38" s="31"/>
      <c r="S38" s="31"/>
      <c r="T38" s="31"/>
      <c r="U38" s="31"/>
      <c r="V38" s="31"/>
      <c r="W38" s="31"/>
    </row>
    <row r="39" ht="21.75" customHeight="1">
      <c r="A39" s="186"/>
      <c r="B39" s="13">
        <v>2156938.0</v>
      </c>
      <c r="C39" s="14">
        <v>46142.82210648148</v>
      </c>
      <c r="D39" s="187" t="s">
        <v>97</v>
      </c>
      <c r="E39" s="188" t="s">
        <v>8698</v>
      </c>
      <c r="F39" s="189"/>
      <c r="G39" s="187" t="s">
        <v>8699</v>
      </c>
      <c r="H39" s="195"/>
      <c r="I39" s="195"/>
      <c r="J39" s="196" t="s">
        <v>6446</v>
      </c>
      <c r="K39" s="196"/>
      <c r="L39" s="192" t="str">
        <f>IFERROR(__xludf.DUMMYFUNCTION("IF(
  AND(D39=""Saída"", J39=""Sangria""),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198" t="str">
        <f>IFERROR(__xludf.DUMMYFUNCTION("IF(J39=""Compra de Mercadorias"",
   IF(
      COUNTIF(ARRAYFORMULA(TRIM(CLEAN(TO_TEXT(Notas!BS:BS)))), TRIM(CLEAN(TO_TEXT(B39)))) &gt; 0,
      ""Encontrada"",
      ""Não Encontrada""
   ),
"""")"),"Encontrada")</f>
        <v>Encontrada</v>
      </c>
      <c r="N39" s="194">
        <f>IFERROR(__xludf.DUMMYFUNCTION("ifna(VALUE(REGEXEXTRACT(E39,""[0-9.]+[,]+[0-9]+"")))"),117.99)</f>
        <v>117.99</v>
      </c>
      <c r="O39" s="31"/>
      <c r="P39" s="31"/>
      <c r="Q39" s="31"/>
      <c r="R39" s="31"/>
      <c r="S39" s="31"/>
      <c r="T39" s="31"/>
      <c r="U39" s="31"/>
      <c r="V39" s="31"/>
      <c r="W39" s="31"/>
    </row>
    <row r="40" ht="14.25" customHeight="1">
      <c r="A40" s="186"/>
      <c r="B40" s="13">
        <v>2157194.0</v>
      </c>
      <c r="C40" s="14">
        <v>46142.906747685185</v>
      </c>
      <c r="D40" s="187" t="s">
        <v>97</v>
      </c>
      <c r="E40" s="188" t="s">
        <v>1393</v>
      </c>
      <c r="F40" s="189"/>
      <c r="G40" s="187" t="s">
        <v>8700</v>
      </c>
      <c r="H40" s="195"/>
      <c r="I40" s="195"/>
      <c r="J40" s="196" t="s">
        <v>6446</v>
      </c>
      <c r="K40" s="196"/>
      <c r="L40" s="192" t="str">
        <f>IFERROR(__xludf.DUMMYFUNCTION("IF(
  AND(D40=""Saída"", J40=""Sangria""),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197" t="str">
        <f>IFERROR(__xludf.DUMMYFUNCTION("IF(J40=""Compra de Mercadorias"",
   IF(
      COUNTIF(ARRAYFORMULA(TRIM(CLEAN(TO_TEXT(Notas!BS:BS)))), TRIM(CLEAN(TO_TEXT(B40)))) &gt; 0,
      ""Encontrada"",
      ""Não Encontrada""
   ),
"""")"),"Encontrada")</f>
        <v>Encontrada</v>
      </c>
      <c r="N40" s="194">
        <f>IFERROR(__xludf.DUMMYFUNCTION("ifna(VALUE(REGEXEXTRACT(E40,""[0-9.]+[,]+[0-9]+"")))"),125.0)</f>
        <v>125</v>
      </c>
      <c r="O40" s="31"/>
      <c r="P40" s="31"/>
      <c r="Q40" s="31"/>
      <c r="R40" s="31"/>
      <c r="S40" s="31"/>
      <c r="T40" s="31"/>
      <c r="U40" s="31"/>
      <c r="V40" s="31"/>
      <c r="W40" s="31"/>
    </row>
    <row r="41" ht="14.25" customHeight="1">
      <c r="A41" s="186"/>
      <c r="B41" s="13">
        <v>2157915.0</v>
      </c>
      <c r="C41" s="14">
        <v>46143.59421296296</v>
      </c>
      <c r="D41" s="187" t="s">
        <v>97</v>
      </c>
      <c r="E41" s="188" t="s">
        <v>8701</v>
      </c>
      <c r="F41" s="189"/>
      <c r="G41" s="187" t="s">
        <v>8702</v>
      </c>
      <c r="H41" s="195"/>
      <c r="I41" s="195"/>
      <c r="J41" s="196" t="s">
        <v>6446</v>
      </c>
      <c r="K41" s="196"/>
      <c r="L41" s="192" t="str">
        <f>IFERROR(__xludf.DUMMYFUNCTION("IF(
  AND(D41=""Saída"", J41=""Sangria""),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201" t="str">
        <f>IFERROR(__xludf.DUMMYFUNCTION("IF(J41=""Compra de Mercadorias"",
   IF(
      COUNTIF(ARRAYFORMULA(TRIM(CLEAN(TO_TEXT(Notas!BS:BS)))), TRIM(CLEAN(TO_TEXT(B41)))) &gt; 0,
      ""Encontrada"",
      ""Não Encontrada""
   ),
"""")"),"Encontrada")</f>
        <v>Encontrada</v>
      </c>
      <c r="N41" s="194">
        <f>IFERROR(__xludf.DUMMYFUNCTION("ifna(VALUE(REGEXEXTRACT(E41,""[0-9.]+[,]+[0-9]+"")))"),20.91)</f>
        <v>20.91</v>
      </c>
      <c r="O41" s="31"/>
      <c r="P41" s="31"/>
      <c r="Q41" s="31"/>
      <c r="R41" s="31"/>
      <c r="S41" s="31"/>
      <c r="T41" s="31"/>
      <c r="U41" s="31"/>
      <c r="V41" s="31"/>
      <c r="W41" s="31"/>
    </row>
    <row r="42" ht="14.25" customHeight="1">
      <c r="A42" s="186"/>
      <c r="B42" s="13">
        <v>2158643.0</v>
      </c>
      <c r="C42" s="14">
        <v>46143.774097222224</v>
      </c>
      <c r="D42" s="187" t="s">
        <v>97</v>
      </c>
      <c r="E42" s="188" t="s">
        <v>8703</v>
      </c>
      <c r="F42" s="189"/>
      <c r="G42" s="187" t="s">
        <v>8704</v>
      </c>
      <c r="H42" s="195"/>
      <c r="I42" s="195"/>
      <c r="J42" s="196" t="s">
        <v>6446</v>
      </c>
      <c r="K42" s="196"/>
      <c r="L42" s="192" t="str">
        <f>IFERROR(__xludf.DUMMYFUNCTION("IF(
  AND(D42=""Saída"", J42=""Sangria""),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197" t="str">
        <f>IFERROR(__xludf.DUMMYFUNCTION("IF(J42=""Compra de Mercadorias"",
   IF(
      COUNTIF(ARRAYFORMULA(TRIM(CLEAN(TO_TEXT(Notas!BS:BS)))), TRIM(CLEAN(TO_TEXT(B42)))) &gt; 0,
      ""Encontrada"",
      ""Não Encontrada""
   ),
"""")"),"Encontrada")</f>
        <v>Encontrada</v>
      </c>
      <c r="N42" s="194">
        <f>IFERROR(__xludf.DUMMYFUNCTION("ifna(VALUE(REGEXEXTRACT(E42,""[0-9.]+[,]+[0-9]+"")))"),5.44)</f>
        <v>5.44</v>
      </c>
      <c r="O42" s="31"/>
      <c r="P42" s="31"/>
      <c r="Q42" s="31"/>
      <c r="R42" s="31"/>
      <c r="S42" s="31"/>
      <c r="T42" s="31"/>
      <c r="U42" s="31"/>
      <c r="V42" s="31"/>
      <c r="W42" s="31"/>
    </row>
    <row r="43" ht="14.25" customHeight="1">
      <c r="A43" s="186"/>
      <c r="B43" s="13">
        <v>2159187.0</v>
      </c>
      <c r="C43" s="14">
        <v>46143.88815972222</v>
      </c>
      <c r="D43" s="187" t="s">
        <v>97</v>
      </c>
      <c r="E43" s="188" t="s">
        <v>6561</v>
      </c>
      <c r="F43" s="189"/>
      <c r="G43" s="187" t="s">
        <v>8705</v>
      </c>
      <c r="H43" s="202"/>
      <c r="I43" s="202"/>
      <c r="J43" s="196" t="s">
        <v>6469</v>
      </c>
      <c r="K43" s="196"/>
      <c r="L43" s="192" t="str">
        <f>IFERROR(__xludf.DUMMYFUNCTION("IF(
  AND(D43=""Saída"", J43=""Sangria""),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03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94">
        <f>IFERROR(__xludf.DUMMYFUNCTION("ifna(VALUE(REGEXEXTRACT(E43,""[0-9.]+[,]+[0-9]+"")))"),123.0)</f>
        <v>123</v>
      </c>
      <c r="O43" s="31"/>
      <c r="P43" s="31"/>
      <c r="Q43" s="31"/>
      <c r="R43" s="31"/>
      <c r="S43" s="31"/>
      <c r="T43" s="31"/>
      <c r="U43" s="31"/>
      <c r="V43" s="31"/>
      <c r="W43" s="31"/>
    </row>
    <row r="44" ht="14.25" customHeight="1">
      <c r="A44" s="186"/>
      <c r="B44" s="13">
        <v>2159190.0</v>
      </c>
      <c r="C44" s="14">
        <v>46143.888773148145</v>
      </c>
      <c r="D44" s="187" t="s">
        <v>97</v>
      </c>
      <c r="E44" s="188" t="s">
        <v>6561</v>
      </c>
      <c r="F44" s="189"/>
      <c r="G44" s="187" t="s">
        <v>8706</v>
      </c>
      <c r="H44" s="202"/>
      <c r="I44" s="202"/>
      <c r="J44" s="196" t="s">
        <v>6469</v>
      </c>
      <c r="K44" s="196"/>
      <c r="L44" s="192" t="str">
        <f>IFERROR(__xludf.DUMMYFUNCTION("IF(
  AND(D44=""Saída"", J44=""Sangria""),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197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94">
        <f>IFERROR(__xludf.DUMMYFUNCTION("ifna(VALUE(REGEXEXTRACT(E44,""[0-9.]+[,]+[0-9]+"")))"),123.0)</f>
        <v>123</v>
      </c>
      <c r="O44" s="31"/>
      <c r="P44" s="31"/>
      <c r="Q44" s="31"/>
      <c r="R44" s="31"/>
      <c r="S44" s="31"/>
      <c r="T44" s="31"/>
      <c r="U44" s="31"/>
      <c r="V44" s="31"/>
      <c r="W44" s="31"/>
    </row>
    <row r="45" ht="14.25" customHeight="1">
      <c r="A45" s="186"/>
      <c r="B45" s="13">
        <v>2160849.0</v>
      </c>
      <c r="C45" s="14">
        <v>46144.73174768518</v>
      </c>
      <c r="D45" s="187" t="s">
        <v>97</v>
      </c>
      <c r="E45" s="188" t="s">
        <v>8707</v>
      </c>
      <c r="F45" s="189"/>
      <c r="G45" s="187" t="s">
        <v>8708</v>
      </c>
      <c r="H45" s="204"/>
      <c r="I45" s="204"/>
      <c r="J45" s="196" t="s">
        <v>6446</v>
      </c>
      <c r="K45" s="196"/>
      <c r="L45" s="192" t="str">
        <f>IFERROR(__xludf.DUMMYFUNCTION("IF(
  AND(D45=""Saída"", J45=""Sangria""),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198" t="str">
        <f>IFERROR(__xludf.DUMMYFUNCTION("IF(J45=""Compra de Mercadorias"",
   IF(
      COUNTIF(ARRAYFORMULA(TRIM(CLEAN(TO_TEXT(Notas!BS:BS)))), TRIM(CLEAN(TO_TEXT(B45)))) &gt; 0,
      ""Encontrada"",
      ""Não Encontrada""
   ),
"""")"),"Encontrada")</f>
        <v>Encontrada</v>
      </c>
      <c r="N45" s="194">
        <f>IFERROR(__xludf.DUMMYFUNCTION("ifna(VALUE(REGEXEXTRACT(E45,""[0-9.]+[,]+[0-9]+"")))"),28.43)</f>
        <v>28.43</v>
      </c>
      <c r="O45" s="31"/>
      <c r="P45" s="31"/>
      <c r="Q45" s="31"/>
      <c r="R45" s="31"/>
      <c r="S45" s="31"/>
      <c r="T45" s="31"/>
      <c r="U45" s="31"/>
      <c r="V45" s="31"/>
      <c r="W45" s="31"/>
    </row>
    <row r="46" ht="18.75" customHeight="1">
      <c r="A46" s="186"/>
      <c r="B46" s="13">
        <v>2160852.0</v>
      </c>
      <c r="C46" s="14">
        <v>46144.73266203704</v>
      </c>
      <c r="D46" s="187" t="s">
        <v>97</v>
      </c>
      <c r="E46" s="188" t="s">
        <v>532</v>
      </c>
      <c r="F46" s="189"/>
      <c r="G46" s="187" t="s">
        <v>8709</v>
      </c>
      <c r="H46" s="204"/>
      <c r="I46" s="204"/>
      <c r="J46" s="196" t="s">
        <v>6469</v>
      </c>
      <c r="K46" s="196"/>
      <c r="L46" s="192" t="str">
        <f>IFERROR(__xludf.DUMMYFUNCTION("IF(
  AND(D46=""Saída"", J46=""Sangria""),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197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94">
        <f>IFERROR(__xludf.DUMMYFUNCTION("ifna(VALUE(REGEXEXTRACT(E46,""[0-9.]+[,]+[0-9]+"")))"),65.0)</f>
        <v>65</v>
      </c>
      <c r="O46" s="31"/>
      <c r="P46" s="31"/>
      <c r="Q46" s="31"/>
      <c r="R46" s="31"/>
      <c r="S46" s="31"/>
      <c r="T46" s="31"/>
      <c r="U46" s="31"/>
      <c r="V46" s="31"/>
      <c r="W46" s="31"/>
    </row>
    <row r="47" ht="14.25" customHeight="1">
      <c r="A47" s="186"/>
      <c r="B47" s="13">
        <v>2163483.0</v>
      </c>
      <c r="C47" s="14">
        <v>46145.875081018516</v>
      </c>
      <c r="D47" s="187" t="s">
        <v>97</v>
      </c>
      <c r="E47" s="188" t="s">
        <v>6561</v>
      </c>
      <c r="F47" s="189"/>
      <c r="G47" s="187" t="s">
        <v>8710</v>
      </c>
      <c r="H47" s="204"/>
      <c r="I47" s="204"/>
      <c r="J47" s="196" t="s">
        <v>6469</v>
      </c>
      <c r="K47" s="196"/>
      <c r="L47" s="192" t="str">
        <f>IFERROR(__xludf.DUMMYFUNCTION("IF(
  AND(D47=""Saída"", J47=""Sangria""),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198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94">
        <f>IFERROR(__xludf.DUMMYFUNCTION("ifna(VALUE(REGEXEXTRACT(E47,""[0-9.]+[,]+[0-9]+"")))"),123.0)</f>
        <v>123</v>
      </c>
      <c r="O47" s="31"/>
      <c r="P47" s="31"/>
      <c r="Q47" s="31"/>
      <c r="R47" s="31"/>
      <c r="S47" s="31"/>
      <c r="T47" s="31"/>
      <c r="U47" s="31"/>
      <c r="V47" s="31"/>
      <c r="W47" s="31"/>
    </row>
    <row r="48">
      <c r="A48" s="186"/>
      <c r="B48" s="13">
        <v>2163486.0</v>
      </c>
      <c r="C48" s="14">
        <v>46145.87542824074</v>
      </c>
      <c r="D48" s="187" t="s">
        <v>97</v>
      </c>
      <c r="E48" s="188" t="s">
        <v>8613</v>
      </c>
      <c r="F48" s="189"/>
      <c r="G48" s="187" t="s">
        <v>8711</v>
      </c>
      <c r="H48" s="204"/>
      <c r="I48" s="204"/>
      <c r="J48" s="196" t="s">
        <v>6469</v>
      </c>
      <c r="K48" s="196"/>
      <c r="L48" s="192" t="str">
        <f>IFERROR(__xludf.DUMMYFUNCTION("IF(
  AND(D48=""Saída"", J48=""Sangria""),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197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94">
        <f>IFERROR(__xludf.DUMMYFUNCTION("ifna(VALUE(REGEXEXTRACT(E48,""[0-9.]+[,]+[0-9]+"")))"),143.0)</f>
        <v>143</v>
      </c>
      <c r="O48" s="205" t="str">
        <f>B8</f>
        <v>Joice</v>
      </c>
      <c r="P48" s="112"/>
      <c r="Q48" s="112"/>
      <c r="R48" s="112"/>
      <c r="S48" s="128"/>
      <c r="T48" s="129" t="str">
        <f>B9</f>
        <v>Fernando</v>
      </c>
      <c r="U48" s="112"/>
      <c r="V48" s="112"/>
      <c r="W48" s="130"/>
    </row>
    <row r="49" ht="14.25" customHeight="1">
      <c r="A49" s="186"/>
      <c r="B49" s="13">
        <v>2163651.0</v>
      </c>
      <c r="C49" s="14">
        <v>46145.899872685186</v>
      </c>
      <c r="D49" s="187" t="s">
        <v>97</v>
      </c>
      <c r="E49" s="188" t="s">
        <v>1221</v>
      </c>
      <c r="F49" s="189"/>
      <c r="G49" s="187" t="s">
        <v>8712</v>
      </c>
      <c r="H49" s="204"/>
      <c r="I49" s="204"/>
      <c r="J49" s="196" t="s">
        <v>6551</v>
      </c>
      <c r="K49" s="196"/>
      <c r="L49" s="192" t="str">
        <f>IFERROR(__xludf.DUMMYFUNCTION("IF(
  AND(D49=""Saída"", J49=""Sangria""),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198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94">
        <f>IFERROR(__xludf.DUMMYFUNCTION("ifna(VALUE(REGEXEXTRACT(E49,""[0-9.]+[,]+[0-9]+"")))"),336.0)</f>
        <v>336</v>
      </c>
      <c r="O49" s="52" t="str">
        <f>IFERROR(__xludf.DUMMYFUNCTION("query(C28:L507,""select Col1,Col3,Col8,Col9 where (Col8 = 'Adiantamento' or Col8 = 'Consumo') and Col9 = '""&amp;B8&amp;""'"",1)"),"Data")</f>
        <v>Data</v>
      </c>
      <c r="P49" s="53" t="str">
        <f>IFERROR(__xludf.DUMMYFUNCTION("""COMPUTED_VALUE"""),"Valor ")</f>
        <v>Valor </v>
      </c>
      <c r="Q49" s="53" t="str">
        <f>IFERROR(__xludf.DUMMYFUNCTION("""COMPUTED_VALUE"""),"Tipo")</f>
        <v>Tipo</v>
      </c>
      <c r="R49" s="53" t="str">
        <f>IFERROR(__xludf.DUMMYFUNCTION("""COMPUTED_VALUE"""),"Funcionário")</f>
        <v>Funcionário</v>
      </c>
      <c r="S49" s="55"/>
      <c r="T49" s="56" t="str">
        <f>IFERROR(__xludf.DUMMYFUNCTION("query(C28:L507,""select Col1,Col3,Col8,Col9 where (Col8 = 'Adiantamento' or Col8 = 'Consumo') and Col9 = '""&amp;B9&amp;""'"",1)"),"Data")</f>
        <v>Data</v>
      </c>
      <c r="U49" s="56" t="str">
        <f>IFERROR(__xludf.DUMMYFUNCTION("""COMPUTED_VALUE"""),"Valor ")</f>
        <v>Valor </v>
      </c>
      <c r="V49" s="56" t="str">
        <f>IFERROR(__xludf.DUMMYFUNCTION("""COMPUTED_VALUE"""),"Tipo")</f>
        <v>Tipo</v>
      </c>
      <c r="W49" s="57" t="str">
        <f>IFERROR(__xludf.DUMMYFUNCTION("""COMPUTED_VALUE"""),"Funcionário")</f>
        <v>Funcionário</v>
      </c>
    </row>
    <row r="50" ht="14.25" customHeight="1">
      <c r="A50" s="186"/>
      <c r="B50" s="13">
        <v>2165106.0</v>
      </c>
      <c r="C50" s="14">
        <v>46146.784837962965</v>
      </c>
      <c r="D50" s="187" t="s">
        <v>97</v>
      </c>
      <c r="E50" s="188" t="s">
        <v>343</v>
      </c>
      <c r="F50" s="189"/>
      <c r="G50" s="187" t="s">
        <v>8713</v>
      </c>
      <c r="H50" s="204"/>
      <c r="I50" s="204"/>
      <c r="J50" s="196" t="s">
        <v>6446</v>
      </c>
      <c r="K50" s="196"/>
      <c r="L50" s="192" t="str">
        <f>IFERROR(__xludf.DUMMYFUNCTION("IF(
  AND(D50=""Saída"", J50=""Sangria""),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01" t="str">
        <f>IFERROR(__xludf.DUMMYFUNCTION("IF(J50=""Compra de Mercadorias"",
   IF(
      COUNTIF(ARRAYFORMULA(TRIM(CLEAN(TO_TEXT(Notas!BS:BS)))), TRIM(CLEAN(TO_TEXT(B50)))) &gt; 0,
      ""Encontrada"",
      ""Não Encontrada""
   ),
"""")"),"Encontrada")</f>
        <v>Encontrada</v>
      </c>
      <c r="N50" s="194">
        <f>IFERROR(__xludf.DUMMYFUNCTION("ifna(VALUE(REGEXEXTRACT(E50,""[0-9.]+[,]+[0-9]+"")))"),50.0)</f>
        <v>50</v>
      </c>
      <c r="O50" s="58"/>
      <c r="P50" s="59"/>
      <c r="Q50" s="59"/>
      <c r="R50" s="59"/>
      <c r="S50" s="61"/>
      <c r="T50" s="59"/>
      <c r="U50" s="59"/>
      <c r="V50" s="59"/>
      <c r="W50" s="60"/>
    </row>
    <row r="51" ht="30.0" customHeight="1">
      <c r="A51" s="186"/>
      <c r="B51" s="13">
        <v>2165114.0</v>
      </c>
      <c r="C51" s="14">
        <v>46146.78773148148</v>
      </c>
      <c r="D51" s="187" t="s">
        <v>97</v>
      </c>
      <c r="E51" s="188" t="s">
        <v>8714</v>
      </c>
      <c r="F51" s="200"/>
      <c r="G51" s="187" t="s">
        <v>1042</v>
      </c>
      <c r="H51" s="204"/>
      <c r="I51" s="204"/>
      <c r="J51" s="196" t="s">
        <v>6080</v>
      </c>
      <c r="K51" s="196" t="s">
        <v>6111</v>
      </c>
      <c r="L51" s="192" t="str">
        <f>IFERROR(__xludf.DUMMYFUNCTION("IF(
  AND(D51=""Saída"", J51=""Sangria""),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198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94">
        <f>IFERROR(__xludf.DUMMYFUNCTION("ifna(VALUE(REGEXEXTRACT(E51,""[0-9.]+[,]+[0-9]+"")))"),19.25)</f>
        <v>19.25</v>
      </c>
      <c r="O51" s="58"/>
      <c r="P51" s="59"/>
      <c r="Q51" s="59"/>
      <c r="R51" s="59"/>
      <c r="S51" s="61"/>
      <c r="T51" s="59"/>
      <c r="U51" s="59"/>
      <c r="V51" s="59"/>
      <c r="W51" s="60"/>
    </row>
    <row r="52" ht="14.25" customHeight="1">
      <c r="A52" s="186"/>
      <c r="B52" s="13">
        <v>2166271.0</v>
      </c>
      <c r="C52" s="14">
        <v>46147.68298611111</v>
      </c>
      <c r="D52" s="187" t="s">
        <v>97</v>
      </c>
      <c r="E52" s="188" t="s">
        <v>8715</v>
      </c>
      <c r="F52" s="200"/>
      <c r="G52" s="187" t="s">
        <v>8704</v>
      </c>
      <c r="H52" s="204"/>
      <c r="I52" s="204"/>
      <c r="J52" s="196" t="s">
        <v>6446</v>
      </c>
      <c r="K52" s="196"/>
      <c r="L52" s="192" t="str">
        <f>IFERROR(__xludf.DUMMYFUNCTION("IF(
  AND(D52=""Saída"", J52=""Sangria""),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197" t="str">
        <f>IFERROR(__xludf.DUMMYFUNCTION("IF(J52=""Compra de Mercadorias"",
   IF(
      COUNTIF(ARRAYFORMULA(TRIM(CLEAN(TO_TEXT(Notas!BS:BS)))), TRIM(CLEAN(TO_TEXT(B52)))) &gt; 0,
      ""Encontrada"",
      ""Não Encontrada""
   ),
"""")"),"Encontrada")</f>
        <v>Encontrada</v>
      </c>
      <c r="N52" s="194">
        <f>IFERROR(__xludf.DUMMYFUNCTION("ifna(VALUE(REGEXEXTRACT(E52,""[0-9.]+[,]+[0-9]+"")))"),6.96)</f>
        <v>6.96</v>
      </c>
      <c r="O52" s="58"/>
      <c r="P52" s="59"/>
      <c r="Q52" s="59"/>
      <c r="R52" s="59"/>
      <c r="S52" s="61"/>
      <c r="T52" s="59"/>
      <c r="U52" s="59"/>
      <c r="V52" s="59"/>
      <c r="W52" s="60"/>
    </row>
    <row r="53" ht="14.25" customHeight="1">
      <c r="A53" s="186"/>
      <c r="B53" s="13">
        <v>2168075.0</v>
      </c>
      <c r="C53" s="14">
        <v>46148.69704861111</v>
      </c>
      <c r="D53" s="187" t="s">
        <v>97</v>
      </c>
      <c r="E53" s="188" t="s">
        <v>8716</v>
      </c>
      <c r="F53" s="200"/>
      <c r="G53" s="187" t="s">
        <v>8717</v>
      </c>
      <c r="H53" s="204"/>
      <c r="I53" s="204"/>
      <c r="J53" s="196" t="s">
        <v>6446</v>
      </c>
      <c r="K53" s="196"/>
      <c r="L53" s="192" t="str">
        <f>IFERROR(__xludf.DUMMYFUNCTION("IF(
  AND(D53=""Saída"", J53=""Sangria""),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198" t="str">
        <f>IFERROR(__xludf.DUMMYFUNCTION("IF(J53=""Compra de Mercadorias"",
   IF(
      COUNTIF(ARRAYFORMULA(TRIM(CLEAN(TO_TEXT(Notas!BS:BS)))), TRIM(CLEAN(TO_TEXT(B53)))) &gt; 0,
      ""Encontrada"",
      ""Não Encontrada""
   ),
"""")"),"Encontrada")</f>
        <v>Encontrada</v>
      </c>
      <c r="N53" s="194">
        <f>IFERROR(__xludf.DUMMYFUNCTION("ifna(VALUE(REGEXEXTRACT(E53,""[0-9.]+[,]+[0-9]+"")))"),332.0)</f>
        <v>332</v>
      </c>
      <c r="O53" s="58"/>
      <c r="P53" s="59"/>
      <c r="Q53" s="59"/>
      <c r="R53" s="59"/>
      <c r="S53" s="61"/>
      <c r="T53" s="59"/>
      <c r="U53" s="59"/>
      <c r="V53" s="59"/>
      <c r="W53" s="60"/>
    </row>
    <row r="54" ht="14.25" customHeight="1">
      <c r="A54" s="186"/>
      <c r="B54" s="13">
        <v>2168344.0</v>
      </c>
      <c r="C54" s="14">
        <v>46148.768113425926</v>
      </c>
      <c r="D54" s="187" t="s">
        <v>97</v>
      </c>
      <c r="E54" s="188" t="s">
        <v>8718</v>
      </c>
      <c r="F54" s="189"/>
      <c r="G54" s="187" t="s">
        <v>151</v>
      </c>
      <c r="H54" s="204"/>
      <c r="I54" s="204"/>
      <c r="J54" s="196" t="s">
        <v>6080</v>
      </c>
      <c r="K54" s="196" t="s">
        <v>6111</v>
      </c>
      <c r="L54" s="192" t="str">
        <f>IFERROR(__xludf.DUMMYFUNCTION("IF(
  AND(D54=""Saída"", J54=""Sangria""),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197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94">
        <f>IFERROR(__xludf.DUMMYFUNCTION("ifna(VALUE(REGEXEXTRACT(E54,""[0-9.]+[,]+[0-9]+"")))"),21.01)</f>
        <v>21.01</v>
      </c>
      <c r="O54" s="58"/>
      <c r="P54" s="59"/>
      <c r="Q54" s="59"/>
      <c r="R54" s="59"/>
      <c r="S54" s="61"/>
      <c r="T54" s="59"/>
      <c r="U54" s="59"/>
      <c r="V54" s="59"/>
      <c r="W54" s="60"/>
    </row>
    <row r="55" ht="14.25" customHeight="1">
      <c r="A55" s="186"/>
      <c r="B55" s="13">
        <v>2168388.0</v>
      </c>
      <c r="C55" s="14">
        <v>46148.78210648148</v>
      </c>
      <c r="D55" s="187" t="s">
        <v>97</v>
      </c>
      <c r="E55" s="188" t="s">
        <v>281</v>
      </c>
      <c r="F55" s="189"/>
      <c r="G55" s="187" t="s">
        <v>8691</v>
      </c>
      <c r="H55" s="204"/>
      <c r="I55" s="204"/>
      <c r="J55" s="196" t="s">
        <v>6080</v>
      </c>
      <c r="K55" s="196" t="s">
        <v>6198</v>
      </c>
      <c r="L55" s="192" t="str">
        <f>IFERROR(__xludf.DUMMYFUNCTION("IF(
  AND(D55=""Saída"", J55=""Sangria""),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01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94">
        <f>IFERROR(__xludf.DUMMYFUNCTION("ifna(VALUE(REGEXEXTRACT(E55,""[0-9.]+[,]+[0-9]+"")))"),19.9)</f>
        <v>19.9</v>
      </c>
      <c r="O55" s="58"/>
      <c r="P55" s="85"/>
      <c r="Q55" s="85"/>
      <c r="R55" s="85"/>
      <c r="S55" s="87"/>
      <c r="T55" s="85"/>
      <c r="U55" s="85"/>
      <c r="V55" s="85"/>
      <c r="W55" s="86"/>
    </row>
    <row r="56" ht="14.25" customHeight="1">
      <c r="A56" s="186"/>
      <c r="B56" s="13">
        <v>2168580.0</v>
      </c>
      <c r="C56" s="14">
        <v>46148.854375</v>
      </c>
      <c r="D56" s="187" t="s">
        <v>97</v>
      </c>
      <c r="E56" s="188" t="s">
        <v>763</v>
      </c>
      <c r="F56" s="189"/>
      <c r="G56" s="187" t="s">
        <v>8602</v>
      </c>
      <c r="H56" s="204"/>
      <c r="I56" s="204"/>
      <c r="J56" s="196" t="s">
        <v>6544</v>
      </c>
      <c r="K56" s="196" t="s">
        <v>6111</v>
      </c>
      <c r="L56" s="192" t="str">
        <f>IFERROR(__xludf.DUMMYFUNCTION("IF(
  AND(D56=""Saída"", J56=""Sangria""),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"),"Confirmada")</f>
        <v>Confirmada</v>
      </c>
      <c r="M56" s="197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94">
        <f>IFERROR(__xludf.DUMMYFUNCTION("ifna(VALUE(REGEXEXTRACT(E56,""[0-9.]+[,]+[0-9]+"")))"),1000.0)</f>
        <v>1000</v>
      </c>
      <c r="O56" s="94"/>
      <c r="P56" s="95"/>
      <c r="Q56" s="95"/>
      <c r="R56" s="95"/>
      <c r="S56" s="97"/>
      <c r="T56" s="95"/>
      <c r="U56" s="95"/>
      <c r="V56" s="95"/>
      <c r="W56" s="96"/>
    </row>
    <row r="57" ht="17.25" customHeight="1">
      <c r="A57" s="186"/>
      <c r="B57" s="13">
        <v>2168593.0</v>
      </c>
      <c r="C57" s="14">
        <v>46148.86004629629</v>
      </c>
      <c r="D57" s="187" t="s">
        <v>97</v>
      </c>
      <c r="E57" s="188" t="s">
        <v>6729</v>
      </c>
      <c r="F57" s="189"/>
      <c r="G57" s="187" t="s">
        <v>151</v>
      </c>
      <c r="H57" s="204"/>
      <c r="I57" s="204"/>
      <c r="J57" s="196" t="s">
        <v>6080</v>
      </c>
      <c r="K57" s="196" t="s">
        <v>6111</v>
      </c>
      <c r="L57" s="192" t="str">
        <f>IFERROR(__xludf.DUMMYFUNCTION("IF(
  AND(D57=""Saída"", J57=""Sangria""),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198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94">
        <f>IFERROR(__xludf.DUMMYFUNCTION("ifna(VALUE(REGEXEXTRACT(E57,""[0-9.]+[,]+[0-9]+"")))"),21.0)</f>
        <v>21</v>
      </c>
      <c r="O57" s="94"/>
      <c r="P57" s="95"/>
      <c r="Q57" s="95"/>
      <c r="R57" s="95"/>
      <c r="S57" s="97"/>
      <c r="T57" s="95"/>
      <c r="U57" s="95"/>
      <c r="V57" s="95"/>
      <c r="W57" s="96"/>
    </row>
    <row r="58" ht="14.25" customHeight="1">
      <c r="A58" s="186"/>
      <c r="B58" s="13">
        <v>2170392.0</v>
      </c>
      <c r="C58" s="14">
        <v>46149.87111111111</v>
      </c>
      <c r="D58" s="187" t="s">
        <v>97</v>
      </c>
      <c r="E58" s="188" t="s">
        <v>8719</v>
      </c>
      <c r="F58" s="200"/>
      <c r="G58" s="187" t="s">
        <v>151</v>
      </c>
      <c r="H58" s="204"/>
      <c r="I58" s="204"/>
      <c r="J58" s="196" t="s">
        <v>6080</v>
      </c>
      <c r="K58" s="196" t="s">
        <v>6111</v>
      </c>
      <c r="L58" s="192" t="str">
        <f>IFERROR(__xludf.DUMMYFUNCTION("IF(
  AND(D58=""Saída"", J58=""Sangria""),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197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94">
        <f>IFERROR(__xludf.DUMMYFUNCTION("ifna(VALUE(REGEXEXTRACT(E58,""[0-9.]+[,]+[0-9]+"")))"),26.11)</f>
        <v>26.11</v>
      </c>
      <c r="O58" s="94"/>
      <c r="P58" s="95"/>
      <c r="Q58" s="95"/>
      <c r="R58" s="95"/>
      <c r="S58" s="97"/>
      <c r="T58" s="95"/>
      <c r="U58" s="95"/>
      <c r="V58" s="95"/>
      <c r="W58" s="96"/>
    </row>
    <row r="59" ht="14.25" customHeight="1">
      <c r="A59" s="186"/>
      <c r="B59" s="13">
        <v>2173491.0</v>
      </c>
      <c r="C59" s="14">
        <v>46151.85613425926</v>
      </c>
      <c r="D59" s="187" t="s">
        <v>97</v>
      </c>
      <c r="E59" s="188" t="s">
        <v>8720</v>
      </c>
      <c r="F59" s="200"/>
      <c r="G59" s="187" t="s">
        <v>8721</v>
      </c>
      <c r="H59" s="204"/>
      <c r="I59" s="204"/>
      <c r="J59" s="196" t="s">
        <v>6469</v>
      </c>
      <c r="K59" s="196"/>
      <c r="L59" s="192" t="str">
        <f>IFERROR(__xludf.DUMMYFUNCTION("IF(
  AND(D59=""Saída"", J59=""Sangria""),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198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94">
        <f>IFERROR(__xludf.DUMMYFUNCTION("ifna(VALUE(REGEXEXTRACT(E59,""[0-9.]+[,]+[0-9]+"")))"),128.0)</f>
        <v>128</v>
      </c>
      <c r="O59" s="94"/>
      <c r="P59" s="95"/>
      <c r="Q59" s="95"/>
      <c r="R59" s="95"/>
      <c r="S59" s="97"/>
      <c r="T59" s="95"/>
      <c r="U59" s="95"/>
      <c r="V59" s="95"/>
      <c r="W59" s="96"/>
    </row>
    <row r="60" ht="14.25" customHeight="1">
      <c r="A60" s="186"/>
      <c r="B60" s="13">
        <v>2174807.0</v>
      </c>
      <c r="C60" s="14">
        <v>46152.774675925924</v>
      </c>
      <c r="D60" s="187" t="s">
        <v>97</v>
      </c>
      <c r="E60" s="188" t="s">
        <v>8347</v>
      </c>
      <c r="F60" s="189"/>
      <c r="G60" s="187" t="s">
        <v>8558</v>
      </c>
      <c r="H60" s="204"/>
      <c r="I60" s="204"/>
      <c r="J60" s="196" t="s">
        <v>6080</v>
      </c>
      <c r="K60" s="196" t="s">
        <v>6198</v>
      </c>
      <c r="L60" s="192" t="str">
        <f>IFERROR(__xludf.DUMMYFUNCTION("IF(
  AND(D60=""Saída"", J60=""Sangria""),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197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94">
        <f>IFERROR(__xludf.DUMMYFUNCTION("ifna(VALUE(REGEXEXTRACT(E60,""[0-9.]+[,]+[0-9]+"")))"),40.0)</f>
        <v>40</v>
      </c>
      <c r="O60" s="207"/>
      <c r="P60" s="208"/>
      <c r="Q60" s="209"/>
      <c r="R60" s="210"/>
      <c r="S60" s="97"/>
      <c r="T60" s="95"/>
      <c r="U60" s="95"/>
      <c r="V60" s="95"/>
      <c r="W60" s="96"/>
    </row>
    <row r="61" ht="14.25" customHeight="1">
      <c r="A61" s="186"/>
      <c r="B61" s="13">
        <v>2174933.0</v>
      </c>
      <c r="C61" s="14">
        <v>46152.818194444444</v>
      </c>
      <c r="D61" s="187" t="s">
        <v>97</v>
      </c>
      <c r="E61" s="188" t="s">
        <v>8722</v>
      </c>
      <c r="F61" s="189"/>
      <c r="G61" s="187" t="s">
        <v>8723</v>
      </c>
      <c r="H61" s="204"/>
      <c r="I61" s="204"/>
      <c r="J61" s="196" t="s">
        <v>6469</v>
      </c>
      <c r="K61" s="196"/>
      <c r="L61" s="192" t="str">
        <f>IFERROR(__xludf.DUMMYFUNCTION("IF(
  AND(D61=""Saída"", J61=""Sangria""),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198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94">
        <f>IFERROR(__xludf.DUMMYFUNCTION("ifna(VALUE(REGEXEXTRACT(E61,""[0-9.]+[,]+[0-9]+"")))"),359.0)</f>
        <v>359</v>
      </c>
      <c r="O61" s="94"/>
      <c r="P61" s="95"/>
      <c r="Q61" s="95"/>
      <c r="R61" s="95"/>
      <c r="S61" s="97"/>
      <c r="T61" s="95"/>
      <c r="U61" s="95"/>
      <c r="V61" s="95"/>
      <c r="W61" s="96"/>
    </row>
    <row r="62" ht="14.25" customHeight="1">
      <c r="A62" s="186"/>
      <c r="B62" s="13">
        <v>2175064.0</v>
      </c>
      <c r="C62" s="14">
        <v>46152.85664351852</v>
      </c>
      <c r="D62" s="187" t="s">
        <v>97</v>
      </c>
      <c r="E62" s="188" t="s">
        <v>8724</v>
      </c>
      <c r="F62" s="189"/>
      <c r="G62" s="187" t="s">
        <v>8725</v>
      </c>
      <c r="H62" s="204"/>
      <c r="I62" s="204"/>
      <c r="J62" s="196" t="s">
        <v>6551</v>
      </c>
      <c r="K62" s="196"/>
      <c r="L62" s="192" t="str">
        <f>IFERROR(__xludf.DUMMYFUNCTION("IF(
  AND(D62=""Saída"", J62=""Sangria""),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197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94">
        <f>IFERROR(__xludf.DUMMYFUNCTION("ifna(VALUE(REGEXEXTRACT(E62,""[0-9.]+[,]+[0-9]+"")))"),378.0)</f>
        <v>378</v>
      </c>
      <c r="O62" s="94"/>
      <c r="P62" s="95"/>
      <c r="Q62" s="95"/>
      <c r="R62" s="95"/>
      <c r="S62" s="97"/>
      <c r="T62" s="95"/>
      <c r="U62" s="95"/>
      <c r="V62" s="95"/>
      <c r="W62" s="96"/>
    </row>
    <row r="63" ht="14.25" customHeight="1">
      <c r="A63" s="186"/>
      <c r="B63" s="13">
        <v>2176100.0</v>
      </c>
      <c r="C63" s="14">
        <v>46153.628287037034</v>
      </c>
      <c r="D63" s="187" t="s">
        <v>97</v>
      </c>
      <c r="E63" s="188" t="s">
        <v>1393</v>
      </c>
      <c r="F63" s="189"/>
      <c r="G63" s="187" t="s">
        <v>8726</v>
      </c>
      <c r="H63" s="204"/>
      <c r="I63" s="204"/>
      <c r="J63" s="196" t="s">
        <v>6446</v>
      </c>
      <c r="K63" s="196"/>
      <c r="L63" s="192" t="str">
        <f>IFERROR(__xludf.DUMMYFUNCTION("IF(
  AND(D63=""Saída"", J63=""Sangria""),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198" t="str">
        <f>IFERROR(__xludf.DUMMYFUNCTION("IF(J63=""Compra de Mercadorias"",
   IF(
      COUNTIF(ARRAYFORMULA(TRIM(CLEAN(TO_TEXT(Notas!BS:BS)))), TRIM(CLEAN(TO_TEXT(B63)))) &gt; 0,
      ""Encontrada"",
      ""Não Encontrada""
   ),
"""")"),"Encontrada")</f>
        <v>Encontrada</v>
      </c>
      <c r="N63" s="194">
        <f>IFERROR(__xludf.DUMMYFUNCTION("ifna(VALUE(REGEXEXTRACT(E63,""[0-9.]+[,]+[0-9]+"")))"),125.0)</f>
        <v>125</v>
      </c>
      <c r="O63" s="114"/>
      <c r="P63" s="115"/>
      <c r="Q63" s="115"/>
      <c r="R63" s="115"/>
      <c r="S63" s="116"/>
      <c r="T63" s="115"/>
      <c r="U63" s="115"/>
      <c r="V63" s="115"/>
      <c r="W63" s="117"/>
    </row>
    <row r="64" ht="35.25" customHeight="1">
      <c r="A64" s="186"/>
      <c r="B64" s="13">
        <v>2176223.0</v>
      </c>
      <c r="C64" s="14">
        <v>46153.68881944445</v>
      </c>
      <c r="D64" s="187" t="s">
        <v>97</v>
      </c>
      <c r="E64" s="188" t="s">
        <v>8727</v>
      </c>
      <c r="F64" s="189"/>
      <c r="G64" s="187" t="s">
        <v>8728</v>
      </c>
      <c r="H64" s="204"/>
      <c r="I64" s="204"/>
      <c r="J64" s="196" t="s">
        <v>6446</v>
      </c>
      <c r="K64" s="196"/>
      <c r="L64" s="192" t="str">
        <f>IFERROR(__xludf.DUMMYFUNCTION("IF(
  AND(D64=""Saída"", J64=""Sangria""),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197" t="str">
        <f>IFERROR(__xludf.DUMMYFUNCTION("IF(J64=""Compra de Mercadorias"",
   IF(
      COUNTIF(ARRAYFORMULA(TRIM(CLEAN(TO_TEXT(Notas!BS:BS)))), TRIM(CLEAN(TO_TEXT(B64)))) &gt; 0,
      ""Encontrada"",
      ""Não Encontrada""
   ),
"""")"),"Encontrada")</f>
        <v>Encontrada</v>
      </c>
      <c r="N64" s="194">
        <f>IFERROR(__xludf.DUMMYFUNCTION("ifna(VALUE(REGEXEXTRACT(E64,""[0-9.]+[,]+[0-9]+"")))"),75.29)</f>
        <v>75.29</v>
      </c>
      <c r="S64" s="31"/>
    </row>
    <row r="65" ht="14.25" customHeight="1">
      <c r="A65" s="186"/>
      <c r="B65" s="13">
        <v>2176432.0</v>
      </c>
      <c r="C65" s="14">
        <v>46153.773125</v>
      </c>
      <c r="D65" s="187" t="s">
        <v>97</v>
      </c>
      <c r="E65" s="188" t="s">
        <v>8729</v>
      </c>
      <c r="F65" s="200"/>
      <c r="G65" s="187" t="s">
        <v>151</v>
      </c>
      <c r="H65" s="204"/>
      <c r="I65" s="204"/>
      <c r="J65" s="196" t="s">
        <v>6080</v>
      </c>
      <c r="K65" s="196" t="s">
        <v>6111</v>
      </c>
      <c r="L65" s="192" t="str">
        <f>IFERROR(__xludf.DUMMYFUNCTION("IF(
  AND(D65=""Saída"", J65=""Sangria""),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198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94">
        <f>IFERROR(__xludf.DUMMYFUNCTION("ifna(VALUE(REGEXEXTRACT(E65,""[0-9.]+[,]+[0-9]+"")))"),17.36)</f>
        <v>17.36</v>
      </c>
      <c r="S65" s="31"/>
    </row>
    <row r="66" ht="14.25" customHeight="1">
      <c r="A66" s="186"/>
      <c r="B66" s="13">
        <v>2177503.0</v>
      </c>
      <c r="C66" s="14">
        <v>46154.746469907404</v>
      </c>
      <c r="D66" s="187" t="s">
        <v>97</v>
      </c>
      <c r="E66" s="188" t="s">
        <v>8730</v>
      </c>
      <c r="F66" s="189"/>
      <c r="G66" s="187" t="s">
        <v>6691</v>
      </c>
      <c r="H66" s="204"/>
      <c r="I66" s="204"/>
      <c r="J66" s="196" t="s">
        <v>6080</v>
      </c>
      <c r="K66" s="196" t="s">
        <v>6159</v>
      </c>
      <c r="L66" s="192" t="str">
        <f>IFERROR(__xludf.DUMMYFUNCTION("IF(
  AND(D66=""Saída"", J66=""Sangria""),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197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94">
        <f>IFERROR(__xludf.DUMMYFUNCTION("ifna(VALUE(REGEXEXTRACT(E66,""[0-9.]+[,]+[0-9]+"")))"),45.23)</f>
        <v>45.23</v>
      </c>
      <c r="S66" s="31"/>
    </row>
    <row r="67" ht="14.25" customHeight="1">
      <c r="A67" s="186"/>
      <c r="B67" s="13">
        <v>2178750.0</v>
      </c>
      <c r="C67" s="14">
        <v>46155.78644675926</v>
      </c>
      <c r="D67" s="187" t="s">
        <v>97</v>
      </c>
      <c r="E67" s="188" t="s">
        <v>281</v>
      </c>
      <c r="F67" s="189"/>
      <c r="G67" s="187" t="s">
        <v>151</v>
      </c>
      <c r="H67" s="204"/>
      <c r="I67" s="204"/>
      <c r="J67" s="196" t="s">
        <v>6080</v>
      </c>
      <c r="K67" s="196" t="s">
        <v>6111</v>
      </c>
      <c r="L67" s="192" t="str">
        <f>IFERROR(__xludf.DUMMYFUNCTION("IF(
  AND(D67=""Saída"", J67=""Sangria""),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198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94">
        <f>IFERROR(__xludf.DUMMYFUNCTION("ifna(VALUE(REGEXEXTRACT(E67,""[0-9.]+[,]+[0-9]+"")))"),19.9)</f>
        <v>19.9</v>
      </c>
      <c r="S67" s="31"/>
    </row>
    <row r="68">
      <c r="A68" s="186"/>
      <c r="B68" s="13">
        <v>2178815.0</v>
      </c>
      <c r="C68" s="14">
        <v>46155.8230787037</v>
      </c>
      <c r="D68" s="187" t="s">
        <v>97</v>
      </c>
      <c r="E68" s="188" t="s">
        <v>281</v>
      </c>
      <c r="F68" s="200"/>
      <c r="G68" s="187" t="s">
        <v>8691</v>
      </c>
      <c r="H68" s="204"/>
      <c r="I68" s="204"/>
      <c r="J68" s="196" t="s">
        <v>6080</v>
      </c>
      <c r="K68" s="196" t="s">
        <v>6198</v>
      </c>
      <c r="L68" s="192" t="str">
        <f>IFERROR(__xludf.DUMMYFUNCTION("IF(
  AND(D68=""Saída"", J68=""Sangria""),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197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94">
        <f>IFERROR(__xludf.DUMMYFUNCTION("ifna(VALUE(REGEXEXTRACT(E68,""[0-9.]+[,]+[0-9]+"")))"),19.9)</f>
        <v>19.9</v>
      </c>
      <c r="O68" s="205" t="str">
        <f>B6</f>
        <v>Sabrina</v>
      </c>
      <c r="P68" s="112"/>
      <c r="Q68" s="112"/>
      <c r="R68" s="112"/>
      <c r="S68" s="128"/>
      <c r="T68" s="129" t="str">
        <f>B11</f>
        <v/>
      </c>
      <c r="U68" s="112"/>
      <c r="V68" s="112"/>
      <c r="W68" s="130"/>
    </row>
    <row r="69" ht="14.25" customHeight="1">
      <c r="A69" s="186"/>
      <c r="B69" s="13">
        <v>2179725.0</v>
      </c>
      <c r="C69" s="14">
        <v>46156.6781712963</v>
      </c>
      <c r="D69" s="187" t="s">
        <v>97</v>
      </c>
      <c r="E69" s="188" t="s">
        <v>8731</v>
      </c>
      <c r="F69" s="189"/>
      <c r="G69" s="187" t="s">
        <v>8732</v>
      </c>
      <c r="H69" s="204"/>
      <c r="I69" s="204"/>
      <c r="J69" s="196" t="s">
        <v>6080</v>
      </c>
      <c r="K69" s="196" t="s">
        <v>6159</v>
      </c>
      <c r="L69" s="192" t="str">
        <f>IFERROR(__xludf.DUMMYFUNCTION("IF(
  AND(D69=""Saída"", J69=""Sangria""),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198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94">
        <f>IFERROR(__xludf.DUMMYFUNCTION("ifna(VALUE(REGEXEXTRACT(E69,""[0-9.]+[,]+[0-9]+"")))"),25.41)</f>
        <v>25.41</v>
      </c>
      <c r="O69" s="52" t="str">
        <f>IFERROR(__xludf.DUMMYFUNCTION("query(C28:L507,""select Col1,Col3,Col8,Col9 where (Col8 = 'Adiantamento' or Col8 = 'Consumo') and Col9 = '""&amp;B6&amp;""'"",1)"),"Data")</f>
        <v>Data</v>
      </c>
      <c r="P69" s="53" t="str">
        <f>IFERROR(__xludf.DUMMYFUNCTION("""COMPUTED_VALUE"""),"Valor ")</f>
        <v>Valor </v>
      </c>
      <c r="Q69" s="53" t="str">
        <f>IFERROR(__xludf.DUMMYFUNCTION("""COMPUTED_VALUE"""),"Tipo")</f>
        <v>Tipo</v>
      </c>
      <c r="R69" s="53" t="str">
        <f>IFERROR(__xludf.DUMMYFUNCTION("""COMPUTED_VALUE"""),"Funcionário")</f>
        <v>Funcionário</v>
      </c>
      <c r="S69" s="55"/>
      <c r="T69" s="56" t="str">
        <f>IFERROR(__xludf.DUMMYFUNCTION("query(C28:L507,""select Col1,Col3,Col8,Col9 where (Col8 = 'Adiantamento' or Col8 = 'Consumo') and Col9 = '""&amp;B11&amp;""'"",1)"),"Data")</f>
        <v>Data</v>
      </c>
      <c r="U69" s="56" t="str">
        <f>IFERROR(__xludf.DUMMYFUNCTION("""COMPUTED_VALUE"""),"Valor ")</f>
        <v>Valor </v>
      </c>
      <c r="V69" s="56" t="str">
        <f>IFERROR(__xludf.DUMMYFUNCTION("""COMPUTED_VALUE"""),"Tipo")</f>
        <v>Tipo</v>
      </c>
      <c r="W69" s="57" t="str">
        <f>IFERROR(__xludf.DUMMYFUNCTION("""COMPUTED_VALUE"""),"Funcionário")</f>
        <v>Funcionário</v>
      </c>
    </row>
    <row r="70" ht="14.25" customHeight="1">
      <c r="A70" s="186"/>
      <c r="B70" s="13">
        <v>2181129.0</v>
      </c>
      <c r="C70" s="14">
        <v>46157.698159722226</v>
      </c>
      <c r="D70" s="187" t="s">
        <v>97</v>
      </c>
      <c r="E70" s="188" t="s">
        <v>473</v>
      </c>
      <c r="F70" s="189"/>
      <c r="G70" s="187" t="s">
        <v>8733</v>
      </c>
      <c r="H70" s="204"/>
      <c r="I70" s="204"/>
      <c r="J70" s="196" t="s">
        <v>6446</v>
      </c>
      <c r="K70" s="196"/>
      <c r="L70" s="192" t="str">
        <f>IFERROR(__xludf.DUMMYFUNCTION("IF(
  AND(D70=""Saída"", J70=""Sangria""),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197" t="str">
        <f>IFERROR(__xludf.DUMMYFUNCTION("IF(J70=""Compra de Mercadorias"",
   IF(
      COUNTIF(ARRAYFORMULA(TRIM(CLEAN(TO_TEXT(Notas!BS:BS)))), TRIM(CLEAN(TO_TEXT(B70)))) &gt; 0,
      ""Encontrada"",
      ""Não Encontrada""
   ),
"""")"),"Encontrada")</f>
        <v>Encontrada</v>
      </c>
      <c r="N70" s="194">
        <f>IFERROR(__xludf.DUMMYFUNCTION("ifna(VALUE(REGEXEXTRACT(E70,""[0-9.]+[,]+[0-9]+"")))"),84.0)</f>
        <v>84</v>
      </c>
      <c r="O70" s="58">
        <f>IFERROR(__xludf.DUMMYFUNCTION("""COMPUTED_VALUE"""),46138.731215277774)</f>
        <v>46138.73122</v>
      </c>
      <c r="P70" s="59" t="str">
        <f>IFERROR(__xludf.DUMMYFUNCTION("""COMPUTED_VALUE"""),"R$ 16,48")</f>
        <v>R$ 16,48</v>
      </c>
      <c r="Q70" s="59" t="str">
        <f>IFERROR(__xludf.DUMMYFUNCTION("""COMPUTED_VALUE"""),"Consumo")</f>
        <v>Consumo</v>
      </c>
      <c r="R70" s="59" t="str">
        <f>IFERROR(__xludf.DUMMYFUNCTION("""COMPUTED_VALUE"""),"Sabrina")</f>
        <v>Sabrina</v>
      </c>
      <c r="S70" s="61"/>
      <c r="T70" s="59"/>
      <c r="U70" s="59"/>
      <c r="V70" s="59"/>
      <c r="W70" s="60"/>
    </row>
    <row r="71" ht="14.25" customHeight="1">
      <c r="A71" s="186"/>
      <c r="B71" s="13">
        <v>2181288.0</v>
      </c>
      <c r="C71" s="14">
        <v>46157.75405092593</v>
      </c>
      <c r="D71" s="187" t="s">
        <v>97</v>
      </c>
      <c r="E71" s="188" t="s">
        <v>8734</v>
      </c>
      <c r="F71" s="200"/>
      <c r="G71" s="187" t="s">
        <v>151</v>
      </c>
      <c r="H71" s="204"/>
      <c r="I71" s="204"/>
      <c r="J71" s="196" t="s">
        <v>6080</v>
      </c>
      <c r="K71" s="196" t="s">
        <v>6111</v>
      </c>
      <c r="L71" s="192" t="str">
        <f>IFERROR(__xludf.DUMMYFUNCTION("IF(
  AND(D71=""Saída"", J71=""Sangria""),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198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94">
        <f>IFERROR(__xludf.DUMMYFUNCTION("ifna(VALUE(REGEXEXTRACT(E71,""[0-9.]+[,]+[0-9]+"")))"),13.71)</f>
        <v>13.71</v>
      </c>
      <c r="O71" s="58">
        <f>IFERROR(__xludf.DUMMYFUNCTION("""COMPUTED_VALUE"""),46138.80144675926)</f>
        <v>46138.80145</v>
      </c>
      <c r="P71" s="59" t="str">
        <f>IFERROR(__xludf.DUMMYFUNCTION("""COMPUTED_VALUE"""),"R$ 50,95")</f>
        <v>R$ 50,95</v>
      </c>
      <c r="Q71" s="59" t="str">
        <f>IFERROR(__xludf.DUMMYFUNCTION("""COMPUTED_VALUE"""),"Consumo")</f>
        <v>Consumo</v>
      </c>
      <c r="R71" s="59" t="str">
        <f>IFERROR(__xludf.DUMMYFUNCTION("""COMPUTED_VALUE"""),"Sabrina")</f>
        <v>Sabrina</v>
      </c>
      <c r="S71" s="61"/>
      <c r="T71" s="59"/>
      <c r="U71" s="59"/>
      <c r="V71" s="59"/>
      <c r="W71" s="60"/>
    </row>
    <row r="72" ht="14.25" customHeight="1">
      <c r="A72" s="186"/>
      <c r="B72" s="13">
        <v>2182101.0</v>
      </c>
      <c r="C72" s="14">
        <v>46158.55086805556</v>
      </c>
      <c r="D72" s="187" t="s">
        <v>97</v>
      </c>
      <c r="E72" s="188" t="s">
        <v>317</v>
      </c>
      <c r="F72" s="189"/>
      <c r="G72" s="187" t="s">
        <v>151</v>
      </c>
      <c r="H72" s="204"/>
      <c r="I72" s="204"/>
      <c r="J72" s="196" t="s">
        <v>6080</v>
      </c>
      <c r="K72" s="196" t="s">
        <v>6111</v>
      </c>
      <c r="L72" s="192" t="str">
        <f>IFERROR(__xludf.DUMMYFUNCTION("IF(
  AND(D72=""Saída"", J72=""Sangria""),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197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94">
        <f>IFERROR(__xludf.DUMMYFUNCTION("ifna(VALUE(REGEXEXTRACT(E72,""[0-9.]+[,]+[0-9]+"")))"),32.0)</f>
        <v>32</v>
      </c>
      <c r="O72" s="58">
        <f>IFERROR(__xludf.DUMMYFUNCTION("""COMPUTED_VALUE"""),46140.754537037035)</f>
        <v>46140.75454</v>
      </c>
      <c r="P72" s="59" t="str">
        <f>IFERROR(__xludf.DUMMYFUNCTION("""COMPUTED_VALUE"""),"R$ 19,00")</f>
        <v>R$ 19,00</v>
      </c>
      <c r="Q72" s="59" t="str">
        <f>IFERROR(__xludf.DUMMYFUNCTION("""COMPUTED_VALUE"""),"Consumo")</f>
        <v>Consumo</v>
      </c>
      <c r="R72" s="59" t="str">
        <f>IFERROR(__xludf.DUMMYFUNCTION("""COMPUTED_VALUE"""),"Sabrina")</f>
        <v>Sabrina</v>
      </c>
      <c r="S72" s="61"/>
      <c r="T72" s="59"/>
      <c r="U72" s="59"/>
      <c r="V72" s="59"/>
      <c r="W72" s="60"/>
    </row>
    <row r="73" ht="14.25" customHeight="1">
      <c r="A73" s="186"/>
      <c r="B73" s="13">
        <v>2182807.0</v>
      </c>
      <c r="C73" s="14">
        <v>46158.800729166665</v>
      </c>
      <c r="D73" s="187" t="s">
        <v>97</v>
      </c>
      <c r="E73" s="188" t="s">
        <v>8735</v>
      </c>
      <c r="F73" s="189"/>
      <c r="G73" s="187" t="s">
        <v>6752</v>
      </c>
      <c r="H73" s="204"/>
      <c r="I73" s="204"/>
      <c r="J73" s="196" t="s">
        <v>6446</v>
      </c>
      <c r="K73" s="196"/>
      <c r="L73" s="192" t="str">
        <f>IFERROR(__xludf.DUMMYFUNCTION("IF(
  AND(D73=""Saída"", J73=""Sangria""),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198" t="str">
        <f>IFERROR(__xludf.DUMMYFUNCTION("IF(J73=""Compra de Mercadorias"",
   IF(
      COUNTIF(ARRAYFORMULA(TRIM(CLEAN(TO_TEXT(Notas!BS:BS)))), TRIM(CLEAN(TO_TEXT(B73)))) &gt; 0,
      ""Encontrada"",
      ""Não Encontrada""
   ),
"""")"),"Encontrada")</f>
        <v>Encontrada</v>
      </c>
      <c r="N73" s="194">
        <f>IFERROR(__xludf.DUMMYFUNCTION("ifna(VALUE(REGEXEXTRACT(E73,""[0-9.]+[,]+[0-9]+"")))"),22.58)</f>
        <v>22.58</v>
      </c>
      <c r="O73" s="58">
        <f>IFERROR(__xludf.DUMMYFUNCTION("""COMPUTED_VALUE"""),46141.84644675926)</f>
        <v>46141.84645</v>
      </c>
      <c r="P73" s="59" t="str">
        <f>IFERROR(__xludf.DUMMYFUNCTION("""COMPUTED_VALUE"""),"R$ 5,00")</f>
        <v>R$ 5,00</v>
      </c>
      <c r="Q73" s="59" t="str">
        <f>IFERROR(__xludf.DUMMYFUNCTION("""COMPUTED_VALUE"""),"Consumo")</f>
        <v>Consumo</v>
      </c>
      <c r="R73" s="59" t="str">
        <f>IFERROR(__xludf.DUMMYFUNCTION("""COMPUTED_VALUE"""),"Sabrina")</f>
        <v>Sabrina</v>
      </c>
      <c r="S73" s="61"/>
      <c r="T73" s="59"/>
      <c r="U73" s="59"/>
      <c r="V73" s="59"/>
      <c r="W73" s="60"/>
    </row>
    <row r="74" ht="17.25" customHeight="1">
      <c r="A74" s="186"/>
      <c r="B74" s="13">
        <v>2182856.0</v>
      </c>
      <c r="C74" s="14">
        <v>46158.81217592592</v>
      </c>
      <c r="D74" s="187" t="s">
        <v>97</v>
      </c>
      <c r="E74" s="188" t="s">
        <v>8736</v>
      </c>
      <c r="F74" s="189"/>
      <c r="G74" s="187" t="s">
        <v>8737</v>
      </c>
      <c r="H74" s="204"/>
      <c r="I74" s="204"/>
      <c r="J74" s="196" t="s">
        <v>6446</v>
      </c>
      <c r="K74" s="196"/>
      <c r="L74" s="192" t="str">
        <f>IFERROR(__xludf.DUMMYFUNCTION("IF(
  AND(D74=""Saída"", J74=""Sangria""),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197" t="str">
        <f>IFERROR(__xludf.DUMMYFUNCTION("IF(J74=""Compra de Mercadorias"",
   IF(
      COUNTIF(ARRAYFORMULA(TRIM(CLEAN(TO_TEXT(Notas!BS:BS)))), TRIM(CLEAN(TO_TEXT(B74)))) &gt; 0,
      ""Encontrada"",
      ""Não Encontrada""
   ),
"""")"),"Encontrada")</f>
        <v>Encontrada</v>
      </c>
      <c r="N74" s="194">
        <f>IFERROR(__xludf.DUMMYFUNCTION("ifna(VALUE(REGEXEXTRACT(E74,""[0-9.]+[,]+[0-9]+"")))"),50.38)</f>
        <v>50.38</v>
      </c>
      <c r="O74" s="58">
        <f>IFERROR(__xludf.DUMMYFUNCTION("""COMPUTED_VALUE"""),46146.78773148148)</f>
        <v>46146.78773</v>
      </c>
      <c r="P74" s="59" t="str">
        <f>IFERROR(__xludf.DUMMYFUNCTION("""COMPUTED_VALUE"""),"R$ 19,25")</f>
        <v>R$ 19,25</v>
      </c>
      <c r="Q74" s="59" t="str">
        <f>IFERROR(__xludf.DUMMYFUNCTION("""COMPUTED_VALUE"""),"Consumo")</f>
        <v>Consumo</v>
      </c>
      <c r="R74" s="59" t="str">
        <f>IFERROR(__xludf.DUMMYFUNCTION("""COMPUTED_VALUE"""),"Sabrina")</f>
        <v>Sabrina</v>
      </c>
      <c r="S74" s="61"/>
      <c r="T74" s="59"/>
      <c r="U74" s="59"/>
      <c r="V74" s="59"/>
      <c r="W74" s="60"/>
    </row>
    <row r="75">
      <c r="A75" s="186"/>
      <c r="B75" s="13">
        <v>2184760.0</v>
      </c>
      <c r="C75" s="14">
        <v>46159.840833333335</v>
      </c>
      <c r="D75" s="187" t="s">
        <v>97</v>
      </c>
      <c r="E75" s="188" t="s">
        <v>8720</v>
      </c>
      <c r="F75" s="189"/>
      <c r="G75" s="187" t="s">
        <v>8721</v>
      </c>
      <c r="H75" s="204"/>
      <c r="I75" s="204"/>
      <c r="J75" s="196" t="s">
        <v>6469</v>
      </c>
      <c r="K75" s="196"/>
      <c r="L75" s="192" t="str">
        <f>IFERROR(__xludf.DUMMYFUNCTION("IF(
  AND(D75=""Saída"", J75=""Sangria""),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198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94">
        <f>IFERROR(__xludf.DUMMYFUNCTION("ifna(VALUE(REGEXEXTRACT(E75,""[0-9.]+[,]+[0-9]+"")))"),128.0)</f>
        <v>128</v>
      </c>
      <c r="O75" s="58">
        <f>IFERROR(__xludf.DUMMYFUNCTION("""COMPUTED_VALUE"""),46148.768113425926)</f>
        <v>46148.76811</v>
      </c>
      <c r="P75" s="85" t="str">
        <f>IFERROR(__xludf.DUMMYFUNCTION("""COMPUTED_VALUE"""),"R$ 21,01")</f>
        <v>R$ 21,01</v>
      </c>
      <c r="Q75" s="85" t="str">
        <f>IFERROR(__xludf.DUMMYFUNCTION("""COMPUTED_VALUE"""),"Consumo")</f>
        <v>Consumo</v>
      </c>
      <c r="R75" s="85" t="str">
        <f>IFERROR(__xludf.DUMMYFUNCTION("""COMPUTED_VALUE"""),"Sabrina")</f>
        <v>Sabrina</v>
      </c>
      <c r="S75" s="87"/>
      <c r="T75" s="85"/>
      <c r="U75" s="85"/>
      <c r="V75" s="85"/>
      <c r="W75" s="86"/>
    </row>
    <row r="76" ht="28.5" customHeight="1">
      <c r="A76" s="186"/>
      <c r="B76" s="13">
        <v>2184793.0</v>
      </c>
      <c r="C76" s="14">
        <v>46159.84710648148</v>
      </c>
      <c r="D76" s="187" t="s">
        <v>97</v>
      </c>
      <c r="E76" s="188" t="s">
        <v>8738</v>
      </c>
      <c r="F76" s="189"/>
      <c r="G76" s="187" t="s">
        <v>151</v>
      </c>
      <c r="H76" s="204"/>
      <c r="I76" s="204"/>
      <c r="J76" s="196" t="s">
        <v>6080</v>
      </c>
      <c r="K76" s="196" t="s">
        <v>6111</v>
      </c>
      <c r="L76" s="192" t="str">
        <f>IFERROR(__xludf.DUMMYFUNCTION("IF(
  AND(D76=""Saída"", J76=""Sangria""),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197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94">
        <f>IFERROR(__xludf.DUMMYFUNCTION("ifna(VALUE(REGEXEXTRACT(E76,""[0-9.]+[,]+[0-9]+"")))"),22.9)</f>
        <v>22.9</v>
      </c>
      <c r="O76" s="300">
        <f>IFERROR(__xludf.DUMMYFUNCTION("""COMPUTED_VALUE"""),46148.86004629629)</f>
        <v>46148.86005</v>
      </c>
      <c r="P76" s="95" t="str">
        <f>IFERROR(__xludf.DUMMYFUNCTION("""COMPUTED_VALUE"""),"R$ 21,00")</f>
        <v>R$ 21,00</v>
      </c>
      <c r="Q76" s="95" t="str">
        <f>IFERROR(__xludf.DUMMYFUNCTION("""COMPUTED_VALUE"""),"Consumo")</f>
        <v>Consumo</v>
      </c>
      <c r="R76" s="95" t="str">
        <f>IFERROR(__xludf.DUMMYFUNCTION("""COMPUTED_VALUE"""),"Sabrina")</f>
        <v>Sabrina</v>
      </c>
      <c r="S76" s="97"/>
      <c r="T76" s="95"/>
      <c r="U76" s="95"/>
      <c r="V76" s="95"/>
      <c r="W76" s="96"/>
    </row>
    <row r="77" ht="14.25" customHeight="1">
      <c r="A77" s="186"/>
      <c r="B77" s="13">
        <v>2184811.0</v>
      </c>
      <c r="C77" s="14">
        <v>46159.8572337963</v>
      </c>
      <c r="D77" s="187" t="s">
        <v>97</v>
      </c>
      <c r="E77" s="188" t="s">
        <v>8739</v>
      </c>
      <c r="F77" s="189"/>
      <c r="G77" s="187" t="s">
        <v>8740</v>
      </c>
      <c r="H77" s="204"/>
      <c r="I77" s="204"/>
      <c r="J77" s="196" t="s">
        <v>6551</v>
      </c>
      <c r="K77" s="196"/>
      <c r="L77" s="192" t="str">
        <f>IFERROR(__xludf.DUMMYFUNCTION("IF(
  AND(D77=""Saída"", J77=""Sangria""),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198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94">
        <f>IFERROR(__xludf.DUMMYFUNCTION("ifna(VALUE(REGEXEXTRACT(E77,""[0-9.]+[,]+[0-9]+"")))"),174.0)</f>
        <v>174</v>
      </c>
      <c r="O77" s="301">
        <f>IFERROR(__xludf.DUMMYFUNCTION("""COMPUTED_VALUE"""),46149.87111111111)</f>
        <v>46149.87111</v>
      </c>
      <c r="P77" s="208" t="str">
        <f>IFERROR(__xludf.DUMMYFUNCTION("""COMPUTED_VALUE"""),"R$ 26,11")</f>
        <v>R$ 26,11</v>
      </c>
      <c r="Q77" s="209" t="str">
        <f>IFERROR(__xludf.DUMMYFUNCTION("""COMPUTED_VALUE"""),"Consumo")</f>
        <v>Consumo</v>
      </c>
      <c r="R77" s="210" t="str">
        <f>IFERROR(__xludf.DUMMYFUNCTION("""COMPUTED_VALUE"""),"Sabrina")</f>
        <v>Sabrina</v>
      </c>
      <c r="S77" s="97"/>
      <c r="T77" s="95"/>
      <c r="U77" s="95"/>
      <c r="V77" s="95"/>
      <c r="W77" s="96"/>
    </row>
    <row r="78" ht="34.5" customHeight="1">
      <c r="A78" s="186"/>
      <c r="B78" s="13">
        <v>2184817.0</v>
      </c>
      <c r="C78" s="14">
        <v>46159.859085648146</v>
      </c>
      <c r="D78" s="187" t="s">
        <v>97</v>
      </c>
      <c r="E78" s="188" t="s">
        <v>1412</v>
      </c>
      <c r="F78" s="189"/>
      <c r="G78" s="187" t="s">
        <v>858</v>
      </c>
      <c r="H78" s="204"/>
      <c r="I78" s="204"/>
      <c r="J78" s="196" t="s">
        <v>6544</v>
      </c>
      <c r="K78" s="196" t="s">
        <v>5991</v>
      </c>
      <c r="L78" s="192" t="str">
        <f>IFERROR(__xludf.DUMMYFUNCTION("IF(
  AND(D78=""Saída"", J78=""Sangria""),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"),"Confirmada")</f>
        <v>Confirmada</v>
      </c>
      <c r="M78" s="197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94">
        <f>IFERROR(__xludf.DUMMYFUNCTION("ifna(VALUE(REGEXEXTRACT(E78,""[0-9.]+[,]+[0-9]+"")))"),800.0)</f>
        <v>800</v>
      </c>
      <c r="O78" s="301">
        <f>IFERROR(__xludf.DUMMYFUNCTION("""COMPUTED_VALUE"""),46153.773125)</f>
        <v>46153.77313</v>
      </c>
      <c r="P78" s="208" t="str">
        <f>IFERROR(__xludf.DUMMYFUNCTION("""COMPUTED_VALUE"""),"R$ 17,36")</f>
        <v>R$ 17,36</v>
      </c>
      <c r="Q78" s="209" t="str">
        <f>IFERROR(__xludf.DUMMYFUNCTION("""COMPUTED_VALUE"""),"Consumo")</f>
        <v>Consumo</v>
      </c>
      <c r="R78" s="210" t="str">
        <f>IFERROR(__xludf.DUMMYFUNCTION("""COMPUTED_VALUE"""),"Sabrina")</f>
        <v>Sabrina</v>
      </c>
      <c r="S78" s="97"/>
      <c r="T78" s="95"/>
      <c r="U78" s="95"/>
      <c r="V78" s="95"/>
      <c r="W78" s="96"/>
    </row>
    <row r="79" ht="14.25" customHeight="1">
      <c r="A79" s="186"/>
      <c r="B79" s="13">
        <v>2186090.0</v>
      </c>
      <c r="C79" s="14">
        <v>46160.69447916667</v>
      </c>
      <c r="D79" s="187" t="s">
        <v>97</v>
      </c>
      <c r="E79" s="188" t="s">
        <v>8376</v>
      </c>
      <c r="F79" s="189"/>
      <c r="G79" s="187" t="s">
        <v>109</v>
      </c>
      <c r="H79" s="204"/>
      <c r="I79" s="204"/>
      <c r="J79" s="196" t="s">
        <v>6080</v>
      </c>
      <c r="K79" s="196" t="s">
        <v>6159</v>
      </c>
      <c r="L79" s="192" t="str">
        <f>IFERROR(__xludf.DUMMYFUNCTION("IF(
  AND(D79=""Saída"", J79=""Sangria""),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198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94">
        <f>IFERROR(__xludf.DUMMYFUNCTION("ifna(VALUE(REGEXEXTRACT(E79,""[0-9.]+[,]+[0-9]+"")))"),22.14)</f>
        <v>22.14</v>
      </c>
      <c r="O79" s="301">
        <f>IFERROR(__xludf.DUMMYFUNCTION("""COMPUTED_VALUE"""),46155.78644675926)</f>
        <v>46155.78645</v>
      </c>
      <c r="P79" s="208" t="str">
        <f>IFERROR(__xludf.DUMMYFUNCTION("""COMPUTED_VALUE"""),"R$ 19,90")</f>
        <v>R$ 19,90</v>
      </c>
      <c r="Q79" s="209" t="str">
        <f>IFERROR(__xludf.DUMMYFUNCTION("""COMPUTED_VALUE"""),"Consumo")</f>
        <v>Consumo</v>
      </c>
      <c r="R79" s="210" t="str">
        <f>IFERROR(__xludf.DUMMYFUNCTION("""COMPUTED_VALUE"""),"Sabrina")</f>
        <v>Sabrina</v>
      </c>
      <c r="S79" s="97"/>
      <c r="T79" s="95"/>
      <c r="U79" s="95"/>
      <c r="V79" s="95"/>
      <c r="W79" s="96"/>
    </row>
    <row r="80" ht="14.25" customHeight="1">
      <c r="A80" s="186"/>
      <c r="B80" s="13">
        <v>2186222.0</v>
      </c>
      <c r="C80" s="14">
        <v>46160.748715277776</v>
      </c>
      <c r="D80" s="187" t="s">
        <v>97</v>
      </c>
      <c r="E80" s="188" t="s">
        <v>8741</v>
      </c>
      <c r="F80" s="189"/>
      <c r="G80" s="187" t="s">
        <v>212</v>
      </c>
      <c r="H80" s="204"/>
      <c r="I80" s="204"/>
      <c r="J80" s="196" t="s">
        <v>6080</v>
      </c>
      <c r="K80" s="196" t="s">
        <v>5991</v>
      </c>
      <c r="L80" s="192" t="str">
        <f>IFERROR(__xludf.DUMMYFUNCTION("IF(
  AND(D80=""Saída"", J80=""Sangria""),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197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94">
        <f>IFERROR(__xludf.DUMMYFUNCTION("ifna(VALUE(REGEXEXTRACT(E80,""[0-9.]+[,]+[0-9]+"")))"),11.02)</f>
        <v>11.02</v>
      </c>
      <c r="O80" s="301">
        <f>IFERROR(__xludf.DUMMYFUNCTION("""COMPUTED_VALUE"""),46157.75405092593)</f>
        <v>46157.75405</v>
      </c>
      <c r="P80" s="208" t="str">
        <f>IFERROR(__xludf.DUMMYFUNCTION("""COMPUTED_VALUE"""),"R$ 13,71")</f>
        <v>R$ 13,71</v>
      </c>
      <c r="Q80" s="209" t="str">
        <f>IFERROR(__xludf.DUMMYFUNCTION("""COMPUTED_VALUE"""),"Consumo")</f>
        <v>Consumo</v>
      </c>
      <c r="R80" s="210" t="str">
        <f>IFERROR(__xludf.DUMMYFUNCTION("""COMPUTED_VALUE"""),"Sabrina")</f>
        <v>Sabrina</v>
      </c>
      <c r="S80" s="97"/>
      <c r="T80" s="95"/>
      <c r="U80" s="95"/>
      <c r="V80" s="95"/>
      <c r="W80" s="96"/>
    </row>
    <row r="81" ht="14.25" customHeight="1">
      <c r="A81" s="186"/>
      <c r="B81" s="13">
        <v>2186309.0</v>
      </c>
      <c r="C81" s="14">
        <v>46160.78759259259</v>
      </c>
      <c r="D81" s="187" t="s">
        <v>97</v>
      </c>
      <c r="E81" s="188" t="s">
        <v>8742</v>
      </c>
      <c r="F81" s="189"/>
      <c r="G81" s="187" t="s">
        <v>157</v>
      </c>
      <c r="H81" s="204"/>
      <c r="I81" s="204"/>
      <c r="J81" s="196" t="s">
        <v>6080</v>
      </c>
      <c r="K81" s="196" t="s">
        <v>6198</v>
      </c>
      <c r="L81" s="192" t="str">
        <f>IFERROR(__xludf.DUMMYFUNCTION("IF(
  AND(D81=""Saída"", J81=""Sangria""),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198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94">
        <f>IFERROR(__xludf.DUMMYFUNCTION("ifna(VALUE(REGEXEXTRACT(E81,""[0-9.]+[,]+[0-9]+"")))"),17.74)</f>
        <v>17.74</v>
      </c>
      <c r="O81" s="300">
        <f>IFERROR(__xludf.DUMMYFUNCTION("""COMPUTED_VALUE"""),46158.55086805555)</f>
        <v>46158.55087</v>
      </c>
      <c r="P81" s="95" t="str">
        <f>IFERROR(__xludf.DUMMYFUNCTION("""COMPUTED_VALUE"""),"R$ 32,00")</f>
        <v>R$ 32,00</v>
      </c>
      <c r="Q81" s="95" t="str">
        <f>IFERROR(__xludf.DUMMYFUNCTION("""COMPUTED_VALUE"""),"Consumo")</f>
        <v>Consumo</v>
      </c>
      <c r="R81" s="95" t="str">
        <f>IFERROR(__xludf.DUMMYFUNCTION("""COMPUTED_VALUE"""),"Sabrina")</f>
        <v>Sabrina</v>
      </c>
      <c r="S81" s="97"/>
      <c r="T81" s="95"/>
      <c r="U81" s="95"/>
      <c r="V81" s="95"/>
      <c r="W81" s="96"/>
    </row>
    <row r="82" ht="14.25" customHeight="1">
      <c r="A82" s="186"/>
      <c r="B82" s="13">
        <v>2186312.0</v>
      </c>
      <c r="C82" s="14">
        <v>46160.78920138889</v>
      </c>
      <c r="D82" s="187" t="s">
        <v>97</v>
      </c>
      <c r="E82" s="188" t="s">
        <v>163</v>
      </c>
      <c r="F82" s="189"/>
      <c r="G82" s="187" t="s">
        <v>8743</v>
      </c>
      <c r="H82" s="204"/>
      <c r="I82" s="204"/>
      <c r="J82" s="196" t="s">
        <v>6080</v>
      </c>
      <c r="K82" s="196" t="s">
        <v>6198</v>
      </c>
      <c r="L82" s="192" t="str">
        <f>IFERROR(__xludf.DUMMYFUNCTION("IF(
  AND(D82=""Saída"", J82=""Sangria""),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197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94">
        <f>IFERROR(__xludf.DUMMYFUNCTION("ifna(VALUE(REGEXEXTRACT(E82,""[0-9.]+[,]+[0-9]+"")))"),0.01)</f>
        <v>0.01</v>
      </c>
      <c r="O82" s="300">
        <f>IFERROR(__xludf.DUMMYFUNCTION("""COMPUTED_VALUE"""),46159.84710648148)</f>
        <v>46159.84711</v>
      </c>
      <c r="P82" s="95" t="str">
        <f>IFERROR(__xludf.DUMMYFUNCTION("""COMPUTED_VALUE"""),"R$ 22,90")</f>
        <v>R$ 22,90</v>
      </c>
      <c r="Q82" s="95" t="str">
        <f>IFERROR(__xludf.DUMMYFUNCTION("""COMPUTED_VALUE"""),"Consumo")</f>
        <v>Consumo</v>
      </c>
      <c r="R82" s="95" t="str">
        <f>IFERROR(__xludf.DUMMYFUNCTION("""COMPUTED_VALUE"""),"Sabrina")</f>
        <v>Sabrina</v>
      </c>
      <c r="S82" s="97"/>
      <c r="T82" s="95"/>
      <c r="U82" s="95"/>
      <c r="V82" s="95"/>
      <c r="W82" s="96"/>
    </row>
    <row r="83" ht="14.25" customHeight="1">
      <c r="A83" s="186"/>
      <c r="B83" s="13">
        <v>2187347.0</v>
      </c>
      <c r="C83" s="14">
        <v>46161.70721064815</v>
      </c>
      <c r="D83" s="187" t="s">
        <v>97</v>
      </c>
      <c r="E83" s="188" t="s">
        <v>8626</v>
      </c>
      <c r="F83" s="189"/>
      <c r="G83" s="187" t="s">
        <v>8744</v>
      </c>
      <c r="H83" s="204"/>
      <c r="I83" s="204"/>
      <c r="J83" s="196" t="s">
        <v>6080</v>
      </c>
      <c r="K83" s="196" t="s">
        <v>5991</v>
      </c>
      <c r="L83" s="192" t="str">
        <f>IFERROR(__xludf.DUMMYFUNCTION("IF(
  AND(D83=""Saída"", J83=""Sangria""),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198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94">
        <f>IFERROR(__xludf.DUMMYFUNCTION("ifna(VALUE(REGEXEXTRACT(E83,""[0-9.]+[,]+[0-9]+"")))"),11.57)</f>
        <v>11.57</v>
      </c>
      <c r="O83" s="114"/>
      <c r="P83" s="115"/>
      <c r="Q83" s="115"/>
      <c r="R83" s="115"/>
      <c r="S83" s="97"/>
      <c r="T83" s="115"/>
      <c r="U83" s="115"/>
      <c r="V83" s="115"/>
      <c r="W83" s="117"/>
    </row>
    <row r="84" ht="14.25" customHeight="1">
      <c r="A84" s="186"/>
      <c r="B84" s="13">
        <v>2187507.0</v>
      </c>
      <c r="C84" s="14">
        <v>46161.760625</v>
      </c>
      <c r="D84" s="187" t="s">
        <v>97</v>
      </c>
      <c r="E84" s="188" t="s">
        <v>8745</v>
      </c>
      <c r="F84" s="200"/>
      <c r="G84" s="187" t="s">
        <v>8732</v>
      </c>
      <c r="H84" s="204"/>
      <c r="I84" s="204"/>
      <c r="J84" s="196" t="s">
        <v>6080</v>
      </c>
      <c r="K84" s="196" t="s">
        <v>6159</v>
      </c>
      <c r="L84" s="192" t="str">
        <f>IFERROR(__xludf.DUMMYFUNCTION("IF(
  AND(D84=""Saída"", J84=""Sangria""),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197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94">
        <f>IFERROR(__xludf.DUMMYFUNCTION("ifna(VALUE(REGEXEXTRACT(E84,""[0-9.]+[,]+[0-9]+"")))"),40.38)</f>
        <v>40.38</v>
      </c>
      <c r="O84" s="211"/>
      <c r="P84" s="212"/>
      <c r="Q84" s="212"/>
      <c r="R84" s="212"/>
      <c r="S84" s="97"/>
      <c r="T84" s="212"/>
      <c r="U84" s="212"/>
      <c r="V84" s="212"/>
      <c r="W84" s="213"/>
    </row>
    <row r="85" ht="14.25" customHeight="1">
      <c r="A85" s="186"/>
      <c r="B85" s="13">
        <v>2188439.0</v>
      </c>
      <c r="C85" s="14">
        <v>46162.67820601852</v>
      </c>
      <c r="D85" s="187" t="s">
        <v>97</v>
      </c>
      <c r="E85" s="188" t="s">
        <v>7010</v>
      </c>
      <c r="F85" s="189"/>
      <c r="G85" s="187" t="s">
        <v>8744</v>
      </c>
      <c r="H85" s="204"/>
      <c r="I85" s="204"/>
      <c r="J85" s="196" t="s">
        <v>6080</v>
      </c>
      <c r="K85" s="196" t="s">
        <v>5991</v>
      </c>
      <c r="L85" s="192" t="str">
        <f>IFERROR(__xludf.DUMMYFUNCTION("IF(
  AND(D85=""Saída"", J85=""Sangria""),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198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94">
        <f>IFERROR(__xludf.DUMMYFUNCTION("ifna(VALUE(REGEXEXTRACT(E85,""[0-9.]+[,]+[0-9]+"")))"),11.2)</f>
        <v>11.2</v>
      </c>
      <c r="O85" s="211"/>
      <c r="P85" s="212"/>
      <c r="Q85" s="212"/>
      <c r="R85" s="212"/>
      <c r="S85" s="97"/>
      <c r="T85" s="212"/>
      <c r="U85" s="212"/>
      <c r="V85" s="212"/>
      <c r="W85" s="213"/>
    </row>
    <row r="86" ht="14.25" customHeight="1">
      <c r="A86" s="186"/>
      <c r="B86" s="13">
        <v>2188444.0</v>
      </c>
      <c r="C86" s="14">
        <v>46162.679768518516</v>
      </c>
      <c r="D86" s="187" t="s">
        <v>97</v>
      </c>
      <c r="E86" s="188" t="s">
        <v>8746</v>
      </c>
      <c r="F86" s="189"/>
      <c r="G86" s="187" t="s">
        <v>8732</v>
      </c>
      <c r="H86" s="204"/>
      <c r="I86" s="204"/>
      <c r="J86" s="196" t="s">
        <v>6080</v>
      </c>
      <c r="K86" s="196" t="s">
        <v>6159</v>
      </c>
      <c r="L86" s="192" t="str">
        <f>IFERROR(__xludf.DUMMYFUNCTION("IF(
  AND(D86=""Saída"", J86=""Sangria""),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197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94">
        <f>IFERROR(__xludf.DUMMYFUNCTION("ifna(VALUE(REGEXEXTRACT(E86,""[0-9.]+[,]+[0-9]+"")))"),19.88)</f>
        <v>19.88</v>
      </c>
      <c r="O86" s="211"/>
      <c r="P86" s="212"/>
      <c r="Q86" s="212"/>
      <c r="R86" s="212"/>
      <c r="S86" s="97"/>
      <c r="T86" s="212"/>
      <c r="U86" s="212"/>
      <c r="V86" s="212"/>
      <c r="W86" s="213"/>
    </row>
    <row r="87" ht="14.25" customHeight="1">
      <c r="A87" s="186"/>
      <c r="B87" s="13">
        <v>2188728.0</v>
      </c>
      <c r="C87" s="14">
        <v>46162.78769675926</v>
      </c>
      <c r="D87" s="187" t="s">
        <v>97</v>
      </c>
      <c r="E87" s="188" t="s">
        <v>8747</v>
      </c>
      <c r="F87" s="189"/>
      <c r="G87" s="187" t="s">
        <v>8691</v>
      </c>
      <c r="H87" s="204"/>
      <c r="I87" s="204"/>
      <c r="J87" s="196" t="s">
        <v>6080</v>
      </c>
      <c r="K87" s="196" t="s">
        <v>6198</v>
      </c>
      <c r="L87" s="192" t="str">
        <f>IFERROR(__xludf.DUMMYFUNCTION("IF(
  AND(D87=""Saída"", J87=""Sangria""),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198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94">
        <f>IFERROR(__xludf.DUMMYFUNCTION("ifna(VALUE(REGEXEXTRACT(E87,""[0-9.]+[,]+[0-9]+"")))"),19.5)</f>
        <v>19.5</v>
      </c>
      <c r="O87" s="211"/>
      <c r="P87" s="212"/>
      <c r="Q87" s="212"/>
      <c r="R87" s="212"/>
      <c r="S87" s="97"/>
      <c r="T87" s="212"/>
      <c r="U87" s="212"/>
      <c r="V87" s="212"/>
      <c r="W87" s="213"/>
    </row>
    <row r="88" ht="14.25" customHeight="1">
      <c r="A88" s="186"/>
      <c r="B88" s="13">
        <v>2188890.0</v>
      </c>
      <c r="C88" s="14">
        <v>46162.86802083333</v>
      </c>
      <c r="D88" s="187" t="s">
        <v>97</v>
      </c>
      <c r="E88" s="188" t="s">
        <v>290</v>
      </c>
      <c r="F88" s="189"/>
      <c r="G88" s="187" t="s">
        <v>8748</v>
      </c>
      <c r="H88" s="204"/>
      <c r="I88" s="204"/>
      <c r="J88" s="196" t="s">
        <v>6446</v>
      </c>
      <c r="K88" s="196"/>
      <c r="L88" s="192" t="str">
        <f>IFERROR(__xludf.DUMMYFUNCTION("IF(
  AND(D88=""Saída"", J88=""Sangria""),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197" t="str">
        <f>IFERROR(__xludf.DUMMYFUNCTION("IF(J88=""Compra de Mercadorias"",
   IF(
      COUNTIF(ARRAYFORMULA(TRIM(CLEAN(TO_TEXT(Notas!BS:BS)))), TRIM(CLEAN(TO_TEXT(B88)))) &gt; 0,
      ""Encontrada"",
      ""Não Encontrada""
   ),
"""")"),"Encontrada")</f>
        <v>Encontrada</v>
      </c>
      <c r="N88" s="194">
        <f>IFERROR(__xludf.DUMMYFUNCTION("ifna(VALUE(REGEXEXTRACT(E88,""[0-9.]+[,]+[0-9]+"")))"),140.0)</f>
        <v>140</v>
      </c>
      <c r="O88" s="214"/>
      <c r="P88" s="215"/>
      <c r="Q88" s="215"/>
      <c r="R88" s="215"/>
      <c r="S88" s="216"/>
      <c r="T88" s="215"/>
      <c r="U88" s="215"/>
      <c r="V88" s="215"/>
      <c r="W88" s="217"/>
    </row>
    <row r="89" ht="14.25" customHeight="1">
      <c r="A89" s="186"/>
      <c r="B89" s="13">
        <v>2189834.0</v>
      </c>
      <c r="C89" s="14">
        <v>46163.713900462964</v>
      </c>
      <c r="D89" s="187" t="s">
        <v>97</v>
      </c>
      <c r="E89" s="188" t="s">
        <v>8749</v>
      </c>
      <c r="F89" s="189"/>
      <c r="G89" s="187" t="s">
        <v>109</v>
      </c>
      <c r="H89" s="204"/>
      <c r="I89" s="204"/>
      <c r="J89" s="196" t="s">
        <v>6080</v>
      </c>
      <c r="K89" s="196" t="s">
        <v>6159</v>
      </c>
      <c r="L89" s="192" t="str">
        <f>IFERROR(__xludf.DUMMYFUNCTION("IF(
  AND(D89=""Saída"", J89=""Sangria""),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198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94">
        <f>IFERROR(__xludf.DUMMYFUNCTION("ifna(VALUE(REGEXEXTRACT(E89,""[0-9.]+[,]+[0-9]+"")))"),7.3)</f>
        <v>7.3</v>
      </c>
      <c r="O89" s="31"/>
      <c r="P89" s="31"/>
      <c r="Q89" s="31"/>
      <c r="R89" s="31"/>
      <c r="S89" s="31"/>
      <c r="T89" s="31"/>
      <c r="U89" s="31"/>
      <c r="V89" s="31"/>
      <c r="W89" s="31"/>
    </row>
    <row r="90" ht="14.25" customHeight="1">
      <c r="A90" s="186"/>
      <c r="B90" s="13">
        <v>2190120.0</v>
      </c>
      <c r="C90" s="14">
        <v>46163.86869212963</v>
      </c>
      <c r="D90" s="187" t="s">
        <v>97</v>
      </c>
      <c r="E90" s="188" t="s">
        <v>8750</v>
      </c>
      <c r="F90" s="189"/>
      <c r="G90" s="187" t="s">
        <v>8751</v>
      </c>
      <c r="H90" s="204"/>
      <c r="I90" s="204"/>
      <c r="J90" s="196" t="s">
        <v>6446</v>
      </c>
      <c r="K90" s="196"/>
      <c r="L90" s="192" t="str">
        <f>IFERROR(__xludf.DUMMYFUNCTION("IF(
  AND(D90=""Saída"", J90=""Sangria""),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197" t="str">
        <f>IFERROR(__xludf.DUMMYFUNCTION("IF(J90=""Compra de Mercadorias"",
   IF(
      COUNTIF(ARRAYFORMULA(TRIM(CLEAN(TO_TEXT(Notas!BS:BS)))), TRIM(CLEAN(TO_TEXT(B90)))) &gt; 0,
      ""Encontrada"",
      ""Não Encontrada""
   ),
"""")"),"Encontrada")</f>
        <v>Encontrada</v>
      </c>
      <c r="N90" s="194">
        <f>IFERROR(__xludf.DUMMYFUNCTION("ifna(VALUE(REGEXEXTRACT(E90,""[0-9.]+[,]+[0-9]+"")))"),51.92)</f>
        <v>51.92</v>
      </c>
      <c r="O90" s="31"/>
      <c r="P90" s="31"/>
      <c r="Q90" s="31"/>
      <c r="R90" s="31"/>
      <c r="S90" s="31"/>
      <c r="T90" s="31"/>
      <c r="U90" s="31"/>
      <c r="V90" s="31"/>
      <c r="W90" s="31"/>
    </row>
    <row r="91" ht="14.25" customHeight="1">
      <c r="A91" s="186"/>
      <c r="B91" s="13">
        <v>2190784.0</v>
      </c>
      <c r="C91" s="14">
        <v>46164.59892361111</v>
      </c>
      <c r="D91" s="187" t="s">
        <v>97</v>
      </c>
      <c r="E91" s="188" t="s">
        <v>881</v>
      </c>
      <c r="F91" s="189"/>
      <c r="G91" s="187" t="s">
        <v>6691</v>
      </c>
      <c r="H91" s="204"/>
      <c r="I91" s="204"/>
      <c r="J91" s="196" t="s">
        <v>6080</v>
      </c>
      <c r="K91" s="196" t="s">
        <v>6159</v>
      </c>
      <c r="L91" s="192" t="str">
        <f>IFERROR(__xludf.DUMMYFUNCTION("IF(
  AND(D91=""Saída"", J91=""Sangria""),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198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94">
        <f>IFERROR(__xludf.DUMMYFUNCTION("ifna(VALUE(REGEXEXTRACT(E91,""[0-9.]+[,]+[0-9]+"")))"),16.0)</f>
        <v>16</v>
      </c>
      <c r="O91" s="31"/>
      <c r="P91" s="31"/>
      <c r="Q91" s="31"/>
      <c r="R91" s="31"/>
      <c r="S91" s="31"/>
      <c r="T91" s="31"/>
      <c r="U91" s="31"/>
      <c r="V91" s="31"/>
      <c r="W91" s="31"/>
    </row>
    <row r="92" ht="14.25" customHeight="1">
      <c r="A92" s="186"/>
      <c r="B92" s="13">
        <v>2191353.0</v>
      </c>
      <c r="C92" s="14">
        <v>46164.87278935185</v>
      </c>
      <c r="D92" s="187" t="s">
        <v>97</v>
      </c>
      <c r="E92" s="188" t="s">
        <v>8752</v>
      </c>
      <c r="F92" s="189"/>
      <c r="G92" s="187" t="s">
        <v>8753</v>
      </c>
      <c r="H92" s="204"/>
      <c r="I92" s="204"/>
      <c r="J92" s="196" t="s">
        <v>6446</v>
      </c>
      <c r="K92" s="196"/>
      <c r="L92" s="192" t="str">
        <f>IFERROR(__xludf.DUMMYFUNCTION("IF(
  AND(D92=""Saída"", J92=""Sangria""),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197" t="str">
        <f>IFERROR(__xludf.DUMMYFUNCTION("IF(J92=""Compra de Mercadorias"",
   IF(
      COUNTIF(ARRAYFORMULA(TRIM(CLEAN(TO_TEXT(Notas!BS:BS)))), TRIM(CLEAN(TO_TEXT(B92)))) &gt; 0,
      ""Encontrada"",
      ""Não Encontrada""
   ),
"""")"),"Encontrada")</f>
        <v>Encontrada</v>
      </c>
      <c r="N92" s="194">
        <f>IFERROR(__xludf.DUMMYFUNCTION("ifna(VALUE(REGEXEXTRACT(E92,""[0-9.]+[,]+[0-9]+"")))"),25.92)</f>
        <v>25.92</v>
      </c>
      <c r="O92" s="31"/>
      <c r="P92" s="31"/>
      <c r="Q92" s="31"/>
      <c r="R92" s="31"/>
      <c r="S92" s="31"/>
      <c r="T92" s="31"/>
      <c r="U92" s="194"/>
      <c r="V92" s="194"/>
      <c r="W92" s="194"/>
    </row>
    <row r="93" ht="14.25" customHeight="1">
      <c r="A93" s="186"/>
      <c r="B93" s="13">
        <v>2192581.0</v>
      </c>
      <c r="C93" s="14">
        <v>46165.85192129629</v>
      </c>
      <c r="D93" s="187" t="s">
        <v>97</v>
      </c>
      <c r="E93" s="188" t="s">
        <v>8720</v>
      </c>
      <c r="F93" s="189"/>
      <c r="G93" s="187" t="s">
        <v>8721</v>
      </c>
      <c r="H93" s="204"/>
      <c r="I93" s="204"/>
      <c r="J93" s="196" t="s">
        <v>6469</v>
      </c>
      <c r="K93" s="196"/>
      <c r="L93" s="192" t="str">
        <f>IFERROR(__xludf.DUMMYFUNCTION("IF(
  AND(D93=""Saída"", J93=""Sangria""),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198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94">
        <f>IFERROR(__xludf.DUMMYFUNCTION("ifna(VALUE(REGEXEXTRACT(E93,""[0-9.]+[,]+[0-9]+"")))"),128.0)</f>
        <v>128</v>
      </c>
      <c r="O93" s="218" t="s">
        <v>7094</v>
      </c>
      <c r="P93" s="219"/>
      <c r="Q93" s="219"/>
      <c r="R93" s="219"/>
      <c r="S93" s="219"/>
      <c r="T93" s="64"/>
      <c r="U93" s="194"/>
      <c r="V93" s="194"/>
      <c r="W93" s="194"/>
    </row>
    <row r="94" ht="14.25" customHeight="1">
      <c r="A94" s="186"/>
      <c r="B94" s="13">
        <v>2193958.0</v>
      </c>
      <c r="C94" s="14">
        <v>46166.792974537035</v>
      </c>
      <c r="D94" s="187" t="s">
        <v>97</v>
      </c>
      <c r="E94" s="188" t="s">
        <v>666</v>
      </c>
      <c r="F94" s="189"/>
      <c r="G94" s="187" t="s">
        <v>8754</v>
      </c>
      <c r="H94" s="204"/>
      <c r="I94" s="204"/>
      <c r="J94" s="196" t="s">
        <v>6469</v>
      </c>
      <c r="K94" s="196"/>
      <c r="L94" s="192" t="str">
        <f>IFERROR(__xludf.DUMMYFUNCTION("IF(
  AND(D94=""Saída"", J94=""Sangria""),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197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94">
        <f>IFERROR(__xludf.DUMMYFUNCTION("ifna(VALUE(REGEXEXTRACT(E94,""[0-9.]+[,]+[0-9]+"")))"),90.0)</f>
        <v>90</v>
      </c>
      <c r="O94" s="220"/>
      <c r="T94" s="221"/>
      <c r="U94" s="194"/>
      <c r="V94" s="194"/>
      <c r="W94" s="194"/>
    </row>
    <row r="95" ht="14.25" customHeight="1">
      <c r="A95" s="186"/>
      <c r="B95" s="13">
        <v>2194188.0</v>
      </c>
      <c r="C95" s="14">
        <v>46166.85653935185</v>
      </c>
      <c r="D95" s="187" t="s">
        <v>97</v>
      </c>
      <c r="E95" s="188" t="s">
        <v>8755</v>
      </c>
      <c r="F95" s="189"/>
      <c r="G95" s="187" t="s">
        <v>8756</v>
      </c>
      <c r="H95" s="204"/>
      <c r="I95" s="204"/>
      <c r="J95" s="196" t="s">
        <v>6551</v>
      </c>
      <c r="K95" s="196"/>
      <c r="L95" s="192" t="str">
        <f>IFERROR(__xludf.DUMMYFUNCTION("IF(
  AND(D95=""Saída"", J95=""Sangria""),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198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94">
        <f>IFERROR(__xludf.DUMMYFUNCTION("ifna(VALUE(REGEXEXTRACT(E95,""[0-9.]+[,]+[0-9]+"")))"),348.0)</f>
        <v>348</v>
      </c>
      <c r="O95" s="222" t="s">
        <v>0</v>
      </c>
      <c r="P95" s="223" t="s">
        <v>10</v>
      </c>
      <c r="Q95" s="223" t="s">
        <v>7118</v>
      </c>
      <c r="R95" s="223" t="s">
        <v>51</v>
      </c>
      <c r="S95" s="224" t="s">
        <v>38</v>
      </c>
      <c r="T95" s="221"/>
      <c r="U95" s="194"/>
      <c r="V95" s="194"/>
      <c r="W95" s="194"/>
    </row>
    <row r="96" ht="14.25" customHeight="1">
      <c r="A96" s="186"/>
      <c r="B96" s="13">
        <v>2194197.0</v>
      </c>
      <c r="C96" s="14">
        <v>46166.85806712963</v>
      </c>
      <c r="D96" s="187" t="s">
        <v>97</v>
      </c>
      <c r="E96" s="188" t="s">
        <v>462</v>
      </c>
      <c r="F96" s="189"/>
      <c r="G96" s="187" t="s">
        <v>858</v>
      </c>
      <c r="H96" s="204"/>
      <c r="I96" s="204"/>
      <c r="J96" s="196" t="s">
        <v>6544</v>
      </c>
      <c r="K96" s="196" t="s">
        <v>5991</v>
      </c>
      <c r="L96" s="192" t="str">
        <f>IFERROR(__xludf.DUMMYFUNCTION("IF(
  AND(D96=""Saída"", J96=""Sangria""),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"),"Confirmada")</f>
        <v>Confirmada</v>
      </c>
      <c r="M96" s="197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94">
        <f>IFERROR(__xludf.DUMMYFUNCTION("ifna(VALUE(REGEXEXTRACT(E96,""[0-9.]+[,]+[0-9]+"")))"),700.0)</f>
        <v>700</v>
      </c>
      <c r="O96" s="225" t="s">
        <v>3195</v>
      </c>
      <c r="P96" s="208">
        <v>46155.0</v>
      </c>
      <c r="Q96" s="209" t="s">
        <v>126</v>
      </c>
      <c r="R96" s="210">
        <v>500.0</v>
      </c>
      <c r="S96" s="226"/>
      <c r="T96" s="227" t="str">
        <f t="shared" ref="T96:T116" si="1">IFERROR(VLOOKUP(Q96, $A$4:$B$11, 2, FALSE), "")</f>
        <v>Sabrina</v>
      </c>
      <c r="U96" s="194"/>
      <c r="V96" s="194"/>
      <c r="W96" s="194"/>
    </row>
    <row r="97" ht="14.25" customHeight="1">
      <c r="A97" s="186"/>
      <c r="B97" s="13">
        <v>2195431.0</v>
      </c>
      <c r="C97" s="14">
        <v>46167.65756944445</v>
      </c>
      <c r="D97" s="187" t="s">
        <v>97</v>
      </c>
      <c r="E97" s="188" t="s">
        <v>8757</v>
      </c>
      <c r="F97" s="189"/>
      <c r="G97" s="187" t="s">
        <v>109</v>
      </c>
      <c r="H97" s="204"/>
      <c r="I97" s="204"/>
      <c r="J97" s="196" t="s">
        <v>6080</v>
      </c>
      <c r="K97" s="196" t="s">
        <v>6159</v>
      </c>
      <c r="L97" s="192" t="str">
        <f>IFERROR(__xludf.DUMMYFUNCTION("IF(
  AND(D97=""Saída"", J97=""Sangria""),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198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94">
        <f>IFERROR(__xludf.DUMMYFUNCTION("ifna(VALUE(REGEXEXTRACT(E97,""[0-9.]+[,]+[0-9]+"")))"),21.51)</f>
        <v>21.51</v>
      </c>
      <c r="O97" s="225"/>
      <c r="P97" s="208"/>
      <c r="Q97" s="209"/>
      <c r="R97" s="210"/>
      <c r="S97" s="228"/>
      <c r="T97" s="227" t="str">
        <f t="shared" si="1"/>
        <v/>
      </c>
      <c r="U97" s="194"/>
      <c r="V97" s="194"/>
      <c r="W97" s="194"/>
    </row>
    <row r="98" ht="14.25" customHeight="1">
      <c r="A98" s="186"/>
      <c r="B98" s="13"/>
      <c r="C98" s="14"/>
      <c r="D98" s="187"/>
      <c r="E98" s="188"/>
      <c r="F98" s="189"/>
      <c r="G98" s="187"/>
      <c r="H98" s="204"/>
      <c r="I98" s="204"/>
      <c r="J98" s="196"/>
      <c r="K98" s="196"/>
      <c r="L98" s="192" t="str">
        <f>IFERROR(__xludf.DUMMYFUNCTION("IF(
  AND(D98=""Saída"", J98=""Sangria""),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197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94" t="str">
        <f>IFERROR(__xludf.DUMMYFUNCTION("ifna(VALUE(REGEXEXTRACT(E98,""[0-9.]+[,]+[0-9]+"")))"),"")</f>
        <v/>
      </c>
      <c r="O98" s="225"/>
      <c r="P98" s="208"/>
      <c r="Q98" s="209"/>
      <c r="R98" s="210"/>
      <c r="S98" s="229"/>
      <c r="T98" s="227" t="str">
        <f t="shared" si="1"/>
        <v/>
      </c>
      <c r="U98" s="194"/>
      <c r="V98" s="194"/>
      <c r="W98" s="194"/>
    </row>
    <row r="99" ht="14.25" customHeight="1">
      <c r="A99" s="186"/>
      <c r="B99" s="13"/>
      <c r="C99" s="14"/>
      <c r="D99" s="187"/>
      <c r="E99" s="188"/>
      <c r="F99" s="189"/>
      <c r="G99" s="187"/>
      <c r="H99" s="204"/>
      <c r="I99" s="204"/>
      <c r="J99" s="196"/>
      <c r="K99" s="196"/>
      <c r="L99" s="192" t="str">
        <f>IFERROR(__xludf.DUMMYFUNCTION("IF(
  AND(D99=""Saída"", J99=""Sangria""),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198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94" t="str">
        <f>IFERROR(__xludf.DUMMYFUNCTION("ifna(VALUE(REGEXEXTRACT(E99,""[0-9.]+[,]+[0-9]+"")))"),"")</f>
        <v/>
      </c>
      <c r="O99" s="225"/>
      <c r="P99" s="208"/>
      <c r="Q99" s="209"/>
      <c r="R99" s="210"/>
      <c r="S99" s="230"/>
      <c r="T99" s="227" t="str">
        <f t="shared" si="1"/>
        <v/>
      </c>
      <c r="U99" s="194"/>
      <c r="V99" s="194"/>
      <c r="W99" s="194"/>
    </row>
    <row r="100" ht="14.25" customHeight="1">
      <c r="A100" s="186"/>
      <c r="B100" s="13"/>
      <c r="C100" s="14"/>
      <c r="D100" s="187"/>
      <c r="E100" s="188"/>
      <c r="F100" s="189"/>
      <c r="G100" s="187"/>
      <c r="H100" s="204"/>
      <c r="I100" s="204"/>
      <c r="J100" s="196"/>
      <c r="K100" s="196"/>
      <c r="L100" s="192" t="str">
        <f>IFERROR(__xludf.DUMMYFUNCTION("IF(
  AND(D100=""Saída"", J100=""Sangria""),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197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94" t="str">
        <f>IFERROR(__xludf.DUMMYFUNCTION("ifna(VALUE(REGEXEXTRACT(E100,""[0-9.]+[,]+[0-9]+"")))"),"")</f>
        <v/>
      </c>
      <c r="O100" s="225"/>
      <c r="P100" s="208"/>
      <c r="Q100" s="209"/>
      <c r="R100" s="210"/>
      <c r="S100" s="229"/>
      <c r="T100" s="227" t="str">
        <f t="shared" si="1"/>
        <v/>
      </c>
      <c r="U100" s="194"/>
      <c r="V100" s="194"/>
      <c r="W100" s="194"/>
    </row>
    <row r="101" ht="14.25" customHeight="1">
      <c r="A101" s="186"/>
      <c r="B101" s="13"/>
      <c r="C101" s="14"/>
      <c r="D101" s="187"/>
      <c r="E101" s="188"/>
      <c r="F101" s="189"/>
      <c r="G101" s="187"/>
      <c r="H101" s="204"/>
      <c r="I101" s="204"/>
      <c r="J101" s="196"/>
      <c r="K101" s="196"/>
      <c r="L101" s="192" t="str">
        <f>IFERROR(__xludf.DUMMYFUNCTION("IF(
  AND(D101=""Saída"", J101=""Sangria""),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198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94" t="str">
        <f>IFERROR(__xludf.DUMMYFUNCTION("ifna(VALUE(REGEXEXTRACT(E101,""[0-9.]+[,]+[0-9]+"")))"),"")</f>
        <v/>
      </c>
      <c r="O101" s="231"/>
      <c r="P101" s="232"/>
      <c r="Q101" s="233"/>
      <c r="R101" s="234"/>
      <c r="S101" s="230"/>
      <c r="T101" s="227" t="str">
        <f t="shared" si="1"/>
        <v/>
      </c>
      <c r="U101" s="194"/>
      <c r="V101" s="194"/>
      <c r="W101" s="194"/>
    </row>
    <row r="102" ht="14.25" customHeight="1">
      <c r="A102" s="186"/>
      <c r="B102" s="13"/>
      <c r="C102" s="14"/>
      <c r="D102" s="187"/>
      <c r="E102" s="188"/>
      <c r="F102" s="189"/>
      <c r="G102" s="187"/>
      <c r="H102" s="204"/>
      <c r="I102" s="204"/>
      <c r="J102" s="196"/>
      <c r="K102" s="196"/>
      <c r="L102" s="192" t="str">
        <f>IFERROR(__xludf.DUMMYFUNCTION("IF(
  AND(D102=""Saída"", J102=""Sangria""),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197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94" t="str">
        <f>IFERROR(__xludf.DUMMYFUNCTION("ifna(VALUE(REGEXEXTRACT(E102,""[0-9.]+[,]+[0-9]+"")))"),"")</f>
        <v/>
      </c>
      <c r="O102" s="235"/>
      <c r="P102" s="236"/>
      <c r="Q102" s="229"/>
      <c r="R102" s="237" t="str">
        <f t="shared" ref="R102:R138" si="2">IFERROR(VLOOKUP(Q102, $B$4:$C$18, 2, FALSE), "")</f>
        <v/>
      </c>
      <c r="S102" s="229" t="str">
        <f t="shared" ref="S102:S138" si="3">IFERROR(VLOOKUP(Q102, $A$4:$B$18, 2, FALSE), "")</f>
        <v/>
      </c>
      <c r="T102" s="227" t="str">
        <f t="shared" si="1"/>
        <v/>
      </c>
      <c r="U102" s="194"/>
      <c r="V102" s="194"/>
      <c r="W102" s="194"/>
    </row>
    <row r="103" ht="14.25" customHeight="1">
      <c r="A103" s="186"/>
      <c r="B103" s="13"/>
      <c r="C103" s="14"/>
      <c r="D103" s="187"/>
      <c r="E103" s="188"/>
      <c r="F103" s="189"/>
      <c r="G103" s="187"/>
      <c r="H103" s="204"/>
      <c r="I103" s="204"/>
      <c r="J103" s="196"/>
      <c r="K103" s="196"/>
      <c r="L103" s="192" t="str">
        <f>IFERROR(__xludf.DUMMYFUNCTION("IF(
  AND(D103=""Saída"", J103=""Sangria""),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198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94" t="str">
        <f>IFERROR(__xludf.DUMMYFUNCTION("ifna(VALUE(REGEXEXTRACT(E103,""[0-9.]+[,]+[0-9]+"")))"),"")</f>
        <v/>
      </c>
      <c r="O103" s="238"/>
      <c r="P103" s="239"/>
      <c r="Q103" s="230"/>
      <c r="R103" s="240" t="str">
        <f t="shared" si="2"/>
        <v/>
      </c>
      <c r="S103" s="230" t="str">
        <f t="shared" si="3"/>
        <v/>
      </c>
      <c r="T103" s="227" t="str">
        <f t="shared" si="1"/>
        <v/>
      </c>
      <c r="U103" s="194"/>
      <c r="V103" s="194"/>
      <c r="W103" s="194"/>
    </row>
    <row r="104" ht="14.25" customHeight="1">
      <c r="A104" s="186"/>
      <c r="B104" s="13"/>
      <c r="C104" s="14"/>
      <c r="D104" s="187"/>
      <c r="E104" s="188"/>
      <c r="F104" s="189"/>
      <c r="G104" s="187"/>
      <c r="H104" s="204"/>
      <c r="I104" s="204"/>
      <c r="J104" s="196"/>
      <c r="K104" s="196"/>
      <c r="L104" s="192" t="str">
        <f>IFERROR(__xludf.DUMMYFUNCTION("IF(
  AND(D104=""Saída"", J104=""Sangria""),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197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94" t="str">
        <f>IFERROR(__xludf.DUMMYFUNCTION("ifna(VALUE(REGEXEXTRACT(E104,""[0-9.]+[,]+[0-9]+"")))"),"")</f>
        <v/>
      </c>
      <c r="O104" s="235"/>
      <c r="P104" s="236"/>
      <c r="Q104" s="229"/>
      <c r="R104" s="237" t="str">
        <f t="shared" si="2"/>
        <v/>
      </c>
      <c r="S104" s="229" t="str">
        <f t="shared" si="3"/>
        <v/>
      </c>
      <c r="T104" s="227" t="str">
        <f t="shared" si="1"/>
        <v/>
      </c>
      <c r="U104" s="194"/>
      <c r="V104" s="194"/>
      <c r="W104" s="194"/>
    </row>
    <row r="105" ht="14.25" customHeight="1">
      <c r="A105" s="186"/>
      <c r="B105" s="13"/>
      <c r="C105" s="14"/>
      <c r="D105" s="187"/>
      <c r="E105" s="188"/>
      <c r="F105" s="189"/>
      <c r="G105" s="187"/>
      <c r="H105" s="204"/>
      <c r="I105" s="204"/>
      <c r="J105" s="196"/>
      <c r="K105" s="196"/>
      <c r="L105" s="192" t="str">
        <f>IFERROR(__xludf.DUMMYFUNCTION("IF(
  AND(D105=""Saída"", J105=""Sangria""),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198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94" t="str">
        <f>IFERROR(__xludf.DUMMYFUNCTION("ifna(VALUE(REGEXEXTRACT(E105,""[0-9.]+[,]+[0-9]+"")))"),"")</f>
        <v/>
      </c>
      <c r="O105" s="238"/>
      <c r="P105" s="239"/>
      <c r="Q105" s="230"/>
      <c r="R105" s="240" t="str">
        <f t="shared" si="2"/>
        <v/>
      </c>
      <c r="S105" s="230" t="str">
        <f t="shared" si="3"/>
        <v/>
      </c>
      <c r="T105" s="227" t="str">
        <f t="shared" si="1"/>
        <v/>
      </c>
      <c r="U105" s="194"/>
      <c r="V105" s="194"/>
      <c r="W105" s="194"/>
    </row>
    <row r="106" ht="14.25" customHeight="1">
      <c r="A106" s="186"/>
      <c r="B106" s="13"/>
      <c r="C106" s="14"/>
      <c r="D106" s="187"/>
      <c r="E106" s="188"/>
      <c r="F106" s="189"/>
      <c r="G106" s="187"/>
      <c r="H106" s="204"/>
      <c r="I106" s="204"/>
      <c r="J106" s="196"/>
      <c r="K106" s="196"/>
      <c r="L106" s="192" t="str">
        <f>IFERROR(__xludf.DUMMYFUNCTION("IF(
  AND(D106=""Saída"", J106=""Sangria""),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197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94" t="str">
        <f>IFERROR(__xludf.DUMMYFUNCTION("ifna(VALUE(REGEXEXTRACT(E106,""[0-9.]+[,]+[0-9]+"")))"),"")</f>
        <v/>
      </c>
      <c r="O106" s="235"/>
      <c r="P106" s="236"/>
      <c r="Q106" s="229"/>
      <c r="R106" s="237" t="str">
        <f t="shared" si="2"/>
        <v/>
      </c>
      <c r="S106" s="229" t="str">
        <f t="shared" si="3"/>
        <v/>
      </c>
      <c r="T106" s="227" t="str">
        <f t="shared" si="1"/>
        <v/>
      </c>
      <c r="U106" s="194"/>
      <c r="V106" s="194"/>
      <c r="W106" s="194"/>
    </row>
    <row r="107" ht="14.25" customHeight="1">
      <c r="A107" s="186"/>
      <c r="B107" s="13"/>
      <c r="C107" s="14"/>
      <c r="D107" s="187"/>
      <c r="E107" s="188"/>
      <c r="F107" s="189"/>
      <c r="G107" s="187"/>
      <c r="H107" s="204"/>
      <c r="I107" s="204"/>
      <c r="J107" s="196"/>
      <c r="K107" s="196"/>
      <c r="L107" s="192" t="str">
        <f>IFERROR(__xludf.DUMMYFUNCTION("IF(
  AND(D107=""Saída"", J107=""Sangria""),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198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94" t="str">
        <f>IFERROR(__xludf.DUMMYFUNCTION("ifna(VALUE(REGEXEXTRACT(E107,""[0-9.]+[,]+[0-9]+"")))"),"")</f>
        <v/>
      </c>
      <c r="O107" s="238"/>
      <c r="P107" s="230"/>
      <c r="Q107" s="230"/>
      <c r="R107" s="240" t="str">
        <f t="shared" si="2"/>
        <v/>
      </c>
      <c r="S107" s="230" t="str">
        <f t="shared" si="3"/>
        <v/>
      </c>
      <c r="T107" s="227" t="str">
        <f t="shared" si="1"/>
        <v/>
      </c>
      <c r="U107" s="194"/>
      <c r="V107" s="194"/>
      <c r="W107" s="194"/>
    </row>
    <row r="108" ht="14.25" customHeight="1">
      <c r="A108" s="186"/>
      <c r="B108" s="13"/>
      <c r="C108" s="14"/>
      <c r="D108" s="187"/>
      <c r="E108" s="188"/>
      <c r="F108" s="189"/>
      <c r="G108" s="187"/>
      <c r="H108" s="204"/>
      <c r="I108" s="204"/>
      <c r="J108" s="196"/>
      <c r="K108" s="196"/>
      <c r="L108" s="192" t="str">
        <f>IFERROR(__xludf.DUMMYFUNCTION("IF(
  AND(D108=""Saída"", J108=""Sangria""),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197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94" t="str">
        <f>IFERROR(__xludf.DUMMYFUNCTION("ifna(VALUE(REGEXEXTRACT(E108,""[0-9.]+[,]+[0-9]+"")))"),"")</f>
        <v/>
      </c>
      <c r="O108" s="235"/>
      <c r="P108" s="229"/>
      <c r="Q108" s="229"/>
      <c r="R108" s="237" t="str">
        <f t="shared" si="2"/>
        <v/>
      </c>
      <c r="S108" s="229" t="str">
        <f t="shared" si="3"/>
        <v/>
      </c>
      <c r="T108" s="227" t="str">
        <f t="shared" si="1"/>
        <v/>
      </c>
      <c r="U108" s="194"/>
      <c r="V108" s="194"/>
      <c r="W108" s="194"/>
    </row>
    <row r="109" ht="14.25" customHeight="1">
      <c r="A109" s="186"/>
      <c r="B109" s="13"/>
      <c r="C109" s="14"/>
      <c r="D109" s="187"/>
      <c r="E109" s="188"/>
      <c r="F109" s="189"/>
      <c r="G109" s="187"/>
      <c r="H109" s="204"/>
      <c r="I109" s="204"/>
      <c r="J109" s="196"/>
      <c r="K109" s="196"/>
      <c r="L109" s="192" t="str">
        <f>IFERROR(__xludf.DUMMYFUNCTION("IF(
  AND(D109=""Saída"", J109=""Sangria""),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198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94" t="str">
        <f>IFERROR(__xludf.DUMMYFUNCTION("ifna(VALUE(REGEXEXTRACT(E109,""[0-9.]+[,]+[0-9]+"")))"),"")</f>
        <v/>
      </c>
      <c r="O109" s="238"/>
      <c r="P109" s="230"/>
      <c r="Q109" s="230"/>
      <c r="R109" s="240" t="str">
        <f t="shared" si="2"/>
        <v/>
      </c>
      <c r="S109" s="230" t="str">
        <f t="shared" si="3"/>
        <v/>
      </c>
      <c r="T109" s="227" t="str">
        <f t="shared" si="1"/>
        <v/>
      </c>
      <c r="U109" s="194"/>
      <c r="V109" s="194"/>
      <c r="W109" s="194"/>
    </row>
    <row r="110" ht="14.25" customHeight="1">
      <c r="A110" s="186"/>
      <c r="B110" s="13"/>
      <c r="C110" s="14"/>
      <c r="D110" s="187"/>
      <c r="E110" s="188"/>
      <c r="F110" s="189"/>
      <c r="G110" s="187"/>
      <c r="H110" s="204"/>
      <c r="I110" s="204"/>
      <c r="J110" s="196"/>
      <c r="K110" s="196"/>
      <c r="L110" s="192" t="str">
        <f>IFERROR(__xludf.DUMMYFUNCTION("IF(
  AND(D110=""Saída"", J110=""Sangria""),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197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94" t="str">
        <f>IFERROR(__xludf.DUMMYFUNCTION("ifna(VALUE(REGEXEXTRACT(E110,""[0-9.]+[,]+[0-9]+"")))"),"")</f>
        <v/>
      </c>
      <c r="O110" s="235"/>
      <c r="P110" s="229"/>
      <c r="Q110" s="229"/>
      <c r="R110" s="237" t="str">
        <f t="shared" si="2"/>
        <v/>
      </c>
      <c r="S110" s="229" t="str">
        <f t="shared" si="3"/>
        <v/>
      </c>
      <c r="T110" s="227" t="str">
        <f t="shared" si="1"/>
        <v/>
      </c>
      <c r="U110" s="194"/>
      <c r="V110" s="194"/>
      <c r="W110" s="194"/>
    </row>
    <row r="111" ht="14.25" customHeight="1">
      <c r="A111" s="186"/>
      <c r="B111" s="13"/>
      <c r="C111" s="14"/>
      <c r="D111" s="187"/>
      <c r="E111" s="188"/>
      <c r="F111" s="189"/>
      <c r="G111" s="187"/>
      <c r="H111" s="204"/>
      <c r="I111" s="204"/>
      <c r="J111" s="196"/>
      <c r="K111" s="196"/>
      <c r="L111" s="192" t="str">
        <f>IFERROR(__xludf.DUMMYFUNCTION("IF(
  AND(D111=""Saída"", J111=""Sangria""),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198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94" t="str">
        <f>IFERROR(__xludf.DUMMYFUNCTION("ifna(VALUE(REGEXEXTRACT(E111,""[0-9.]+[,]+[0-9]+"")))"),"")</f>
        <v/>
      </c>
      <c r="O111" s="238"/>
      <c r="P111" s="230"/>
      <c r="Q111" s="230"/>
      <c r="R111" s="240" t="str">
        <f t="shared" si="2"/>
        <v/>
      </c>
      <c r="S111" s="230" t="str">
        <f t="shared" si="3"/>
        <v/>
      </c>
      <c r="T111" s="227" t="str">
        <f t="shared" si="1"/>
        <v/>
      </c>
      <c r="U111" s="194"/>
      <c r="V111" s="194"/>
      <c r="W111" s="194"/>
    </row>
    <row r="112" ht="14.25" customHeight="1">
      <c r="A112" s="186"/>
      <c r="B112" s="13"/>
      <c r="C112" s="14"/>
      <c r="D112" s="187"/>
      <c r="E112" s="188"/>
      <c r="F112" s="200"/>
      <c r="G112" s="187"/>
      <c r="H112" s="204"/>
      <c r="I112" s="204"/>
      <c r="J112" s="196"/>
      <c r="K112" s="196"/>
      <c r="L112" s="192" t="str">
        <f>IFERROR(__xludf.DUMMYFUNCTION("IF(
  AND(D112=""Saída"", J112=""Sangria""),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197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94" t="str">
        <f>IFERROR(__xludf.DUMMYFUNCTION("ifna(VALUE(REGEXEXTRACT(E112,""[0-9.]+[,]+[0-9]+"")))"),"")</f>
        <v/>
      </c>
      <c r="O112" s="235"/>
      <c r="P112" s="229"/>
      <c r="Q112" s="229"/>
      <c r="R112" s="237" t="str">
        <f t="shared" si="2"/>
        <v/>
      </c>
      <c r="S112" s="229" t="str">
        <f t="shared" si="3"/>
        <v/>
      </c>
      <c r="T112" s="227" t="str">
        <f t="shared" si="1"/>
        <v/>
      </c>
      <c r="U112" s="194"/>
      <c r="V112" s="194"/>
      <c r="W112" s="194"/>
    </row>
    <row r="113" ht="14.25" customHeight="1">
      <c r="A113" s="186"/>
      <c r="B113" s="13"/>
      <c r="C113" s="14"/>
      <c r="D113" s="187"/>
      <c r="E113" s="188"/>
      <c r="F113" s="189"/>
      <c r="G113" s="187"/>
      <c r="H113" s="204"/>
      <c r="I113" s="204"/>
      <c r="J113" s="196"/>
      <c r="K113" s="196"/>
      <c r="L113" s="192" t="str">
        <f>IFERROR(__xludf.DUMMYFUNCTION("IF(
  AND(D113=""Saída"", J113=""Sangria""),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198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94" t="str">
        <f>IFERROR(__xludf.DUMMYFUNCTION("ifna(VALUE(REGEXEXTRACT(E113,""[0-9.]+[,]+[0-9]+"")))"),"")</f>
        <v/>
      </c>
      <c r="O113" s="238"/>
      <c r="P113" s="230"/>
      <c r="Q113" s="230"/>
      <c r="R113" s="240" t="str">
        <f t="shared" si="2"/>
        <v/>
      </c>
      <c r="S113" s="230" t="str">
        <f t="shared" si="3"/>
        <v/>
      </c>
      <c r="T113" s="227" t="str">
        <f t="shared" si="1"/>
        <v/>
      </c>
      <c r="U113" s="194"/>
      <c r="V113" s="194"/>
      <c r="W113" s="194"/>
    </row>
    <row r="114" ht="14.25" customHeight="1">
      <c r="A114" s="186"/>
      <c r="B114" s="13"/>
      <c r="C114" s="14"/>
      <c r="D114" s="187"/>
      <c r="E114" s="188"/>
      <c r="F114" s="189"/>
      <c r="G114" s="187"/>
      <c r="H114" s="204"/>
      <c r="I114" s="204"/>
      <c r="J114" s="196"/>
      <c r="K114" s="196"/>
      <c r="L114" s="192" t="str">
        <f>IFERROR(__xludf.DUMMYFUNCTION("IF(
  AND(D114=""Saída"", J114=""Sangria""),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197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94" t="str">
        <f>IFERROR(__xludf.DUMMYFUNCTION("ifna(VALUE(REGEXEXTRACT(E114,""[0-9.]+[,]+[0-9]+"")))"),"")</f>
        <v/>
      </c>
      <c r="O114" s="235"/>
      <c r="P114" s="229"/>
      <c r="Q114" s="229"/>
      <c r="R114" s="237" t="str">
        <f t="shared" si="2"/>
        <v/>
      </c>
      <c r="S114" s="229" t="str">
        <f t="shared" si="3"/>
        <v/>
      </c>
      <c r="T114" s="227" t="str">
        <f t="shared" si="1"/>
        <v/>
      </c>
      <c r="U114" s="194"/>
      <c r="V114" s="194"/>
      <c r="W114" s="194"/>
    </row>
    <row r="115" ht="14.25" customHeight="1">
      <c r="A115" s="186"/>
      <c r="B115" s="13"/>
      <c r="C115" s="14"/>
      <c r="D115" s="187"/>
      <c r="E115" s="188"/>
      <c r="F115" s="189"/>
      <c r="G115" s="187"/>
      <c r="H115" s="204"/>
      <c r="I115" s="204"/>
      <c r="J115" s="196"/>
      <c r="K115" s="196"/>
      <c r="L115" s="192" t="str">
        <f>IFERROR(__xludf.DUMMYFUNCTION("IF(
  AND(D115=""Saída"", J115=""Sangria""),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198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94" t="str">
        <f>IFERROR(__xludf.DUMMYFUNCTION("ifna(VALUE(REGEXEXTRACT(E115,""[0-9.]+[,]+[0-9]+"")))"),"")</f>
        <v/>
      </c>
      <c r="O115" s="238"/>
      <c r="P115" s="230"/>
      <c r="Q115" s="230"/>
      <c r="R115" s="240" t="str">
        <f t="shared" si="2"/>
        <v/>
      </c>
      <c r="S115" s="230" t="str">
        <f t="shared" si="3"/>
        <v/>
      </c>
      <c r="T115" s="227" t="str">
        <f t="shared" si="1"/>
        <v/>
      </c>
      <c r="U115" s="194"/>
      <c r="V115" s="194"/>
      <c r="W115" s="194"/>
    </row>
    <row r="116" ht="14.25" customHeight="1">
      <c r="A116" s="186"/>
      <c r="B116" s="13"/>
      <c r="C116" s="14"/>
      <c r="D116" s="187"/>
      <c r="E116" s="188"/>
      <c r="F116" s="189"/>
      <c r="G116" s="187"/>
      <c r="H116" s="204"/>
      <c r="I116" s="204"/>
      <c r="J116" s="196"/>
      <c r="K116" s="196"/>
      <c r="L116" s="192" t="str">
        <f>IFERROR(__xludf.DUMMYFUNCTION("IF(
  AND(D116=""Saída"", J116=""Sangria""),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197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94" t="str">
        <f>IFERROR(__xludf.DUMMYFUNCTION("ifna(VALUE(REGEXEXTRACT(E116,""[0-9.]+[,]+[0-9]+"")))"),"")</f>
        <v/>
      </c>
      <c r="O116" s="235"/>
      <c r="P116" s="229"/>
      <c r="Q116" s="229"/>
      <c r="R116" s="237" t="str">
        <f t="shared" si="2"/>
        <v/>
      </c>
      <c r="S116" s="229" t="str">
        <f t="shared" si="3"/>
        <v/>
      </c>
      <c r="T116" s="227" t="str">
        <f t="shared" si="1"/>
        <v/>
      </c>
      <c r="U116" s="194"/>
      <c r="V116" s="194"/>
      <c r="W116" s="194"/>
    </row>
    <row r="117" ht="14.25" customHeight="1">
      <c r="A117" s="186"/>
      <c r="B117" s="13"/>
      <c r="C117" s="14"/>
      <c r="D117" s="187"/>
      <c r="E117" s="188"/>
      <c r="F117" s="189"/>
      <c r="G117" s="187"/>
      <c r="H117" s="204"/>
      <c r="I117" s="204"/>
      <c r="J117" s="196"/>
      <c r="K117" s="196"/>
      <c r="L117" s="192" t="str">
        <f>IFERROR(__xludf.DUMMYFUNCTION("IF(
  AND(D117=""Saída"", J117=""Sangria""),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198" t="str">
        <f>IFERROR(__xludf.DUMMYFUNCTION("IF(J117=""Compra de Mercadorias"",
   IF(
      COUNTIF(ARRAYFORMULA(TRIM(CLEAN(TO_TEXT(Notas!BS:BS)))), TRIM(CLEAN(TO_TEXT(#REF!)))) &gt; 0,
      ""Encontrada"",
      ""Não Encontrada""
   ),
"""")"),"")</f>
        <v/>
      </c>
      <c r="N117" s="194" t="str">
        <f>IFERROR(__xludf.DUMMYFUNCTION("ifna(VALUE(REGEXEXTRACT(E117,""[0-9.]+[,]+[0-9]+"")))"),"")</f>
        <v/>
      </c>
      <c r="O117" s="238"/>
      <c r="P117" s="230"/>
      <c r="Q117" s="230"/>
      <c r="R117" s="240" t="str">
        <f t="shared" si="2"/>
        <v/>
      </c>
      <c r="S117" s="230" t="str">
        <f t="shared" si="3"/>
        <v/>
      </c>
      <c r="T117" s="242" t="str">
        <f t="shared" ref="T117:T138" si="4">IFERROR(VLOOKUP(Q117, $A$4:$B$18, 2, FALSE), "")</f>
        <v/>
      </c>
      <c r="U117" s="194"/>
      <c r="V117" s="194"/>
      <c r="W117" s="194"/>
    </row>
    <row r="118" ht="14.25" customHeight="1">
      <c r="A118" s="186"/>
      <c r="B118" s="13"/>
      <c r="C118" s="14"/>
      <c r="D118" s="187"/>
      <c r="E118" s="188"/>
      <c r="F118" s="189"/>
      <c r="G118" s="187"/>
      <c r="H118" s="204"/>
      <c r="I118" s="204"/>
      <c r="J118" s="196"/>
      <c r="K118" s="196"/>
      <c r="L118" s="192" t="str">
        <f>IFERROR(__xludf.DUMMYFUNCTION("IF(
  AND(D118=""Saída"", J118=""Sangria""),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197" t="str">
        <f>IFERROR(__xludf.DUMMYFUNCTION("IF(J118=""Compra de Mercadorias"",
   IF(
      COUNTIF(ARRAYFORMULA(TRIM(CLEAN(TO_TEXT(Notas!BS:BS)))), TRIM(CLEAN(TO_TEXT(B117)))) &gt; 0,
      ""Encontrada"",
      ""Não Encontrada""
   ),
"""")"),"")</f>
        <v/>
      </c>
      <c r="N118" s="194" t="str">
        <f>IFERROR(__xludf.DUMMYFUNCTION("ifna(VALUE(REGEXEXTRACT(E118,""[0-9.]+[,]+[0-9]+"")))"),"")</f>
        <v/>
      </c>
      <c r="O118" s="235"/>
      <c r="P118" s="229"/>
      <c r="Q118" s="229"/>
      <c r="R118" s="237" t="str">
        <f t="shared" si="2"/>
        <v/>
      </c>
      <c r="S118" s="229" t="str">
        <f t="shared" si="3"/>
        <v/>
      </c>
      <c r="T118" s="242" t="str">
        <f t="shared" si="4"/>
        <v/>
      </c>
      <c r="U118" s="194"/>
      <c r="V118" s="194"/>
      <c r="W118" s="194"/>
    </row>
    <row r="119" ht="14.25" customHeight="1">
      <c r="A119" s="186"/>
      <c r="B119" s="13"/>
      <c r="C119" s="14"/>
      <c r="D119" s="187"/>
      <c r="E119" s="188"/>
      <c r="F119" s="189"/>
      <c r="G119" s="187"/>
      <c r="H119" s="204"/>
      <c r="I119" s="204"/>
      <c r="J119" s="196"/>
      <c r="K119" s="196"/>
      <c r="L119" s="192" t="str">
        <f>IFERROR(__xludf.DUMMYFUNCTION("IF(
  AND(D119=""Saída"", J119=""Sangria""),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198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94" t="str">
        <f>IFERROR(__xludf.DUMMYFUNCTION("ifna(VALUE(REGEXEXTRACT(E119,""[0-9.]+[,]+[0-9]+"")))"),"")</f>
        <v/>
      </c>
      <c r="O119" s="238"/>
      <c r="P119" s="230"/>
      <c r="Q119" s="230"/>
      <c r="R119" s="240" t="str">
        <f t="shared" si="2"/>
        <v/>
      </c>
      <c r="S119" s="230" t="str">
        <f t="shared" si="3"/>
        <v/>
      </c>
      <c r="T119" s="242" t="str">
        <f t="shared" si="4"/>
        <v/>
      </c>
      <c r="U119" s="194"/>
      <c r="V119" s="194"/>
      <c r="W119" s="194"/>
    </row>
    <row r="120" ht="14.25" customHeight="1">
      <c r="A120" s="186"/>
      <c r="B120" s="13"/>
      <c r="C120" s="14"/>
      <c r="D120" s="187"/>
      <c r="E120" s="188"/>
      <c r="F120" s="189"/>
      <c r="G120" s="187"/>
      <c r="H120" s="204"/>
      <c r="I120" s="204"/>
      <c r="J120" s="196"/>
      <c r="K120" s="196"/>
      <c r="L120" s="192" t="str">
        <f>IFERROR(__xludf.DUMMYFUNCTION("IF(
  AND(D120=""Saída"", J120=""Sangria""),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197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94" t="str">
        <f>IFERROR(__xludf.DUMMYFUNCTION("ifna(VALUE(REGEXEXTRACT(E120,""[0-9.]+[,]+[0-9]+"")))"),"")</f>
        <v/>
      </c>
      <c r="O120" s="235"/>
      <c r="P120" s="229"/>
      <c r="Q120" s="229"/>
      <c r="R120" s="237" t="str">
        <f t="shared" si="2"/>
        <v/>
      </c>
      <c r="S120" s="229" t="str">
        <f t="shared" si="3"/>
        <v/>
      </c>
      <c r="T120" s="242" t="str">
        <f t="shared" si="4"/>
        <v/>
      </c>
      <c r="U120" s="194"/>
      <c r="V120" s="194"/>
      <c r="W120" s="194"/>
    </row>
    <row r="121" ht="14.25" customHeight="1">
      <c r="A121" s="186"/>
      <c r="B121" s="13"/>
      <c r="C121" s="14"/>
      <c r="D121" s="187"/>
      <c r="E121" s="188"/>
      <c r="F121" s="200"/>
      <c r="G121" s="187"/>
      <c r="H121" s="204"/>
      <c r="I121" s="204"/>
      <c r="J121" s="196"/>
      <c r="K121" s="196"/>
      <c r="L121" s="192" t="str">
        <f>IFERROR(__xludf.DUMMYFUNCTION("IF(
  AND(D121=""Saída"", J121=""Sangria""),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198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94" t="str">
        <f>IFERROR(__xludf.DUMMYFUNCTION("ifna(VALUE(REGEXEXTRACT(E121,""[0-9.]+[,]+[0-9]+"")))"),"")</f>
        <v/>
      </c>
      <c r="O121" s="238"/>
      <c r="P121" s="230"/>
      <c r="Q121" s="230"/>
      <c r="R121" s="240" t="str">
        <f t="shared" si="2"/>
        <v/>
      </c>
      <c r="S121" s="230" t="str">
        <f t="shared" si="3"/>
        <v/>
      </c>
      <c r="T121" s="242" t="str">
        <f t="shared" si="4"/>
        <v/>
      </c>
      <c r="U121" s="194"/>
      <c r="V121" s="194"/>
      <c r="W121" s="194"/>
    </row>
    <row r="122" ht="14.25" customHeight="1">
      <c r="A122" s="186"/>
      <c r="B122" s="13"/>
      <c r="C122" s="14"/>
      <c r="D122" s="187"/>
      <c r="E122" s="188"/>
      <c r="F122" s="189"/>
      <c r="G122" s="187"/>
      <c r="H122" s="204"/>
      <c r="I122" s="204"/>
      <c r="J122" s="196"/>
      <c r="K122" s="196"/>
      <c r="L122" s="192" t="str">
        <f>IFERROR(__xludf.DUMMYFUNCTION("IF(
  AND(D122=""Saída"", J122=""Sangria""),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197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94" t="str">
        <f>IFERROR(__xludf.DUMMYFUNCTION("ifna(VALUE(REGEXEXTRACT(E122,""[0-9.]+[,]+[0-9]+"")))"),"")</f>
        <v/>
      </c>
      <c r="O122" s="235"/>
      <c r="P122" s="229"/>
      <c r="Q122" s="229"/>
      <c r="R122" s="237" t="str">
        <f t="shared" si="2"/>
        <v/>
      </c>
      <c r="S122" s="229" t="str">
        <f t="shared" si="3"/>
        <v/>
      </c>
      <c r="T122" s="242" t="str">
        <f t="shared" si="4"/>
        <v/>
      </c>
      <c r="U122" s="194"/>
      <c r="V122" s="194"/>
      <c r="W122" s="194"/>
    </row>
    <row r="123" ht="14.25" customHeight="1">
      <c r="A123" s="186"/>
      <c r="B123" s="13"/>
      <c r="C123" s="14"/>
      <c r="D123" s="187"/>
      <c r="E123" s="188"/>
      <c r="F123" s="189"/>
      <c r="G123" s="187"/>
      <c r="H123" s="204"/>
      <c r="I123" s="204"/>
      <c r="J123" s="196"/>
      <c r="K123" s="196"/>
      <c r="L123" s="192" t="str">
        <f>IFERROR(__xludf.DUMMYFUNCTION("IF(
  AND(D123=""Saída"", J123=""Sangria""),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198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94" t="str">
        <f>IFERROR(__xludf.DUMMYFUNCTION("ifna(VALUE(REGEXEXTRACT(E123,""[0-9.]+[,]+[0-9]+"")))"),"")</f>
        <v/>
      </c>
      <c r="O123" s="238"/>
      <c r="P123" s="230"/>
      <c r="Q123" s="230"/>
      <c r="R123" s="240" t="str">
        <f t="shared" si="2"/>
        <v/>
      </c>
      <c r="S123" s="230" t="str">
        <f t="shared" si="3"/>
        <v/>
      </c>
      <c r="T123" s="242" t="str">
        <f t="shared" si="4"/>
        <v/>
      </c>
      <c r="U123" s="194"/>
      <c r="V123" s="194"/>
      <c r="W123" s="194"/>
    </row>
    <row r="124" ht="14.25" customHeight="1">
      <c r="A124" s="186"/>
      <c r="B124" s="13"/>
      <c r="C124" s="14"/>
      <c r="D124" s="187"/>
      <c r="E124" s="188"/>
      <c r="F124" s="189"/>
      <c r="G124" s="187"/>
      <c r="H124" s="204"/>
      <c r="I124" s="204"/>
      <c r="J124" s="196"/>
      <c r="K124" s="196"/>
      <c r="L124" s="192" t="str">
        <f>IFERROR(__xludf.DUMMYFUNCTION("IF(
  AND(D124=""Saída"", J124=""Sangria""),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197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94" t="str">
        <f>IFERROR(__xludf.DUMMYFUNCTION("ifna(VALUE(REGEXEXTRACT(E124,""[0-9.]+[,]+[0-9]+"")))"),"")</f>
        <v/>
      </c>
      <c r="O124" s="235"/>
      <c r="P124" s="229"/>
      <c r="Q124" s="229"/>
      <c r="R124" s="237" t="str">
        <f t="shared" si="2"/>
        <v/>
      </c>
      <c r="S124" s="229" t="str">
        <f t="shared" si="3"/>
        <v/>
      </c>
      <c r="T124" s="242" t="str">
        <f t="shared" si="4"/>
        <v/>
      </c>
      <c r="U124" s="194"/>
      <c r="V124" s="194"/>
      <c r="W124" s="194"/>
    </row>
    <row r="125" ht="14.25" customHeight="1">
      <c r="A125" s="186"/>
      <c r="B125" s="13"/>
      <c r="C125" s="14"/>
      <c r="D125" s="187"/>
      <c r="E125" s="188"/>
      <c r="F125" s="189"/>
      <c r="G125" s="187"/>
      <c r="H125" s="204"/>
      <c r="I125" s="204"/>
      <c r="J125" s="196"/>
      <c r="K125" s="196"/>
      <c r="L125" s="192" t="str">
        <f>IFERROR(__xludf.DUMMYFUNCTION("IF(
  AND(D125=""Saída"", J125=""Sangria""),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198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94" t="str">
        <f>IFERROR(__xludf.DUMMYFUNCTION("ifna(VALUE(REGEXEXTRACT(E125,""[0-9.]+[,]+[0-9]+"")))"),"")</f>
        <v/>
      </c>
      <c r="O125" s="238"/>
      <c r="P125" s="230"/>
      <c r="Q125" s="230"/>
      <c r="R125" s="240" t="str">
        <f t="shared" si="2"/>
        <v/>
      </c>
      <c r="S125" s="230" t="str">
        <f t="shared" si="3"/>
        <v/>
      </c>
      <c r="T125" s="242" t="str">
        <f t="shared" si="4"/>
        <v/>
      </c>
      <c r="U125" s="194"/>
      <c r="V125" s="194"/>
      <c r="W125" s="194"/>
    </row>
    <row r="126" ht="14.25" customHeight="1">
      <c r="A126" s="186"/>
      <c r="B126" s="13"/>
      <c r="C126" s="14"/>
      <c r="D126" s="187"/>
      <c r="E126" s="188"/>
      <c r="F126" s="189"/>
      <c r="G126" s="187"/>
      <c r="H126" s="204"/>
      <c r="I126" s="204"/>
      <c r="J126" s="196"/>
      <c r="K126" s="196"/>
      <c r="L126" s="192" t="str">
        <f>IFERROR(__xludf.DUMMYFUNCTION("IF(
  AND(D126=""Saída"", J126=""Sangria""),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197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94" t="str">
        <f>IFERROR(__xludf.DUMMYFUNCTION("ifna(VALUE(REGEXEXTRACT(E126,""[0-9.]+[,]+[0-9]+"")))"),"")</f>
        <v/>
      </c>
      <c r="O126" s="235"/>
      <c r="P126" s="229"/>
      <c r="Q126" s="229"/>
      <c r="R126" s="237" t="str">
        <f t="shared" si="2"/>
        <v/>
      </c>
      <c r="S126" s="229" t="str">
        <f t="shared" si="3"/>
        <v/>
      </c>
      <c r="T126" s="242" t="str">
        <f t="shared" si="4"/>
        <v/>
      </c>
      <c r="U126" s="194"/>
      <c r="V126" s="194"/>
      <c r="W126" s="194"/>
    </row>
    <row r="127" ht="14.25" customHeight="1">
      <c r="A127" s="186"/>
      <c r="B127" s="13"/>
      <c r="C127" s="14"/>
      <c r="D127" s="187"/>
      <c r="E127" s="188"/>
      <c r="F127" s="189"/>
      <c r="G127" s="187"/>
      <c r="H127" s="204"/>
      <c r="I127" s="204"/>
      <c r="J127" s="196"/>
      <c r="K127" s="196"/>
      <c r="L127" s="192" t="str">
        <f>IFERROR(__xludf.DUMMYFUNCTION("IF(
  AND(D127=""Saída"", J127=""Sangria""),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198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94" t="str">
        <f>IFERROR(__xludf.DUMMYFUNCTION("ifna(VALUE(REGEXEXTRACT(E127,""[0-9.]+[,]+[0-9]+"")))"),"")</f>
        <v/>
      </c>
      <c r="O127" s="238"/>
      <c r="P127" s="230"/>
      <c r="Q127" s="230"/>
      <c r="R127" s="240" t="str">
        <f t="shared" si="2"/>
        <v/>
      </c>
      <c r="S127" s="230" t="str">
        <f t="shared" si="3"/>
        <v/>
      </c>
      <c r="T127" s="242" t="str">
        <f t="shared" si="4"/>
        <v/>
      </c>
      <c r="U127" s="194"/>
      <c r="V127" s="194"/>
      <c r="W127" s="194"/>
    </row>
    <row r="128" ht="14.25" customHeight="1">
      <c r="A128" s="186"/>
      <c r="B128" s="13"/>
      <c r="C128" s="14"/>
      <c r="D128" s="187"/>
      <c r="E128" s="188"/>
      <c r="F128" s="189"/>
      <c r="G128" s="187"/>
      <c r="H128" s="204"/>
      <c r="I128" s="204"/>
      <c r="J128" s="196"/>
      <c r="K128" s="196"/>
      <c r="L128" s="192" t="str">
        <f>IFERROR(__xludf.DUMMYFUNCTION("IF(
  AND(D128=""Saída"", J128=""Sangria""),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197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94" t="str">
        <f>IFERROR(__xludf.DUMMYFUNCTION("ifna(VALUE(REGEXEXTRACT(E128,""[0-9.]+[,]+[0-9]+"")))"),"")</f>
        <v/>
      </c>
      <c r="O128" s="235"/>
      <c r="P128" s="229"/>
      <c r="Q128" s="229"/>
      <c r="R128" s="237" t="str">
        <f t="shared" si="2"/>
        <v/>
      </c>
      <c r="S128" s="229" t="str">
        <f t="shared" si="3"/>
        <v/>
      </c>
      <c r="T128" s="242" t="str">
        <f t="shared" si="4"/>
        <v/>
      </c>
      <c r="U128" s="194"/>
      <c r="V128" s="194"/>
      <c r="W128" s="194"/>
    </row>
    <row r="129" ht="14.25" customHeight="1">
      <c r="A129" s="186"/>
      <c r="B129" s="13"/>
      <c r="C129" s="14"/>
      <c r="D129" s="187"/>
      <c r="E129" s="188"/>
      <c r="F129" s="189"/>
      <c r="G129" s="187"/>
      <c r="H129" s="204"/>
      <c r="I129" s="204"/>
      <c r="J129" s="196"/>
      <c r="K129" s="196"/>
      <c r="L129" s="192" t="str">
        <f>IFERROR(__xludf.DUMMYFUNCTION("IF(
  AND(D129=""Saída"", J129=""Sangria""),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198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94" t="str">
        <f>IFERROR(__xludf.DUMMYFUNCTION("ifna(VALUE(REGEXEXTRACT(E129,""[0-9.]+[,]+[0-9]+"")))"),"")</f>
        <v/>
      </c>
      <c r="O129" s="238"/>
      <c r="P129" s="230"/>
      <c r="Q129" s="230"/>
      <c r="R129" s="240" t="str">
        <f t="shared" si="2"/>
        <v/>
      </c>
      <c r="S129" s="230" t="str">
        <f t="shared" si="3"/>
        <v/>
      </c>
      <c r="T129" s="242" t="str">
        <f t="shared" si="4"/>
        <v/>
      </c>
      <c r="U129" s="194"/>
      <c r="V129" s="194"/>
      <c r="W129" s="194"/>
    </row>
    <row r="130" ht="14.25" customHeight="1">
      <c r="A130" s="186"/>
      <c r="B130" s="13"/>
      <c r="C130" s="14"/>
      <c r="D130" s="187"/>
      <c r="E130" s="188"/>
      <c r="F130" s="189"/>
      <c r="G130" s="187"/>
      <c r="H130" s="204"/>
      <c r="I130" s="204"/>
      <c r="J130" s="196"/>
      <c r="K130" s="196"/>
      <c r="L130" s="192" t="str">
        <f>IFERROR(__xludf.DUMMYFUNCTION("IF(
  AND(D130=""Saída"", J130=""Sangria""),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197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94" t="str">
        <f>IFERROR(__xludf.DUMMYFUNCTION("ifna(VALUE(REGEXEXTRACT(E130,""[0-9.]+[,]+[0-9]+"")))"),"")</f>
        <v/>
      </c>
      <c r="O130" s="235"/>
      <c r="P130" s="229"/>
      <c r="Q130" s="229"/>
      <c r="R130" s="237" t="str">
        <f t="shared" si="2"/>
        <v/>
      </c>
      <c r="S130" s="229" t="str">
        <f t="shared" si="3"/>
        <v/>
      </c>
      <c r="T130" s="242" t="str">
        <f t="shared" si="4"/>
        <v/>
      </c>
      <c r="U130" s="194"/>
      <c r="V130" s="194"/>
      <c r="W130" s="194"/>
    </row>
    <row r="131" ht="14.25" customHeight="1">
      <c r="A131" s="186"/>
      <c r="B131" s="13"/>
      <c r="C131" s="14"/>
      <c r="D131" s="187"/>
      <c r="E131" s="188"/>
      <c r="F131" s="189"/>
      <c r="G131" s="187"/>
      <c r="H131" s="204"/>
      <c r="I131" s="204"/>
      <c r="J131" s="196"/>
      <c r="K131" s="196"/>
      <c r="L131" s="192" t="str">
        <f>IFERROR(__xludf.DUMMYFUNCTION("IF(
  AND(D131=""Saída"", J131=""Sangria""),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198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94" t="str">
        <f>IFERROR(__xludf.DUMMYFUNCTION("ifna(VALUE(REGEXEXTRACT(E131,""[0-9.]+[,]+[0-9]+"")))"),"")</f>
        <v/>
      </c>
      <c r="O131" s="238"/>
      <c r="P131" s="230"/>
      <c r="Q131" s="230"/>
      <c r="R131" s="240" t="str">
        <f t="shared" si="2"/>
        <v/>
      </c>
      <c r="S131" s="230" t="str">
        <f t="shared" si="3"/>
        <v/>
      </c>
      <c r="T131" s="242" t="str">
        <f t="shared" si="4"/>
        <v/>
      </c>
      <c r="U131" s="194"/>
      <c r="V131" s="194"/>
      <c r="W131" s="194"/>
    </row>
    <row r="132" ht="14.25" customHeight="1">
      <c r="A132" s="186"/>
      <c r="B132" s="13"/>
      <c r="C132" s="14"/>
      <c r="D132" s="187"/>
      <c r="E132" s="188"/>
      <c r="F132" s="189"/>
      <c r="G132" s="187"/>
      <c r="H132" s="204"/>
      <c r="I132" s="204"/>
      <c r="J132" s="196"/>
      <c r="K132" s="196"/>
      <c r="L132" s="192" t="str">
        <f>IFERROR(__xludf.DUMMYFUNCTION("IF(
  AND(D132=""Saída"", J132=""Sangria""),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197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94" t="str">
        <f>IFERROR(__xludf.DUMMYFUNCTION("ifna(VALUE(REGEXEXTRACT(E132,""[0-9.]+[,]+[0-9]+"")))"),"")</f>
        <v/>
      </c>
      <c r="O132" s="235"/>
      <c r="P132" s="229"/>
      <c r="Q132" s="229"/>
      <c r="R132" s="237" t="str">
        <f t="shared" si="2"/>
        <v/>
      </c>
      <c r="S132" s="229" t="str">
        <f t="shared" si="3"/>
        <v/>
      </c>
      <c r="T132" s="242" t="str">
        <f t="shared" si="4"/>
        <v/>
      </c>
      <c r="U132" s="194"/>
      <c r="V132" s="194"/>
      <c r="W132" s="194"/>
    </row>
    <row r="133" ht="14.25" customHeight="1">
      <c r="A133" s="186"/>
      <c r="B133" s="13"/>
      <c r="C133" s="14"/>
      <c r="D133" s="187"/>
      <c r="E133" s="188"/>
      <c r="F133" s="189"/>
      <c r="G133" s="187"/>
      <c r="H133" s="204"/>
      <c r="I133" s="204"/>
      <c r="J133" s="196"/>
      <c r="K133" s="196"/>
      <c r="L133" s="192" t="str">
        <f>IFERROR(__xludf.DUMMYFUNCTION("IF(
  AND(D133=""Saída"", J133=""Sangria""),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198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94" t="str">
        <f>IFERROR(__xludf.DUMMYFUNCTION("ifna(VALUE(REGEXEXTRACT(E133,""[0-9.]+[,]+[0-9]+"")))"),"")</f>
        <v/>
      </c>
      <c r="O133" s="243"/>
      <c r="P133" s="244"/>
      <c r="Q133" s="244"/>
      <c r="R133" s="245" t="str">
        <f t="shared" si="2"/>
        <v/>
      </c>
      <c r="S133" s="244" t="str">
        <f t="shared" si="3"/>
        <v/>
      </c>
      <c r="T133" s="242" t="str">
        <f t="shared" si="4"/>
        <v/>
      </c>
      <c r="U133" s="194"/>
      <c r="V133" s="194"/>
      <c r="W133" s="194"/>
    </row>
    <row r="134" ht="14.25" customHeight="1">
      <c r="A134" s="186"/>
      <c r="B134" s="13"/>
      <c r="C134" s="14"/>
      <c r="D134" s="187"/>
      <c r="E134" s="188"/>
      <c r="F134" s="189"/>
      <c r="G134" s="187"/>
      <c r="H134" s="204"/>
      <c r="I134" s="204"/>
      <c r="J134" s="196"/>
      <c r="K134" s="196"/>
      <c r="L134" s="192" t="str">
        <f>IFERROR(__xludf.DUMMYFUNCTION("IF(
  AND(D134=""Saída"", J134=""Sangria""),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197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94" t="str">
        <f>IFERROR(__xludf.DUMMYFUNCTION("ifna(VALUE(REGEXEXTRACT(E134,""[0-9.]+[,]+[0-9]+"")))"),"")</f>
        <v/>
      </c>
      <c r="O134" s="243"/>
      <c r="P134" s="244"/>
      <c r="Q134" s="244"/>
      <c r="R134" s="245" t="str">
        <f t="shared" si="2"/>
        <v/>
      </c>
      <c r="S134" s="244" t="str">
        <f t="shared" si="3"/>
        <v/>
      </c>
      <c r="T134" s="242" t="str">
        <f t="shared" si="4"/>
        <v/>
      </c>
      <c r="U134" s="194"/>
      <c r="V134" s="194"/>
      <c r="W134" s="194"/>
    </row>
    <row r="135" ht="14.25" customHeight="1">
      <c r="A135" s="186"/>
      <c r="B135" s="13"/>
      <c r="C135" s="14"/>
      <c r="D135" s="187"/>
      <c r="E135" s="188"/>
      <c r="F135" s="189"/>
      <c r="G135" s="187"/>
      <c r="H135" s="204"/>
      <c r="I135" s="204"/>
      <c r="J135" s="196"/>
      <c r="K135" s="196"/>
      <c r="L135" s="192" t="str">
        <f>IFERROR(__xludf.DUMMYFUNCTION("IF(
  AND(D135=""Saída"", J135=""Sangria""),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198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94" t="str">
        <f>IFERROR(__xludf.DUMMYFUNCTION("ifna(VALUE(REGEXEXTRACT(E135,""[0-9.]+[,]+[0-9]+"")))"),"")</f>
        <v/>
      </c>
      <c r="O135" s="243"/>
      <c r="P135" s="244"/>
      <c r="Q135" s="244"/>
      <c r="R135" s="245" t="str">
        <f t="shared" si="2"/>
        <v/>
      </c>
      <c r="S135" s="244" t="str">
        <f t="shared" si="3"/>
        <v/>
      </c>
      <c r="T135" s="242" t="str">
        <f t="shared" si="4"/>
        <v/>
      </c>
      <c r="U135" s="194"/>
      <c r="V135" s="194"/>
      <c r="W135" s="194"/>
    </row>
    <row r="136" ht="14.25" customHeight="1">
      <c r="A136" s="186"/>
      <c r="B136" s="13"/>
      <c r="C136" s="14"/>
      <c r="D136" s="187"/>
      <c r="E136" s="188"/>
      <c r="F136" s="189"/>
      <c r="G136" s="187"/>
      <c r="H136" s="204"/>
      <c r="I136" s="204"/>
      <c r="J136" s="196"/>
      <c r="K136" s="196"/>
      <c r="L136" s="192" t="str">
        <f>IFERROR(__xludf.DUMMYFUNCTION("IF(
  AND(D136=""Saída"", J136=""Sangria""),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197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94" t="str">
        <f>IFERROR(__xludf.DUMMYFUNCTION("ifna(VALUE(REGEXEXTRACT(E136,""[0-9.]+[,]+[0-9]+"")))"),"")</f>
        <v/>
      </c>
      <c r="O136" s="243"/>
      <c r="P136" s="244"/>
      <c r="Q136" s="244"/>
      <c r="R136" s="245" t="str">
        <f t="shared" si="2"/>
        <v/>
      </c>
      <c r="S136" s="244" t="str">
        <f t="shared" si="3"/>
        <v/>
      </c>
      <c r="T136" s="242" t="str">
        <f t="shared" si="4"/>
        <v/>
      </c>
      <c r="U136" s="194"/>
      <c r="V136" s="194"/>
      <c r="W136" s="194"/>
    </row>
    <row r="137" ht="14.25" customHeight="1">
      <c r="A137" s="186"/>
      <c r="B137" s="13"/>
      <c r="C137" s="14"/>
      <c r="D137" s="187"/>
      <c r="E137" s="188"/>
      <c r="F137" s="189"/>
      <c r="G137" s="187"/>
      <c r="H137" s="204"/>
      <c r="I137" s="204"/>
      <c r="J137" s="196"/>
      <c r="K137" s="196"/>
      <c r="L137" s="192" t="str">
        <f>IFERROR(__xludf.DUMMYFUNCTION("IF(
  AND(D137=""Saída"", J137=""Sangria""),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198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94" t="str">
        <f>IFERROR(__xludf.DUMMYFUNCTION("ifna(VALUE(REGEXEXTRACT(E137,""[0-9.]+[,]+[0-9]+"")))"),"")</f>
        <v/>
      </c>
      <c r="O137" s="243"/>
      <c r="P137" s="244"/>
      <c r="Q137" s="244"/>
      <c r="R137" s="245" t="str">
        <f t="shared" si="2"/>
        <v/>
      </c>
      <c r="S137" s="244" t="str">
        <f t="shared" si="3"/>
        <v/>
      </c>
      <c r="T137" s="242" t="str">
        <f t="shared" si="4"/>
        <v/>
      </c>
      <c r="U137" s="194"/>
      <c r="V137" s="194"/>
      <c r="W137" s="194"/>
    </row>
    <row r="138" ht="14.25" customHeight="1">
      <c r="A138" s="186"/>
      <c r="B138" s="13"/>
      <c r="C138" s="14"/>
      <c r="D138" s="187"/>
      <c r="E138" s="188"/>
      <c r="F138" s="189"/>
      <c r="G138" s="187"/>
      <c r="H138" s="204"/>
      <c r="I138" s="204"/>
      <c r="J138" s="196"/>
      <c r="K138" s="196"/>
      <c r="L138" s="192" t="str">
        <f>IFERROR(__xludf.DUMMYFUNCTION("IF(
  AND(D138=""Saída"", J138=""Sangria""),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197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94" t="str">
        <f>IFERROR(__xludf.DUMMYFUNCTION("ifna(VALUE(REGEXEXTRACT(E138,""[0-9.]+[,]+[0-9]+"")))"),"")</f>
        <v/>
      </c>
      <c r="O138" s="246"/>
      <c r="P138" s="247"/>
      <c r="Q138" s="247"/>
      <c r="R138" s="248" t="str">
        <f t="shared" si="2"/>
        <v/>
      </c>
      <c r="S138" s="247" t="str">
        <f t="shared" si="3"/>
        <v/>
      </c>
      <c r="T138" s="249" t="str">
        <f t="shared" si="4"/>
        <v/>
      </c>
      <c r="U138" s="194"/>
      <c r="V138" s="194"/>
      <c r="W138" s="194"/>
    </row>
    <row r="139" ht="14.25" customHeight="1">
      <c r="A139" s="186"/>
      <c r="B139" s="13"/>
      <c r="C139" s="14"/>
      <c r="D139" s="187"/>
      <c r="E139" s="188"/>
      <c r="F139" s="189"/>
      <c r="G139" s="187"/>
      <c r="H139" s="204"/>
      <c r="I139" s="204"/>
      <c r="J139" s="196"/>
      <c r="K139" s="196"/>
      <c r="L139" s="192" t="str">
        <f>IFERROR(__xludf.DUMMYFUNCTION("IF(
  AND(D139=""Saída"", J139=""Sangria""),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198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94" t="str">
        <f>IFERROR(__xludf.DUMMYFUNCTION("ifna(VALUE(REGEXEXTRACT(E139,""[0-9.]+[,]+[0-9]+"")))"),"")</f>
        <v/>
      </c>
      <c r="O139" s="194"/>
      <c r="P139" s="194"/>
      <c r="Q139" s="194"/>
      <c r="R139" s="194"/>
      <c r="S139" s="194"/>
      <c r="T139" s="194"/>
      <c r="U139" s="194"/>
      <c r="V139" s="194"/>
      <c r="W139" s="194"/>
    </row>
    <row r="140" ht="14.25" customHeight="1">
      <c r="A140" s="186"/>
      <c r="B140" s="13"/>
      <c r="C140" s="14"/>
      <c r="D140" s="187"/>
      <c r="E140" s="188"/>
      <c r="F140" s="189"/>
      <c r="G140" s="187"/>
      <c r="H140" s="204"/>
      <c r="I140" s="204"/>
      <c r="J140" s="196"/>
      <c r="K140" s="196"/>
      <c r="L140" s="192" t="str">
        <f>IFERROR(__xludf.DUMMYFUNCTION("IF(
  AND(D140=""Saída"", J140=""Sangria""),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197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94" t="str">
        <f>IFERROR(__xludf.DUMMYFUNCTION("ifna(VALUE(REGEXEXTRACT(E140,""[0-9.]+[,]+[0-9]+"")))"),"")</f>
        <v/>
      </c>
      <c r="O140" s="250" t="s">
        <v>7561</v>
      </c>
      <c r="W140" s="194"/>
    </row>
    <row r="141" ht="14.25" customHeight="1">
      <c r="A141" s="186"/>
      <c r="B141" s="13"/>
      <c r="C141" s="14"/>
      <c r="D141" s="187"/>
      <c r="E141" s="188"/>
      <c r="F141" s="189"/>
      <c r="G141" s="187"/>
      <c r="H141" s="204"/>
      <c r="I141" s="204"/>
      <c r="J141" s="196"/>
      <c r="K141" s="196"/>
      <c r="L141" s="192" t="str">
        <f>IFERROR(__xludf.DUMMYFUNCTION("IF(
  AND(D141=""Saída"", J141=""Sangria""),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198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94" t="str">
        <f>IFERROR(__xludf.DUMMYFUNCTION("ifna(VALUE(REGEXEXTRACT(E141,""[0-9.]+[,]+[0-9]+"")))"),"")</f>
        <v/>
      </c>
      <c r="O141" s="251" t="str">
        <f>IFERROR(__xludf.DUMMYFUNCTION("QUERY(B28:M507,""Select B,C,D,E,G,H,I,M where M = 'Não Encontrada'"",1)"),"ID")</f>
        <v>ID</v>
      </c>
      <c r="P141" s="251" t="str">
        <f>IFERROR(__xludf.DUMMYFUNCTION("""COMPUTED_VALUE"""),"Data")</f>
        <v>Data</v>
      </c>
      <c r="Q141" s="251" t="str">
        <f>IFERROR(__xludf.DUMMYFUNCTION("""COMPUTED_VALUE"""),"Entrada/Saída")</f>
        <v>Entrada/Saída</v>
      </c>
      <c r="R141" s="252" t="str">
        <f>IFERROR(__xludf.DUMMYFUNCTION("""COMPUTED_VALUE"""),"Valor ")</f>
        <v>Valor </v>
      </c>
      <c r="S141" s="251" t="str">
        <f>IFERROR(__xludf.DUMMYFUNCTION("""COMPUTED_VALUE"""),"Descrição")</f>
        <v>Descrição</v>
      </c>
      <c r="V141" s="253" t="str">
        <f>IFERROR(__xludf.DUMMYFUNCTION("""COMPUTED_VALUE"""),"Nota")</f>
        <v>Nota</v>
      </c>
      <c r="W141" s="194"/>
    </row>
    <row r="142" ht="14.25" customHeight="1">
      <c r="A142" s="186"/>
      <c r="B142" s="13"/>
      <c r="C142" s="14"/>
      <c r="D142" s="187"/>
      <c r="E142" s="188"/>
      <c r="F142" s="189"/>
      <c r="G142" s="187"/>
      <c r="H142" s="204"/>
      <c r="I142" s="204"/>
      <c r="J142" s="196"/>
      <c r="K142" s="196"/>
      <c r="L142" s="192" t="str">
        <f>IFERROR(__xludf.DUMMYFUNCTION("IF(
  AND(D142=""Saída"", J142=""Sangria""),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197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94" t="str">
        <f>IFERROR(__xludf.DUMMYFUNCTION("ifna(VALUE(REGEXEXTRACT(E142,""[0-9.]+[,]+[0-9]+"")))"),"")</f>
        <v/>
      </c>
      <c r="O142" s="254"/>
      <c r="P142" s="255"/>
      <c r="Q142" s="254"/>
      <c r="R142" s="256"/>
      <c r="S142" s="290"/>
      <c r="V142" s="254"/>
      <c r="W142" s="194"/>
    </row>
    <row r="143" ht="14.25" customHeight="1">
      <c r="A143" s="186"/>
      <c r="B143" s="13"/>
      <c r="C143" s="14"/>
      <c r="D143" s="187"/>
      <c r="E143" s="188"/>
      <c r="F143" s="189"/>
      <c r="G143" s="187"/>
      <c r="H143" s="204"/>
      <c r="I143" s="204"/>
      <c r="J143" s="196"/>
      <c r="K143" s="196"/>
      <c r="L143" s="192" t="str">
        <f>IFERROR(__xludf.DUMMYFUNCTION("IF(
  AND(D143=""Saída"", J143=""Sangria""),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198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94" t="str">
        <f>IFERROR(__xludf.DUMMYFUNCTION("ifna(VALUE(REGEXEXTRACT(E143,""[0-9.]+[,]+[0-9]+"")))"),"")</f>
        <v/>
      </c>
      <c r="O143" s="258"/>
      <c r="P143" s="259"/>
      <c r="Q143" s="258"/>
      <c r="R143" s="260"/>
      <c r="S143" s="291"/>
      <c r="V143" s="258"/>
      <c r="W143" s="194"/>
    </row>
    <row r="144" ht="14.25" customHeight="1">
      <c r="A144" s="186"/>
      <c r="B144" s="13"/>
      <c r="C144" s="14"/>
      <c r="D144" s="187"/>
      <c r="E144" s="188"/>
      <c r="F144" s="189"/>
      <c r="G144" s="187"/>
      <c r="H144" s="204"/>
      <c r="I144" s="204"/>
      <c r="J144" s="196"/>
      <c r="K144" s="196"/>
      <c r="L144" s="192" t="str">
        <f>IFERROR(__xludf.DUMMYFUNCTION("IF(
  AND(D144=""Saída"", J144=""Sangria""),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197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94" t="str">
        <f>IFERROR(__xludf.DUMMYFUNCTION("ifna(VALUE(REGEXEXTRACT(E144,""[0-9.]+[,]+[0-9]+"")))"),"")</f>
        <v/>
      </c>
      <c r="O144" s="254"/>
      <c r="P144" s="255"/>
      <c r="Q144" s="254"/>
      <c r="R144" s="256"/>
      <c r="S144" s="292"/>
      <c r="V144" s="254"/>
      <c r="W144" s="194"/>
    </row>
    <row r="145" ht="14.25" customHeight="1">
      <c r="A145" s="186"/>
      <c r="B145" s="13"/>
      <c r="C145" s="14"/>
      <c r="D145" s="187"/>
      <c r="E145" s="188"/>
      <c r="F145" s="189"/>
      <c r="G145" s="187"/>
      <c r="H145" s="204"/>
      <c r="I145" s="204"/>
      <c r="J145" s="196"/>
      <c r="K145" s="196"/>
      <c r="L145" s="192" t="str">
        <f>IFERROR(__xludf.DUMMYFUNCTION("IF(
  AND(D145=""Saída"", J145=""Sangria""),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198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94" t="str">
        <f>IFERROR(__xludf.DUMMYFUNCTION("ifna(VALUE(REGEXEXTRACT(E145,""[0-9.]+[,]+[0-9]+"")))"),"")</f>
        <v/>
      </c>
      <c r="O145" s="258"/>
      <c r="P145" s="259"/>
      <c r="Q145" s="258"/>
      <c r="R145" s="260"/>
      <c r="S145" s="291"/>
      <c r="V145" s="258"/>
      <c r="W145" s="194"/>
    </row>
    <row r="146" ht="14.25" customHeight="1">
      <c r="A146" s="186"/>
      <c r="B146" s="13"/>
      <c r="C146" s="14"/>
      <c r="D146" s="187"/>
      <c r="E146" s="188"/>
      <c r="F146" s="189"/>
      <c r="G146" s="187"/>
      <c r="H146" s="204"/>
      <c r="I146" s="204"/>
      <c r="J146" s="196"/>
      <c r="K146" s="196"/>
      <c r="L146" s="192" t="str">
        <f>IFERROR(__xludf.DUMMYFUNCTION("IF(
  AND(D146=""Saída"", J146=""Sangria""),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197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94" t="str">
        <f>IFERROR(__xludf.DUMMYFUNCTION("ifna(VALUE(REGEXEXTRACT(E146,""[0-9.]+[,]+[0-9]+"")))"),"")</f>
        <v/>
      </c>
      <c r="O146" s="254"/>
      <c r="P146" s="255"/>
      <c r="Q146" s="254"/>
      <c r="R146" s="256"/>
      <c r="S146" s="292"/>
      <c r="V146" s="254"/>
      <c r="W146" s="194"/>
    </row>
    <row r="147" ht="14.25" customHeight="1">
      <c r="A147" s="186"/>
      <c r="B147" s="13"/>
      <c r="C147" s="14"/>
      <c r="D147" s="187"/>
      <c r="E147" s="188"/>
      <c r="F147" s="189"/>
      <c r="G147" s="187"/>
      <c r="H147" s="204"/>
      <c r="I147" s="204"/>
      <c r="J147" s="196"/>
      <c r="K147" s="196"/>
      <c r="L147" s="192" t="str">
        <f>IFERROR(__xludf.DUMMYFUNCTION("IF(
  AND(D147=""Saída"", J147=""Sangria""),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198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94" t="str">
        <f>IFERROR(__xludf.DUMMYFUNCTION("ifna(VALUE(REGEXEXTRACT(E147,""[0-9.]+[,]+[0-9]+"")))"),"")</f>
        <v/>
      </c>
      <c r="O147" s="258"/>
      <c r="P147" s="259"/>
      <c r="Q147" s="258"/>
      <c r="R147" s="260"/>
      <c r="S147" s="291"/>
      <c r="V147" s="258"/>
      <c r="W147" s="194"/>
    </row>
    <row r="148" ht="14.25" customHeight="1">
      <c r="A148" s="186"/>
      <c r="B148" s="13"/>
      <c r="C148" s="14"/>
      <c r="D148" s="187"/>
      <c r="E148" s="188"/>
      <c r="F148" s="189"/>
      <c r="G148" s="187"/>
      <c r="H148" s="204"/>
      <c r="I148" s="204"/>
      <c r="J148" s="196"/>
      <c r="K148" s="196"/>
      <c r="L148" s="192" t="str">
        <f>IFERROR(__xludf.DUMMYFUNCTION("IF(
  AND(D148=""Saída"", J148=""Sangria""),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197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94" t="str">
        <f>IFERROR(__xludf.DUMMYFUNCTION("ifna(VALUE(REGEXEXTRACT(E148,""[0-9.]+[,]+[0-9]+"")))"),"")</f>
        <v/>
      </c>
      <c r="O148" s="254"/>
      <c r="P148" s="255"/>
      <c r="Q148" s="254"/>
      <c r="R148" s="256"/>
      <c r="S148" s="292"/>
      <c r="V148" s="254"/>
      <c r="W148" s="194"/>
    </row>
    <row r="149" ht="14.25" customHeight="1">
      <c r="A149" s="186"/>
      <c r="B149" s="13"/>
      <c r="C149" s="14"/>
      <c r="D149" s="187"/>
      <c r="E149" s="188"/>
      <c r="F149" s="189"/>
      <c r="G149" s="187"/>
      <c r="H149" s="204"/>
      <c r="I149" s="204"/>
      <c r="J149" s="196"/>
      <c r="K149" s="196"/>
      <c r="L149" s="192" t="str">
        <f>IFERROR(__xludf.DUMMYFUNCTION("IF(
  AND(D149=""Saída"", J149=""Sangria""),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198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94" t="str">
        <f>IFERROR(__xludf.DUMMYFUNCTION("ifna(VALUE(REGEXEXTRACT(E149,""[0-9.]+[,]+[0-9]+"")))"),"")</f>
        <v/>
      </c>
      <c r="O149" s="258"/>
      <c r="P149" s="259"/>
      <c r="Q149" s="258"/>
      <c r="R149" s="260"/>
      <c r="S149" s="291"/>
      <c r="V149" s="258"/>
      <c r="W149" s="194"/>
    </row>
    <row r="150" ht="14.25" customHeight="1">
      <c r="A150" s="186"/>
      <c r="B150" s="13"/>
      <c r="C150" s="14"/>
      <c r="D150" s="187"/>
      <c r="E150" s="188"/>
      <c r="F150" s="189"/>
      <c r="G150" s="187"/>
      <c r="H150" s="204"/>
      <c r="I150" s="204"/>
      <c r="J150" s="196"/>
      <c r="K150" s="196"/>
      <c r="L150" s="192" t="str">
        <f>IFERROR(__xludf.DUMMYFUNCTION("IF(
  AND(D150=""Saída"", J150=""Sangria""),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197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94" t="str">
        <f>IFERROR(__xludf.DUMMYFUNCTION("ifna(VALUE(REGEXEXTRACT(E150,""[0-9.]+[,]+[0-9]+"")))"),"")</f>
        <v/>
      </c>
      <c r="O150" s="254"/>
      <c r="P150" s="255"/>
      <c r="Q150" s="254"/>
      <c r="R150" s="256"/>
      <c r="S150" s="292"/>
      <c r="V150" s="254"/>
      <c r="W150" s="194"/>
    </row>
    <row r="151" ht="14.25" customHeight="1">
      <c r="A151" s="186"/>
      <c r="B151" s="13"/>
      <c r="C151" s="14"/>
      <c r="D151" s="187"/>
      <c r="E151" s="188"/>
      <c r="F151" s="189"/>
      <c r="G151" s="187"/>
      <c r="H151" s="204"/>
      <c r="I151" s="204"/>
      <c r="J151" s="196"/>
      <c r="K151" s="196"/>
      <c r="L151" s="192" t="str">
        <f>IFERROR(__xludf.DUMMYFUNCTION("IF(
  AND(D151=""Saída"", J151=""Sangria""),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198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94" t="str">
        <f>IFERROR(__xludf.DUMMYFUNCTION("ifna(VALUE(REGEXEXTRACT(E151,""[0-9.]+[,]+[0-9]+"")))"),"")</f>
        <v/>
      </c>
      <c r="O151" s="258"/>
      <c r="P151" s="259"/>
      <c r="Q151" s="258"/>
      <c r="R151" s="260"/>
      <c r="S151" s="258"/>
      <c r="V151" s="258"/>
      <c r="W151" s="194"/>
    </row>
    <row r="152" ht="14.25" customHeight="1">
      <c r="A152" s="186"/>
      <c r="B152" s="13"/>
      <c r="C152" s="14"/>
      <c r="D152" s="187"/>
      <c r="E152" s="188"/>
      <c r="F152" s="189"/>
      <c r="G152" s="187"/>
      <c r="H152" s="204"/>
      <c r="I152" s="204"/>
      <c r="J152" s="196"/>
      <c r="K152" s="196"/>
      <c r="L152" s="192" t="str">
        <f>IFERROR(__xludf.DUMMYFUNCTION("IF(
  AND(D152=""Saída"", J152=""Sangria""),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197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94" t="str">
        <f>IFERROR(__xludf.DUMMYFUNCTION("ifna(VALUE(REGEXEXTRACT(E152,""[0-9.]+[,]+[0-9]+"")))"),"")</f>
        <v/>
      </c>
      <c r="O152" s="254"/>
      <c r="P152" s="255"/>
      <c r="Q152" s="254"/>
      <c r="R152" s="256"/>
      <c r="S152" s="254"/>
      <c r="V152" s="254"/>
      <c r="W152" s="194"/>
    </row>
    <row r="153" ht="14.25" customHeight="1">
      <c r="A153" s="186"/>
      <c r="B153" s="13"/>
      <c r="C153" s="14"/>
      <c r="D153" s="187"/>
      <c r="E153" s="188"/>
      <c r="F153" s="200"/>
      <c r="G153" s="187"/>
      <c r="H153" s="204"/>
      <c r="I153" s="204"/>
      <c r="J153" s="196"/>
      <c r="K153" s="196"/>
      <c r="L153" s="192" t="str">
        <f>IFERROR(__xludf.DUMMYFUNCTION("IF(
  AND(D153=""Saída"", J153=""Sangria""),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198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94" t="str">
        <f>IFERROR(__xludf.DUMMYFUNCTION("ifna(VALUE(REGEXEXTRACT(E153,""[0-9.]+[,]+[0-9]+"")))"),"")</f>
        <v/>
      </c>
      <c r="O153" s="258"/>
      <c r="P153" s="259"/>
      <c r="Q153" s="258"/>
      <c r="R153" s="260"/>
      <c r="S153" s="258"/>
      <c r="V153" s="258"/>
      <c r="W153" s="194"/>
    </row>
    <row r="154" ht="14.25" customHeight="1">
      <c r="A154" s="186"/>
      <c r="B154" s="13"/>
      <c r="C154" s="14"/>
      <c r="D154" s="187"/>
      <c r="E154" s="188"/>
      <c r="F154" s="189"/>
      <c r="G154" s="187"/>
      <c r="H154" s="204"/>
      <c r="I154" s="204"/>
      <c r="J154" s="196"/>
      <c r="K154" s="196"/>
      <c r="L154" s="192" t="str">
        <f>IFERROR(__xludf.DUMMYFUNCTION("IF(
  AND(D154=""Saída"", J154=""Sangria""),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197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94" t="str">
        <f>IFERROR(__xludf.DUMMYFUNCTION("ifna(VALUE(REGEXEXTRACT(E154,""[0-9.]+[,]+[0-9]+"")))"),"")</f>
        <v/>
      </c>
      <c r="O154" s="254"/>
      <c r="P154" s="255"/>
      <c r="Q154" s="254"/>
      <c r="R154" s="256"/>
      <c r="S154" s="254"/>
      <c r="V154" s="254"/>
      <c r="W154" s="194"/>
    </row>
    <row r="155" ht="14.25" customHeight="1">
      <c r="A155" s="186"/>
      <c r="B155" s="13"/>
      <c r="C155" s="14"/>
      <c r="D155" s="187"/>
      <c r="E155" s="188"/>
      <c r="F155" s="189"/>
      <c r="G155" s="187"/>
      <c r="H155" s="204"/>
      <c r="I155" s="204"/>
      <c r="J155" s="196"/>
      <c r="K155" s="196"/>
      <c r="L155" s="192" t="str">
        <f>IFERROR(__xludf.DUMMYFUNCTION("IF(
  AND(D155=""Saída"", J155=""Sangria""),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198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94" t="str">
        <f>IFERROR(__xludf.DUMMYFUNCTION("ifna(VALUE(REGEXEXTRACT(E155,""[0-9.]+[,]+[0-9]+"")))"),"")</f>
        <v/>
      </c>
      <c r="O155" s="258"/>
      <c r="P155" s="259"/>
      <c r="Q155" s="258"/>
      <c r="R155" s="260"/>
      <c r="S155" s="258"/>
      <c r="V155" s="258"/>
      <c r="W155" s="194"/>
    </row>
    <row r="156" ht="14.25" customHeight="1">
      <c r="A156" s="186"/>
      <c r="B156" s="13"/>
      <c r="C156" s="14"/>
      <c r="D156" s="187"/>
      <c r="E156" s="188"/>
      <c r="F156" s="189"/>
      <c r="G156" s="187"/>
      <c r="H156" s="204"/>
      <c r="I156" s="204"/>
      <c r="J156" s="196"/>
      <c r="K156" s="196"/>
      <c r="L156" s="192" t="str">
        <f>IFERROR(__xludf.DUMMYFUNCTION("IF(
  AND(D156=""Saída"", J156=""Sangria""),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197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94" t="str">
        <f>IFERROR(__xludf.DUMMYFUNCTION("ifna(VALUE(REGEXEXTRACT(E156,""[0-9.]+[,]+[0-9]+"")))"),"")</f>
        <v/>
      </c>
      <c r="O156" s="254"/>
      <c r="P156" s="255"/>
      <c r="Q156" s="254"/>
      <c r="R156" s="256"/>
      <c r="S156" s="254"/>
      <c r="V156" s="254"/>
      <c r="W156" s="194"/>
    </row>
    <row r="157" ht="14.25" customHeight="1">
      <c r="A157" s="186"/>
      <c r="B157" s="13"/>
      <c r="C157" s="14"/>
      <c r="D157" s="187"/>
      <c r="E157" s="188"/>
      <c r="F157" s="189"/>
      <c r="G157" s="187"/>
      <c r="H157" s="204"/>
      <c r="I157" s="204"/>
      <c r="J157" s="196"/>
      <c r="K157" s="196"/>
      <c r="L157" s="192" t="str">
        <f>IFERROR(__xludf.DUMMYFUNCTION("IF(
  AND(D157=""Saída"", J157=""Sangria""),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198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94" t="str">
        <f>IFERROR(__xludf.DUMMYFUNCTION("ifna(VALUE(REGEXEXTRACT(E157,""[0-9.]+[,]+[0-9]+"")))"),"")</f>
        <v/>
      </c>
      <c r="O157" s="258"/>
      <c r="P157" s="259"/>
      <c r="Q157" s="258"/>
      <c r="R157" s="260"/>
      <c r="S157" s="258"/>
      <c r="V157" s="258"/>
      <c r="W157" s="194"/>
    </row>
    <row r="158" ht="14.25" customHeight="1">
      <c r="A158" s="186"/>
      <c r="B158" s="13"/>
      <c r="C158" s="14"/>
      <c r="D158" s="187"/>
      <c r="E158" s="188"/>
      <c r="F158" s="189"/>
      <c r="G158" s="187"/>
      <c r="H158" s="204"/>
      <c r="I158" s="204"/>
      <c r="J158" s="196"/>
      <c r="K158" s="196"/>
      <c r="L158" s="192" t="str">
        <f>IFERROR(__xludf.DUMMYFUNCTION("IF(
  AND(D158=""Saída"", J158=""Sangria""),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197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94" t="str">
        <f>IFERROR(__xludf.DUMMYFUNCTION("ifna(VALUE(REGEXEXTRACT(E158,""[0-9.]+[,]+[0-9]+"")))"),"")</f>
        <v/>
      </c>
      <c r="O158" s="254"/>
      <c r="P158" s="255"/>
      <c r="Q158" s="254"/>
      <c r="R158" s="256"/>
      <c r="S158" s="254"/>
      <c r="V158" s="254"/>
      <c r="W158" s="194"/>
    </row>
    <row r="159" ht="14.25" customHeight="1">
      <c r="A159" s="186"/>
      <c r="B159" s="13"/>
      <c r="C159" s="14"/>
      <c r="D159" s="187"/>
      <c r="E159" s="188"/>
      <c r="F159" s="189"/>
      <c r="G159" s="187"/>
      <c r="H159" s="204"/>
      <c r="I159" s="204"/>
      <c r="J159" s="196"/>
      <c r="K159" s="196"/>
      <c r="L159" s="192" t="str">
        <f>IFERROR(__xludf.DUMMYFUNCTION("IF(
  AND(D159=""Saída"", J159=""Sangria""),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198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94" t="str">
        <f>IFERROR(__xludf.DUMMYFUNCTION("ifna(VALUE(REGEXEXTRACT(E159,""[0-9.]+[,]+[0-9]+"")))"),"")</f>
        <v/>
      </c>
      <c r="O159" s="258"/>
      <c r="P159" s="259"/>
      <c r="Q159" s="258"/>
      <c r="R159" s="260"/>
      <c r="S159" s="258"/>
      <c r="V159" s="258"/>
      <c r="W159" s="194"/>
    </row>
    <row r="160" ht="14.25" customHeight="1">
      <c r="A160" s="186"/>
      <c r="B160" s="13"/>
      <c r="C160" s="14"/>
      <c r="D160" s="187"/>
      <c r="E160" s="188"/>
      <c r="F160" s="189"/>
      <c r="G160" s="187"/>
      <c r="H160" s="204"/>
      <c r="I160" s="204"/>
      <c r="J160" s="196"/>
      <c r="K160" s="196"/>
      <c r="L160" s="192" t="str">
        <f>IFERROR(__xludf.DUMMYFUNCTION("IF(
  AND(D160=""Saída"", J160=""Sangria""),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197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94" t="str">
        <f>IFERROR(__xludf.DUMMYFUNCTION("ifna(VALUE(REGEXEXTRACT(E160,""[0-9.]+[,]+[0-9]+"")))"),"")</f>
        <v/>
      </c>
      <c r="O160" s="254"/>
      <c r="P160" s="255"/>
      <c r="Q160" s="254"/>
      <c r="R160" s="256"/>
      <c r="S160" s="254"/>
      <c r="V160" s="254"/>
      <c r="W160" s="194"/>
    </row>
    <row r="161" ht="14.25" customHeight="1">
      <c r="A161" s="186"/>
      <c r="B161" s="13"/>
      <c r="C161" s="14"/>
      <c r="D161" s="187"/>
      <c r="E161" s="188"/>
      <c r="F161" s="189"/>
      <c r="G161" s="187"/>
      <c r="H161" s="204"/>
      <c r="I161" s="204"/>
      <c r="J161" s="196"/>
      <c r="K161" s="196"/>
      <c r="L161" s="192" t="str">
        <f>IFERROR(__xludf.DUMMYFUNCTION("IF(
  AND(D161=""Saída"", J161=""Sangria""),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198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94" t="str">
        <f>IFERROR(__xludf.DUMMYFUNCTION("ifna(VALUE(REGEXEXTRACT(E161,""[0-9.]+[,]+[0-9]+"")))"),"")</f>
        <v/>
      </c>
      <c r="O161" s="258"/>
      <c r="P161" s="262"/>
      <c r="Q161" s="258"/>
      <c r="R161" s="260"/>
      <c r="S161" s="258"/>
      <c r="V161" s="258"/>
      <c r="W161" s="194"/>
    </row>
    <row r="162" ht="14.25" customHeight="1">
      <c r="A162" s="186"/>
      <c r="B162" s="13"/>
      <c r="C162" s="14"/>
      <c r="D162" s="187"/>
      <c r="E162" s="188"/>
      <c r="F162" s="189"/>
      <c r="G162" s="187"/>
      <c r="H162" s="204"/>
      <c r="I162" s="204"/>
      <c r="J162" s="196"/>
      <c r="K162" s="196"/>
      <c r="L162" s="192" t="str">
        <f>IFERROR(__xludf.DUMMYFUNCTION("IF(
  AND(D162=""Saída"", J162=""Sangria""),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197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94" t="str">
        <f>IFERROR(__xludf.DUMMYFUNCTION("ifna(VALUE(REGEXEXTRACT(E162,""[0-9.]+[,]+[0-9]+"")))"),"")</f>
        <v/>
      </c>
      <c r="O162" s="254"/>
      <c r="P162" s="263"/>
      <c r="Q162" s="254"/>
      <c r="R162" s="256"/>
      <c r="S162" s="254"/>
      <c r="V162" s="254"/>
      <c r="W162" s="194"/>
    </row>
    <row r="163" ht="14.25" customHeight="1">
      <c r="A163" s="186"/>
      <c r="B163" s="13"/>
      <c r="C163" s="14"/>
      <c r="D163" s="187"/>
      <c r="E163" s="188"/>
      <c r="F163" s="189"/>
      <c r="G163" s="187"/>
      <c r="H163" s="204"/>
      <c r="I163" s="204"/>
      <c r="J163" s="196"/>
      <c r="K163" s="196"/>
      <c r="L163" s="192" t="str">
        <f>IFERROR(__xludf.DUMMYFUNCTION("IF(
  AND(D163=""Saída"", J163=""Sangria""),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198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94" t="str">
        <f>IFERROR(__xludf.DUMMYFUNCTION("ifna(VALUE(REGEXEXTRACT(E163,""[0-9.]+[,]+[0-9]+"")))"),"")</f>
        <v/>
      </c>
      <c r="O163" s="258"/>
      <c r="P163" s="262"/>
      <c r="Q163" s="258"/>
      <c r="R163" s="260"/>
      <c r="S163" s="258"/>
      <c r="V163" s="258"/>
      <c r="W163" s="194"/>
    </row>
    <row r="164" ht="14.25" customHeight="1">
      <c r="A164" s="186"/>
      <c r="B164" s="13"/>
      <c r="C164" s="14"/>
      <c r="D164" s="187"/>
      <c r="E164" s="188"/>
      <c r="F164" s="189"/>
      <c r="G164" s="187"/>
      <c r="H164" s="204"/>
      <c r="I164" s="204"/>
      <c r="J164" s="196"/>
      <c r="K164" s="196"/>
      <c r="L164" s="192" t="str">
        <f>IFERROR(__xludf.DUMMYFUNCTION("IF(
  AND(D164=""Saída"", J164=""Sangria""),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197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94" t="str">
        <f>IFERROR(__xludf.DUMMYFUNCTION("ifna(VALUE(REGEXEXTRACT(E164,""[0-9.]+[,]+[0-9]+"")))"),"")</f>
        <v/>
      </c>
      <c r="O164" s="254"/>
      <c r="P164" s="263"/>
      <c r="Q164" s="254"/>
      <c r="R164" s="256"/>
      <c r="S164" s="254"/>
      <c r="V164" s="254"/>
      <c r="W164" s="194"/>
    </row>
    <row r="165" ht="14.25" customHeight="1">
      <c r="A165" s="186"/>
      <c r="B165" s="13"/>
      <c r="C165" s="14"/>
      <c r="D165" s="187"/>
      <c r="E165" s="188"/>
      <c r="F165" s="189"/>
      <c r="G165" s="187"/>
      <c r="H165" s="204"/>
      <c r="I165" s="204"/>
      <c r="J165" s="196"/>
      <c r="K165" s="196"/>
      <c r="L165" s="192" t="str">
        <f>IFERROR(__xludf.DUMMYFUNCTION("IF(
  AND(D165=""Saída"", J165=""Sangria""),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198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94" t="str">
        <f>IFERROR(__xludf.DUMMYFUNCTION("ifna(VALUE(REGEXEXTRACT(E165,""[0-9.]+[,]+[0-9]+"")))"),"")</f>
        <v/>
      </c>
      <c r="O165" s="264"/>
      <c r="P165" s="262"/>
      <c r="Q165" s="258"/>
      <c r="R165" s="260"/>
      <c r="S165" s="258"/>
      <c r="V165" s="258"/>
      <c r="W165" s="194"/>
    </row>
    <row r="166" ht="14.25" customHeight="1">
      <c r="A166" s="186"/>
      <c r="B166" s="13"/>
      <c r="C166" s="14"/>
      <c r="D166" s="187"/>
      <c r="E166" s="188"/>
      <c r="F166" s="189"/>
      <c r="G166" s="187"/>
      <c r="H166" s="204"/>
      <c r="I166" s="204"/>
      <c r="J166" s="196"/>
      <c r="K166" s="196"/>
      <c r="L166" s="192" t="str">
        <f>IFERROR(__xludf.DUMMYFUNCTION("IF(
  AND(D166=""Saída"", J166=""Sangria""),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197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94" t="str">
        <f>IFERROR(__xludf.DUMMYFUNCTION("ifna(VALUE(REGEXEXTRACT(E166,""[0-9.]+[,]+[0-9]+"")))"),"")</f>
        <v/>
      </c>
      <c r="O166" s="254"/>
      <c r="P166" s="263"/>
      <c r="Q166" s="254"/>
      <c r="R166" s="256"/>
      <c r="S166" s="254"/>
      <c r="V166" s="254"/>
      <c r="W166" s="194"/>
    </row>
    <row r="167" ht="14.25" customHeight="1">
      <c r="A167" s="186"/>
      <c r="B167" s="13"/>
      <c r="C167" s="14"/>
      <c r="D167" s="187"/>
      <c r="E167" s="188"/>
      <c r="F167" s="189"/>
      <c r="G167" s="187"/>
      <c r="H167" s="204"/>
      <c r="I167" s="204"/>
      <c r="J167" s="196"/>
      <c r="K167" s="196"/>
      <c r="L167" s="192" t="str">
        <f>IFERROR(__xludf.DUMMYFUNCTION("IF(
  AND(D167=""Saída"", J167=""Sangria""),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198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94" t="str">
        <f>IFERROR(__xludf.DUMMYFUNCTION("ifna(VALUE(REGEXEXTRACT(E167,""[0-9.]+[,]+[0-9]+"")))"),"")</f>
        <v/>
      </c>
      <c r="O167" s="258"/>
      <c r="P167" s="262"/>
      <c r="Q167" s="258"/>
      <c r="R167" s="260"/>
      <c r="S167" s="258"/>
      <c r="V167" s="258"/>
      <c r="W167" s="194"/>
    </row>
    <row r="168" ht="14.25" customHeight="1">
      <c r="A168" s="186"/>
      <c r="B168" s="13"/>
      <c r="C168" s="14"/>
      <c r="D168" s="187"/>
      <c r="E168" s="188"/>
      <c r="F168" s="189"/>
      <c r="G168" s="187"/>
      <c r="H168" s="204"/>
      <c r="I168" s="204"/>
      <c r="J168" s="196"/>
      <c r="K168" s="196"/>
      <c r="L168" s="192" t="str">
        <f>IFERROR(__xludf.DUMMYFUNCTION("IF(
  AND(D168=""Saída"", J168=""Sangria""),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197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94" t="str">
        <f>IFERROR(__xludf.DUMMYFUNCTION("ifna(VALUE(REGEXEXTRACT(E168,""[0-9.]+[,]+[0-9]+"")))"),"")</f>
        <v/>
      </c>
      <c r="O168" s="254"/>
      <c r="P168" s="263"/>
      <c r="Q168" s="254"/>
      <c r="R168" s="256"/>
      <c r="S168" s="254"/>
      <c r="V168" s="254"/>
      <c r="W168" s="194"/>
    </row>
    <row r="169" ht="14.25" customHeight="1">
      <c r="A169" s="186"/>
      <c r="B169" s="13"/>
      <c r="C169" s="14"/>
      <c r="D169" s="187"/>
      <c r="E169" s="188"/>
      <c r="F169" s="200"/>
      <c r="G169" s="187"/>
      <c r="H169" s="204"/>
      <c r="I169" s="204"/>
      <c r="J169" s="196"/>
      <c r="K169" s="196"/>
      <c r="L169" s="192" t="str">
        <f>IFERROR(__xludf.DUMMYFUNCTION("IF(
  AND(D169=""Saída"", J169=""Sangria""),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198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94" t="str">
        <f>IFERROR(__xludf.DUMMYFUNCTION("ifna(VALUE(REGEXEXTRACT(E169,""[0-9.]+[,]+[0-9]+"")))"),"")</f>
        <v/>
      </c>
      <c r="O169" s="258"/>
      <c r="P169" s="262"/>
      <c r="Q169" s="258"/>
      <c r="R169" s="258"/>
      <c r="S169" s="258"/>
      <c r="V169" s="258"/>
      <c r="W169" s="194"/>
    </row>
    <row r="170" ht="14.25" customHeight="1">
      <c r="A170" s="186"/>
      <c r="B170" s="13"/>
      <c r="C170" s="14"/>
      <c r="D170" s="187"/>
      <c r="E170" s="188"/>
      <c r="F170" s="189"/>
      <c r="G170" s="187"/>
      <c r="H170" s="204"/>
      <c r="I170" s="204"/>
      <c r="J170" s="196"/>
      <c r="K170" s="196"/>
      <c r="L170" s="192" t="str">
        <f>IFERROR(__xludf.DUMMYFUNCTION("IF(
  AND(D170=""Saída"", J170=""Sangria""),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197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94" t="str">
        <f>IFERROR(__xludf.DUMMYFUNCTION("ifna(VALUE(REGEXEXTRACT(E170,""[0-9.]+[,]+[0-9]+"")))"),"")</f>
        <v/>
      </c>
      <c r="O170" s="254"/>
      <c r="P170" s="263"/>
      <c r="Q170" s="254"/>
      <c r="R170" s="254"/>
      <c r="S170" s="254"/>
      <c r="V170" s="254"/>
      <c r="W170" s="194"/>
    </row>
    <row r="171" ht="14.25" customHeight="1">
      <c r="A171" s="186"/>
      <c r="B171" s="13"/>
      <c r="C171" s="14"/>
      <c r="D171" s="187"/>
      <c r="E171" s="188"/>
      <c r="F171" s="189"/>
      <c r="G171" s="187"/>
      <c r="H171" s="204"/>
      <c r="I171" s="204"/>
      <c r="J171" s="196"/>
      <c r="K171" s="196"/>
      <c r="L171" s="192" t="str">
        <f>IFERROR(__xludf.DUMMYFUNCTION("IF(
  AND(D171=""Saída"", J171=""Sangria""),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198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94" t="str">
        <f>IFERROR(__xludf.DUMMYFUNCTION("ifna(VALUE(REGEXEXTRACT(E171,""[0-9.]+[,]+[0-9]+"")))"),"")</f>
        <v/>
      </c>
      <c r="O171" s="258"/>
      <c r="P171" s="262"/>
      <c r="Q171" s="258"/>
      <c r="R171" s="258"/>
      <c r="S171" s="258"/>
      <c r="V171" s="258"/>
      <c r="W171" s="194"/>
    </row>
    <row r="172" ht="14.25" customHeight="1">
      <c r="A172" s="186"/>
      <c r="B172" s="13"/>
      <c r="C172" s="14"/>
      <c r="D172" s="187"/>
      <c r="E172" s="188"/>
      <c r="F172" s="200"/>
      <c r="G172" s="187"/>
      <c r="H172" s="204"/>
      <c r="I172" s="204"/>
      <c r="J172" s="196"/>
      <c r="K172" s="196"/>
      <c r="L172" s="192" t="str">
        <f>IFERROR(__xludf.DUMMYFUNCTION("IF(
  AND(D172=""Saída"", J172=""Sangria""),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197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94" t="str">
        <f>IFERROR(__xludf.DUMMYFUNCTION("ifna(VALUE(REGEXEXTRACT(E172,""[0-9.]+[,]+[0-9]+"")))"),"")</f>
        <v/>
      </c>
      <c r="O172" s="254"/>
      <c r="P172" s="263"/>
      <c r="Q172" s="254"/>
      <c r="R172" s="254"/>
      <c r="S172" s="254"/>
      <c r="V172" s="254"/>
      <c r="W172" s="194"/>
    </row>
    <row r="173" ht="14.25" customHeight="1">
      <c r="A173" s="186"/>
      <c r="B173" s="13"/>
      <c r="C173" s="14"/>
      <c r="D173" s="187"/>
      <c r="E173" s="188"/>
      <c r="F173" s="189"/>
      <c r="G173" s="187"/>
      <c r="H173" s="204"/>
      <c r="I173" s="204"/>
      <c r="J173" s="196"/>
      <c r="K173" s="196"/>
      <c r="L173" s="192" t="str">
        <f>IFERROR(__xludf.DUMMYFUNCTION("IF(
  AND(D173=""Saída"", J173=""Sangria""),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198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94" t="str">
        <f>IFERROR(__xludf.DUMMYFUNCTION("ifna(VALUE(REGEXEXTRACT(E173,""[0-9.]+[,]+[0-9]+"")))"),"")</f>
        <v/>
      </c>
      <c r="O173" s="258"/>
      <c r="P173" s="265"/>
      <c r="Q173" s="258"/>
      <c r="R173" s="258"/>
      <c r="S173" s="258"/>
      <c r="V173" s="258"/>
      <c r="W173" s="194"/>
    </row>
    <row r="174" ht="14.25" customHeight="1">
      <c r="A174" s="186"/>
      <c r="B174" s="13"/>
      <c r="C174" s="14"/>
      <c r="D174" s="187"/>
      <c r="E174" s="188"/>
      <c r="F174" s="189"/>
      <c r="G174" s="187"/>
      <c r="H174" s="204"/>
      <c r="I174" s="204"/>
      <c r="J174" s="196"/>
      <c r="K174" s="196"/>
      <c r="L174" s="192" t="str">
        <f>IFERROR(__xludf.DUMMYFUNCTION("IF(
  AND(D174=""Saída"", J174=""Sangria""),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197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94" t="str">
        <f>IFERROR(__xludf.DUMMYFUNCTION("ifna(VALUE(REGEXEXTRACT(E174,""[0-9.]+[,]+[0-9]+"")))"),"")</f>
        <v/>
      </c>
      <c r="O174" s="254"/>
      <c r="P174" s="263"/>
      <c r="Q174" s="254"/>
      <c r="R174" s="254"/>
      <c r="S174" s="254"/>
      <c r="V174" s="254"/>
      <c r="W174" s="194"/>
    </row>
    <row r="175" ht="14.25" customHeight="1">
      <c r="A175" s="186"/>
      <c r="B175" s="13"/>
      <c r="C175" s="14"/>
      <c r="D175" s="187"/>
      <c r="E175" s="188"/>
      <c r="F175" s="200"/>
      <c r="G175" s="187"/>
      <c r="H175" s="204"/>
      <c r="I175" s="204"/>
      <c r="J175" s="196"/>
      <c r="K175" s="196"/>
      <c r="L175" s="192" t="str">
        <f>IFERROR(__xludf.DUMMYFUNCTION("IF(
  AND(D175=""Saída"", J175=""Sangria""),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198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94" t="str">
        <f>IFERROR(__xludf.DUMMYFUNCTION("ifna(VALUE(REGEXEXTRACT(E175,""[0-9.]+[,]+[0-9]+"")))"),"")</f>
        <v/>
      </c>
      <c r="O175" s="258"/>
      <c r="P175" s="262"/>
      <c r="Q175" s="258"/>
      <c r="R175" s="258"/>
      <c r="S175" s="258"/>
      <c r="V175" s="258"/>
      <c r="W175" s="194"/>
    </row>
    <row r="176" ht="14.25" customHeight="1">
      <c r="A176" s="186"/>
      <c r="B176" s="13"/>
      <c r="C176" s="14"/>
      <c r="D176" s="187"/>
      <c r="E176" s="188"/>
      <c r="F176" s="189"/>
      <c r="G176" s="187"/>
      <c r="H176" s="204"/>
      <c r="I176" s="204"/>
      <c r="J176" s="196"/>
      <c r="K176" s="196"/>
      <c r="L176" s="192" t="str">
        <f>IFERROR(__xludf.DUMMYFUNCTION("IF(
  AND(D176=""Saída"", J176=""Sangria""),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197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94" t="str">
        <f>IFERROR(__xludf.DUMMYFUNCTION("ifna(VALUE(REGEXEXTRACT(E176,""[0-9.]+[,]+[0-9]+"")))"),"")</f>
        <v/>
      </c>
      <c r="O176" s="254"/>
      <c r="P176" s="263"/>
      <c r="Q176" s="254"/>
      <c r="R176" s="254"/>
      <c r="S176" s="254"/>
      <c r="V176" s="254"/>
      <c r="W176" s="194"/>
    </row>
    <row r="177" ht="14.25" customHeight="1">
      <c r="A177" s="186"/>
      <c r="B177" s="13"/>
      <c r="C177" s="14"/>
      <c r="D177" s="187"/>
      <c r="E177" s="188"/>
      <c r="F177" s="189"/>
      <c r="G177" s="187"/>
      <c r="H177" s="204"/>
      <c r="I177" s="204"/>
      <c r="K177" s="196"/>
      <c r="L177" s="192" t="str">
        <f>IFERROR(__xludf.DUMMYFUNCTION("IF(
  AND(D177=""Saída"", J177=""Sangria""),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198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94" t="str">
        <f>IFERROR(__xludf.DUMMYFUNCTION("ifna(VALUE(REGEXEXTRACT(E177,""[0-9.]+[,]+[0-9]+"")))"),"")</f>
        <v/>
      </c>
      <c r="O177" s="258"/>
      <c r="P177" s="262"/>
      <c r="Q177" s="258"/>
      <c r="R177" s="258"/>
      <c r="S177" s="258"/>
      <c r="V177" s="258"/>
      <c r="W177" s="194"/>
    </row>
    <row r="178" ht="14.25" customHeight="1">
      <c r="A178" s="186"/>
      <c r="B178" s="13"/>
      <c r="C178" s="14"/>
      <c r="D178" s="187"/>
      <c r="E178" s="188"/>
      <c r="F178" s="189"/>
      <c r="G178" s="187"/>
      <c r="H178" s="204"/>
      <c r="I178" s="204"/>
      <c r="J178" s="196"/>
      <c r="K178" s="196"/>
      <c r="L178" s="192" t="str">
        <f>IFERROR(__xludf.DUMMYFUNCTION("IF(
  AND(D178=""Saída"", J178=""Sangria""),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197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94" t="str">
        <f>IFERROR(__xludf.DUMMYFUNCTION("ifna(VALUE(REGEXEXTRACT(E178,""[0-9.]+[,]+[0-9]+"")))"),"")</f>
        <v/>
      </c>
      <c r="O178" s="254"/>
      <c r="P178" s="263"/>
      <c r="Q178" s="254"/>
      <c r="R178" s="254"/>
      <c r="S178" s="254"/>
      <c r="V178" s="254"/>
      <c r="W178" s="194"/>
    </row>
    <row r="179" ht="14.25" customHeight="1">
      <c r="A179" s="186"/>
      <c r="B179" s="13"/>
      <c r="C179" s="14"/>
      <c r="D179" s="187"/>
      <c r="E179" s="188"/>
      <c r="F179" s="200"/>
      <c r="G179" s="187"/>
      <c r="H179" s="204"/>
      <c r="I179" s="204"/>
      <c r="J179" s="196"/>
      <c r="K179" s="196"/>
      <c r="L179" s="192" t="str">
        <f>IFERROR(__xludf.DUMMYFUNCTION("IF(
  AND(D179=""Saída"", J179=""Sangria""),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198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94" t="str">
        <f>IFERROR(__xludf.DUMMYFUNCTION("ifna(VALUE(REGEXEXTRACT(E179,""[0-9.]+[,]+[0-9]+"")))"),"")</f>
        <v/>
      </c>
      <c r="O179" s="258"/>
      <c r="P179" s="262"/>
      <c r="Q179" s="258"/>
      <c r="R179" s="258"/>
      <c r="S179" s="258"/>
      <c r="V179" s="258"/>
      <c r="W179" s="194"/>
    </row>
    <row r="180" ht="14.25" customHeight="1">
      <c r="A180" s="186"/>
      <c r="B180" s="13"/>
      <c r="C180" s="14"/>
      <c r="D180" s="187"/>
      <c r="E180" s="188"/>
      <c r="F180" s="189"/>
      <c r="G180" s="187"/>
      <c r="H180" s="204"/>
      <c r="I180" s="204"/>
      <c r="K180" s="196"/>
      <c r="L180" s="192" t="str">
        <f>IFERROR(__xludf.DUMMYFUNCTION("IF(
  AND(D180=""Saída"", J180=""Sangria""),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197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94" t="str">
        <f>IFERROR(__xludf.DUMMYFUNCTION("ifna(VALUE(REGEXEXTRACT(E180,""[0-9.]+[,]+[0-9]+"")))"),"")</f>
        <v/>
      </c>
      <c r="O180" s="254"/>
      <c r="P180" s="263"/>
      <c r="Q180" s="254"/>
      <c r="R180" s="254"/>
      <c r="S180" s="254"/>
      <c r="V180" s="254"/>
      <c r="W180" s="194"/>
    </row>
    <row r="181" ht="14.25" customHeight="1">
      <c r="A181" s="186"/>
      <c r="B181" s="13"/>
      <c r="C181" s="14"/>
      <c r="D181" s="187"/>
      <c r="E181" s="188"/>
      <c r="F181" s="189"/>
      <c r="G181" s="187"/>
      <c r="H181" s="204"/>
      <c r="I181" s="204"/>
      <c r="J181" s="196"/>
      <c r="K181" s="196"/>
      <c r="L181" s="192" t="str">
        <f>IFERROR(__xludf.DUMMYFUNCTION("IF(
  AND(D181=""Saída"", J181=""Sangria""),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198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94" t="str">
        <f>IFERROR(__xludf.DUMMYFUNCTION("ifna(VALUE(REGEXEXTRACT(E181,""[0-9.]+[,]+[0-9]+"")))"),"")</f>
        <v/>
      </c>
      <c r="O181" s="258"/>
      <c r="P181" s="262"/>
      <c r="Q181" s="258"/>
      <c r="R181" s="258"/>
      <c r="S181" s="258"/>
      <c r="V181" s="258"/>
      <c r="W181" s="194"/>
    </row>
    <row r="182" ht="14.25" customHeight="1">
      <c r="A182" s="186"/>
      <c r="B182" s="13"/>
      <c r="C182" s="14"/>
      <c r="D182" s="187"/>
      <c r="E182" s="188"/>
      <c r="F182" s="189"/>
      <c r="G182" s="187"/>
      <c r="H182" s="204"/>
      <c r="I182" s="204"/>
      <c r="J182" s="196"/>
      <c r="K182" s="196"/>
      <c r="L182" s="192" t="str">
        <f>IFERROR(__xludf.DUMMYFUNCTION("IF(
  AND(D182=""Saída"", J182=""Sangria""),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197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94" t="str">
        <f>IFERROR(__xludf.DUMMYFUNCTION("ifna(VALUE(REGEXEXTRACT(E182,""[0-9.]+[,]+[0-9]+"")))"),"")</f>
        <v/>
      </c>
      <c r="O182" s="254"/>
      <c r="P182" s="263"/>
      <c r="Q182" s="254"/>
      <c r="R182" s="254"/>
      <c r="S182" s="254"/>
      <c r="V182" s="254"/>
      <c r="W182" s="194"/>
    </row>
    <row r="183" ht="14.25" customHeight="1">
      <c r="A183" s="186"/>
      <c r="B183" s="13"/>
      <c r="C183" s="14"/>
      <c r="D183" s="187"/>
      <c r="E183" s="188"/>
      <c r="F183" s="200"/>
      <c r="G183" s="187"/>
      <c r="H183" s="204"/>
      <c r="I183" s="204"/>
      <c r="J183" s="196"/>
      <c r="K183" s="196"/>
      <c r="L183" s="192" t="str">
        <f>IFERROR(__xludf.DUMMYFUNCTION("IF(
  AND(D183=""Saída"", J183=""Sangria""),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198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94" t="str">
        <f>IFERROR(__xludf.DUMMYFUNCTION("ifna(VALUE(REGEXEXTRACT(E183,""[0-9.]+[,]+[0-9]+"")))"),"")</f>
        <v/>
      </c>
      <c r="O183" s="258"/>
      <c r="P183" s="262"/>
      <c r="Q183" s="258"/>
      <c r="R183" s="258"/>
      <c r="S183" s="258"/>
      <c r="V183" s="258"/>
      <c r="W183" s="194"/>
    </row>
    <row r="184" ht="14.25" customHeight="1">
      <c r="A184" s="186"/>
      <c r="B184" s="13"/>
      <c r="C184" s="14"/>
      <c r="D184" s="187"/>
      <c r="E184" s="188"/>
      <c r="F184" s="200"/>
      <c r="G184" s="187"/>
      <c r="H184" s="204"/>
      <c r="I184" s="204"/>
      <c r="J184" s="196"/>
      <c r="K184" s="196"/>
      <c r="L184" s="192" t="str">
        <f>IFERROR(__xludf.DUMMYFUNCTION("IF(
  AND(D184=""Saída"", J184=""Sangria""),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197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94" t="str">
        <f>IFERROR(__xludf.DUMMYFUNCTION("ifna(VALUE(REGEXEXTRACT(E184,""[0-9.]+[,]+[0-9]+"")))"),"")</f>
        <v/>
      </c>
      <c r="O184" s="254"/>
      <c r="P184" s="263"/>
      <c r="Q184" s="254"/>
      <c r="R184" s="254"/>
      <c r="S184" s="254"/>
      <c r="V184" s="254"/>
      <c r="W184" s="194"/>
    </row>
    <row r="185" ht="14.25" customHeight="1">
      <c r="A185" s="186"/>
      <c r="B185" s="13"/>
      <c r="C185" s="14"/>
      <c r="D185" s="187"/>
      <c r="E185" s="188"/>
      <c r="F185" s="189"/>
      <c r="G185" s="187"/>
      <c r="H185" s="204"/>
      <c r="I185" s="204"/>
      <c r="J185" s="196"/>
      <c r="K185" s="196"/>
      <c r="L185" s="192" t="str">
        <f>IFERROR(__xludf.DUMMYFUNCTION("IF(
  AND(D185=""Saída"", J185=""Sangria""),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198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94" t="str">
        <f>IFERROR(__xludf.DUMMYFUNCTION("ifna(VALUE(REGEXEXTRACT(E185,""[0-9.]+[,]+[0-9]+"")))"),"")</f>
        <v/>
      </c>
      <c r="O185" s="258"/>
      <c r="P185" s="262"/>
      <c r="Q185" s="258"/>
      <c r="R185" s="258"/>
      <c r="S185" s="258"/>
      <c r="V185" s="258"/>
      <c r="W185" s="194"/>
    </row>
    <row r="186" ht="14.25" customHeight="1">
      <c r="A186" s="186"/>
      <c r="B186" s="13"/>
      <c r="C186" s="14"/>
      <c r="D186" s="187"/>
      <c r="E186" s="188"/>
      <c r="F186" s="200"/>
      <c r="G186" s="187"/>
      <c r="H186" s="204"/>
      <c r="I186" s="204"/>
      <c r="J186" s="196"/>
      <c r="K186" s="196"/>
      <c r="L186" s="192" t="str">
        <f>IFERROR(__xludf.DUMMYFUNCTION("IF(
  AND(D186=""Saída"", J186=""Sangria""),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197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94" t="str">
        <f>IFERROR(__xludf.DUMMYFUNCTION("ifna(VALUE(REGEXEXTRACT(E186,""[0-9.]+[,]+[0-9]+"")))"),"")</f>
        <v/>
      </c>
      <c r="O186" s="254"/>
      <c r="P186" s="263"/>
      <c r="Q186" s="254"/>
      <c r="R186" s="254"/>
      <c r="S186" s="254"/>
      <c r="V186" s="254"/>
      <c r="W186" s="194"/>
    </row>
    <row r="187" ht="14.25" customHeight="1">
      <c r="A187" s="186"/>
      <c r="B187" s="13"/>
      <c r="C187" s="14"/>
      <c r="D187" s="187"/>
      <c r="E187" s="188"/>
      <c r="F187" s="189"/>
      <c r="G187" s="187"/>
      <c r="H187" s="204"/>
      <c r="I187" s="204"/>
      <c r="J187" s="196"/>
      <c r="K187" s="196"/>
      <c r="L187" s="192" t="str">
        <f>IFERROR(__xludf.DUMMYFUNCTION("IF(
  AND(D187=""Saída"", J187=""Sangria""),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198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94" t="str">
        <f>IFERROR(__xludf.DUMMYFUNCTION("ifna(VALUE(REGEXEXTRACT(E187,""[0-9.]+[,]+[0-9]+"")))"),"")</f>
        <v/>
      </c>
      <c r="O187" s="258"/>
      <c r="P187" s="262"/>
      <c r="Q187" s="258"/>
      <c r="R187" s="258"/>
      <c r="S187" s="258"/>
      <c r="V187" s="258"/>
      <c r="W187" s="194"/>
    </row>
    <row r="188" ht="14.25" customHeight="1">
      <c r="A188" s="186"/>
      <c r="B188" s="13"/>
      <c r="C188" s="14"/>
      <c r="D188" s="187"/>
      <c r="E188" s="188"/>
      <c r="F188" s="189"/>
      <c r="G188" s="187"/>
      <c r="H188" s="204"/>
      <c r="I188" s="204"/>
      <c r="J188" s="196"/>
      <c r="K188" s="196"/>
      <c r="L188" s="192" t="str">
        <f>IFERROR(__xludf.DUMMYFUNCTION("IF(
  AND(D188=""Saída"", J188=""Sangria""),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197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94" t="str">
        <f>IFERROR(__xludf.DUMMYFUNCTION("ifna(VALUE(REGEXEXTRACT(E188,""[0-9.]+[,]+[0-9]+"")))"),"")</f>
        <v/>
      </c>
      <c r="O188" s="254"/>
      <c r="P188" s="263"/>
      <c r="Q188" s="254"/>
      <c r="R188" s="254"/>
      <c r="S188" s="254"/>
      <c r="V188" s="254"/>
      <c r="W188" s="194"/>
    </row>
    <row r="189" ht="14.25" customHeight="1">
      <c r="A189" s="186"/>
      <c r="B189" s="13"/>
      <c r="C189" s="14"/>
      <c r="D189" s="187"/>
      <c r="E189" s="188"/>
      <c r="F189" s="189"/>
      <c r="G189" s="187"/>
      <c r="H189" s="204"/>
      <c r="I189" s="204"/>
      <c r="J189" s="196"/>
      <c r="K189" s="196"/>
      <c r="L189" s="192" t="str">
        <f>IFERROR(__xludf.DUMMYFUNCTION("IF(
  AND(D189=""Saída"", J189=""Sangria""),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198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94" t="str">
        <f>IFERROR(__xludf.DUMMYFUNCTION("ifna(VALUE(REGEXEXTRACT(E189,""[0-9.]+[,]+[0-9]+"")))"),"")</f>
        <v/>
      </c>
      <c r="O189" s="258"/>
      <c r="P189" s="262"/>
      <c r="Q189" s="258"/>
      <c r="R189" s="258"/>
      <c r="S189" s="258"/>
      <c r="V189" s="258"/>
      <c r="W189" s="194"/>
    </row>
    <row r="190" ht="14.25" customHeight="1">
      <c r="A190" s="186"/>
      <c r="B190" s="13"/>
      <c r="C190" s="14"/>
      <c r="D190" s="187"/>
      <c r="E190" s="188"/>
      <c r="F190" s="189"/>
      <c r="G190" s="187"/>
      <c r="H190" s="204"/>
      <c r="I190" s="204"/>
      <c r="J190" s="196"/>
      <c r="K190" s="196"/>
      <c r="L190" s="192" t="str">
        <f>IFERROR(__xludf.DUMMYFUNCTION("IF(
  AND(D190=""Saída"", J190=""Sangria""),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197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94" t="str">
        <f>IFERROR(__xludf.DUMMYFUNCTION("ifna(VALUE(REGEXEXTRACT(E190,""[0-9.]+[,]+[0-9]+"")))"),"")</f>
        <v/>
      </c>
      <c r="O190" s="254"/>
      <c r="P190" s="263"/>
      <c r="Q190" s="254"/>
      <c r="R190" s="254"/>
      <c r="S190" s="254"/>
      <c r="V190" s="254"/>
      <c r="W190" s="194"/>
    </row>
    <row r="191" ht="14.25" customHeight="1">
      <c r="A191" s="186"/>
      <c r="B191" s="13"/>
      <c r="C191" s="14"/>
      <c r="D191" s="187"/>
      <c r="E191" s="188"/>
      <c r="F191" s="189"/>
      <c r="G191" s="187"/>
      <c r="H191" s="204"/>
      <c r="I191" s="204"/>
      <c r="J191" s="266"/>
      <c r="K191" s="196"/>
      <c r="L191" s="192" t="str">
        <f>IFERROR(__xludf.DUMMYFUNCTION("IF(
  AND(D191=""Saída"", J191=""Sangria""),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198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94" t="str">
        <f>IFERROR(__xludf.DUMMYFUNCTION("ifna(VALUE(REGEXEXTRACT(E191,""[0-9.]+[,]+[0-9]+"")))"),"")</f>
        <v/>
      </c>
      <c r="O191" s="258"/>
      <c r="P191" s="262"/>
      <c r="Q191" s="258"/>
      <c r="R191" s="258"/>
      <c r="S191" s="258"/>
      <c r="V191" s="258"/>
      <c r="W191" s="194"/>
    </row>
    <row r="192" ht="14.25" customHeight="1">
      <c r="A192" s="186"/>
      <c r="B192" s="13"/>
      <c r="C192" s="14"/>
      <c r="D192" s="187"/>
      <c r="E192" s="188"/>
      <c r="F192" s="200"/>
      <c r="G192" s="187"/>
      <c r="H192" s="204"/>
      <c r="I192" s="204"/>
      <c r="J192" s="196"/>
      <c r="K192" s="196"/>
      <c r="L192" s="192" t="str">
        <f>IFERROR(__xludf.DUMMYFUNCTION("IF(
  AND(D192=""Saída"", J192=""Sangria""),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197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94" t="str">
        <f>IFERROR(__xludf.DUMMYFUNCTION("ifna(VALUE(REGEXEXTRACT(E192,""[0-9.]+[,]+[0-9]+"")))"),"")</f>
        <v/>
      </c>
      <c r="O192" s="254"/>
      <c r="P192" s="263"/>
      <c r="Q192" s="254"/>
      <c r="R192" s="254"/>
      <c r="S192" s="254"/>
      <c r="V192" s="254"/>
      <c r="W192" s="194"/>
    </row>
    <row r="193" ht="14.25" customHeight="1">
      <c r="A193" s="186"/>
      <c r="B193" s="13"/>
      <c r="C193" s="14"/>
      <c r="D193" s="187"/>
      <c r="E193" s="188"/>
      <c r="F193" s="189"/>
      <c r="G193" s="187"/>
      <c r="H193" s="204"/>
      <c r="I193" s="204"/>
      <c r="J193" s="196"/>
      <c r="K193" s="196"/>
      <c r="L193" s="192" t="str">
        <f>IFERROR(__xludf.DUMMYFUNCTION("IF(
  AND(D193=""Saída"", J193=""Sangria""),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198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94" t="str">
        <f>IFERROR(__xludf.DUMMYFUNCTION("ifna(VALUE(REGEXEXTRACT(E193,""[0-9.]+[,]+[0-9]+"")))"),"")</f>
        <v/>
      </c>
      <c r="O193" s="194"/>
      <c r="P193" s="194"/>
      <c r="Q193" s="194"/>
      <c r="R193" s="194"/>
      <c r="S193" s="194"/>
      <c r="T193" s="194"/>
      <c r="U193" s="194"/>
      <c r="V193" s="194"/>
      <c r="W193" s="194"/>
    </row>
    <row r="194" ht="14.25" customHeight="1">
      <c r="A194" s="186"/>
      <c r="B194" s="13"/>
      <c r="C194" s="14"/>
      <c r="D194" s="187"/>
      <c r="E194" s="188"/>
      <c r="F194" s="189"/>
      <c r="G194" s="187"/>
      <c r="H194" s="204"/>
      <c r="I194" s="204"/>
      <c r="J194" s="196"/>
      <c r="K194" s="196"/>
      <c r="L194" s="192" t="str">
        <f>IFERROR(__xludf.DUMMYFUNCTION("IF(
  AND(D194=""Saída"", J194=""Sangria""),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197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94" t="str">
        <f>IFERROR(__xludf.DUMMYFUNCTION("ifna(VALUE(REGEXEXTRACT(E194,""[0-9.]+[,]+[0-9]+"")))"),"")</f>
        <v/>
      </c>
      <c r="O194" s="194"/>
      <c r="P194" s="194"/>
      <c r="Q194" s="194"/>
      <c r="R194" s="194"/>
      <c r="S194" s="194"/>
      <c r="T194" s="194"/>
      <c r="U194" s="194"/>
      <c r="V194" s="194"/>
      <c r="W194" s="194"/>
    </row>
    <row r="195" ht="14.25" customHeight="1">
      <c r="A195" s="186"/>
      <c r="B195" s="13"/>
      <c r="C195" s="14"/>
      <c r="D195" s="187"/>
      <c r="E195" s="188"/>
      <c r="F195" s="200"/>
      <c r="G195" s="187"/>
      <c r="H195" s="204"/>
      <c r="I195" s="204"/>
      <c r="J195" s="196"/>
      <c r="K195" s="196"/>
      <c r="L195" s="192" t="str">
        <f>IFERROR(__xludf.DUMMYFUNCTION("IF(
  AND(D195=""Saída"", J195=""Sangria""),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198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94" t="str">
        <f>IFERROR(__xludf.DUMMYFUNCTION("ifna(VALUE(REGEXEXTRACT(E195,""[0-9.]+[,]+[0-9]+"")))"),"")</f>
        <v/>
      </c>
      <c r="O195" s="194"/>
      <c r="P195" s="194"/>
      <c r="Q195" s="194"/>
      <c r="R195" s="194"/>
      <c r="S195" s="194"/>
      <c r="T195" s="194"/>
      <c r="U195" s="194"/>
      <c r="V195" s="194"/>
      <c r="W195" s="194"/>
    </row>
    <row r="196" ht="14.25" customHeight="1">
      <c r="A196" s="186"/>
      <c r="B196" s="13"/>
      <c r="C196" s="14"/>
      <c r="D196" s="187"/>
      <c r="E196" s="188"/>
      <c r="F196" s="189"/>
      <c r="G196" s="187"/>
      <c r="H196" s="204"/>
      <c r="I196" s="204"/>
      <c r="K196" s="196"/>
      <c r="L196" s="192" t="str">
        <f>IFERROR(__xludf.DUMMYFUNCTION("IF(
  AND(D196=""Saída"", J196=""Sangria""),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197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94" t="str">
        <f>IFERROR(__xludf.DUMMYFUNCTION("ifna(VALUE(REGEXEXTRACT(E196,""[0-9.]+[,]+[0-9]+"")))"),"")</f>
        <v/>
      </c>
      <c r="O196" s="194"/>
      <c r="P196" s="194"/>
      <c r="Q196" s="194"/>
      <c r="R196" s="194"/>
      <c r="S196" s="194"/>
      <c r="T196" s="194"/>
      <c r="U196" s="194"/>
      <c r="V196" s="194"/>
      <c r="W196" s="194"/>
    </row>
    <row r="197" ht="14.25" customHeight="1">
      <c r="A197" s="186"/>
      <c r="B197" s="13"/>
      <c r="C197" s="14"/>
      <c r="D197" s="187"/>
      <c r="E197" s="188"/>
      <c r="F197" s="189"/>
      <c r="G197" s="187"/>
      <c r="H197" s="204"/>
      <c r="I197" s="204"/>
      <c r="J197" s="196"/>
      <c r="K197" s="196"/>
      <c r="L197" s="192" t="str">
        <f>IFERROR(__xludf.DUMMYFUNCTION("IF(
  AND(D197=""Saída"", J197=""Sangria""),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198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94" t="str">
        <f>IFERROR(__xludf.DUMMYFUNCTION("ifna(VALUE(REGEXEXTRACT(E197,""[0-9.]+[,]+[0-9]+"")))"),"")</f>
        <v/>
      </c>
      <c r="O197" s="194"/>
      <c r="P197" s="194"/>
      <c r="Q197" s="194"/>
      <c r="R197" s="194"/>
      <c r="S197" s="194"/>
      <c r="T197" s="194"/>
      <c r="U197" s="194"/>
      <c r="V197" s="194"/>
      <c r="W197" s="194"/>
    </row>
    <row r="198" ht="14.25" customHeight="1">
      <c r="A198" s="186"/>
      <c r="B198" s="13"/>
      <c r="C198" s="14"/>
      <c r="D198" s="187"/>
      <c r="E198" s="188"/>
      <c r="F198" s="189"/>
      <c r="G198" s="187"/>
      <c r="H198" s="204"/>
      <c r="I198" s="204"/>
      <c r="J198" s="196"/>
      <c r="K198" s="196"/>
      <c r="L198" s="192" t="str">
        <f>IFERROR(__xludf.DUMMYFUNCTION("IF(
  AND(D198=""Saída"", J198=""Sangria""),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197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94" t="str">
        <f>IFERROR(__xludf.DUMMYFUNCTION("ifna(VALUE(REGEXEXTRACT(E198,""[0-9.]+[,]+[0-9]+"")))"),"")</f>
        <v/>
      </c>
      <c r="O198" s="194"/>
      <c r="P198" s="194"/>
      <c r="Q198" s="194"/>
      <c r="R198" s="194"/>
      <c r="S198" s="194"/>
      <c r="T198" s="194"/>
      <c r="U198" s="194"/>
      <c r="V198" s="194"/>
      <c r="W198" s="194"/>
    </row>
    <row r="199" ht="14.25" customHeight="1">
      <c r="A199" s="186"/>
      <c r="B199" s="13"/>
      <c r="C199" s="14"/>
      <c r="D199" s="187"/>
      <c r="E199" s="188"/>
      <c r="F199" s="189"/>
      <c r="G199" s="187"/>
      <c r="H199" s="204"/>
      <c r="I199" s="204"/>
      <c r="J199" s="196"/>
      <c r="K199" s="196"/>
      <c r="L199" s="192" t="str">
        <f>IFERROR(__xludf.DUMMYFUNCTION("IF(
  AND(D199=""Saída"", J199=""Sangria""),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198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94" t="str">
        <f>IFERROR(__xludf.DUMMYFUNCTION("ifna(VALUE(REGEXEXTRACT(E199,""[0-9.]+[,]+[0-9]+"")))"),"")</f>
        <v/>
      </c>
      <c r="O199" s="194"/>
      <c r="P199" s="194"/>
      <c r="Q199" s="194"/>
      <c r="R199" s="194"/>
      <c r="S199" s="194"/>
      <c r="T199" s="194"/>
      <c r="U199" s="194"/>
      <c r="V199" s="194"/>
      <c r="W199" s="194"/>
    </row>
    <row r="200" ht="14.25" customHeight="1">
      <c r="A200" s="186"/>
      <c r="B200" s="13"/>
      <c r="C200" s="14"/>
      <c r="D200" s="187"/>
      <c r="E200" s="188"/>
      <c r="F200" s="189"/>
      <c r="G200" s="187"/>
      <c r="H200" s="204"/>
      <c r="I200" s="204"/>
      <c r="J200" s="196"/>
      <c r="K200" s="196"/>
      <c r="L200" s="192" t="str">
        <f>IFERROR(__xludf.DUMMYFUNCTION("IF(
  AND(D200=""Saída"", J200=""Sangria""),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197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94" t="str">
        <f>IFERROR(__xludf.DUMMYFUNCTION("ifna(VALUE(REGEXEXTRACT(E200,""[0-9.]+[,]+[0-9]+"")))"),"")</f>
        <v/>
      </c>
      <c r="O200" s="194"/>
      <c r="P200" s="194"/>
      <c r="Q200" s="194"/>
      <c r="R200" s="194"/>
      <c r="S200" s="194"/>
      <c r="T200" s="194"/>
      <c r="U200" s="194"/>
      <c r="V200" s="194"/>
      <c r="W200" s="194"/>
    </row>
    <row r="201" ht="14.25" customHeight="1">
      <c r="A201" s="186"/>
      <c r="B201" s="13"/>
      <c r="C201" s="14"/>
      <c r="D201" s="187"/>
      <c r="E201" s="188"/>
      <c r="F201" s="189"/>
      <c r="G201" s="187"/>
      <c r="H201" s="204"/>
      <c r="I201" s="204"/>
      <c r="J201" s="196"/>
      <c r="K201" s="196"/>
      <c r="L201" s="192" t="str">
        <f>IFERROR(__xludf.DUMMYFUNCTION("IF(
  AND(D201=""Saída"", J201=""Sangria""),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198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94" t="str">
        <f>IFERROR(__xludf.DUMMYFUNCTION("ifna(VALUE(REGEXEXTRACT(E201,""[0-9.]+[,]+[0-9]+"")))"),"")</f>
        <v/>
      </c>
      <c r="O201" s="194"/>
      <c r="P201" s="194"/>
      <c r="Q201" s="194"/>
      <c r="R201" s="194"/>
      <c r="S201" s="194"/>
      <c r="T201" s="194"/>
      <c r="U201" s="194"/>
      <c r="V201" s="194"/>
      <c r="W201" s="194"/>
    </row>
    <row r="202" ht="14.25" customHeight="1">
      <c r="A202" s="186"/>
      <c r="B202" s="13"/>
      <c r="C202" s="14"/>
      <c r="D202" s="187"/>
      <c r="E202" s="188"/>
      <c r="F202" s="189"/>
      <c r="G202" s="187"/>
      <c r="H202" s="204"/>
      <c r="I202" s="204"/>
      <c r="J202" s="196"/>
      <c r="K202" s="196"/>
      <c r="L202" s="192" t="str">
        <f>IFERROR(__xludf.DUMMYFUNCTION("IF(
  AND(D202=""Saída"", J202=""Sangria""),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197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94" t="str">
        <f>IFERROR(__xludf.DUMMYFUNCTION("ifna(VALUE(REGEXEXTRACT(E202,""[0-9.]+[,]+[0-9]+"")))"),"")</f>
        <v/>
      </c>
      <c r="O202" s="194"/>
      <c r="P202" s="194"/>
      <c r="Q202" s="194"/>
      <c r="R202" s="194"/>
      <c r="S202" s="194"/>
      <c r="T202" s="194"/>
      <c r="U202" s="194"/>
      <c r="V202" s="194"/>
      <c r="W202" s="194"/>
    </row>
    <row r="203" ht="14.25" customHeight="1">
      <c r="A203" s="186"/>
      <c r="B203" s="13"/>
      <c r="C203" s="14"/>
      <c r="D203" s="187"/>
      <c r="E203" s="188"/>
      <c r="F203" s="189"/>
      <c r="G203" s="187"/>
      <c r="H203" s="204"/>
      <c r="I203" s="204"/>
      <c r="J203" s="196"/>
      <c r="K203" s="196"/>
      <c r="L203" s="192" t="str">
        <f>IFERROR(__xludf.DUMMYFUNCTION("IF(
  AND(D203=""Saída"", J203=""Sangria""),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198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94" t="str">
        <f>IFERROR(__xludf.DUMMYFUNCTION("ifna(VALUE(REGEXEXTRACT(E203,""[0-9.]+[,]+[0-9]+"")))"),"")</f>
        <v/>
      </c>
      <c r="O203" s="194"/>
      <c r="P203" s="194"/>
      <c r="Q203" s="194"/>
      <c r="R203" s="194"/>
      <c r="S203" s="194"/>
      <c r="T203" s="194"/>
      <c r="U203" s="194"/>
      <c r="V203" s="194"/>
      <c r="W203" s="194"/>
    </row>
    <row r="204" ht="14.25" customHeight="1">
      <c r="A204" s="186"/>
      <c r="B204" s="13"/>
      <c r="C204" s="14"/>
      <c r="D204" s="187"/>
      <c r="E204" s="188"/>
      <c r="F204" s="189"/>
      <c r="G204" s="187"/>
      <c r="H204" s="204"/>
      <c r="I204" s="204"/>
      <c r="J204" s="196"/>
      <c r="K204" s="196"/>
      <c r="L204" s="192" t="str">
        <f>IFERROR(__xludf.DUMMYFUNCTION("IF(
  AND(D204=""Saída"", J204=""Sangria""),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197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94" t="str">
        <f>IFERROR(__xludf.DUMMYFUNCTION("ifna(VALUE(REGEXEXTRACT(E204,""[0-9.]+[,]+[0-9]+"")))"),"")</f>
        <v/>
      </c>
      <c r="O204" s="194"/>
      <c r="P204" s="194"/>
      <c r="Q204" s="194"/>
      <c r="R204" s="194"/>
      <c r="S204" s="194"/>
      <c r="T204" s="194"/>
      <c r="U204" s="194"/>
      <c r="V204" s="194"/>
      <c r="W204" s="194"/>
    </row>
    <row r="205" ht="14.25" customHeight="1">
      <c r="A205" s="186"/>
      <c r="B205" s="13"/>
      <c r="C205" s="14"/>
      <c r="D205" s="187"/>
      <c r="E205" s="188"/>
      <c r="F205" s="200"/>
      <c r="G205" s="187"/>
      <c r="H205" s="204"/>
      <c r="I205" s="204"/>
      <c r="J205" s="196"/>
      <c r="K205" s="196"/>
      <c r="L205" s="192" t="str">
        <f>IFERROR(__xludf.DUMMYFUNCTION("IF(
  AND(D205=""Saída"", J205=""Sangria""),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198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94" t="str">
        <f>IFERROR(__xludf.DUMMYFUNCTION("ifna(VALUE(REGEXEXTRACT(E205,""[0-9.]+[,]+[0-9]+"")))"),"")</f>
        <v/>
      </c>
      <c r="O205" s="194"/>
      <c r="P205" s="194"/>
      <c r="Q205" s="194"/>
      <c r="R205" s="194"/>
      <c r="S205" s="194"/>
      <c r="T205" s="194"/>
      <c r="U205" s="194"/>
      <c r="V205" s="194"/>
      <c r="W205" s="194"/>
    </row>
    <row r="206" ht="14.25" customHeight="1">
      <c r="A206" s="186"/>
      <c r="B206" s="13"/>
      <c r="C206" s="14"/>
      <c r="D206" s="187"/>
      <c r="E206" s="188"/>
      <c r="F206" s="189"/>
      <c r="G206" s="187"/>
      <c r="H206" s="204"/>
      <c r="I206" s="204"/>
      <c r="J206" s="196"/>
      <c r="K206" s="196"/>
      <c r="L206" s="192" t="str">
        <f>IFERROR(__xludf.DUMMYFUNCTION("IF(
  AND(D206=""Saída"", J206=""Sangria""),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197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94" t="str">
        <f>IFERROR(__xludf.DUMMYFUNCTION("ifna(VALUE(REGEXEXTRACT(E206,""[0-9.]+[,]+[0-9]+"")))"),"")</f>
        <v/>
      </c>
      <c r="O206" s="194"/>
      <c r="P206" s="194"/>
      <c r="Q206" s="194"/>
      <c r="R206" s="194"/>
      <c r="S206" s="194"/>
      <c r="T206" s="194"/>
      <c r="U206" s="194"/>
      <c r="V206" s="194"/>
      <c r="W206" s="194"/>
    </row>
    <row r="207" ht="14.25" customHeight="1">
      <c r="A207" s="186"/>
      <c r="B207" s="13"/>
      <c r="C207" s="14"/>
      <c r="D207" s="187"/>
      <c r="E207" s="188"/>
      <c r="F207" s="189"/>
      <c r="G207" s="187"/>
      <c r="H207" s="204"/>
      <c r="I207" s="204"/>
      <c r="J207" s="196"/>
      <c r="K207" s="196"/>
      <c r="L207" s="192" t="str">
        <f>IFERROR(__xludf.DUMMYFUNCTION("IF(
  AND(D207=""Saída"", J207=""Sangria""),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198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94" t="str">
        <f>IFERROR(__xludf.DUMMYFUNCTION("ifna(VALUE(REGEXEXTRACT(E207,""[0-9.]+[,]+[0-9]+"")))"),"")</f>
        <v/>
      </c>
      <c r="O207" s="194"/>
      <c r="P207" s="194"/>
      <c r="Q207" s="194"/>
      <c r="R207" s="194"/>
      <c r="S207" s="194"/>
      <c r="T207" s="194"/>
      <c r="U207" s="194"/>
      <c r="V207" s="194"/>
      <c r="W207" s="194"/>
    </row>
    <row r="208" ht="14.25" customHeight="1">
      <c r="A208" s="186"/>
      <c r="B208" s="13"/>
      <c r="C208" s="14"/>
      <c r="D208" s="187"/>
      <c r="E208" s="188"/>
      <c r="F208" s="189"/>
      <c r="G208" s="187"/>
      <c r="H208" s="204"/>
      <c r="I208" s="204"/>
      <c r="J208" s="196"/>
      <c r="K208" s="196"/>
      <c r="L208" s="192" t="str">
        <f>IFERROR(__xludf.DUMMYFUNCTION("IF(
  AND(D208=""Saída"", J208=""Sangria""),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197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94" t="str">
        <f>IFERROR(__xludf.DUMMYFUNCTION("ifna(VALUE(REGEXEXTRACT(E208,""[0-9.]+[,]+[0-9]+"")))"),"")</f>
        <v/>
      </c>
      <c r="O208" s="194"/>
      <c r="P208" s="194"/>
      <c r="Q208" s="194"/>
      <c r="R208" s="194"/>
      <c r="S208" s="194"/>
      <c r="T208" s="194"/>
      <c r="U208" s="194"/>
      <c r="V208" s="194"/>
      <c r="W208" s="194"/>
    </row>
    <row r="209" ht="14.25" customHeight="1">
      <c r="A209" s="186"/>
      <c r="B209" s="13"/>
      <c r="C209" s="14"/>
      <c r="D209" s="187"/>
      <c r="E209" s="188"/>
      <c r="F209" s="189"/>
      <c r="G209" s="187"/>
      <c r="H209" s="204"/>
      <c r="I209" s="204"/>
      <c r="K209" s="196"/>
      <c r="L209" s="192" t="str">
        <f>IFERROR(__xludf.DUMMYFUNCTION("IF(
  AND(D209=""Saída"", J209=""Sangria""),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198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94" t="str">
        <f>IFERROR(__xludf.DUMMYFUNCTION("ifna(VALUE(REGEXEXTRACT(E209,""[0-9.]+[,]+[0-9]+"")))"),"")</f>
        <v/>
      </c>
      <c r="O209" s="194"/>
      <c r="P209" s="194"/>
      <c r="Q209" s="194"/>
      <c r="R209" s="194"/>
      <c r="S209" s="194"/>
      <c r="T209" s="194"/>
      <c r="U209" s="194"/>
      <c r="V209" s="194"/>
      <c r="W209" s="194"/>
    </row>
    <row r="210" ht="14.25" customHeight="1">
      <c r="A210" s="186"/>
      <c r="B210" s="13"/>
      <c r="C210" s="14"/>
      <c r="D210" s="187"/>
      <c r="E210" s="188"/>
      <c r="F210" s="200"/>
      <c r="G210" s="187"/>
      <c r="H210" s="204"/>
      <c r="I210" s="204"/>
      <c r="J210" s="196"/>
      <c r="K210" s="196"/>
      <c r="L210" s="192" t="str">
        <f>IFERROR(__xludf.DUMMYFUNCTION("IF(
  AND(D210=""Saída"", J210=""Sangria""),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197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94" t="str">
        <f>IFERROR(__xludf.DUMMYFUNCTION("ifna(VALUE(REGEXEXTRACT(E210,""[0-9.]+[,]+[0-9]+"")))"),"")</f>
        <v/>
      </c>
      <c r="O210" s="194"/>
      <c r="P210" s="194"/>
      <c r="Q210" s="194"/>
      <c r="R210" s="194"/>
      <c r="S210" s="194"/>
      <c r="T210" s="194"/>
      <c r="U210" s="194"/>
      <c r="V210" s="194"/>
      <c r="W210" s="194"/>
    </row>
    <row r="211" ht="14.25" customHeight="1">
      <c r="A211" s="186"/>
      <c r="B211" s="13"/>
      <c r="C211" s="14"/>
      <c r="D211" s="187"/>
      <c r="E211" s="188"/>
      <c r="F211" s="189"/>
      <c r="G211" s="187"/>
      <c r="H211" s="204"/>
      <c r="I211" s="204"/>
      <c r="J211" s="196"/>
      <c r="K211" s="196"/>
      <c r="L211" s="192" t="str">
        <f>IFERROR(__xludf.DUMMYFUNCTION("IF(
  AND(D211=""Saída"", J211=""Sangria""),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198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94" t="str">
        <f>IFERROR(__xludf.DUMMYFUNCTION("ifna(VALUE(REGEXEXTRACT(E211,""[0-9.]+[,]+[0-9]+"")))"),"")</f>
        <v/>
      </c>
      <c r="O211" s="194"/>
      <c r="P211" s="194"/>
      <c r="Q211" s="194"/>
      <c r="R211" s="194"/>
      <c r="S211" s="194"/>
      <c r="T211" s="194"/>
      <c r="U211" s="194"/>
      <c r="V211" s="194"/>
      <c r="W211" s="194"/>
    </row>
    <row r="212" ht="14.25" customHeight="1">
      <c r="A212" s="186"/>
      <c r="B212" s="13"/>
      <c r="C212" s="14"/>
      <c r="D212" s="187"/>
      <c r="E212" s="188"/>
      <c r="F212" s="200"/>
      <c r="G212" s="187"/>
      <c r="H212" s="204"/>
      <c r="I212" s="204"/>
      <c r="J212" s="196"/>
      <c r="K212" s="196"/>
      <c r="L212" s="192" t="str">
        <f>IFERROR(__xludf.DUMMYFUNCTION("IF(
  AND(D212=""Saída"", J212=""Sangria""),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197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94" t="str">
        <f>IFERROR(__xludf.DUMMYFUNCTION("ifna(VALUE(REGEXEXTRACT(E212,""[0-9.]+[,]+[0-9]+"")))"),"")</f>
        <v/>
      </c>
      <c r="O212" s="194"/>
      <c r="P212" s="194"/>
      <c r="Q212" s="194"/>
      <c r="R212" s="194"/>
      <c r="S212" s="194"/>
      <c r="T212" s="194"/>
      <c r="U212" s="194"/>
      <c r="V212" s="194"/>
      <c r="W212" s="194"/>
    </row>
    <row r="213" ht="14.25" customHeight="1">
      <c r="A213" s="186"/>
      <c r="B213" s="13"/>
      <c r="C213" s="14"/>
      <c r="D213" s="187"/>
      <c r="E213" s="188"/>
      <c r="F213" s="189"/>
      <c r="G213" s="187"/>
      <c r="H213" s="204"/>
      <c r="I213" s="204"/>
      <c r="J213" s="196"/>
      <c r="K213" s="196"/>
      <c r="L213" s="192" t="str">
        <f>IFERROR(__xludf.DUMMYFUNCTION("IF(
  AND(D213=""Saída"", J213=""Sangria""),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198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94" t="str">
        <f>IFERROR(__xludf.DUMMYFUNCTION("ifna(VALUE(REGEXEXTRACT(E213,""[0-9.]+[,]+[0-9]+"")))"),"")</f>
        <v/>
      </c>
      <c r="O213" s="194"/>
      <c r="P213" s="194"/>
      <c r="Q213" s="194"/>
      <c r="R213" s="194"/>
      <c r="S213" s="194"/>
      <c r="T213" s="194"/>
      <c r="U213" s="194"/>
      <c r="V213" s="194"/>
      <c r="W213" s="194"/>
    </row>
    <row r="214" ht="14.25" customHeight="1">
      <c r="A214" s="186"/>
      <c r="B214" s="13"/>
      <c r="C214" s="14"/>
      <c r="D214" s="187"/>
      <c r="E214" s="188"/>
      <c r="F214" s="189"/>
      <c r="G214" s="187"/>
      <c r="H214" s="204"/>
      <c r="I214" s="204"/>
      <c r="J214" s="196"/>
      <c r="K214" s="196"/>
      <c r="L214" s="192" t="str">
        <f>IFERROR(__xludf.DUMMYFUNCTION("IF(
  AND(D214=""Saída"", J214=""Sangria""),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197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94" t="str">
        <f>IFERROR(__xludf.DUMMYFUNCTION("ifna(VALUE(REGEXEXTRACT(E214,""[0-9.]+[,]+[0-9]+"")))"),"")</f>
        <v/>
      </c>
      <c r="O214" s="194"/>
      <c r="P214" s="194"/>
      <c r="Q214" s="194"/>
      <c r="R214" s="194"/>
      <c r="S214" s="194"/>
      <c r="T214" s="194"/>
      <c r="U214" s="194"/>
      <c r="V214" s="194"/>
      <c r="W214" s="194"/>
    </row>
    <row r="215" ht="14.25" customHeight="1">
      <c r="A215" s="186"/>
      <c r="B215" s="13"/>
      <c r="C215" s="14"/>
      <c r="D215" s="187"/>
      <c r="E215" s="188"/>
      <c r="F215" s="189"/>
      <c r="G215" s="187"/>
      <c r="H215" s="204"/>
      <c r="I215" s="204"/>
      <c r="J215" s="196"/>
      <c r="K215" s="196"/>
      <c r="L215" s="192" t="str">
        <f>IFERROR(__xludf.DUMMYFUNCTION("IF(
  AND(D215=""Saída"", J215=""Sangria""),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198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94" t="str">
        <f>IFERROR(__xludf.DUMMYFUNCTION("ifna(VALUE(REGEXEXTRACT(E215,""[0-9.]+[,]+[0-9]+"")))"),"")</f>
        <v/>
      </c>
      <c r="O215" s="194"/>
      <c r="P215" s="194"/>
      <c r="Q215" s="194"/>
      <c r="R215" s="194"/>
      <c r="S215" s="194"/>
      <c r="T215" s="194"/>
      <c r="U215" s="194"/>
      <c r="V215" s="194"/>
      <c r="W215" s="194"/>
    </row>
    <row r="216" ht="14.25" customHeight="1">
      <c r="A216" s="186"/>
      <c r="B216" s="13"/>
      <c r="C216" s="14"/>
      <c r="D216" s="187"/>
      <c r="E216" s="188"/>
      <c r="F216" s="200"/>
      <c r="G216" s="187"/>
      <c r="H216" s="204"/>
      <c r="I216" s="204"/>
      <c r="J216" s="196"/>
      <c r="K216" s="196"/>
      <c r="L216" s="192" t="str">
        <f>IFERROR(__xludf.DUMMYFUNCTION("IF(
  AND(D216=""Saída"", J216=""Sangria""),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197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94" t="str">
        <f>IFERROR(__xludf.DUMMYFUNCTION("ifna(VALUE(REGEXEXTRACT(E216,""[0-9.]+[,]+[0-9]+"")))"),"")</f>
        <v/>
      </c>
      <c r="O216" s="194"/>
      <c r="P216" s="194"/>
      <c r="Q216" s="194"/>
      <c r="R216" s="194"/>
      <c r="S216" s="194"/>
      <c r="T216" s="194"/>
      <c r="U216" s="194"/>
      <c r="V216" s="194"/>
      <c r="W216" s="194"/>
    </row>
    <row r="217" ht="14.25" customHeight="1">
      <c r="A217" s="186"/>
      <c r="B217" s="13"/>
      <c r="C217" s="14"/>
      <c r="D217" s="187"/>
      <c r="E217" s="188"/>
      <c r="F217" s="189"/>
      <c r="G217" s="187"/>
      <c r="H217" s="204"/>
      <c r="I217" s="204"/>
      <c r="J217" s="196"/>
      <c r="K217" s="196"/>
      <c r="L217" s="192" t="str">
        <f>IFERROR(__xludf.DUMMYFUNCTION("IF(
  AND(D217=""Saída"", J217=""Sangria""),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198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94" t="str">
        <f>IFERROR(__xludf.DUMMYFUNCTION("ifna(VALUE(REGEXEXTRACT(E217,""[0-9.]+[,]+[0-9]+"")))"),"")</f>
        <v/>
      </c>
      <c r="O217" s="194"/>
      <c r="P217" s="194"/>
      <c r="Q217" s="194"/>
      <c r="R217" s="194"/>
      <c r="S217" s="194"/>
      <c r="T217" s="194"/>
      <c r="U217" s="194"/>
      <c r="V217" s="194"/>
      <c r="W217" s="194"/>
    </row>
    <row r="218" ht="14.25" customHeight="1">
      <c r="A218" s="186"/>
      <c r="B218" s="13"/>
      <c r="C218" s="14"/>
      <c r="D218" s="187"/>
      <c r="E218" s="188"/>
      <c r="F218" s="189"/>
      <c r="G218" s="187"/>
      <c r="H218" s="204"/>
      <c r="I218" s="204"/>
      <c r="J218" s="196"/>
      <c r="K218" s="196"/>
      <c r="L218" s="192" t="str">
        <f>IFERROR(__xludf.DUMMYFUNCTION("IF(
  AND(D218=""Saída"", J218=""Sangria""),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197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94" t="str">
        <f>IFERROR(__xludf.DUMMYFUNCTION("ifna(VALUE(REGEXEXTRACT(E218,""[0-9.]+[,]+[0-9]+"")))"),"")</f>
        <v/>
      </c>
      <c r="O218" s="194"/>
      <c r="P218" s="194"/>
      <c r="Q218" s="194"/>
      <c r="R218" s="194"/>
      <c r="S218" s="194"/>
      <c r="T218" s="194"/>
      <c r="U218" s="194"/>
      <c r="V218" s="194"/>
      <c r="W218" s="194"/>
    </row>
    <row r="219" ht="14.25" customHeight="1">
      <c r="A219" s="186"/>
      <c r="B219" s="13"/>
      <c r="C219" s="14"/>
      <c r="D219" s="187"/>
      <c r="E219" s="188"/>
      <c r="F219" s="189"/>
      <c r="G219" s="187"/>
      <c r="H219" s="204"/>
      <c r="I219" s="204"/>
      <c r="J219" s="196"/>
      <c r="K219" s="196"/>
      <c r="L219" s="192" t="str">
        <f>IFERROR(__xludf.DUMMYFUNCTION("IF(
  AND(D219=""Saída"", J219=""Sangria""),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198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94" t="str">
        <f>IFERROR(__xludf.DUMMYFUNCTION("ifna(VALUE(REGEXEXTRACT(E219,""[0-9.]+[,]+[0-9]+"")))"),"")</f>
        <v/>
      </c>
      <c r="O219" s="194"/>
      <c r="P219" s="194"/>
      <c r="Q219" s="194"/>
      <c r="R219" s="194"/>
      <c r="S219" s="194"/>
      <c r="T219" s="194"/>
      <c r="U219" s="194"/>
      <c r="V219" s="194"/>
      <c r="W219" s="194"/>
    </row>
    <row r="220" ht="14.25" customHeight="1">
      <c r="A220" s="186"/>
      <c r="B220" s="13"/>
      <c r="C220" s="14"/>
      <c r="D220" s="187"/>
      <c r="E220" s="188"/>
      <c r="F220" s="189"/>
      <c r="G220" s="187"/>
      <c r="H220" s="204"/>
      <c r="I220" s="204"/>
      <c r="J220" s="196"/>
      <c r="K220" s="196"/>
      <c r="L220" s="192" t="str">
        <f>IFERROR(__xludf.DUMMYFUNCTION("IF(
  AND(D220=""Saída"", J220=""Sangria""),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197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94" t="str">
        <f>IFERROR(__xludf.DUMMYFUNCTION("ifna(VALUE(REGEXEXTRACT(E220,""[0-9.]+[,]+[0-9]+"")))"),"")</f>
        <v/>
      </c>
      <c r="O220" s="194"/>
      <c r="P220" s="194"/>
      <c r="Q220" s="194"/>
      <c r="R220" s="194"/>
      <c r="S220" s="194"/>
      <c r="T220" s="194"/>
      <c r="U220" s="194"/>
      <c r="V220" s="194"/>
      <c r="W220" s="194"/>
    </row>
    <row r="221" ht="14.25" customHeight="1">
      <c r="A221" s="186"/>
      <c r="B221" s="13"/>
      <c r="C221" s="14"/>
      <c r="D221" s="187"/>
      <c r="E221" s="188"/>
      <c r="F221" s="189"/>
      <c r="G221" s="187"/>
      <c r="H221" s="204"/>
      <c r="I221" s="204"/>
      <c r="J221" s="196"/>
      <c r="K221" s="196"/>
      <c r="L221" s="192" t="str">
        <f>IFERROR(__xludf.DUMMYFUNCTION("IF(
  AND(D221=""Saída"", J221=""Sangria""),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198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94" t="str">
        <f>IFERROR(__xludf.DUMMYFUNCTION("ifna(VALUE(REGEXEXTRACT(E221,""[0-9.]+[,]+[0-9]+"")))"),"")</f>
        <v/>
      </c>
      <c r="O221" s="194"/>
      <c r="P221" s="194"/>
      <c r="Q221" s="194"/>
      <c r="R221" s="194"/>
      <c r="S221" s="194"/>
      <c r="T221" s="194"/>
      <c r="U221" s="194"/>
      <c r="V221" s="194"/>
      <c r="W221" s="194"/>
    </row>
    <row r="222" ht="14.25" customHeight="1">
      <c r="A222" s="186"/>
      <c r="B222" s="13"/>
      <c r="C222" s="14"/>
      <c r="D222" s="187"/>
      <c r="E222" s="188"/>
      <c r="F222" s="189"/>
      <c r="G222" s="187"/>
      <c r="H222" s="204"/>
      <c r="I222" s="204"/>
      <c r="J222" s="196"/>
      <c r="K222" s="196"/>
      <c r="L222" s="192" t="str">
        <f>IFERROR(__xludf.DUMMYFUNCTION("IF(
  AND(D222=""Saída"", J222=""Sangria""),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197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94" t="str">
        <f>IFERROR(__xludf.DUMMYFUNCTION("ifna(VALUE(REGEXEXTRACT(E222,""[0-9.]+[,]+[0-9]+"")))"),"")</f>
        <v/>
      </c>
      <c r="O222" s="194"/>
      <c r="P222" s="194"/>
      <c r="Q222" s="194"/>
      <c r="R222" s="194"/>
      <c r="S222" s="194"/>
      <c r="T222" s="194"/>
      <c r="U222" s="194"/>
      <c r="V222" s="194"/>
      <c r="W222" s="194"/>
    </row>
    <row r="223" ht="14.25" customHeight="1">
      <c r="A223" s="186"/>
      <c r="B223" s="13"/>
      <c r="C223" s="14"/>
      <c r="D223" s="187"/>
      <c r="E223" s="188"/>
      <c r="F223" s="189"/>
      <c r="G223" s="187"/>
      <c r="H223" s="204"/>
      <c r="I223" s="204"/>
      <c r="J223" s="196"/>
      <c r="K223" s="196"/>
      <c r="L223" s="192" t="str">
        <f>IFERROR(__xludf.DUMMYFUNCTION("IF(
  AND(D223=""Saída"", J223=""Sangria""),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198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94" t="str">
        <f>IFERROR(__xludf.DUMMYFUNCTION("ifna(VALUE(REGEXEXTRACT(E223,""[0-9.]+[,]+[0-9]+"")))"),"")</f>
        <v/>
      </c>
      <c r="O223" s="194"/>
      <c r="P223" s="194"/>
      <c r="Q223" s="194"/>
      <c r="R223" s="194"/>
      <c r="S223" s="194"/>
      <c r="T223" s="194"/>
      <c r="U223" s="194"/>
      <c r="V223" s="194"/>
      <c r="W223" s="194"/>
    </row>
    <row r="224" ht="14.25" customHeight="1">
      <c r="A224" s="186"/>
      <c r="B224" s="13"/>
      <c r="C224" s="14"/>
      <c r="D224" s="187"/>
      <c r="E224" s="188"/>
      <c r="F224" s="189"/>
      <c r="G224" s="187"/>
      <c r="H224" s="204"/>
      <c r="I224" s="204"/>
      <c r="J224" s="196"/>
      <c r="K224" s="196"/>
      <c r="L224" s="192" t="str">
        <f>IFERROR(__xludf.DUMMYFUNCTION("IF(
  AND(D224=""Saída"", J224=""Sangria""),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197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94" t="str">
        <f>IFERROR(__xludf.DUMMYFUNCTION("ifna(VALUE(REGEXEXTRACT(E224,""[0-9.]+[,]+[0-9]+"")))"),"")</f>
        <v/>
      </c>
      <c r="O224" s="194"/>
      <c r="P224" s="194"/>
      <c r="Q224" s="194"/>
      <c r="R224" s="194"/>
      <c r="S224" s="194"/>
      <c r="T224" s="194"/>
      <c r="U224" s="194"/>
      <c r="V224" s="194"/>
      <c r="W224" s="194"/>
    </row>
    <row r="225" ht="14.25" customHeight="1">
      <c r="A225" s="186"/>
      <c r="B225" s="13"/>
      <c r="C225" s="14"/>
      <c r="D225" s="187"/>
      <c r="E225" s="188"/>
      <c r="F225" s="189"/>
      <c r="G225" s="187"/>
      <c r="H225" s="204"/>
      <c r="I225" s="204"/>
      <c r="J225" s="196"/>
      <c r="K225" s="202"/>
      <c r="L225" s="192" t="str">
        <f>IFERROR(__xludf.DUMMYFUNCTION("IF(
  AND(D225=""Saída"", J225=""Sangria""),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198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94" t="str">
        <f>IFERROR(__xludf.DUMMYFUNCTION("ifna(VALUE(REGEXEXTRACT(E225,""[0-9.]+[,]+[0-9]+"")))"),"")</f>
        <v/>
      </c>
      <c r="O225" s="194"/>
      <c r="P225" s="194"/>
      <c r="Q225" s="194"/>
      <c r="R225" s="194"/>
      <c r="S225" s="194"/>
      <c r="T225" s="194"/>
      <c r="U225" s="194"/>
      <c r="V225" s="194"/>
      <c r="W225" s="194"/>
    </row>
    <row r="226" ht="14.25" customHeight="1">
      <c r="A226" s="186"/>
      <c r="B226" s="13"/>
      <c r="C226" s="14"/>
      <c r="D226" s="187"/>
      <c r="E226" s="188"/>
      <c r="F226" s="200"/>
      <c r="G226" s="187"/>
      <c r="H226" s="204"/>
      <c r="I226" s="204"/>
      <c r="J226" s="196"/>
      <c r="K226" s="196"/>
      <c r="L226" s="192" t="str">
        <f>IFERROR(__xludf.DUMMYFUNCTION("IF(
  AND(D226=""Saída"", J226=""Sangria""),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197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94" t="str">
        <f>IFERROR(__xludf.DUMMYFUNCTION("ifna(VALUE(REGEXEXTRACT(E226,""[0-9.]+[,]+[0-9]+"")))"),"")</f>
        <v/>
      </c>
      <c r="O226" s="194"/>
      <c r="P226" s="194"/>
      <c r="Q226" s="194"/>
      <c r="R226" s="194"/>
      <c r="S226" s="194"/>
      <c r="T226" s="194"/>
      <c r="U226" s="194"/>
      <c r="V226" s="194"/>
      <c r="W226" s="194"/>
    </row>
    <row r="227" ht="14.25" customHeight="1">
      <c r="A227" s="186"/>
      <c r="B227" s="13"/>
      <c r="C227" s="14"/>
      <c r="D227" s="187"/>
      <c r="E227" s="188"/>
      <c r="F227" s="189"/>
      <c r="G227" s="187"/>
      <c r="H227" s="204"/>
      <c r="I227" s="204"/>
      <c r="J227" s="196"/>
      <c r="K227" s="196"/>
      <c r="L227" s="192" t="str">
        <f>IFERROR(__xludf.DUMMYFUNCTION("IF(
  AND(D227=""Saída"", J227=""Sangria""),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198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94" t="str">
        <f>IFERROR(__xludf.DUMMYFUNCTION("ifna(VALUE(REGEXEXTRACT(E227,""[0-9.]+[,]+[0-9]+"")))"),"")</f>
        <v/>
      </c>
      <c r="O227" s="194"/>
      <c r="P227" s="194"/>
      <c r="Q227" s="194"/>
      <c r="R227" s="194"/>
      <c r="S227" s="194"/>
      <c r="T227" s="194"/>
      <c r="U227" s="194"/>
      <c r="V227" s="194"/>
      <c r="W227" s="194"/>
    </row>
    <row r="228" ht="14.25" customHeight="1">
      <c r="A228" s="186"/>
      <c r="B228" s="13"/>
      <c r="C228" s="14"/>
      <c r="D228" s="187"/>
      <c r="E228" s="188"/>
      <c r="F228" s="189"/>
      <c r="G228" s="187"/>
      <c r="H228" s="204"/>
      <c r="I228" s="204"/>
      <c r="J228" s="196"/>
      <c r="K228" s="196"/>
      <c r="L228" s="192" t="str">
        <f>IFERROR(__xludf.DUMMYFUNCTION("IF(
  AND(D228=""Saída"", J228=""Sangria""),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197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94" t="str">
        <f>IFERROR(__xludf.DUMMYFUNCTION("ifna(VALUE(REGEXEXTRACT(E228,""[0-9.]+[,]+[0-9]+"")))"),"")</f>
        <v/>
      </c>
      <c r="O228" s="194"/>
      <c r="P228" s="194"/>
      <c r="Q228" s="194"/>
      <c r="R228" s="194"/>
      <c r="S228" s="194"/>
      <c r="T228" s="194"/>
      <c r="U228" s="194"/>
      <c r="V228" s="194"/>
      <c r="W228" s="194"/>
    </row>
    <row r="229" ht="14.25" customHeight="1">
      <c r="A229" s="186"/>
      <c r="B229" s="13"/>
      <c r="C229" s="14"/>
      <c r="D229" s="187"/>
      <c r="E229" s="188"/>
      <c r="F229" s="189"/>
      <c r="G229" s="187"/>
      <c r="H229" s="204"/>
      <c r="I229" s="204"/>
      <c r="J229" s="196"/>
      <c r="K229" s="196"/>
      <c r="L229" s="192" t="str">
        <f>IFERROR(__xludf.DUMMYFUNCTION("IF(
  AND(D229=""Saída"", J229=""Sangria""),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198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94" t="str">
        <f>IFERROR(__xludf.DUMMYFUNCTION("ifna(VALUE(REGEXEXTRACT(E229,""[0-9.]+[,]+[0-9]+"")))"),"")</f>
        <v/>
      </c>
      <c r="O229" s="194"/>
      <c r="P229" s="194"/>
      <c r="Q229" s="194"/>
      <c r="R229" s="194"/>
      <c r="S229" s="194"/>
      <c r="T229" s="194"/>
      <c r="U229" s="194"/>
      <c r="V229" s="194"/>
      <c r="W229" s="194"/>
    </row>
    <row r="230" ht="14.25" customHeight="1">
      <c r="A230" s="186"/>
      <c r="B230" s="13"/>
      <c r="C230" s="14"/>
      <c r="D230" s="187"/>
      <c r="E230" s="188"/>
      <c r="F230" s="189"/>
      <c r="G230" s="187"/>
      <c r="H230" s="204"/>
      <c r="I230" s="204"/>
      <c r="J230" s="196"/>
      <c r="K230" s="196"/>
      <c r="L230" s="192" t="str">
        <f>IFERROR(__xludf.DUMMYFUNCTION("IF(
  AND(D230=""Saída"", J230=""Sangria""),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197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94" t="str">
        <f>IFERROR(__xludf.DUMMYFUNCTION("ifna(VALUE(REGEXEXTRACT(E230,""[0-9.]+[,]+[0-9]+"")))"),"")</f>
        <v/>
      </c>
      <c r="O230" s="194"/>
      <c r="P230" s="194"/>
      <c r="Q230" s="194"/>
      <c r="R230" s="194"/>
      <c r="S230" s="194"/>
      <c r="T230" s="194"/>
      <c r="U230" s="194"/>
      <c r="V230" s="194"/>
      <c r="W230" s="194"/>
    </row>
    <row r="231" ht="14.25" customHeight="1">
      <c r="A231" s="186"/>
      <c r="B231" s="13"/>
      <c r="C231" s="14"/>
      <c r="D231" s="187"/>
      <c r="E231" s="188"/>
      <c r="F231" s="189"/>
      <c r="G231" s="13"/>
      <c r="H231" s="204"/>
      <c r="I231" s="204"/>
      <c r="J231" s="196"/>
      <c r="K231" s="196"/>
      <c r="L231" s="192" t="str">
        <f>IFERROR(__xludf.DUMMYFUNCTION("IF(
  AND(D231=""Saída"", J231=""Sangria""),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198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94" t="str">
        <f>IFERROR(__xludf.DUMMYFUNCTION("ifna(VALUE(REGEXEXTRACT(E231,""[0-9.]+[,]+[0-9]+"")))"),"")</f>
        <v/>
      </c>
      <c r="O231" s="194"/>
      <c r="P231" s="194"/>
      <c r="Q231" s="194"/>
      <c r="R231" s="194"/>
      <c r="S231" s="194"/>
      <c r="T231" s="194"/>
      <c r="U231" s="194"/>
      <c r="V231" s="194"/>
      <c r="W231" s="194"/>
    </row>
    <row r="232" ht="14.25" customHeight="1">
      <c r="A232" s="186"/>
      <c r="B232" s="13"/>
      <c r="C232" s="14"/>
      <c r="D232" s="187"/>
      <c r="E232" s="188"/>
      <c r="F232" s="200"/>
      <c r="G232" s="187"/>
      <c r="H232" s="204"/>
      <c r="I232" s="204"/>
      <c r="J232" s="196"/>
      <c r="K232" s="196"/>
      <c r="L232" s="192" t="str">
        <f>IFERROR(__xludf.DUMMYFUNCTION("IF(
  AND(D232=""Saída"", J232=""Sangria""),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197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94" t="str">
        <f>IFERROR(__xludf.DUMMYFUNCTION("ifna(VALUE(REGEXEXTRACT(E232,""[0-9.]+[,]+[0-9]+"")))"),"")</f>
        <v/>
      </c>
      <c r="O232" s="194"/>
      <c r="P232" s="194"/>
      <c r="Q232" s="194"/>
      <c r="R232" s="194"/>
      <c r="S232" s="194"/>
      <c r="T232" s="194"/>
      <c r="U232" s="194"/>
      <c r="V232" s="194"/>
      <c r="W232" s="194"/>
    </row>
    <row r="233" ht="14.25" customHeight="1">
      <c r="A233" s="186"/>
      <c r="B233" s="13"/>
      <c r="C233" s="14"/>
      <c r="D233" s="187"/>
      <c r="E233" s="188"/>
      <c r="F233" s="189"/>
      <c r="G233" s="187"/>
      <c r="H233" s="204"/>
      <c r="I233" s="204"/>
      <c r="J233" s="196"/>
      <c r="K233" s="196"/>
      <c r="L233" s="192" t="str">
        <f>IFERROR(__xludf.DUMMYFUNCTION("IF(
  AND(D233=""Saída"", J233=""Sangria""),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198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94" t="str">
        <f>IFERROR(__xludf.DUMMYFUNCTION("ifna(VALUE(REGEXEXTRACT(E233,""[0-9.]+[,]+[0-9]+"")))"),"")</f>
        <v/>
      </c>
      <c r="O233" s="194"/>
      <c r="P233" s="194"/>
      <c r="Q233" s="194"/>
      <c r="R233" s="194"/>
      <c r="S233" s="194"/>
      <c r="T233" s="194"/>
      <c r="U233" s="194"/>
      <c r="V233" s="194"/>
      <c r="W233" s="194"/>
    </row>
    <row r="234" ht="14.25" customHeight="1">
      <c r="A234" s="186"/>
      <c r="B234" s="13"/>
      <c r="C234" s="14"/>
      <c r="D234" s="187"/>
      <c r="E234" s="188"/>
      <c r="F234" s="189"/>
      <c r="G234" s="187"/>
      <c r="H234" s="204"/>
      <c r="I234" s="204"/>
      <c r="J234" s="196"/>
      <c r="K234" s="196"/>
      <c r="L234" s="192" t="str">
        <f>IFERROR(__xludf.DUMMYFUNCTION("IF(
  AND(D234=""Saída"", J234=""Sangria""),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197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94" t="str">
        <f>IFERROR(__xludf.DUMMYFUNCTION("ifna(VALUE(REGEXEXTRACT(E234,""[0-9.]+[,]+[0-9]+"")))"),"")</f>
        <v/>
      </c>
      <c r="O234" s="194"/>
      <c r="P234" s="194"/>
      <c r="Q234" s="194"/>
      <c r="R234" s="194"/>
      <c r="S234" s="194"/>
      <c r="T234" s="194"/>
      <c r="U234" s="194"/>
      <c r="V234" s="194"/>
      <c r="W234" s="194"/>
    </row>
    <row r="235" ht="14.25" customHeight="1">
      <c r="A235" s="186"/>
      <c r="C235" s="14"/>
      <c r="D235" s="187"/>
      <c r="E235" s="188"/>
      <c r="F235" s="189"/>
      <c r="G235" s="187"/>
      <c r="H235" s="204"/>
      <c r="I235" s="204"/>
      <c r="J235" s="196"/>
      <c r="K235" s="196"/>
      <c r="L235" s="192" t="str">
        <f>IFERROR(__xludf.DUMMYFUNCTION("IF(
  AND(D235=""Saída"", J235=""Sangria""),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198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94" t="str">
        <f>IFERROR(__xludf.DUMMYFUNCTION("ifna(VALUE(REGEXEXTRACT(E235,""[0-9.]+[,]+[0-9]+"")))"),"")</f>
        <v/>
      </c>
      <c r="O235" s="194"/>
      <c r="P235" s="194"/>
      <c r="Q235" s="194"/>
      <c r="R235" s="194"/>
      <c r="S235" s="194"/>
      <c r="T235" s="194"/>
      <c r="U235" s="194"/>
      <c r="V235" s="194"/>
      <c r="W235" s="194"/>
    </row>
    <row r="236" ht="14.25" customHeight="1">
      <c r="A236" s="186"/>
      <c r="B236" s="13"/>
      <c r="C236" s="14"/>
      <c r="D236" s="187"/>
      <c r="E236" s="188"/>
      <c r="F236" s="200"/>
      <c r="G236" s="187"/>
      <c r="H236" s="204"/>
      <c r="I236" s="204"/>
      <c r="J236" s="196"/>
      <c r="K236" s="196"/>
      <c r="L236" s="192" t="str">
        <f>IFERROR(__xludf.DUMMYFUNCTION("IF(
  AND(D236=""Saída"", J236=""Sangria""),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197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94" t="str">
        <f>IFERROR(__xludf.DUMMYFUNCTION("ifna(VALUE(REGEXEXTRACT(E236,""[0-9.]+[,]+[0-9]+"")))"),"")</f>
        <v/>
      </c>
      <c r="O236" s="194"/>
      <c r="P236" s="194"/>
      <c r="Q236" s="194"/>
      <c r="R236" s="194"/>
      <c r="S236" s="194"/>
      <c r="T236" s="194"/>
      <c r="U236" s="194"/>
      <c r="V236" s="194"/>
      <c r="W236" s="194"/>
    </row>
    <row r="237" ht="14.25" customHeight="1">
      <c r="A237" s="186"/>
      <c r="B237" s="13"/>
      <c r="C237" s="267"/>
      <c r="D237" s="187"/>
      <c r="E237" s="188"/>
      <c r="F237" s="189"/>
      <c r="G237" s="187"/>
      <c r="H237" s="204"/>
      <c r="I237" s="204"/>
      <c r="J237" s="196"/>
      <c r="K237" s="196"/>
      <c r="L237" s="192" t="str">
        <f>IFERROR(__xludf.DUMMYFUNCTION("IF(
  AND(D237=""Saída"", J237=""Sangria""),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198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94" t="str">
        <f>IFERROR(__xludf.DUMMYFUNCTION("ifna(VALUE(REGEXEXTRACT(E237,""[0-9.]+[,]+[0-9]+"")))"),"")</f>
        <v/>
      </c>
      <c r="O237" s="194"/>
      <c r="P237" s="194"/>
      <c r="Q237" s="194"/>
      <c r="R237" s="194"/>
      <c r="S237" s="194"/>
      <c r="T237" s="194"/>
      <c r="U237" s="194"/>
      <c r="V237" s="194"/>
      <c r="W237" s="194"/>
    </row>
    <row r="238" ht="14.25" customHeight="1">
      <c r="A238" s="186"/>
      <c r="B238" s="13"/>
      <c r="C238" s="14"/>
      <c r="D238" s="187"/>
      <c r="E238" s="188"/>
      <c r="F238" s="189"/>
      <c r="G238" s="187"/>
      <c r="H238" s="204"/>
      <c r="I238" s="204"/>
      <c r="J238" s="196"/>
      <c r="K238" s="196"/>
      <c r="L238" s="192" t="str">
        <f>IFERROR(__xludf.DUMMYFUNCTION("IF(
  AND(D238=""Saída"", J238=""Sangria""),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197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94" t="str">
        <f>IFERROR(__xludf.DUMMYFUNCTION("ifna(VALUE(REGEXEXTRACT(E238,""[0-9.]+[,]+[0-9]+"")))"),"")</f>
        <v/>
      </c>
      <c r="O238" s="194"/>
      <c r="P238" s="194"/>
      <c r="Q238" s="194"/>
      <c r="R238" s="194"/>
      <c r="S238" s="194"/>
      <c r="T238" s="194"/>
      <c r="U238" s="194"/>
      <c r="V238" s="194"/>
      <c r="W238" s="194"/>
    </row>
    <row r="239" ht="14.25" customHeight="1">
      <c r="A239" s="186"/>
      <c r="B239" s="13"/>
      <c r="C239" s="14"/>
      <c r="D239" s="187"/>
      <c r="E239" s="188"/>
      <c r="F239" s="189"/>
      <c r="G239" s="187"/>
      <c r="H239" s="204"/>
      <c r="I239" s="204"/>
      <c r="J239" s="196"/>
      <c r="K239" s="196"/>
      <c r="L239" s="192" t="str">
        <f>IFERROR(__xludf.DUMMYFUNCTION("IF(
  AND(D239=""Saída"", J239=""Sangria""),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198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94" t="str">
        <f>IFERROR(__xludf.DUMMYFUNCTION("ifna(VALUE(REGEXEXTRACT(E239,""[0-9.]+[,]+[0-9]+"")))"),"")</f>
        <v/>
      </c>
      <c r="O239" s="194"/>
      <c r="P239" s="194"/>
      <c r="Q239" s="194"/>
      <c r="R239" s="194"/>
      <c r="S239" s="194"/>
      <c r="T239" s="194"/>
      <c r="U239" s="194"/>
      <c r="V239" s="194"/>
      <c r="W239" s="194"/>
    </row>
    <row r="240" ht="14.25" customHeight="1">
      <c r="A240" s="186"/>
      <c r="B240" s="13"/>
      <c r="C240" s="14"/>
      <c r="D240" s="187"/>
      <c r="E240" s="188"/>
      <c r="F240" s="189"/>
      <c r="G240" s="187"/>
      <c r="H240" s="204"/>
      <c r="I240" s="204"/>
      <c r="J240" s="196"/>
      <c r="K240" s="196"/>
      <c r="L240" s="192" t="str">
        <f>IFERROR(__xludf.DUMMYFUNCTION("IF(
  AND(D240=""Saída"", J240=""Sangria""),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197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94" t="str">
        <f>IFERROR(__xludf.DUMMYFUNCTION("ifna(VALUE(REGEXEXTRACT(E240,""[0-9.]+[,]+[0-9]+"")))"),"")</f>
        <v/>
      </c>
      <c r="O240" s="194"/>
      <c r="P240" s="194"/>
      <c r="Q240" s="194"/>
      <c r="R240" s="194"/>
      <c r="S240" s="194"/>
      <c r="T240" s="194"/>
      <c r="U240" s="194"/>
      <c r="V240" s="194"/>
      <c r="W240" s="194"/>
    </row>
    <row r="241" ht="14.25" customHeight="1">
      <c r="A241" s="186"/>
      <c r="B241" s="13"/>
      <c r="C241" s="14"/>
      <c r="D241" s="187"/>
      <c r="E241" s="188"/>
      <c r="F241" s="189"/>
      <c r="G241" s="187"/>
      <c r="H241" s="204"/>
      <c r="I241" s="204"/>
      <c r="J241" s="196"/>
      <c r="K241" s="196"/>
      <c r="L241" s="192" t="str">
        <f>IFERROR(__xludf.DUMMYFUNCTION("IF(
  AND(D241=""Saída"", J241=""Sangria""),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198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94" t="str">
        <f>IFERROR(__xludf.DUMMYFUNCTION("ifna(VALUE(REGEXEXTRACT(E241,""[0-9.]+[,]+[0-9]+"")))"),"")</f>
        <v/>
      </c>
      <c r="O241" s="194"/>
      <c r="P241" s="194"/>
      <c r="Q241" s="194"/>
      <c r="R241" s="194"/>
      <c r="S241" s="194"/>
      <c r="T241" s="194"/>
      <c r="U241" s="194"/>
      <c r="V241" s="194"/>
      <c r="W241" s="194"/>
    </row>
    <row r="242" ht="14.25" customHeight="1">
      <c r="A242" s="186"/>
      <c r="B242" s="13"/>
      <c r="C242" s="14"/>
      <c r="D242" s="187"/>
      <c r="E242" s="188"/>
      <c r="F242" s="189"/>
      <c r="G242" s="187"/>
      <c r="H242" s="204"/>
      <c r="I242" s="204"/>
      <c r="J242" s="196"/>
      <c r="K242" s="196"/>
      <c r="L242" s="192" t="str">
        <f>IFERROR(__xludf.DUMMYFUNCTION("IF(
  AND(D242=""Saída"", J242=""Sangria""),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197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94" t="str">
        <f>IFERROR(__xludf.DUMMYFUNCTION("ifna(VALUE(REGEXEXTRACT(E242,""[0-9.]+[,]+[0-9]+"")))"),"")</f>
        <v/>
      </c>
      <c r="O242" s="194"/>
      <c r="P242" s="194"/>
      <c r="Q242" s="194"/>
      <c r="R242" s="194"/>
      <c r="S242" s="194"/>
      <c r="T242" s="194"/>
      <c r="U242" s="194"/>
      <c r="V242" s="194"/>
      <c r="W242" s="194"/>
    </row>
    <row r="243" ht="14.25" customHeight="1">
      <c r="A243" s="186"/>
      <c r="B243" s="13"/>
      <c r="C243" s="14"/>
      <c r="D243" s="187"/>
      <c r="E243" s="188"/>
      <c r="F243" s="189"/>
      <c r="G243" s="187"/>
      <c r="H243" s="204"/>
      <c r="I243" s="204"/>
      <c r="J243" s="196"/>
      <c r="K243" s="196"/>
      <c r="L243" s="192" t="str">
        <f>IFERROR(__xludf.DUMMYFUNCTION("IF(
  AND(D243=""Saída"", J243=""Sangria""),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198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94" t="str">
        <f>IFERROR(__xludf.DUMMYFUNCTION("ifna(VALUE(REGEXEXTRACT(E243,""[0-9.]+[,]+[0-9]+"")))"),"")</f>
        <v/>
      </c>
      <c r="O243" s="194"/>
      <c r="P243" s="194"/>
      <c r="Q243" s="194"/>
      <c r="R243" s="194"/>
      <c r="S243" s="194"/>
      <c r="T243" s="194"/>
      <c r="U243" s="194"/>
      <c r="V243" s="194"/>
      <c r="W243" s="194"/>
    </row>
    <row r="244" ht="14.25" customHeight="1">
      <c r="A244" s="186"/>
      <c r="B244" s="13"/>
      <c r="C244" s="14"/>
      <c r="D244" s="187"/>
      <c r="E244" s="188"/>
      <c r="F244" s="189"/>
      <c r="G244" s="187"/>
      <c r="H244" s="204"/>
      <c r="I244" s="204"/>
      <c r="J244" s="196"/>
      <c r="K244" s="196"/>
      <c r="L244" s="192" t="str">
        <f>IFERROR(__xludf.DUMMYFUNCTION("IF(
  AND(D244=""Saída"", J244=""Sangria""),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197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94" t="str">
        <f>IFERROR(__xludf.DUMMYFUNCTION("ifna(VALUE(REGEXEXTRACT(E244,""[0-9.]+[,]+[0-9]+"")))"),"")</f>
        <v/>
      </c>
      <c r="O244" s="194"/>
      <c r="P244" s="194"/>
      <c r="Q244" s="194"/>
      <c r="R244" s="194"/>
      <c r="S244" s="194"/>
      <c r="T244" s="194"/>
      <c r="U244" s="194"/>
      <c r="V244" s="194"/>
      <c r="W244" s="194"/>
    </row>
    <row r="245" ht="14.25" customHeight="1">
      <c r="A245" s="186"/>
      <c r="B245" s="13"/>
      <c r="C245" s="14"/>
      <c r="D245" s="187"/>
      <c r="E245" s="188"/>
      <c r="F245" s="189"/>
      <c r="G245" s="187"/>
      <c r="H245" s="204"/>
      <c r="I245" s="204"/>
      <c r="J245" s="196"/>
      <c r="K245" s="196"/>
      <c r="L245" s="192" t="str">
        <f>IFERROR(__xludf.DUMMYFUNCTION("IF(
  AND(D245=""Saída"", J245=""Sangria""),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198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94" t="str">
        <f>IFERROR(__xludf.DUMMYFUNCTION("ifna(VALUE(REGEXEXTRACT(E245,""[0-9.]+[,]+[0-9]+"")))"),"")</f>
        <v/>
      </c>
      <c r="O245" s="194"/>
      <c r="P245" s="194"/>
      <c r="Q245" s="194"/>
      <c r="R245" s="194"/>
      <c r="S245" s="194"/>
      <c r="T245" s="194"/>
      <c r="U245" s="194"/>
      <c r="V245" s="194"/>
      <c r="W245" s="194"/>
    </row>
    <row r="246" ht="14.25" customHeight="1">
      <c r="A246" s="186"/>
      <c r="C246" s="14"/>
      <c r="D246" s="187"/>
      <c r="E246" s="188"/>
      <c r="F246" s="189"/>
      <c r="G246" s="187"/>
      <c r="H246" s="204"/>
      <c r="I246" s="204"/>
      <c r="J246" s="196"/>
      <c r="K246" s="196"/>
      <c r="L246" s="192" t="str">
        <f>IFERROR(__xludf.DUMMYFUNCTION("IF(
  AND(D246=""Saída"", J246=""Sangria""),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197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94" t="str">
        <f>IFERROR(__xludf.DUMMYFUNCTION("ifna(VALUE(REGEXEXTRACT(E246,""[0-9.]+[,]+[0-9]+"")))"),"")</f>
        <v/>
      </c>
      <c r="O246" s="194"/>
      <c r="P246" s="194"/>
      <c r="Q246" s="194"/>
      <c r="R246" s="194"/>
      <c r="S246" s="194"/>
      <c r="T246" s="194"/>
      <c r="U246" s="194"/>
      <c r="V246" s="194"/>
      <c r="W246" s="194"/>
    </row>
    <row r="247" ht="14.25" customHeight="1">
      <c r="A247" s="186"/>
      <c r="B247" s="13"/>
      <c r="C247" s="14"/>
      <c r="D247" s="187"/>
      <c r="E247" s="188"/>
      <c r="F247" s="200"/>
      <c r="G247" s="187"/>
      <c r="H247" s="204"/>
      <c r="I247" s="204"/>
      <c r="J247" s="196"/>
      <c r="K247" s="196"/>
      <c r="L247" s="192" t="str">
        <f>IFERROR(__xludf.DUMMYFUNCTION("IF(
  AND(D247=""Saída"", J247=""Sangria""),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198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94" t="str">
        <f>IFERROR(__xludf.DUMMYFUNCTION("ifna(VALUE(REGEXEXTRACT(E247,""[0-9.]+[,]+[0-9]+"")))"),"")</f>
        <v/>
      </c>
      <c r="O247" s="194"/>
      <c r="P247" s="194"/>
      <c r="Q247" s="194"/>
      <c r="R247" s="194"/>
      <c r="S247" s="194"/>
      <c r="T247" s="194"/>
      <c r="U247" s="194"/>
      <c r="V247" s="194"/>
      <c r="W247" s="194"/>
    </row>
    <row r="248" ht="14.25" customHeight="1">
      <c r="A248" s="186"/>
      <c r="B248" s="13"/>
      <c r="C248" s="14"/>
      <c r="D248" s="187"/>
      <c r="E248" s="188"/>
      <c r="F248" s="189"/>
      <c r="G248" s="187"/>
      <c r="H248" s="204"/>
      <c r="I248" s="204"/>
      <c r="J248" s="196"/>
      <c r="K248" s="196"/>
      <c r="L248" s="192" t="str">
        <f>IFERROR(__xludf.DUMMYFUNCTION("IF(
  AND(D248=""Saída"", J248=""Sangria""),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197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94" t="str">
        <f>IFERROR(__xludf.DUMMYFUNCTION("ifna(VALUE(REGEXEXTRACT(E248,""[0-9.]+[,]+[0-9]+"")))"),"")</f>
        <v/>
      </c>
      <c r="O248" s="194"/>
      <c r="P248" s="194"/>
      <c r="Q248" s="194"/>
      <c r="R248" s="194"/>
      <c r="S248" s="194"/>
      <c r="T248" s="194"/>
      <c r="U248" s="194"/>
      <c r="V248" s="194"/>
      <c r="W248" s="194"/>
    </row>
    <row r="249" ht="14.25" customHeight="1">
      <c r="A249" s="186"/>
      <c r="B249" s="13"/>
      <c r="C249" s="14"/>
      <c r="D249" s="187"/>
      <c r="E249" s="188"/>
      <c r="F249" s="189"/>
      <c r="G249" s="13"/>
      <c r="H249" s="204"/>
      <c r="I249" s="204"/>
      <c r="J249" s="196"/>
      <c r="K249" s="196"/>
      <c r="L249" s="192" t="str">
        <f>IFERROR(__xludf.DUMMYFUNCTION("IF(
  AND(D249=""Saída"", J249=""Sangria""),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198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94" t="str">
        <f>IFERROR(__xludf.DUMMYFUNCTION("ifna(VALUE(REGEXEXTRACT(E249,""[0-9.]+[,]+[0-9]+"")))"),"")</f>
        <v/>
      </c>
      <c r="O249" s="194"/>
      <c r="P249" s="194"/>
      <c r="Q249" s="194"/>
      <c r="R249" s="194"/>
      <c r="S249" s="194"/>
      <c r="T249" s="194"/>
      <c r="U249" s="194"/>
      <c r="V249" s="194"/>
      <c r="W249" s="194"/>
    </row>
    <row r="250" ht="14.25" customHeight="1">
      <c r="A250" s="186"/>
      <c r="B250" s="13"/>
      <c r="C250" s="14"/>
      <c r="D250" s="187"/>
      <c r="E250" s="188"/>
      <c r="F250" s="200"/>
      <c r="G250" s="187"/>
      <c r="H250" s="204"/>
      <c r="I250" s="204"/>
      <c r="J250" s="196"/>
      <c r="K250" s="196"/>
      <c r="L250" s="192" t="str">
        <f>IFERROR(__xludf.DUMMYFUNCTION("IF(
  AND(D250=""Saída"", J250=""Sangria""),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197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94" t="str">
        <f>IFERROR(__xludf.DUMMYFUNCTION("ifna(VALUE(REGEXEXTRACT(E250,""[0-9.]+[,]+[0-9]+"")))"),"")</f>
        <v/>
      </c>
      <c r="O250" s="194"/>
      <c r="P250" s="194"/>
      <c r="Q250" s="194"/>
      <c r="R250" s="194"/>
      <c r="S250" s="194"/>
      <c r="T250" s="194"/>
      <c r="U250" s="194"/>
      <c r="V250" s="194"/>
      <c r="W250" s="194"/>
    </row>
    <row r="251" ht="14.25" customHeight="1">
      <c r="A251" s="186"/>
      <c r="B251" s="13"/>
      <c r="C251" s="14"/>
      <c r="D251" s="187"/>
      <c r="E251" s="188"/>
      <c r="F251" s="200"/>
      <c r="G251" s="187"/>
      <c r="H251" s="204"/>
      <c r="I251" s="204"/>
      <c r="J251" s="196"/>
      <c r="K251" s="196"/>
      <c r="L251" s="192" t="str">
        <f>IFERROR(__xludf.DUMMYFUNCTION("IF(
  AND(D251=""Saída"", J251=""Sangria""),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198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94" t="str">
        <f>IFERROR(__xludf.DUMMYFUNCTION("ifna(VALUE(REGEXEXTRACT(E251,""[0-9.]+[,]+[0-9]+"")))"),"")</f>
        <v/>
      </c>
      <c r="O251" s="194"/>
      <c r="P251" s="194"/>
      <c r="Q251" s="194"/>
      <c r="R251" s="194"/>
      <c r="S251" s="194"/>
      <c r="T251" s="194"/>
      <c r="U251" s="194"/>
      <c r="V251" s="194"/>
      <c r="W251" s="194"/>
    </row>
    <row r="252" ht="14.25" customHeight="1">
      <c r="A252" s="186"/>
      <c r="B252" s="13"/>
      <c r="C252" s="14"/>
      <c r="D252" s="13"/>
      <c r="E252" s="188"/>
      <c r="F252" s="189"/>
      <c r="G252" s="187"/>
      <c r="H252" s="204"/>
      <c r="I252" s="204"/>
      <c r="J252" s="196"/>
      <c r="K252" s="196"/>
      <c r="L252" s="192" t="str">
        <f>IFERROR(__xludf.DUMMYFUNCTION("IF(
  AND(D252=""Saída"", J252=""Sangria""),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197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94" t="str">
        <f>IFERROR(__xludf.DUMMYFUNCTION("ifna(VALUE(REGEXEXTRACT(E252,""[0-9.]+[,]+[0-9]+"")))"),"")</f>
        <v/>
      </c>
      <c r="O252" s="194"/>
      <c r="P252" s="194"/>
      <c r="Q252" s="194"/>
      <c r="R252" s="194"/>
      <c r="S252" s="194"/>
      <c r="T252" s="194"/>
      <c r="U252" s="194"/>
      <c r="V252" s="194"/>
      <c r="W252" s="194"/>
    </row>
    <row r="253" ht="14.25" customHeight="1">
      <c r="A253" s="186"/>
      <c r="B253" s="13"/>
      <c r="C253" s="14"/>
      <c r="D253" s="187"/>
      <c r="E253" s="188"/>
      <c r="F253" s="189"/>
      <c r="G253" s="187"/>
      <c r="H253" s="204"/>
      <c r="I253" s="204"/>
      <c r="J253" s="196"/>
      <c r="K253" s="196"/>
      <c r="L253" s="192" t="str">
        <f>IFERROR(__xludf.DUMMYFUNCTION("IF(
  AND(D253=""Saída"", J253=""Sangria""),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198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94" t="str">
        <f>IFERROR(__xludf.DUMMYFUNCTION("ifna(VALUE(REGEXEXTRACT(E253,""[0-9.]+[,]+[0-9]+"")))"),"")</f>
        <v/>
      </c>
      <c r="O253" s="194"/>
      <c r="P253" s="194"/>
      <c r="Q253" s="194"/>
      <c r="R253" s="194"/>
      <c r="S253" s="194"/>
      <c r="T253" s="194"/>
      <c r="U253" s="194"/>
      <c r="V253" s="194"/>
      <c r="W253" s="194"/>
    </row>
    <row r="254" ht="14.25" customHeight="1">
      <c r="A254" s="186"/>
      <c r="B254" s="13"/>
      <c r="C254" s="14"/>
      <c r="D254" s="187"/>
      <c r="E254" s="188"/>
      <c r="F254" s="189"/>
      <c r="G254" s="187"/>
      <c r="H254" s="204"/>
      <c r="I254" s="204"/>
      <c r="J254" s="196"/>
      <c r="K254" s="196"/>
      <c r="L254" s="192" t="str">
        <f>IFERROR(__xludf.DUMMYFUNCTION("IF(
  AND(D254=""Saída"", J254=""Sangria""),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197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94" t="str">
        <f>IFERROR(__xludf.DUMMYFUNCTION("ifna(VALUE(REGEXEXTRACT(E254,""[0-9.]+[,]+[0-9]+"")))"),"")</f>
        <v/>
      </c>
      <c r="O254" s="194"/>
      <c r="P254" s="194"/>
      <c r="Q254" s="194"/>
      <c r="R254" s="194"/>
      <c r="S254" s="194"/>
      <c r="T254" s="194"/>
      <c r="U254" s="194"/>
      <c r="V254" s="194"/>
      <c r="W254" s="194"/>
    </row>
    <row r="255" ht="14.25" customHeight="1">
      <c r="A255" s="186"/>
      <c r="B255" s="13"/>
      <c r="C255" s="14"/>
      <c r="D255" s="187"/>
      <c r="E255" s="188"/>
      <c r="F255" s="189"/>
      <c r="G255" s="187"/>
      <c r="H255" s="204"/>
      <c r="I255" s="204"/>
      <c r="J255" s="196"/>
      <c r="K255" s="196"/>
      <c r="L255" s="192" t="str">
        <f>IFERROR(__xludf.DUMMYFUNCTION("IF(
  AND(D255=""Saída"", J255=""Sangria""),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198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94" t="str">
        <f>IFERROR(__xludf.DUMMYFUNCTION("ifna(VALUE(REGEXEXTRACT(E255,""[0-9.]+[,]+[0-9]+"")))"),"")</f>
        <v/>
      </c>
      <c r="O255" s="194"/>
      <c r="P255" s="194"/>
      <c r="Q255" s="194"/>
      <c r="R255" s="194"/>
      <c r="S255" s="194"/>
      <c r="T255" s="194"/>
      <c r="U255" s="194"/>
      <c r="V255" s="194"/>
      <c r="W255" s="194"/>
    </row>
    <row r="256" ht="14.25" customHeight="1">
      <c r="A256" s="186"/>
      <c r="B256" s="13"/>
      <c r="C256" s="14"/>
      <c r="D256" s="187"/>
      <c r="E256" s="188"/>
      <c r="F256" s="189"/>
      <c r="G256" s="187"/>
      <c r="H256" s="204"/>
      <c r="I256" s="204"/>
      <c r="J256" s="196"/>
      <c r="K256" s="196"/>
      <c r="L256" s="192" t="str">
        <f>IFERROR(__xludf.DUMMYFUNCTION("IF(
  AND(D256=""Saída"", J256=""Sangria""),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197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94" t="str">
        <f>IFERROR(__xludf.DUMMYFUNCTION("ifna(VALUE(REGEXEXTRACT(E256,""[0-9.]+[,]+[0-9]+"")))"),"")</f>
        <v/>
      </c>
      <c r="O256" s="194"/>
      <c r="P256" s="194"/>
      <c r="Q256" s="194"/>
      <c r="R256" s="194"/>
      <c r="S256" s="194"/>
      <c r="T256" s="194"/>
      <c r="U256" s="194"/>
      <c r="V256" s="194"/>
      <c r="W256" s="194"/>
    </row>
    <row r="257" ht="14.25" customHeight="1">
      <c r="A257" s="186"/>
      <c r="B257" s="13"/>
      <c r="C257" s="14"/>
      <c r="D257" s="187"/>
      <c r="E257" s="188"/>
      <c r="F257" s="189"/>
      <c r="G257" s="187"/>
      <c r="H257" s="204"/>
      <c r="I257" s="204"/>
      <c r="J257" s="196"/>
      <c r="K257" s="196"/>
      <c r="L257" s="192" t="str">
        <f>IFERROR(__xludf.DUMMYFUNCTION("IF(
  AND(D257=""Saída"", J257=""Sangria""),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198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94" t="str">
        <f>IFERROR(__xludf.DUMMYFUNCTION("ifna(VALUE(REGEXEXTRACT(E257,""[0-9.]+[,]+[0-9]+"")))"),"")</f>
        <v/>
      </c>
      <c r="O257" s="194"/>
      <c r="P257" s="194"/>
      <c r="Q257" s="194"/>
      <c r="R257" s="194"/>
      <c r="S257" s="194"/>
      <c r="T257" s="194"/>
      <c r="U257" s="194"/>
      <c r="V257" s="194"/>
      <c r="W257" s="194"/>
    </row>
    <row r="258" ht="14.25" customHeight="1">
      <c r="A258" s="186"/>
      <c r="B258" s="13"/>
      <c r="C258" s="14"/>
      <c r="D258" s="187"/>
      <c r="E258" s="188"/>
      <c r="F258" s="189"/>
      <c r="G258" s="187"/>
      <c r="H258" s="204"/>
      <c r="I258" s="204"/>
      <c r="J258" s="196"/>
      <c r="K258" s="196"/>
      <c r="L258" s="192" t="str">
        <f>IFERROR(__xludf.DUMMYFUNCTION("IF(
  AND(D258=""Saída"", J258=""Sangria""),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197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94" t="str">
        <f>IFERROR(__xludf.DUMMYFUNCTION("ifna(VALUE(REGEXEXTRACT(E258,""[0-9.]+[,]+[0-9]+"")))"),"")</f>
        <v/>
      </c>
      <c r="O258" s="194"/>
      <c r="P258" s="194"/>
      <c r="Q258" s="194"/>
      <c r="R258" s="194"/>
      <c r="S258" s="194"/>
      <c r="T258" s="194"/>
      <c r="U258" s="194"/>
      <c r="V258" s="194"/>
      <c r="W258" s="194"/>
    </row>
    <row r="259" ht="14.25" customHeight="1">
      <c r="A259" s="186"/>
      <c r="B259" s="13"/>
      <c r="C259" s="14"/>
      <c r="D259" s="187"/>
      <c r="E259" s="188"/>
      <c r="F259" s="189"/>
      <c r="G259" s="187"/>
      <c r="H259" s="204"/>
      <c r="I259" s="204"/>
      <c r="J259" s="196"/>
      <c r="K259" s="196"/>
      <c r="L259" s="192" t="str">
        <f>IFERROR(__xludf.DUMMYFUNCTION("IF(
  AND(D259=""Saída"", J259=""Sangria""),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198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94" t="str">
        <f>IFERROR(__xludf.DUMMYFUNCTION("ifna(VALUE(REGEXEXTRACT(E259,""[0-9.]+[,]+[0-9]+"")))"),"")</f>
        <v/>
      </c>
      <c r="O259" s="194"/>
      <c r="P259" s="194"/>
      <c r="Q259" s="194"/>
      <c r="R259" s="194"/>
      <c r="S259" s="194"/>
      <c r="T259" s="194"/>
      <c r="U259" s="194"/>
      <c r="V259" s="194"/>
      <c r="W259" s="194"/>
    </row>
    <row r="260" ht="14.25" customHeight="1">
      <c r="A260" s="186"/>
      <c r="B260" s="13"/>
      <c r="C260" s="14"/>
      <c r="D260" s="187"/>
      <c r="E260" s="188"/>
      <c r="F260" s="200"/>
      <c r="G260" s="187"/>
      <c r="H260" s="204"/>
      <c r="I260" s="204"/>
      <c r="J260" s="196"/>
      <c r="K260" s="196"/>
      <c r="L260" s="192" t="str">
        <f>IFERROR(__xludf.DUMMYFUNCTION("IF(
  AND(D260=""Saída"", J260=""Sangria""),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197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94" t="str">
        <f>IFERROR(__xludf.DUMMYFUNCTION("ifna(VALUE(REGEXEXTRACT(E260,""[0-9.]+[,]+[0-9]+"")))"),"")</f>
        <v/>
      </c>
      <c r="O260" s="194"/>
      <c r="P260" s="194"/>
      <c r="Q260" s="194"/>
      <c r="R260" s="194"/>
      <c r="S260" s="194"/>
      <c r="T260" s="194"/>
      <c r="U260" s="194"/>
      <c r="V260" s="194"/>
      <c r="W260" s="194"/>
    </row>
    <row r="261" ht="14.25" customHeight="1">
      <c r="A261" s="186"/>
      <c r="B261" s="13"/>
      <c r="C261" s="14"/>
      <c r="D261" s="187"/>
      <c r="E261" s="188"/>
      <c r="F261" s="189"/>
      <c r="G261" s="13"/>
      <c r="H261" s="204"/>
      <c r="I261" s="204"/>
      <c r="J261" s="196"/>
      <c r="K261" s="196"/>
      <c r="L261" s="192" t="str">
        <f>IFERROR(__xludf.DUMMYFUNCTION("IF(
  AND(D261=""Saída"", J261=""Sangria""),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198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94" t="str">
        <f>IFERROR(__xludf.DUMMYFUNCTION("ifna(VALUE(REGEXEXTRACT(E261,""[0-9.]+[,]+[0-9]+"")))"),"")</f>
        <v/>
      </c>
      <c r="O261" s="194"/>
      <c r="P261" s="194"/>
      <c r="Q261" s="194"/>
      <c r="R261" s="194"/>
      <c r="S261" s="194"/>
      <c r="T261" s="194"/>
      <c r="U261" s="194"/>
      <c r="V261" s="194"/>
      <c r="W261" s="194"/>
    </row>
    <row r="262" ht="14.25" customHeight="1">
      <c r="A262" s="186"/>
      <c r="B262" s="13"/>
      <c r="C262" s="14"/>
      <c r="D262" s="187"/>
      <c r="E262" s="188"/>
      <c r="F262" s="189"/>
      <c r="G262" s="13"/>
      <c r="H262" s="204"/>
      <c r="I262" s="204"/>
      <c r="J262" s="196"/>
      <c r="K262" s="196"/>
      <c r="L262" s="192" t="str">
        <f>IFERROR(__xludf.DUMMYFUNCTION("IF(
  AND(D262=""Saída"", J262=""Sangria""),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197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94" t="str">
        <f>IFERROR(__xludf.DUMMYFUNCTION("ifna(VALUE(REGEXEXTRACT(E262,""[0-9.]+[,]+[0-9]+"")))"),"")</f>
        <v/>
      </c>
      <c r="O262" s="194"/>
      <c r="P262" s="194"/>
      <c r="Q262" s="194"/>
      <c r="R262" s="194"/>
      <c r="S262" s="194"/>
      <c r="T262" s="194"/>
      <c r="U262" s="194"/>
      <c r="V262" s="194"/>
      <c r="W262" s="194"/>
    </row>
    <row r="263" ht="14.25" customHeight="1">
      <c r="A263" s="186"/>
      <c r="B263" s="13"/>
      <c r="C263" s="14"/>
      <c r="D263" s="187"/>
      <c r="E263" s="188"/>
      <c r="F263" s="189"/>
      <c r="G263" s="187"/>
      <c r="H263" s="204"/>
      <c r="I263" s="204"/>
      <c r="J263" s="196"/>
      <c r="K263" s="196"/>
      <c r="L263" s="192" t="str">
        <f>IFERROR(__xludf.DUMMYFUNCTION("IF(
  AND(D263=""Saída"", J263=""Sangria""),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198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94" t="str">
        <f>IFERROR(__xludf.DUMMYFUNCTION("ifna(VALUE(REGEXEXTRACT(E263,""[0-9.]+[,]+[0-9]+"")))"),"")</f>
        <v/>
      </c>
      <c r="O263" s="194"/>
      <c r="P263" s="194"/>
      <c r="Q263" s="194"/>
      <c r="R263" s="194"/>
      <c r="S263" s="194"/>
      <c r="T263" s="194"/>
      <c r="U263" s="194"/>
      <c r="V263" s="194"/>
      <c r="W263" s="194"/>
    </row>
    <row r="264" ht="14.25" customHeight="1">
      <c r="A264" s="186"/>
      <c r="B264" s="13"/>
      <c r="C264" s="14"/>
      <c r="D264" s="187"/>
      <c r="E264" s="188"/>
      <c r="F264" s="189"/>
      <c r="G264" s="187"/>
      <c r="H264" s="204"/>
      <c r="I264" s="204"/>
      <c r="J264" s="196"/>
      <c r="K264" s="196"/>
      <c r="L264" s="192" t="str">
        <f>IFERROR(__xludf.DUMMYFUNCTION("IF(
  AND(D264=""Saída"", J264=""Sangria""),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197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94" t="str">
        <f>IFERROR(__xludf.DUMMYFUNCTION("ifna(VALUE(REGEXEXTRACT(E264,""[0-9.]+[,]+[0-9]+"")))"),"")</f>
        <v/>
      </c>
      <c r="O264" s="194"/>
      <c r="P264" s="194"/>
      <c r="Q264" s="194"/>
      <c r="R264" s="194"/>
      <c r="S264" s="194"/>
      <c r="T264" s="194"/>
      <c r="U264" s="194"/>
      <c r="V264" s="194"/>
      <c r="W264" s="194"/>
    </row>
    <row r="265" ht="14.25" customHeight="1">
      <c r="A265" s="186"/>
      <c r="B265" s="13"/>
      <c r="C265" s="14"/>
      <c r="D265" s="187"/>
      <c r="E265" s="188"/>
      <c r="F265" s="200"/>
      <c r="G265" s="187"/>
      <c r="H265" s="204"/>
      <c r="I265" s="204"/>
      <c r="J265" s="196"/>
      <c r="K265" s="196"/>
      <c r="L265" s="192" t="str">
        <f>IFERROR(__xludf.DUMMYFUNCTION("IF(
  AND(D265=""Saída"", J265=""Sangria""),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198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94" t="str">
        <f>IFERROR(__xludf.DUMMYFUNCTION("ifna(VALUE(REGEXEXTRACT(E265,""[0-9.]+[,]+[0-9]+"")))"),"")</f>
        <v/>
      </c>
      <c r="O265" s="194"/>
      <c r="P265" s="194"/>
      <c r="Q265" s="194"/>
      <c r="R265" s="194"/>
      <c r="S265" s="194"/>
      <c r="T265" s="194"/>
      <c r="U265" s="194"/>
      <c r="V265" s="194"/>
      <c r="W265" s="194"/>
    </row>
    <row r="266" ht="14.25" customHeight="1">
      <c r="A266" s="186"/>
      <c r="B266" s="268"/>
      <c r="C266" s="269"/>
      <c r="D266" s="270"/>
      <c r="E266" s="271"/>
      <c r="F266" s="272"/>
      <c r="G266" s="273"/>
      <c r="H266" s="204"/>
      <c r="I266" s="204"/>
      <c r="J266" s="196"/>
      <c r="K266" s="196"/>
      <c r="L266" s="192" t="str">
        <f>IFERROR(__xludf.DUMMYFUNCTION("IF(
  AND(D266=""Saída"", J266=""Sangria""),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197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94" t="str">
        <f>IFERROR(__xludf.DUMMYFUNCTION("ifna(VALUE(REGEXEXTRACT(E266,""[0-9.]+[,]+[0-9]+"")))"),"")</f>
        <v/>
      </c>
      <c r="O266" s="194"/>
      <c r="P266" s="194"/>
      <c r="Q266" s="194"/>
      <c r="R266" s="194"/>
      <c r="S266" s="194"/>
      <c r="T266" s="194"/>
      <c r="U266" s="194"/>
      <c r="V266" s="194"/>
      <c r="W266" s="194"/>
    </row>
    <row r="267" ht="14.25" customHeight="1">
      <c r="A267" s="186"/>
      <c r="B267" s="268"/>
      <c r="C267" s="269"/>
      <c r="D267" s="270"/>
      <c r="E267" s="271"/>
      <c r="F267" s="272"/>
      <c r="G267" s="274"/>
      <c r="H267" s="204"/>
      <c r="I267" s="204"/>
      <c r="J267" s="196"/>
      <c r="K267" s="196"/>
      <c r="L267" s="192" t="str">
        <f>IFERROR(__xludf.DUMMYFUNCTION("IF(
  AND(D267=""Saída"", J267=""Sangria""),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198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94" t="str">
        <f>IFERROR(__xludf.DUMMYFUNCTION("ifna(VALUE(REGEXEXTRACT(E267,""[0-9.]+[,]+[0-9]+"")))"),"")</f>
        <v/>
      </c>
      <c r="O267" s="194"/>
      <c r="P267" s="194"/>
      <c r="Q267" s="194"/>
      <c r="R267" s="194"/>
      <c r="S267" s="194"/>
      <c r="T267" s="194"/>
      <c r="U267" s="194"/>
      <c r="V267" s="194"/>
      <c r="W267" s="194"/>
    </row>
    <row r="268" ht="14.25" customHeight="1">
      <c r="A268" s="186"/>
      <c r="B268" s="268"/>
      <c r="C268" s="269"/>
      <c r="D268" s="270"/>
      <c r="E268" s="271"/>
      <c r="F268" s="272"/>
      <c r="G268" s="273"/>
      <c r="H268" s="204"/>
      <c r="I268" s="204"/>
      <c r="J268" s="212"/>
      <c r="K268" s="196"/>
      <c r="L268" s="192" t="str">
        <f>IFERROR(__xludf.DUMMYFUNCTION("IF(
  AND(D268=""Saída"", J268=""Sangria""),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197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94" t="str">
        <f>IFERROR(__xludf.DUMMYFUNCTION("ifna(VALUE(REGEXEXTRACT(E268,""[0-9.]+[,]+[0-9]+"")))"),"")</f>
        <v/>
      </c>
      <c r="O268" s="194"/>
      <c r="P268" s="194"/>
      <c r="Q268" s="194"/>
      <c r="R268" s="194"/>
      <c r="S268" s="194"/>
      <c r="T268" s="194"/>
      <c r="U268" s="194"/>
      <c r="V268" s="194"/>
      <c r="W268" s="194"/>
    </row>
    <row r="269" ht="14.25" customHeight="1">
      <c r="A269" s="186"/>
      <c r="B269" s="268"/>
      <c r="C269" s="269"/>
      <c r="D269" s="270"/>
      <c r="E269" s="271"/>
      <c r="F269" s="272"/>
      <c r="G269" s="273"/>
      <c r="H269" s="204"/>
      <c r="I269" s="204"/>
      <c r="J269" s="196"/>
      <c r="K269" s="196"/>
      <c r="L269" s="192" t="str">
        <f>IFERROR(__xludf.DUMMYFUNCTION("IF(
  AND(D269=""Saída"", J269=""Sangria""),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198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94" t="str">
        <f>IFERROR(__xludf.DUMMYFUNCTION("ifna(VALUE(REGEXEXTRACT(E269,""[0-9.]+[,]+[0-9]+"")))"),"")</f>
        <v/>
      </c>
      <c r="O269" s="194"/>
      <c r="P269" s="194"/>
      <c r="Q269" s="194"/>
      <c r="R269" s="194"/>
      <c r="S269" s="194"/>
      <c r="T269" s="194"/>
      <c r="U269" s="194"/>
      <c r="V269" s="194"/>
      <c r="W269" s="194"/>
    </row>
    <row r="270" ht="14.25" customHeight="1">
      <c r="A270" s="186"/>
      <c r="B270" s="268"/>
      <c r="C270" s="269"/>
      <c r="D270" s="270"/>
      <c r="E270" s="271"/>
      <c r="F270" s="272"/>
      <c r="G270" s="273"/>
      <c r="H270" s="204"/>
      <c r="I270" s="204"/>
      <c r="J270" s="196"/>
      <c r="K270" s="196"/>
      <c r="L270" s="192" t="str">
        <f>IFERROR(__xludf.DUMMYFUNCTION("IF(
  AND(D270=""Saída"", J270=""Sangria""),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197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94" t="str">
        <f>IFERROR(__xludf.DUMMYFUNCTION("ifna(VALUE(REGEXEXTRACT(E270,""[0-9.]+[,]+[0-9]+"")))"),"")</f>
        <v/>
      </c>
      <c r="O270" s="194"/>
      <c r="P270" s="194"/>
      <c r="Q270" s="194"/>
      <c r="R270" s="194"/>
      <c r="S270" s="194"/>
      <c r="T270" s="194"/>
      <c r="U270" s="194"/>
      <c r="V270" s="194"/>
      <c r="W270" s="194"/>
    </row>
    <row r="271" ht="14.25" customHeight="1">
      <c r="A271" s="186"/>
      <c r="B271" s="268"/>
      <c r="C271" s="269"/>
      <c r="D271" s="270"/>
      <c r="E271" s="275"/>
      <c r="F271" s="276"/>
      <c r="G271" s="273"/>
      <c r="H271" s="204"/>
      <c r="I271" s="204"/>
      <c r="J271" s="196"/>
      <c r="K271" s="196"/>
      <c r="L271" s="192" t="str">
        <f>IFERROR(__xludf.DUMMYFUNCTION("IF(
  AND(D271=""Saída"", J271=""Sangria""),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198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94" t="str">
        <f>IFERROR(__xludf.DUMMYFUNCTION("ifna(VALUE(REGEXEXTRACT(E271,""[0-9.]+[,]+[0-9]+"")))"),"")</f>
        <v/>
      </c>
      <c r="O271" s="194"/>
      <c r="P271" s="194"/>
      <c r="Q271" s="194"/>
      <c r="R271" s="194"/>
      <c r="S271" s="194"/>
      <c r="T271" s="194"/>
      <c r="U271" s="194"/>
      <c r="V271" s="194"/>
      <c r="W271" s="194"/>
    </row>
    <row r="272" ht="14.25" customHeight="1">
      <c r="A272" s="186"/>
      <c r="B272" s="268"/>
      <c r="C272" s="269"/>
      <c r="D272" s="270"/>
      <c r="E272" s="271"/>
      <c r="F272" s="276"/>
      <c r="G272" s="273"/>
      <c r="H272" s="204"/>
      <c r="I272" s="204"/>
      <c r="J272" s="196"/>
      <c r="K272" s="196"/>
      <c r="L272" s="192" t="str">
        <f>IFERROR(__xludf.DUMMYFUNCTION("IF(
  AND(D272=""Saída"", J272=""Sangria""),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197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94" t="str">
        <f>IFERROR(__xludf.DUMMYFUNCTION("ifna(VALUE(REGEXEXTRACT(E272,""[0-9.]+[,]+[0-9]+"")))"),"")</f>
        <v/>
      </c>
      <c r="O272" s="194"/>
      <c r="P272" s="194"/>
      <c r="Q272" s="194"/>
      <c r="R272" s="194"/>
      <c r="S272" s="194"/>
      <c r="T272" s="194"/>
      <c r="U272" s="194"/>
      <c r="V272" s="194"/>
      <c r="W272" s="194"/>
    </row>
    <row r="273" ht="14.25" customHeight="1">
      <c r="A273" s="186"/>
      <c r="B273" s="268"/>
      <c r="C273" s="269"/>
      <c r="D273" s="270"/>
      <c r="E273" s="271"/>
      <c r="F273" s="272"/>
      <c r="G273" s="273"/>
      <c r="H273" s="204"/>
      <c r="I273" s="204"/>
      <c r="J273" s="196"/>
      <c r="K273" s="196"/>
      <c r="L273" s="192" t="str">
        <f>IFERROR(__xludf.DUMMYFUNCTION("IF(
  AND(D273=""Saída"", J273=""Sangria""),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198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94" t="str">
        <f>IFERROR(__xludf.DUMMYFUNCTION("ifna(VALUE(REGEXEXTRACT(E273,""[0-9.]+[,]+[0-9]+"")))"),"")</f>
        <v/>
      </c>
      <c r="O273" s="194"/>
      <c r="P273" s="194"/>
      <c r="Q273" s="194"/>
      <c r="R273" s="194"/>
      <c r="S273" s="194"/>
      <c r="T273" s="194"/>
      <c r="U273" s="194"/>
      <c r="V273" s="194"/>
      <c r="W273" s="194"/>
    </row>
    <row r="274" ht="14.25" customHeight="1">
      <c r="A274" s="186"/>
      <c r="B274" s="268"/>
      <c r="C274" s="269"/>
      <c r="D274" s="270"/>
      <c r="E274" s="271"/>
      <c r="F274" s="272"/>
      <c r="G274" s="273"/>
      <c r="H274" s="204"/>
      <c r="I274" s="204"/>
      <c r="J274" s="196"/>
      <c r="K274" s="196"/>
      <c r="L274" s="192" t="str">
        <f>IFERROR(__xludf.DUMMYFUNCTION("IF(
  AND(D274=""Saída"", J274=""Sangria""),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197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94" t="str">
        <f>IFERROR(__xludf.DUMMYFUNCTION("ifna(VALUE(REGEXEXTRACT(E274,""[0-9.]+[,]+[0-9]+"")))"),"")</f>
        <v/>
      </c>
      <c r="O274" s="194"/>
      <c r="P274" s="194"/>
      <c r="Q274" s="194"/>
      <c r="R274" s="194"/>
      <c r="S274" s="194"/>
      <c r="T274" s="194"/>
      <c r="U274" s="194"/>
      <c r="V274" s="194"/>
      <c r="W274" s="194"/>
    </row>
    <row r="275" ht="14.25" customHeight="1">
      <c r="A275" s="186"/>
      <c r="B275" s="268"/>
      <c r="C275" s="269"/>
      <c r="D275" s="270"/>
      <c r="E275" s="271"/>
      <c r="F275" s="276"/>
      <c r="G275" s="273"/>
      <c r="H275" s="204"/>
      <c r="I275" s="204"/>
      <c r="J275" s="196"/>
      <c r="K275" s="196"/>
      <c r="L275" s="192" t="str">
        <f>IFERROR(__xludf.DUMMYFUNCTION("IF(
  AND(D275=""Saída"", J275=""Sangria""),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198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94" t="str">
        <f>IFERROR(__xludf.DUMMYFUNCTION("ifna(VALUE(REGEXEXTRACT(E275,""[0-9.]+[,]+[0-9]+"")))"),"")</f>
        <v/>
      </c>
      <c r="O275" s="194"/>
      <c r="P275" s="194"/>
      <c r="Q275" s="194"/>
      <c r="R275" s="194"/>
      <c r="S275" s="194"/>
      <c r="T275" s="194"/>
      <c r="U275" s="194"/>
      <c r="V275" s="194"/>
      <c r="W275" s="194"/>
    </row>
    <row r="276" ht="14.25" customHeight="1">
      <c r="A276" s="186"/>
      <c r="B276" s="268"/>
      <c r="C276" s="269"/>
      <c r="D276" s="270"/>
      <c r="E276" s="271"/>
      <c r="F276" s="272"/>
      <c r="G276" s="273"/>
      <c r="H276" s="204"/>
      <c r="I276" s="204"/>
      <c r="J276" s="196"/>
      <c r="K276" s="196"/>
      <c r="L276" s="192" t="str">
        <f>IFERROR(__xludf.DUMMYFUNCTION("IF(
  AND(D276=""Saída"", J276=""Sangria""),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197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94" t="str">
        <f>IFERROR(__xludf.DUMMYFUNCTION("ifna(VALUE(REGEXEXTRACT(E276,""[0-9.]+[,]+[0-9]+"")))"),"")</f>
        <v/>
      </c>
      <c r="O276" s="194"/>
      <c r="P276" s="194"/>
      <c r="Q276" s="194"/>
      <c r="R276" s="194"/>
      <c r="S276" s="194"/>
      <c r="T276" s="194"/>
      <c r="U276" s="194"/>
      <c r="V276" s="194"/>
      <c r="W276" s="194"/>
    </row>
    <row r="277" ht="14.25" customHeight="1">
      <c r="A277" s="186"/>
      <c r="B277" s="268"/>
      <c r="C277" s="269"/>
      <c r="D277" s="270"/>
      <c r="E277" s="271"/>
      <c r="F277" s="272"/>
      <c r="G277" s="273"/>
      <c r="H277" s="204"/>
      <c r="I277" s="204"/>
      <c r="J277" s="196"/>
      <c r="K277" s="196"/>
      <c r="L277" s="192" t="str">
        <f>IFERROR(__xludf.DUMMYFUNCTION("IF(
  AND(D277=""Saída"", J277=""Sangria""),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198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94" t="str">
        <f>IFERROR(__xludf.DUMMYFUNCTION("ifna(VALUE(REGEXEXTRACT(E277,""[0-9.]+[,]+[0-9]+"")))"),"")</f>
        <v/>
      </c>
      <c r="O277" s="194"/>
      <c r="P277" s="194"/>
      <c r="Q277" s="194"/>
      <c r="R277" s="194"/>
      <c r="S277" s="194"/>
      <c r="T277" s="194"/>
      <c r="U277" s="194"/>
      <c r="V277" s="194"/>
      <c r="W277" s="194"/>
    </row>
    <row r="278" ht="14.25" customHeight="1">
      <c r="A278" s="186"/>
      <c r="B278" s="268"/>
      <c r="C278" s="269"/>
      <c r="D278" s="270"/>
      <c r="E278" s="271"/>
      <c r="F278" s="272"/>
      <c r="G278" s="273"/>
      <c r="H278" s="204"/>
      <c r="I278" s="204"/>
      <c r="J278" s="196"/>
      <c r="K278" s="196"/>
      <c r="L278" s="192" t="str">
        <f>IFERROR(__xludf.DUMMYFUNCTION("IF(
  AND(D278=""Saída"", J278=""Sangria""),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197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94" t="str">
        <f>IFERROR(__xludf.DUMMYFUNCTION("ifna(VALUE(REGEXEXTRACT(E278,""[0-9.]+[,]+[0-9]+"")))"),"")</f>
        <v/>
      </c>
      <c r="O278" s="194"/>
      <c r="P278" s="194"/>
      <c r="Q278" s="194"/>
      <c r="R278" s="194"/>
      <c r="S278" s="194"/>
      <c r="T278" s="194"/>
      <c r="U278" s="194"/>
      <c r="V278" s="194"/>
      <c r="W278" s="194"/>
    </row>
    <row r="279" ht="14.25" customHeight="1">
      <c r="A279" s="186"/>
      <c r="B279" s="268"/>
      <c r="C279" s="269"/>
      <c r="D279" s="270"/>
      <c r="E279" s="271"/>
      <c r="F279" s="272"/>
      <c r="G279" s="273"/>
      <c r="H279" s="204"/>
      <c r="I279" s="204"/>
      <c r="J279" s="196"/>
      <c r="K279" s="196"/>
      <c r="L279" s="192" t="str">
        <f>IFERROR(__xludf.DUMMYFUNCTION("IF(
  AND(D279=""Saída"", J279=""Sangria""),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198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94" t="str">
        <f>IFERROR(__xludf.DUMMYFUNCTION("ifna(VALUE(REGEXEXTRACT(E279,""[0-9.]+[,]+[0-9]+"")))"),"")</f>
        <v/>
      </c>
      <c r="O279" s="194"/>
      <c r="P279" s="194"/>
      <c r="Q279" s="194"/>
      <c r="R279" s="194"/>
      <c r="S279" s="194"/>
      <c r="T279" s="194"/>
      <c r="U279" s="194"/>
      <c r="V279" s="194"/>
      <c r="W279" s="194"/>
    </row>
    <row r="280" ht="14.25" customHeight="1">
      <c r="A280" s="186"/>
      <c r="B280" s="268"/>
      <c r="C280" s="269"/>
      <c r="D280" s="270"/>
      <c r="E280" s="271"/>
      <c r="F280" s="272"/>
      <c r="G280" s="273"/>
      <c r="H280" s="204"/>
      <c r="I280" s="204"/>
      <c r="J280" s="196"/>
      <c r="K280" s="202"/>
      <c r="L280" s="192" t="str">
        <f>IFERROR(__xludf.DUMMYFUNCTION("IF(
  AND(D280=""Saída"", J280=""Sangria""),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197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94" t="str">
        <f>IFERROR(__xludf.DUMMYFUNCTION("ifna(VALUE(REGEXEXTRACT(E280,""[0-9.]+[,]+[0-9]+"")))"),"")</f>
        <v/>
      </c>
      <c r="O280" s="194"/>
      <c r="P280" s="194"/>
      <c r="Q280" s="194"/>
      <c r="R280" s="194"/>
      <c r="S280" s="194"/>
      <c r="T280" s="194"/>
      <c r="U280" s="194"/>
      <c r="V280" s="194"/>
      <c r="W280" s="194"/>
    </row>
    <row r="281" ht="14.25" customHeight="1">
      <c r="A281" s="186"/>
      <c r="B281" s="268"/>
      <c r="C281" s="269"/>
      <c r="D281" s="270"/>
      <c r="E281" s="271"/>
      <c r="F281" s="272"/>
      <c r="G281" s="273"/>
      <c r="H281" s="204"/>
      <c r="I281" s="204"/>
      <c r="J281" s="196"/>
      <c r="K281" s="196"/>
      <c r="L281" s="192" t="str">
        <f>IFERROR(__xludf.DUMMYFUNCTION("IF(
  AND(D281=""Saída"", J281=""Sangria""),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198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94" t="str">
        <f>IFERROR(__xludf.DUMMYFUNCTION("ifna(VALUE(REGEXEXTRACT(E281,""[0-9.]+[,]+[0-9]+"")))"),"")</f>
        <v/>
      </c>
      <c r="O281" s="194"/>
      <c r="P281" s="194"/>
      <c r="Q281" s="194"/>
      <c r="R281" s="194"/>
      <c r="S281" s="194"/>
      <c r="T281" s="194"/>
      <c r="U281" s="194"/>
      <c r="V281" s="194"/>
      <c r="W281" s="194"/>
    </row>
    <row r="282" ht="14.25" customHeight="1">
      <c r="A282" s="186"/>
      <c r="B282" s="268"/>
      <c r="C282" s="269"/>
      <c r="D282" s="270"/>
      <c r="E282" s="275"/>
      <c r="F282" s="272"/>
      <c r="G282" s="273"/>
      <c r="H282" s="204"/>
      <c r="I282" s="204"/>
      <c r="J282" s="196"/>
      <c r="K282" s="196"/>
      <c r="L282" s="192" t="str">
        <f>IFERROR(__xludf.DUMMYFUNCTION("IF(
  AND(D282=""Saída"", J282=""Sangria""),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197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94" t="str">
        <f>IFERROR(__xludf.DUMMYFUNCTION("ifna(VALUE(REGEXEXTRACT(E282,""[0-9.]+[,]+[0-9]+"")))"),"")</f>
        <v/>
      </c>
      <c r="O282" s="194"/>
      <c r="P282" s="194"/>
      <c r="Q282" s="194"/>
      <c r="R282" s="194"/>
      <c r="S282" s="194"/>
      <c r="T282" s="194"/>
      <c r="U282" s="194"/>
      <c r="V282" s="194"/>
      <c r="W282" s="194"/>
    </row>
    <row r="283" ht="14.25" customHeight="1">
      <c r="A283" s="186"/>
      <c r="B283" s="268"/>
      <c r="C283" s="269"/>
      <c r="D283" s="270"/>
      <c r="E283" s="271"/>
      <c r="F283" s="272"/>
      <c r="G283" s="273"/>
      <c r="H283" s="204"/>
      <c r="I283" s="204"/>
      <c r="J283" s="196"/>
      <c r="K283" s="196"/>
      <c r="L283" s="192" t="str">
        <f>IFERROR(__xludf.DUMMYFUNCTION("IF(
  AND(D283=""Saída"", J283=""Sangria""),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198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94" t="str">
        <f>IFERROR(__xludf.DUMMYFUNCTION("ifna(VALUE(REGEXEXTRACT(E283,""[0-9.]+[,]+[0-9]+"")))"),"")</f>
        <v/>
      </c>
      <c r="O283" s="194"/>
      <c r="P283" s="194"/>
      <c r="Q283" s="194"/>
      <c r="R283" s="194"/>
      <c r="S283" s="194"/>
      <c r="T283" s="194"/>
      <c r="U283" s="194"/>
      <c r="V283" s="194"/>
      <c r="W283" s="194"/>
    </row>
    <row r="284" ht="14.25" customHeight="1">
      <c r="A284" s="186"/>
      <c r="B284" s="268"/>
      <c r="C284" s="269"/>
      <c r="D284" s="270"/>
      <c r="E284" s="271"/>
      <c r="F284" s="272"/>
      <c r="G284" s="273"/>
      <c r="H284" s="204"/>
      <c r="I284" s="204"/>
      <c r="J284" s="196"/>
      <c r="K284" s="202"/>
      <c r="L284" s="192" t="str">
        <f>IFERROR(__xludf.DUMMYFUNCTION("IF(
  AND(D284=""Saída"", J284=""Sangria""),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197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94" t="str">
        <f>IFERROR(__xludf.DUMMYFUNCTION("ifna(VALUE(REGEXEXTRACT(E284,""[0-9.]+[,]+[0-9]+"")))"),"")</f>
        <v/>
      </c>
      <c r="O284" s="194"/>
      <c r="P284" s="194"/>
      <c r="Q284" s="194"/>
      <c r="R284" s="194"/>
      <c r="S284" s="194"/>
      <c r="T284" s="194"/>
      <c r="U284" s="194"/>
      <c r="V284" s="194"/>
      <c r="W284" s="194"/>
    </row>
    <row r="285" ht="14.25" customHeight="1">
      <c r="A285" s="186"/>
      <c r="B285" s="268"/>
      <c r="C285" s="269"/>
      <c r="D285" s="270"/>
      <c r="E285" s="271"/>
      <c r="F285" s="276"/>
      <c r="G285" s="273"/>
      <c r="H285" s="204"/>
      <c r="I285" s="204"/>
      <c r="J285" s="196"/>
      <c r="K285" s="196"/>
      <c r="L285" s="192" t="str">
        <f>IFERROR(__xludf.DUMMYFUNCTION("IF(
  AND(D285=""Saída"", J285=""Sangria""),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198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94" t="str">
        <f>IFERROR(__xludf.DUMMYFUNCTION("ifna(VALUE(REGEXEXTRACT(E285,""[0-9.]+[,]+[0-9]+"")))"),"")</f>
        <v/>
      </c>
      <c r="O285" s="194"/>
      <c r="P285" s="194"/>
      <c r="Q285" s="194"/>
      <c r="R285" s="194"/>
      <c r="S285" s="194"/>
      <c r="T285" s="194"/>
      <c r="U285" s="194"/>
      <c r="V285" s="194"/>
      <c r="W285" s="194"/>
    </row>
    <row r="286" ht="14.25" customHeight="1">
      <c r="A286" s="186"/>
      <c r="B286" s="268"/>
      <c r="C286" s="269"/>
      <c r="D286" s="270"/>
      <c r="E286" s="271"/>
      <c r="F286" s="276"/>
      <c r="G286" s="273"/>
      <c r="H286" s="204"/>
      <c r="I286" s="204"/>
      <c r="J286" s="196"/>
      <c r="K286" s="196"/>
      <c r="L286" s="192" t="str">
        <f>IFERROR(__xludf.DUMMYFUNCTION("IF(
  AND(D286=""Saída"", J286=""Sangria""),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197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94" t="str">
        <f>IFERROR(__xludf.DUMMYFUNCTION("ifna(VALUE(REGEXEXTRACT(E286,""[0-9.]+[,]+[0-9]+"")))"),"")</f>
        <v/>
      </c>
      <c r="O286" s="194"/>
      <c r="P286" s="194"/>
      <c r="Q286" s="194"/>
      <c r="R286" s="194"/>
      <c r="S286" s="194"/>
      <c r="T286" s="194"/>
      <c r="U286" s="194"/>
      <c r="V286" s="194"/>
      <c r="W286" s="194"/>
    </row>
    <row r="287" ht="14.25" customHeight="1">
      <c r="A287" s="186"/>
      <c r="B287" s="268"/>
      <c r="C287" s="269"/>
      <c r="D287" s="270"/>
      <c r="E287" s="271"/>
      <c r="F287" s="272"/>
      <c r="G287" s="273"/>
      <c r="H287" s="204"/>
      <c r="I287" s="204"/>
      <c r="J287" s="212"/>
      <c r="K287" s="202"/>
      <c r="L287" s="192" t="str">
        <f>IFERROR(__xludf.DUMMYFUNCTION("IF(
  AND(D287=""Saída"", J287=""Sangria""),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198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94" t="str">
        <f>IFERROR(__xludf.DUMMYFUNCTION("ifna(VALUE(REGEXEXTRACT(E287,""[0-9.]+[,]+[0-9]+"")))"),"")</f>
        <v/>
      </c>
      <c r="O287" s="194"/>
      <c r="P287" s="194"/>
      <c r="Q287" s="194"/>
      <c r="R287" s="194"/>
      <c r="S287" s="194"/>
      <c r="T287" s="194"/>
      <c r="U287" s="194"/>
      <c r="V287" s="194"/>
      <c r="W287" s="194"/>
    </row>
    <row r="288" ht="14.25" customHeight="1">
      <c r="A288" s="186"/>
      <c r="B288" s="268"/>
      <c r="C288" s="269"/>
      <c r="D288" s="270"/>
      <c r="E288" s="271"/>
      <c r="F288" s="272"/>
      <c r="G288" s="273"/>
      <c r="H288" s="204"/>
      <c r="I288" s="204"/>
      <c r="J288" s="196"/>
      <c r="K288" s="202"/>
      <c r="L288" s="192" t="str">
        <f>IFERROR(__xludf.DUMMYFUNCTION("IF(
  AND(D288=""Saída"", J288=""Sangria""),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197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94" t="str">
        <f>IFERROR(__xludf.DUMMYFUNCTION("ifna(VALUE(REGEXEXTRACT(E288,""[0-9.]+[,]+[0-9]+"")))"),"")</f>
        <v/>
      </c>
      <c r="O288" s="194"/>
      <c r="P288" s="194"/>
      <c r="Q288" s="194"/>
      <c r="R288" s="194"/>
      <c r="S288" s="194"/>
      <c r="T288" s="194"/>
      <c r="U288" s="194"/>
      <c r="V288" s="194"/>
      <c r="W288" s="194"/>
    </row>
    <row r="289" ht="14.25" customHeight="1">
      <c r="A289" s="186"/>
      <c r="B289" s="268"/>
      <c r="C289" s="269"/>
      <c r="D289" s="270"/>
      <c r="E289" s="271"/>
      <c r="F289" s="272"/>
      <c r="G289" s="273"/>
      <c r="H289" s="204"/>
      <c r="I289" s="204"/>
      <c r="J289" s="196"/>
      <c r="K289" s="196"/>
      <c r="L289" s="192" t="str">
        <f>IFERROR(__xludf.DUMMYFUNCTION("IF(
  AND(D289=""Saída"", J289=""Sangria""),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198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94" t="str">
        <f>IFERROR(__xludf.DUMMYFUNCTION("ifna(VALUE(REGEXEXTRACT(E289,""[0-9.]+[,]+[0-9]+"")))"),"")</f>
        <v/>
      </c>
      <c r="O289" s="194"/>
      <c r="P289" s="194"/>
      <c r="Q289" s="194"/>
      <c r="R289" s="194"/>
      <c r="S289" s="194"/>
      <c r="T289" s="194"/>
      <c r="U289" s="194"/>
      <c r="V289" s="194"/>
      <c r="W289" s="194"/>
    </row>
    <row r="290" ht="14.25" customHeight="1">
      <c r="A290" s="186"/>
      <c r="B290" s="268"/>
      <c r="C290" s="269"/>
      <c r="D290" s="270"/>
      <c r="E290" s="271"/>
      <c r="F290" s="272"/>
      <c r="G290" s="273"/>
      <c r="H290" s="204"/>
      <c r="I290" s="204"/>
      <c r="J290" s="196"/>
      <c r="K290" s="196"/>
      <c r="L290" s="192" t="str">
        <f>IFERROR(__xludf.DUMMYFUNCTION("IF(
  AND(D290=""Saída"", J290=""Sangria""),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197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94" t="str">
        <f>IFERROR(__xludf.DUMMYFUNCTION("ifna(VALUE(REGEXEXTRACT(E290,""[0-9.]+[,]+[0-9]+"")))"),"")</f>
        <v/>
      </c>
      <c r="O290" s="194"/>
      <c r="P290" s="194"/>
      <c r="Q290" s="194"/>
      <c r="R290" s="194"/>
      <c r="S290" s="194"/>
      <c r="T290" s="194"/>
      <c r="U290" s="194"/>
      <c r="V290" s="194"/>
      <c r="W290" s="194"/>
    </row>
    <row r="291" ht="14.25" customHeight="1">
      <c r="A291" s="186"/>
      <c r="B291" s="268"/>
      <c r="C291" s="269"/>
      <c r="D291" s="270"/>
      <c r="E291" s="271"/>
      <c r="F291" s="272"/>
      <c r="G291" s="273"/>
      <c r="H291" s="204"/>
      <c r="I291" s="204"/>
      <c r="J291" s="196"/>
      <c r="K291" s="196"/>
      <c r="L291" s="192" t="str">
        <f>IFERROR(__xludf.DUMMYFUNCTION("IF(
  AND(D291=""Saída"", J291=""Sangria""),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198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94" t="str">
        <f>IFERROR(__xludf.DUMMYFUNCTION("ifna(VALUE(REGEXEXTRACT(E291,""[0-9.]+[,]+[0-9]+"")))"),"")</f>
        <v/>
      </c>
      <c r="O291" s="194"/>
      <c r="P291" s="194"/>
      <c r="Q291" s="194"/>
      <c r="R291" s="194"/>
      <c r="S291" s="194"/>
      <c r="T291" s="194"/>
      <c r="U291" s="194"/>
      <c r="V291" s="194"/>
      <c r="W291" s="194"/>
    </row>
    <row r="292" ht="14.25" customHeight="1">
      <c r="A292" s="31"/>
      <c r="B292" s="268"/>
      <c r="C292" s="269"/>
      <c r="D292" s="270"/>
      <c r="E292" s="271"/>
      <c r="F292" s="272"/>
      <c r="G292" s="273"/>
      <c r="H292" s="204"/>
      <c r="I292" s="204"/>
      <c r="J292" s="196"/>
      <c r="K292" s="196"/>
      <c r="L292" s="192" t="str">
        <f>IFERROR(__xludf.DUMMYFUNCTION("IF(
  AND(D292=""Saída"", J292=""Sangria""),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197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94" t="str">
        <f>IFERROR(__xludf.DUMMYFUNCTION("ifna(VALUE(REGEXEXTRACT(E292,""[0-9.]+[,]+[0-9]+"")))"),"")</f>
        <v/>
      </c>
      <c r="O292" s="194"/>
      <c r="P292" s="194"/>
      <c r="Q292" s="194"/>
      <c r="R292" s="194"/>
      <c r="S292" s="194"/>
      <c r="T292" s="194"/>
      <c r="U292" s="194"/>
      <c r="V292" s="194"/>
      <c r="W292" s="194"/>
    </row>
    <row r="293" ht="14.25" customHeight="1">
      <c r="A293" s="31"/>
      <c r="B293" s="268"/>
      <c r="C293" s="269"/>
      <c r="D293" s="270"/>
      <c r="E293" s="271"/>
      <c r="F293" s="272"/>
      <c r="G293" s="273"/>
      <c r="H293" s="204"/>
      <c r="I293" s="204"/>
      <c r="J293" s="196"/>
      <c r="K293" s="202"/>
      <c r="L293" s="192" t="str">
        <f>IFERROR(__xludf.DUMMYFUNCTION("IF(
  AND(D293=""Saída"", J293=""Sangria""),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198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94" t="str">
        <f>IFERROR(__xludf.DUMMYFUNCTION("ifna(VALUE(REGEXEXTRACT(E293,""[0-9.]+[,]+[0-9]+"")))"),"")</f>
        <v/>
      </c>
      <c r="O293" s="194"/>
      <c r="P293" s="194"/>
      <c r="Q293" s="194"/>
      <c r="R293" s="194"/>
      <c r="S293" s="194"/>
      <c r="T293" s="194"/>
      <c r="U293" s="194"/>
      <c r="V293" s="194"/>
      <c r="W293" s="194"/>
    </row>
    <row r="294" ht="14.25" customHeight="1">
      <c r="A294" s="31"/>
      <c r="B294" s="268"/>
      <c r="C294" s="269"/>
      <c r="D294" s="270"/>
      <c r="E294" s="275"/>
      <c r="F294" s="272"/>
      <c r="G294" s="273"/>
      <c r="H294" s="204"/>
      <c r="I294" s="204"/>
      <c r="J294" s="196"/>
      <c r="K294" s="196"/>
      <c r="L294" s="192" t="str">
        <f>IFERROR(__xludf.DUMMYFUNCTION("IF(
  AND(D294=""Saída"", J294=""Sangria""),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197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94" t="str">
        <f>IFERROR(__xludf.DUMMYFUNCTION("ifna(VALUE(REGEXEXTRACT(E294,""[0-9.]+[,]+[0-9]+"")))"),"")</f>
        <v/>
      </c>
      <c r="O294" s="194"/>
      <c r="P294" s="194"/>
      <c r="Q294" s="194"/>
      <c r="R294" s="194"/>
      <c r="S294" s="194"/>
      <c r="T294" s="194"/>
      <c r="U294" s="194"/>
      <c r="V294" s="194"/>
      <c r="W294" s="194"/>
    </row>
    <row r="295" ht="14.25" customHeight="1">
      <c r="A295" s="31"/>
      <c r="B295" s="268"/>
      <c r="C295" s="269"/>
      <c r="D295" s="270"/>
      <c r="E295" s="271"/>
      <c r="F295" s="272"/>
      <c r="G295" s="273"/>
      <c r="H295" s="204"/>
      <c r="I295" s="204"/>
      <c r="J295" s="196"/>
      <c r="K295" s="196"/>
      <c r="L295" s="192" t="str">
        <f>IFERROR(__xludf.DUMMYFUNCTION("IF(
  AND(D295=""Saída"", J295=""Sangria""),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198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94" t="str">
        <f>IFERROR(__xludf.DUMMYFUNCTION("ifna(VALUE(REGEXEXTRACT(E295,""[0-9.]+[,]+[0-9]+"")))"),"")</f>
        <v/>
      </c>
      <c r="O295" s="194"/>
      <c r="P295" s="194"/>
      <c r="Q295" s="194"/>
      <c r="R295" s="194"/>
      <c r="S295" s="194"/>
      <c r="T295" s="194"/>
      <c r="U295" s="194"/>
      <c r="V295" s="194"/>
      <c r="W295" s="194"/>
    </row>
    <row r="296" ht="14.25" customHeight="1">
      <c r="A296" s="31"/>
      <c r="B296" s="268"/>
      <c r="C296" s="269"/>
      <c r="D296" s="270"/>
      <c r="E296" s="271"/>
      <c r="F296" s="276"/>
      <c r="G296" s="273"/>
      <c r="H296" s="204"/>
      <c r="I296" s="204"/>
      <c r="J296" s="196"/>
      <c r="K296" s="196"/>
      <c r="L296" s="192" t="str">
        <f>IFERROR(__xludf.DUMMYFUNCTION("IF(
  AND(D296=""Saída"", J296=""Sangria""),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197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94" t="str">
        <f>IFERROR(__xludf.DUMMYFUNCTION("ifna(VALUE(REGEXEXTRACT(E296,""[0-9.]+[,]+[0-9]+"")))"),"")</f>
        <v/>
      </c>
      <c r="O296" s="194"/>
      <c r="P296" s="194"/>
      <c r="Q296" s="194"/>
      <c r="R296" s="194"/>
      <c r="S296" s="194"/>
      <c r="T296" s="194"/>
      <c r="U296" s="194"/>
      <c r="V296" s="194"/>
      <c r="W296" s="194"/>
    </row>
    <row r="297" ht="14.25" customHeight="1">
      <c r="A297" s="31"/>
      <c r="B297" s="268"/>
      <c r="C297" s="269"/>
      <c r="D297" s="270"/>
      <c r="E297" s="271"/>
      <c r="F297" s="272"/>
      <c r="G297" s="273"/>
      <c r="H297" s="204"/>
      <c r="I297" s="204"/>
      <c r="J297" s="196"/>
      <c r="K297" s="196"/>
      <c r="L297" s="192" t="str">
        <f>IFERROR(__xludf.DUMMYFUNCTION("IF(
  AND(D297=""Saída"", J297=""Sangria""),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198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94" t="str">
        <f>IFERROR(__xludf.DUMMYFUNCTION("ifna(VALUE(REGEXEXTRACT(E297,""[0-9.]+[,]+[0-9]+"")))"),"")</f>
        <v/>
      </c>
      <c r="O297" s="194"/>
      <c r="P297" s="194"/>
      <c r="Q297" s="194"/>
      <c r="R297" s="194"/>
      <c r="S297" s="194"/>
      <c r="T297" s="194"/>
      <c r="U297" s="194"/>
      <c r="V297" s="194"/>
      <c r="W297" s="194"/>
    </row>
    <row r="298" ht="14.25" customHeight="1">
      <c r="A298" s="31"/>
      <c r="B298" s="268"/>
      <c r="C298" s="269"/>
      <c r="D298" s="270"/>
      <c r="E298" s="271"/>
      <c r="F298" s="272"/>
      <c r="G298" s="273"/>
      <c r="H298" s="204"/>
      <c r="I298" s="204"/>
      <c r="J298" s="196"/>
      <c r="K298" s="196"/>
      <c r="L298" s="192" t="str">
        <f>IFERROR(__xludf.DUMMYFUNCTION("IF(
  AND(D298=""Saída"", J298=""Sangria""),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197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94" t="str">
        <f>IFERROR(__xludf.DUMMYFUNCTION("ifna(VALUE(REGEXEXTRACT(E298,""[0-9.]+[,]+[0-9]+"")))"),"")</f>
        <v/>
      </c>
      <c r="O298" s="194"/>
      <c r="P298" s="194"/>
      <c r="Q298" s="194"/>
      <c r="R298" s="194"/>
      <c r="S298" s="194"/>
      <c r="T298" s="194"/>
      <c r="U298" s="194"/>
      <c r="V298" s="194"/>
      <c r="W298" s="194"/>
    </row>
    <row r="299" ht="14.25" customHeight="1">
      <c r="A299" s="31"/>
      <c r="B299" s="268"/>
      <c r="C299" s="269"/>
      <c r="D299" s="270"/>
      <c r="E299" s="271"/>
      <c r="F299" s="272"/>
      <c r="G299" s="273"/>
      <c r="H299" s="204"/>
      <c r="I299" s="204"/>
      <c r="J299" s="196"/>
      <c r="K299" s="196"/>
      <c r="L299" s="192" t="str">
        <f>IFERROR(__xludf.DUMMYFUNCTION("IF(
  AND(D299=""Saída"", J299=""Sangria""),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198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94" t="str">
        <f>IFERROR(__xludf.DUMMYFUNCTION("ifna(VALUE(REGEXEXTRACT(E299,""[0-9.]+[,]+[0-9]+"")))"),"")</f>
        <v/>
      </c>
      <c r="O299" s="194"/>
      <c r="P299" s="194"/>
      <c r="Q299" s="194"/>
      <c r="R299" s="194"/>
      <c r="S299" s="194"/>
      <c r="T299" s="194"/>
      <c r="U299" s="194"/>
      <c r="V299" s="194"/>
      <c r="W299" s="194"/>
    </row>
    <row r="300" ht="14.25" customHeight="1">
      <c r="A300" s="31"/>
      <c r="B300" s="268"/>
      <c r="C300" s="269"/>
      <c r="D300" s="270"/>
      <c r="E300" s="271"/>
      <c r="F300" s="272"/>
      <c r="G300" s="273"/>
      <c r="H300" s="204"/>
      <c r="I300" s="204"/>
      <c r="J300" s="196"/>
      <c r="K300" s="196"/>
      <c r="L300" s="192" t="str">
        <f>IFERROR(__xludf.DUMMYFUNCTION("IF(
  AND(D300=""Saída"", J300=""Sangria""),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197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94" t="str">
        <f>IFERROR(__xludf.DUMMYFUNCTION("ifna(VALUE(REGEXEXTRACT(E300,""[0-9.]+[,]+[0-9]+"")))"),"")</f>
        <v/>
      </c>
      <c r="O300" s="194"/>
      <c r="P300" s="194"/>
      <c r="Q300" s="194"/>
      <c r="R300" s="194"/>
      <c r="S300" s="194"/>
      <c r="T300" s="194"/>
      <c r="U300" s="194"/>
      <c r="V300" s="194"/>
      <c r="W300" s="194"/>
    </row>
    <row r="301" ht="14.25" customHeight="1">
      <c r="A301" s="31"/>
      <c r="B301" s="268"/>
      <c r="C301" s="269"/>
      <c r="D301" s="270"/>
      <c r="E301" s="271"/>
      <c r="F301" s="276"/>
      <c r="G301" s="273"/>
      <c r="H301" s="204"/>
      <c r="I301" s="204"/>
      <c r="J301" s="196"/>
      <c r="K301" s="196"/>
      <c r="L301" s="192" t="str">
        <f>IFERROR(__xludf.DUMMYFUNCTION("IF(
  AND(D301=""Saída"", J301=""Sangria""),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198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94" t="str">
        <f>IFERROR(__xludf.DUMMYFUNCTION("ifna(VALUE(REGEXEXTRACT(E301,""[0-9.]+[,]+[0-9]+"")))"),"")</f>
        <v/>
      </c>
      <c r="O301" s="194"/>
      <c r="P301" s="194"/>
      <c r="Q301" s="194"/>
      <c r="R301" s="194"/>
      <c r="S301" s="194"/>
      <c r="T301" s="194"/>
      <c r="U301" s="194"/>
      <c r="V301" s="194"/>
      <c r="W301" s="194"/>
    </row>
    <row r="302" ht="14.25" customHeight="1">
      <c r="A302" s="31"/>
      <c r="B302" s="268"/>
      <c r="C302" s="269"/>
      <c r="D302" s="270"/>
      <c r="E302" s="271"/>
      <c r="F302" s="272"/>
      <c r="G302" s="273"/>
      <c r="H302" s="204"/>
      <c r="I302" s="204"/>
      <c r="J302" s="196"/>
      <c r="K302" s="202"/>
      <c r="L302" s="192" t="str">
        <f>IFERROR(__xludf.DUMMYFUNCTION("IF(
  AND(D302=""Saída"", J302=""Sangria""),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197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94" t="str">
        <f>IFERROR(__xludf.DUMMYFUNCTION("ifna(VALUE(REGEXEXTRACT(E302,""[0-9.]+[,]+[0-9]+"")))"),"")</f>
        <v/>
      </c>
      <c r="O302" s="194"/>
      <c r="P302" s="194"/>
      <c r="Q302" s="194"/>
      <c r="R302" s="194"/>
      <c r="S302" s="194"/>
      <c r="T302" s="194"/>
      <c r="U302" s="194"/>
      <c r="V302" s="194"/>
      <c r="W302" s="194"/>
    </row>
    <row r="303" ht="14.25" customHeight="1">
      <c r="A303" s="31"/>
      <c r="B303" s="268"/>
      <c r="C303" s="269"/>
      <c r="D303" s="270"/>
      <c r="E303" s="271"/>
      <c r="F303" s="276"/>
      <c r="G303" s="273"/>
      <c r="H303" s="204"/>
      <c r="I303" s="204"/>
      <c r="J303" s="196"/>
      <c r="K303" s="196"/>
      <c r="L303" s="192" t="str">
        <f>IFERROR(__xludf.DUMMYFUNCTION("IF(
  AND(D303=""Saída"", J303=""Sangria""),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198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94" t="str">
        <f>IFERROR(__xludf.DUMMYFUNCTION("ifna(VALUE(REGEXEXTRACT(E303,""[0-9.]+[,]+[0-9]+"")))"),"")</f>
        <v/>
      </c>
      <c r="O303" s="194"/>
      <c r="P303" s="194"/>
      <c r="Q303" s="194"/>
      <c r="R303" s="194"/>
      <c r="S303" s="194"/>
      <c r="T303" s="194"/>
      <c r="U303" s="194"/>
      <c r="V303" s="194"/>
      <c r="W303" s="194"/>
    </row>
    <row r="304" ht="14.25" customHeight="1">
      <c r="A304" s="31"/>
      <c r="B304" s="268"/>
      <c r="C304" s="269"/>
      <c r="D304" s="270"/>
      <c r="E304" s="271"/>
      <c r="F304" s="272"/>
      <c r="G304" s="273"/>
      <c r="H304" s="204"/>
      <c r="I304" s="204"/>
      <c r="J304" s="212"/>
      <c r="K304" s="196"/>
      <c r="L304" s="192" t="str">
        <f>IFERROR(__xludf.DUMMYFUNCTION("IF(
  AND(D304=""Saída"", J304=""Sangria""),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197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94" t="str">
        <f>IFERROR(__xludf.DUMMYFUNCTION("ifna(VALUE(REGEXEXTRACT(E304,""[0-9.]+[,]+[0-9]+"")))"),"")</f>
        <v/>
      </c>
      <c r="O304" s="194"/>
      <c r="P304" s="194"/>
      <c r="Q304" s="194"/>
      <c r="R304" s="194"/>
      <c r="S304" s="194"/>
      <c r="T304" s="194"/>
      <c r="U304" s="194"/>
      <c r="V304" s="194"/>
      <c r="W304" s="194"/>
    </row>
    <row r="305" ht="14.25" customHeight="1">
      <c r="A305" s="31"/>
      <c r="B305" s="268"/>
      <c r="C305" s="269"/>
      <c r="D305" s="270"/>
      <c r="E305" s="271"/>
      <c r="F305" s="272"/>
      <c r="G305" s="273"/>
      <c r="H305" s="204"/>
      <c r="I305" s="204"/>
      <c r="J305" s="212"/>
      <c r="K305" s="196"/>
      <c r="L305" s="192" t="str">
        <f>IFERROR(__xludf.DUMMYFUNCTION("IF(
  AND(D305=""Saída"", J305=""Sangria""),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198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94" t="str">
        <f>IFERROR(__xludf.DUMMYFUNCTION("ifna(VALUE(REGEXEXTRACT(E305,""[0-9.]+[,]+[0-9]+"")))"),"")</f>
        <v/>
      </c>
      <c r="O305" s="194"/>
      <c r="P305" s="194"/>
      <c r="Q305" s="194"/>
      <c r="R305" s="194"/>
      <c r="S305" s="194"/>
      <c r="T305" s="194"/>
      <c r="U305" s="194"/>
      <c r="V305" s="194"/>
      <c r="W305" s="194"/>
    </row>
    <row r="306" ht="14.25" customHeight="1">
      <c r="A306" s="31"/>
      <c r="B306" s="268"/>
      <c r="C306" s="269"/>
      <c r="D306" s="270"/>
      <c r="E306" s="271"/>
      <c r="F306" s="272"/>
      <c r="G306" s="273"/>
      <c r="H306" s="204"/>
      <c r="I306" s="204"/>
      <c r="J306" s="196"/>
      <c r="K306" s="196"/>
      <c r="L306" s="192" t="str">
        <f>IFERROR(__xludf.DUMMYFUNCTION("IF(
  AND(D306=""Saída"", J306=""Sangria""),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197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94" t="str">
        <f>IFERROR(__xludf.DUMMYFUNCTION("ifna(VALUE(REGEXEXTRACT(E306,""[0-9.]+[,]+[0-9]+"")))"),"")</f>
        <v/>
      </c>
      <c r="O306" s="194"/>
      <c r="P306" s="194"/>
      <c r="Q306" s="194"/>
      <c r="R306" s="194"/>
      <c r="S306" s="194"/>
      <c r="T306" s="194"/>
      <c r="U306" s="194"/>
      <c r="V306" s="194"/>
      <c r="W306" s="194"/>
    </row>
    <row r="307" ht="14.25" customHeight="1">
      <c r="A307" s="31"/>
      <c r="B307" s="268"/>
      <c r="C307" s="269"/>
      <c r="D307" s="270"/>
      <c r="E307" s="271"/>
      <c r="F307" s="272"/>
      <c r="G307" s="273"/>
      <c r="H307" s="204"/>
      <c r="I307" s="204"/>
      <c r="J307" s="196"/>
      <c r="K307" s="202"/>
      <c r="L307" s="192" t="str">
        <f>IFERROR(__xludf.DUMMYFUNCTION("IF(
  AND(D307=""Saída"", J307=""Sangria""),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198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94" t="str">
        <f>IFERROR(__xludf.DUMMYFUNCTION("ifna(VALUE(REGEXEXTRACT(E307,""[0-9.]+[,]+[0-9]+"")))"),"")</f>
        <v/>
      </c>
      <c r="O307" s="194"/>
      <c r="P307" s="194"/>
      <c r="Q307" s="194"/>
      <c r="R307" s="194"/>
      <c r="S307" s="194"/>
      <c r="T307" s="194"/>
      <c r="U307" s="194"/>
      <c r="V307" s="194"/>
      <c r="W307" s="194"/>
    </row>
    <row r="308" ht="14.25" customHeight="1">
      <c r="A308" s="31"/>
      <c r="B308" s="268"/>
      <c r="C308" s="269"/>
      <c r="D308" s="270"/>
      <c r="E308" s="271"/>
      <c r="F308" s="276"/>
      <c r="G308" s="273"/>
      <c r="H308" s="204"/>
      <c r="I308" s="204"/>
      <c r="J308" s="196"/>
      <c r="K308" s="196"/>
      <c r="L308" s="192" t="str">
        <f>IFERROR(__xludf.DUMMYFUNCTION("IF(
  AND(D308=""Saída"", J308=""Sangria""),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197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94" t="str">
        <f>IFERROR(__xludf.DUMMYFUNCTION("ifna(VALUE(REGEXEXTRACT(E308,""[0-9.]+[,]+[0-9]+"")))"),"")</f>
        <v/>
      </c>
      <c r="O308" s="194"/>
      <c r="P308" s="194"/>
      <c r="Q308" s="194"/>
      <c r="R308" s="194"/>
      <c r="S308" s="194"/>
      <c r="T308" s="194"/>
      <c r="U308" s="194"/>
      <c r="V308" s="194"/>
      <c r="W308" s="194"/>
    </row>
    <row r="309" ht="14.25" customHeight="1">
      <c r="A309" s="31"/>
      <c r="B309" s="268"/>
      <c r="C309" s="269"/>
      <c r="D309" s="270"/>
      <c r="E309" s="271"/>
      <c r="F309" s="272"/>
      <c r="G309" s="273"/>
      <c r="H309" s="204"/>
      <c r="I309" s="204"/>
      <c r="J309" s="212"/>
      <c r="K309" s="196"/>
      <c r="L309" s="192" t="str">
        <f>IFERROR(__xludf.DUMMYFUNCTION("IF(
  AND(D309=""Saída"", J309=""Sangria""),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198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94" t="str">
        <f>IFERROR(__xludf.DUMMYFUNCTION("ifna(VALUE(REGEXEXTRACT(E309,""[0-9.]+[,]+[0-9]+"")))"),"")</f>
        <v/>
      </c>
      <c r="O309" s="194"/>
      <c r="P309" s="194"/>
      <c r="Q309" s="194"/>
      <c r="R309" s="194"/>
      <c r="S309" s="194"/>
      <c r="T309" s="194"/>
      <c r="U309" s="194"/>
      <c r="V309" s="194"/>
      <c r="W309" s="194"/>
    </row>
    <row r="310" ht="14.25" customHeight="1">
      <c r="A310" s="31"/>
      <c r="B310" s="268"/>
      <c r="C310" s="269"/>
      <c r="D310" s="270"/>
      <c r="E310" s="271"/>
      <c r="F310" s="272"/>
      <c r="G310" s="273"/>
      <c r="H310" s="204"/>
      <c r="I310" s="204"/>
      <c r="J310" s="196"/>
      <c r="K310" s="196"/>
      <c r="L310" s="192" t="str">
        <f>IFERROR(__xludf.DUMMYFUNCTION("IF(
  AND(D310=""Saída"", J310=""Sangria""),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197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94" t="str">
        <f>IFERROR(__xludf.DUMMYFUNCTION("ifna(VALUE(REGEXEXTRACT(E310,""[0-9.]+[,]+[0-9]+"")))"),"")</f>
        <v/>
      </c>
      <c r="O310" s="194"/>
      <c r="P310" s="194"/>
      <c r="Q310" s="194"/>
      <c r="R310" s="194"/>
      <c r="S310" s="194"/>
      <c r="T310" s="194"/>
      <c r="U310" s="194"/>
      <c r="V310" s="194"/>
      <c r="W310" s="194"/>
    </row>
    <row r="311" ht="14.25" customHeight="1">
      <c r="A311" s="31"/>
      <c r="B311" s="268"/>
      <c r="C311" s="269"/>
      <c r="D311" s="270"/>
      <c r="E311" s="271"/>
      <c r="F311" s="272"/>
      <c r="G311" s="273"/>
      <c r="H311" s="204"/>
      <c r="I311" s="204"/>
      <c r="J311" s="196"/>
      <c r="K311" s="196"/>
      <c r="L311" s="192" t="str">
        <f>IFERROR(__xludf.DUMMYFUNCTION("IF(
  AND(D311=""Saída"", J311=""Sangria""),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198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94" t="str">
        <f>IFERROR(__xludf.DUMMYFUNCTION("ifna(VALUE(REGEXEXTRACT(E311,""[0-9.]+[,]+[0-9]+"")))"),"")</f>
        <v/>
      </c>
      <c r="O311" s="194"/>
      <c r="P311" s="194"/>
      <c r="Q311" s="194"/>
      <c r="R311" s="194"/>
      <c r="S311" s="194"/>
      <c r="T311" s="194"/>
      <c r="U311" s="194"/>
      <c r="V311" s="194"/>
      <c r="W311" s="194"/>
    </row>
    <row r="312" ht="14.25" customHeight="1">
      <c r="A312" s="31"/>
      <c r="B312" s="268"/>
      <c r="C312" s="269"/>
      <c r="D312" s="270"/>
      <c r="E312" s="271"/>
      <c r="F312" s="272"/>
      <c r="G312" s="273"/>
      <c r="H312" s="204"/>
      <c r="I312" s="204"/>
      <c r="J312" s="196"/>
      <c r="K312" s="196"/>
      <c r="L312" s="192" t="str">
        <f>IFERROR(__xludf.DUMMYFUNCTION("IF(
  AND(D312=""Saída"", J312=""Sangria""),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197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94" t="str">
        <f>IFERROR(__xludf.DUMMYFUNCTION("ifna(VALUE(REGEXEXTRACT(E312,""[0-9.]+[,]+[0-9]+"")))"),"")</f>
        <v/>
      </c>
      <c r="O312" s="194"/>
      <c r="P312" s="194"/>
      <c r="Q312" s="194"/>
      <c r="R312" s="194"/>
      <c r="S312" s="194"/>
      <c r="T312" s="194"/>
      <c r="U312" s="194"/>
      <c r="V312" s="194"/>
      <c r="W312" s="194"/>
    </row>
    <row r="313" ht="14.25" customHeight="1">
      <c r="A313" s="31"/>
      <c r="B313" s="268"/>
      <c r="C313" s="269"/>
      <c r="D313" s="270"/>
      <c r="E313" s="271"/>
      <c r="F313" s="272"/>
      <c r="G313" s="273"/>
      <c r="H313" s="204"/>
      <c r="I313" s="204"/>
      <c r="J313" s="196"/>
      <c r="K313" s="196"/>
      <c r="L313" s="192" t="str">
        <f>IFERROR(__xludf.DUMMYFUNCTION("IF(
  AND(D313=""Saída"", J313=""Sangria""),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198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94" t="str">
        <f>IFERROR(__xludf.DUMMYFUNCTION("ifna(VALUE(REGEXEXTRACT(E313,""[0-9.]+[,]+[0-9]+"")))"),"")</f>
        <v/>
      </c>
      <c r="O313" s="194"/>
      <c r="P313" s="194"/>
      <c r="Q313" s="194"/>
      <c r="R313" s="194"/>
      <c r="S313" s="194"/>
      <c r="T313" s="194"/>
      <c r="U313" s="194"/>
      <c r="V313" s="194"/>
      <c r="W313" s="194"/>
    </row>
    <row r="314" ht="14.25" customHeight="1">
      <c r="A314" s="31"/>
      <c r="B314" s="268"/>
      <c r="C314" s="269"/>
      <c r="D314" s="270"/>
      <c r="E314" s="271"/>
      <c r="F314" s="276"/>
      <c r="G314" s="273"/>
      <c r="H314" s="204"/>
      <c r="I314" s="204"/>
      <c r="J314" s="196"/>
      <c r="K314" s="196"/>
      <c r="L314" s="192" t="str">
        <f>IFERROR(__xludf.DUMMYFUNCTION("IF(
  AND(D314=""Saída"", J314=""Sangria""),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197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94" t="str">
        <f>IFERROR(__xludf.DUMMYFUNCTION("ifna(VALUE(REGEXEXTRACT(E314,""[0-9.]+[,]+[0-9]+"")))"),"")</f>
        <v/>
      </c>
      <c r="O314" s="194"/>
      <c r="P314" s="194"/>
      <c r="Q314" s="194"/>
      <c r="R314" s="194"/>
      <c r="S314" s="194"/>
      <c r="T314" s="194"/>
      <c r="U314" s="194"/>
      <c r="V314" s="194"/>
      <c r="W314" s="194"/>
    </row>
    <row r="315" ht="14.25" customHeight="1">
      <c r="A315" s="31"/>
      <c r="B315" s="268"/>
      <c r="C315" s="269"/>
      <c r="D315" s="270"/>
      <c r="E315" s="271"/>
      <c r="F315" s="272"/>
      <c r="G315" s="273"/>
      <c r="H315" s="204"/>
      <c r="I315" s="204"/>
      <c r="J315" s="196"/>
      <c r="K315" s="196"/>
      <c r="L315" s="192" t="str">
        <f>IFERROR(__xludf.DUMMYFUNCTION("IF(
  AND(D315=""Saída"", J315=""Sangria""),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198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94" t="str">
        <f>IFERROR(__xludf.DUMMYFUNCTION("ifna(VALUE(REGEXEXTRACT(E315,""[0-9.]+[,]+[0-9]+"")))"),"")</f>
        <v/>
      </c>
      <c r="O315" s="194"/>
      <c r="P315" s="194"/>
      <c r="Q315" s="194"/>
      <c r="R315" s="194"/>
      <c r="S315" s="194"/>
      <c r="T315" s="194"/>
      <c r="U315" s="194"/>
      <c r="V315" s="194"/>
      <c r="W315" s="194"/>
    </row>
    <row r="316" ht="14.25" customHeight="1">
      <c r="A316" s="31"/>
      <c r="B316" s="268"/>
      <c r="C316" s="269"/>
      <c r="D316" s="270"/>
      <c r="E316" s="271"/>
      <c r="F316" s="276"/>
      <c r="G316" s="273"/>
      <c r="H316" s="204"/>
      <c r="I316" s="204"/>
      <c r="J316" s="196"/>
      <c r="K316" s="196"/>
      <c r="L316" s="192" t="str">
        <f>IFERROR(__xludf.DUMMYFUNCTION("IF(
  AND(D316=""Saída"", J316=""Sangria""),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197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94" t="str">
        <f>IFERROR(__xludf.DUMMYFUNCTION("ifna(VALUE(REGEXEXTRACT(E316,""[0-9.]+[,]+[0-9]+"")))"),"")</f>
        <v/>
      </c>
      <c r="O316" s="194"/>
      <c r="P316" s="194"/>
      <c r="Q316" s="194"/>
      <c r="R316" s="194"/>
      <c r="S316" s="194"/>
      <c r="T316" s="194"/>
      <c r="U316" s="194"/>
      <c r="V316" s="194"/>
      <c r="W316" s="194"/>
    </row>
    <row r="317" ht="14.25" customHeight="1">
      <c r="A317" s="31"/>
      <c r="B317" s="268"/>
      <c r="C317" s="269"/>
      <c r="D317" s="270"/>
      <c r="E317" s="271"/>
      <c r="F317" s="272"/>
      <c r="G317" s="273"/>
      <c r="H317" s="204"/>
      <c r="I317" s="204"/>
      <c r="J317" s="196"/>
      <c r="K317" s="196"/>
      <c r="L317" s="192" t="str">
        <f>IFERROR(__xludf.DUMMYFUNCTION("IF(
  AND(D317=""Saída"", J317=""Sangria""),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198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94" t="str">
        <f>IFERROR(__xludf.DUMMYFUNCTION("ifna(VALUE(REGEXEXTRACT(E317,""[0-9.]+[,]+[0-9]+"")))"),"")</f>
        <v/>
      </c>
      <c r="O317" s="194"/>
      <c r="P317" s="194"/>
      <c r="Q317" s="194"/>
      <c r="R317" s="194"/>
      <c r="S317" s="194"/>
      <c r="T317" s="194"/>
      <c r="U317" s="194"/>
      <c r="V317" s="194"/>
      <c r="W317" s="194"/>
    </row>
    <row r="318" ht="14.25" customHeight="1">
      <c r="A318" s="31"/>
      <c r="B318" s="268"/>
      <c r="C318" s="269"/>
      <c r="D318" s="270"/>
      <c r="E318" s="271"/>
      <c r="F318" s="272"/>
      <c r="G318" s="273"/>
      <c r="H318" s="204"/>
      <c r="I318" s="204"/>
      <c r="J318" s="196"/>
      <c r="K318" s="196"/>
      <c r="L318" s="192" t="str">
        <f>IFERROR(__xludf.DUMMYFUNCTION("IF(
  AND(D318=""Saída"", J318=""Sangria""),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197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94" t="str">
        <f>IFERROR(__xludf.DUMMYFUNCTION("ifna(VALUE(REGEXEXTRACT(E318,""[0-9.]+[,]+[0-9]+"")))"),"")</f>
        <v/>
      </c>
      <c r="O318" s="194"/>
      <c r="P318" s="194"/>
      <c r="Q318" s="194"/>
      <c r="R318" s="194"/>
      <c r="S318" s="194"/>
      <c r="T318" s="194"/>
      <c r="U318" s="194"/>
      <c r="V318" s="194"/>
      <c r="W318" s="194"/>
    </row>
    <row r="319" ht="14.25" customHeight="1">
      <c r="A319" s="31"/>
      <c r="B319" s="268"/>
      <c r="C319" s="269"/>
      <c r="D319" s="270"/>
      <c r="E319" s="271"/>
      <c r="F319" s="272"/>
      <c r="G319" s="273"/>
      <c r="H319" s="204"/>
      <c r="I319" s="204"/>
      <c r="J319" s="196"/>
      <c r="K319" s="196"/>
      <c r="L319" s="192" t="str">
        <f>IFERROR(__xludf.DUMMYFUNCTION("IF(
  AND(D319=""Saída"", J319=""Sangria""),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198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94" t="str">
        <f>IFERROR(__xludf.DUMMYFUNCTION("ifna(VALUE(REGEXEXTRACT(E319,""[0-9.]+[,]+[0-9]+"")))"),"")</f>
        <v/>
      </c>
      <c r="O319" s="194"/>
      <c r="P319" s="194"/>
      <c r="Q319" s="194"/>
      <c r="R319" s="194"/>
      <c r="S319" s="194"/>
      <c r="T319" s="194"/>
      <c r="U319" s="194"/>
      <c r="V319" s="194"/>
      <c r="W319" s="194"/>
    </row>
    <row r="320" ht="14.25" customHeight="1">
      <c r="A320" s="31"/>
      <c r="B320" s="268"/>
      <c r="C320" s="269"/>
      <c r="D320" s="270"/>
      <c r="E320" s="271"/>
      <c r="F320" s="272"/>
      <c r="G320" s="273"/>
      <c r="H320" s="204"/>
      <c r="I320" s="204"/>
      <c r="J320" s="196"/>
      <c r="K320" s="196"/>
      <c r="L320" s="192" t="str">
        <f>IFERROR(__xludf.DUMMYFUNCTION("IF(
  AND(D320=""Saída"", J320=""Sangria""),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197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94" t="str">
        <f>IFERROR(__xludf.DUMMYFUNCTION("ifna(VALUE(REGEXEXTRACT(E320,""[0-9.]+[,]+[0-9]+"")))"),"")</f>
        <v/>
      </c>
      <c r="O320" s="194"/>
      <c r="P320" s="194"/>
      <c r="Q320" s="194"/>
      <c r="R320" s="194"/>
      <c r="S320" s="194"/>
      <c r="T320" s="194"/>
      <c r="U320" s="194"/>
      <c r="V320" s="194"/>
      <c r="W320" s="194"/>
    </row>
    <row r="321" ht="14.25" customHeight="1">
      <c r="A321" s="31"/>
      <c r="B321" s="268"/>
      <c r="C321" s="269"/>
      <c r="D321" s="270"/>
      <c r="E321" s="271"/>
      <c r="F321" s="272"/>
      <c r="G321" s="273"/>
      <c r="H321" s="204"/>
      <c r="I321" s="204"/>
      <c r="J321" s="196"/>
      <c r="K321" s="196"/>
      <c r="L321" s="192" t="str">
        <f>IFERROR(__xludf.DUMMYFUNCTION("IF(
  AND(D321=""Saída"", J321=""Sangria""),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198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94" t="str">
        <f>IFERROR(__xludf.DUMMYFUNCTION("ifna(VALUE(REGEXEXTRACT(E321,""[0-9.]+[,]+[0-9]+"")))"),"")</f>
        <v/>
      </c>
      <c r="O321" s="194"/>
      <c r="P321" s="194"/>
      <c r="Q321" s="194"/>
      <c r="R321" s="194"/>
      <c r="S321" s="194"/>
      <c r="T321" s="194"/>
      <c r="U321" s="194"/>
      <c r="V321" s="194"/>
      <c r="W321" s="194"/>
    </row>
    <row r="322" ht="14.25" customHeight="1">
      <c r="A322" s="31"/>
      <c r="B322" s="268"/>
      <c r="C322" s="269"/>
      <c r="D322" s="270"/>
      <c r="E322" s="271"/>
      <c r="F322" s="272"/>
      <c r="G322" s="273"/>
      <c r="H322" s="204"/>
      <c r="I322" s="204"/>
      <c r="J322" s="196"/>
      <c r="K322" s="196"/>
      <c r="L322" s="192" t="str">
        <f>IFERROR(__xludf.DUMMYFUNCTION("IF(
  AND(D322=""Saída"", J322=""Sangria""),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197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94" t="str">
        <f>IFERROR(__xludf.DUMMYFUNCTION("ifna(VALUE(REGEXEXTRACT(E322,""[0-9.]+[,]+[0-9]+"")))"),"")</f>
        <v/>
      </c>
      <c r="O322" s="194"/>
      <c r="P322" s="194"/>
      <c r="Q322" s="194"/>
      <c r="R322" s="194"/>
      <c r="S322" s="194"/>
      <c r="T322" s="194"/>
      <c r="U322" s="194"/>
      <c r="V322" s="194"/>
      <c r="W322" s="194"/>
    </row>
    <row r="323" ht="14.25" customHeight="1">
      <c r="A323" s="31"/>
      <c r="B323" s="268"/>
      <c r="C323" s="269"/>
      <c r="D323" s="270"/>
      <c r="E323" s="271"/>
      <c r="F323" s="272"/>
      <c r="G323" s="273"/>
      <c r="H323" s="204"/>
      <c r="I323" s="204"/>
      <c r="J323" s="196"/>
      <c r="K323" s="196"/>
      <c r="L323" s="192" t="str">
        <f>IFERROR(__xludf.DUMMYFUNCTION("IF(
  AND(D323=""Saída"", J323=""Sangria""),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198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94" t="str">
        <f>IFERROR(__xludf.DUMMYFUNCTION("ifna(VALUE(REGEXEXTRACT(E323,""[0-9.]+[,]+[0-9]+"")))"),"")</f>
        <v/>
      </c>
      <c r="O323" s="194"/>
      <c r="P323" s="194"/>
      <c r="Q323" s="194"/>
      <c r="R323" s="194"/>
      <c r="S323" s="194"/>
      <c r="T323" s="194"/>
      <c r="U323" s="194"/>
      <c r="V323" s="194"/>
      <c r="W323" s="194"/>
    </row>
    <row r="324" ht="14.25" customHeight="1">
      <c r="A324" s="31"/>
      <c r="B324" s="268"/>
      <c r="C324" s="269"/>
      <c r="D324" s="270"/>
      <c r="E324" s="271"/>
      <c r="F324" s="272"/>
      <c r="G324" s="273"/>
      <c r="H324" s="204"/>
      <c r="I324" s="204"/>
      <c r="J324" s="196"/>
      <c r="K324" s="196"/>
      <c r="L324" s="192" t="str">
        <f>IFERROR(__xludf.DUMMYFUNCTION("IF(
  AND(D324=""Saída"", J324=""Sangria""),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197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94" t="str">
        <f>IFERROR(__xludf.DUMMYFUNCTION("ifna(VALUE(REGEXEXTRACT(E324,""[0-9.]+[,]+[0-9]+"")))"),"")</f>
        <v/>
      </c>
      <c r="O324" s="194"/>
      <c r="P324" s="194"/>
      <c r="Q324" s="194"/>
      <c r="R324" s="194"/>
      <c r="S324" s="194"/>
      <c r="T324" s="194"/>
      <c r="U324" s="194"/>
      <c r="V324" s="194"/>
      <c r="W324" s="194"/>
    </row>
    <row r="325" ht="14.25" customHeight="1">
      <c r="A325" s="31"/>
      <c r="B325" s="268"/>
      <c r="C325" s="269"/>
      <c r="D325" s="270"/>
      <c r="E325" s="271"/>
      <c r="F325" s="272"/>
      <c r="G325" s="273"/>
      <c r="H325" s="204"/>
      <c r="I325" s="204"/>
      <c r="J325" s="196"/>
      <c r="K325" s="196"/>
      <c r="L325" s="192" t="str">
        <f>IFERROR(__xludf.DUMMYFUNCTION("IF(
  AND(D325=""Saída"", J325=""Sangria""),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198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94" t="str">
        <f>IFERROR(__xludf.DUMMYFUNCTION("ifna(VALUE(REGEXEXTRACT(E325,""[0-9.]+[,]+[0-9]+"")))"),"")</f>
        <v/>
      </c>
      <c r="O325" s="194"/>
      <c r="P325" s="194"/>
      <c r="Q325" s="194"/>
      <c r="R325" s="194"/>
      <c r="S325" s="194"/>
      <c r="T325" s="194"/>
      <c r="U325" s="194"/>
      <c r="V325" s="194"/>
      <c r="W325" s="194"/>
    </row>
    <row r="326" ht="14.25" customHeight="1">
      <c r="A326" s="31"/>
      <c r="B326" s="268"/>
      <c r="C326" s="269"/>
      <c r="D326" s="270"/>
      <c r="E326" s="271"/>
      <c r="F326" s="276"/>
      <c r="G326" s="273"/>
      <c r="H326" s="204"/>
      <c r="I326" s="204"/>
      <c r="J326" s="196"/>
      <c r="K326" s="196"/>
      <c r="L326" s="192" t="str">
        <f>IFERROR(__xludf.DUMMYFUNCTION("IF(
  AND(D326=""Saída"", J326=""Sangria""),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197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94" t="str">
        <f>IFERROR(__xludf.DUMMYFUNCTION("ifna(VALUE(REGEXEXTRACT(E326,""[0-9.]+[,]+[0-9]+"")))"),"")</f>
        <v/>
      </c>
      <c r="O326" s="194"/>
      <c r="P326" s="194"/>
      <c r="Q326" s="194"/>
      <c r="R326" s="194"/>
      <c r="S326" s="194"/>
      <c r="T326" s="194"/>
      <c r="U326" s="194"/>
      <c r="V326" s="194"/>
      <c r="W326" s="194"/>
    </row>
    <row r="327" ht="14.25" customHeight="1">
      <c r="A327" s="31"/>
      <c r="B327" s="268"/>
      <c r="C327" s="269"/>
      <c r="D327" s="270"/>
      <c r="E327" s="271"/>
      <c r="F327" s="272"/>
      <c r="G327" s="273"/>
      <c r="H327" s="204"/>
      <c r="I327" s="204"/>
      <c r="J327" s="196"/>
      <c r="K327" s="196"/>
      <c r="L327" s="192" t="str">
        <f>IFERROR(__xludf.DUMMYFUNCTION("IF(
  AND(D327=""Saída"", J327=""Sangria""),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198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94" t="str">
        <f>IFERROR(__xludf.DUMMYFUNCTION("ifna(VALUE(REGEXEXTRACT(E327,""[0-9.]+[,]+[0-9]+"")))"),"")</f>
        <v/>
      </c>
      <c r="O327" s="194"/>
      <c r="P327" s="194"/>
      <c r="Q327" s="194"/>
      <c r="R327" s="194"/>
      <c r="S327" s="194"/>
      <c r="T327" s="194"/>
      <c r="U327" s="194"/>
      <c r="V327" s="194"/>
      <c r="W327" s="194"/>
    </row>
    <row r="328" ht="14.25" customHeight="1">
      <c r="A328" s="31"/>
      <c r="B328" s="268"/>
      <c r="C328" s="269"/>
      <c r="D328" s="270"/>
      <c r="E328" s="271"/>
      <c r="F328" s="272"/>
      <c r="G328" s="273"/>
      <c r="H328" s="204"/>
      <c r="I328" s="204"/>
      <c r="J328" s="196"/>
      <c r="K328" s="196"/>
      <c r="L328" s="192" t="str">
        <f>IFERROR(__xludf.DUMMYFUNCTION("IF(
  AND(D328=""Saída"", J328=""Sangria""),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197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94" t="str">
        <f>IFERROR(__xludf.DUMMYFUNCTION("ifna(VALUE(REGEXEXTRACT(E328,""[0-9.]+[,]+[0-9]+"")))"),"")</f>
        <v/>
      </c>
      <c r="O328" s="194"/>
      <c r="P328" s="194"/>
      <c r="Q328" s="194"/>
      <c r="R328" s="194"/>
      <c r="S328" s="194"/>
      <c r="T328" s="194"/>
      <c r="U328" s="194"/>
      <c r="V328" s="194"/>
      <c r="W328" s="194"/>
    </row>
    <row r="329" ht="14.25" customHeight="1">
      <c r="A329" s="31"/>
      <c r="B329" s="268"/>
      <c r="C329" s="269"/>
      <c r="D329" s="270"/>
      <c r="E329" s="271"/>
      <c r="F329" s="272"/>
      <c r="G329" s="273"/>
      <c r="H329" s="204"/>
      <c r="I329" s="204"/>
      <c r="J329" s="196"/>
      <c r="K329" s="196"/>
      <c r="L329" s="192" t="str">
        <f>IFERROR(__xludf.DUMMYFUNCTION("IF(
  AND(D329=""Saída"", J329=""Sangria""),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198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94" t="str">
        <f>IFERROR(__xludf.DUMMYFUNCTION("ifna(VALUE(REGEXEXTRACT(E329,""[0-9.]+[,]+[0-9]+"")))"),"")</f>
        <v/>
      </c>
      <c r="O329" s="194"/>
      <c r="P329" s="194"/>
      <c r="Q329" s="194"/>
      <c r="R329" s="194"/>
      <c r="S329" s="194"/>
      <c r="T329" s="194"/>
      <c r="U329" s="194"/>
      <c r="V329" s="194"/>
      <c r="W329" s="194"/>
    </row>
    <row r="330" ht="14.25" customHeight="1">
      <c r="A330" s="31"/>
      <c r="B330" s="268"/>
      <c r="C330" s="269"/>
      <c r="D330" s="270"/>
      <c r="E330" s="271"/>
      <c r="F330" s="272"/>
      <c r="G330" s="273"/>
      <c r="H330" s="204"/>
      <c r="I330" s="204"/>
      <c r="J330" s="196"/>
      <c r="K330" s="196"/>
      <c r="L330" s="192" t="str">
        <f>IFERROR(__xludf.DUMMYFUNCTION("IF(
  AND(D330=""Saída"", J330=""Sangria""),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197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94" t="str">
        <f>IFERROR(__xludf.DUMMYFUNCTION("ifna(VALUE(REGEXEXTRACT(E330,""[0-9.]+[,]+[0-9]+"")))"),"")</f>
        <v/>
      </c>
      <c r="O330" s="194"/>
      <c r="P330" s="194"/>
      <c r="Q330" s="194"/>
      <c r="R330" s="194"/>
      <c r="S330" s="194"/>
      <c r="T330" s="194"/>
      <c r="U330" s="194"/>
      <c r="V330" s="194"/>
      <c r="W330" s="194"/>
    </row>
    <row r="331" ht="14.25" customHeight="1">
      <c r="A331" s="31"/>
      <c r="B331" s="268"/>
      <c r="C331" s="269"/>
      <c r="D331" s="270"/>
      <c r="E331" s="271"/>
      <c r="F331" s="272"/>
      <c r="G331" s="273"/>
      <c r="H331" s="204"/>
      <c r="I331" s="204"/>
      <c r="J331" s="196"/>
      <c r="K331" s="196"/>
      <c r="L331" s="192" t="str">
        <f>IFERROR(__xludf.DUMMYFUNCTION("IF(
  AND(D331=""Saída"", J331=""Sangria""),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198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94" t="str">
        <f>IFERROR(__xludf.DUMMYFUNCTION("ifna(VALUE(REGEXEXTRACT(E331,""[0-9.]+[,]+[0-9]+"")))"),"")</f>
        <v/>
      </c>
      <c r="O331" s="194"/>
      <c r="P331" s="194"/>
      <c r="Q331" s="194"/>
      <c r="R331" s="194"/>
      <c r="S331" s="194"/>
      <c r="T331" s="194"/>
      <c r="U331" s="194"/>
      <c r="V331" s="194"/>
      <c r="W331" s="194"/>
    </row>
    <row r="332" ht="14.25" customHeight="1">
      <c r="A332" s="31"/>
      <c r="B332" s="268"/>
      <c r="C332" s="269"/>
      <c r="D332" s="270"/>
      <c r="E332" s="271"/>
      <c r="F332" s="272"/>
      <c r="G332" s="273"/>
      <c r="H332" s="204"/>
      <c r="I332" s="204"/>
      <c r="J332" s="196"/>
      <c r="K332" s="202"/>
      <c r="L332" s="192" t="str">
        <f>IFERROR(__xludf.DUMMYFUNCTION("IF(
  AND(D332=""Saída"", J332=""Sangria""),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197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94" t="str">
        <f>IFERROR(__xludf.DUMMYFUNCTION("ifna(VALUE(REGEXEXTRACT(E332,""[0-9.]+[,]+[0-9]+"")))"),"")</f>
        <v/>
      </c>
      <c r="O332" s="194"/>
      <c r="P332" s="194"/>
      <c r="Q332" s="194"/>
      <c r="R332" s="194"/>
      <c r="S332" s="194"/>
      <c r="T332" s="194"/>
      <c r="U332" s="194"/>
      <c r="V332" s="194"/>
      <c r="W332" s="194"/>
    </row>
    <row r="333" ht="14.25" customHeight="1">
      <c r="A333" s="31"/>
      <c r="B333" s="268"/>
      <c r="C333" s="269"/>
      <c r="D333" s="270"/>
      <c r="E333" s="271"/>
      <c r="F333" s="272"/>
      <c r="G333" s="273"/>
      <c r="H333" s="204"/>
      <c r="I333" s="204"/>
      <c r="J333" s="196"/>
      <c r="K333" s="196"/>
      <c r="L333" s="192" t="str">
        <f>IFERROR(__xludf.DUMMYFUNCTION("IF(
  AND(D333=""Saída"", J333=""Sangria""),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198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94" t="str">
        <f>IFERROR(__xludf.DUMMYFUNCTION("ifna(VALUE(REGEXEXTRACT(E333,""[0-9.]+[,]+[0-9]+"")))"),"")</f>
        <v/>
      </c>
      <c r="O333" s="194"/>
      <c r="P333" s="194"/>
      <c r="Q333" s="194"/>
      <c r="R333" s="194"/>
      <c r="S333" s="194"/>
      <c r="T333" s="194"/>
      <c r="U333" s="194"/>
      <c r="V333" s="194"/>
      <c r="W333" s="194"/>
    </row>
    <row r="334" ht="14.25" customHeight="1">
      <c r="A334" s="31"/>
      <c r="B334" s="268"/>
      <c r="C334" s="269"/>
      <c r="D334" s="270"/>
      <c r="E334" s="271"/>
      <c r="F334" s="272"/>
      <c r="G334" s="273"/>
      <c r="H334" s="204"/>
      <c r="I334" s="204"/>
      <c r="J334" s="196"/>
      <c r="K334" s="196"/>
      <c r="L334" s="192" t="str">
        <f>IFERROR(__xludf.DUMMYFUNCTION("IF(
  AND(D334=""Saída"", J334=""Sangria""),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197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94" t="str">
        <f>IFERROR(__xludf.DUMMYFUNCTION("ifna(VALUE(REGEXEXTRACT(E334,""[0-9.]+[,]+[0-9]+"")))"),"")</f>
        <v/>
      </c>
      <c r="O334" s="194"/>
      <c r="P334" s="194"/>
      <c r="Q334" s="194"/>
      <c r="R334" s="194"/>
      <c r="S334" s="194"/>
      <c r="T334" s="194"/>
      <c r="U334" s="194"/>
      <c r="V334" s="194"/>
      <c r="W334" s="194"/>
    </row>
    <row r="335" ht="14.25" customHeight="1">
      <c r="A335" s="31"/>
      <c r="B335" s="268"/>
      <c r="C335" s="269"/>
      <c r="D335" s="270"/>
      <c r="E335" s="271"/>
      <c r="F335" s="272"/>
      <c r="G335" s="273"/>
      <c r="H335" s="204"/>
      <c r="I335" s="204"/>
      <c r="J335" s="196"/>
      <c r="K335" s="196"/>
      <c r="L335" s="192" t="str">
        <f>IFERROR(__xludf.DUMMYFUNCTION("IF(
  AND(D335=""Saída"", J335=""Sangria""),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198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94" t="str">
        <f>IFERROR(__xludf.DUMMYFUNCTION("ifna(VALUE(REGEXEXTRACT(E335,""[0-9.]+[,]+[0-9]+"")))"),"")</f>
        <v/>
      </c>
      <c r="O335" s="194"/>
      <c r="P335" s="194"/>
      <c r="Q335" s="194"/>
      <c r="R335" s="194"/>
      <c r="S335" s="194"/>
      <c r="T335" s="194"/>
      <c r="U335" s="194"/>
      <c r="V335" s="194"/>
      <c r="W335" s="194"/>
    </row>
    <row r="336" ht="14.25" customHeight="1">
      <c r="A336" s="31"/>
      <c r="B336" s="268"/>
      <c r="C336" s="269"/>
      <c r="D336" s="270"/>
      <c r="E336" s="271"/>
      <c r="F336" s="276"/>
      <c r="G336" s="273"/>
      <c r="H336" s="204"/>
      <c r="I336" s="204"/>
      <c r="J336" s="196"/>
      <c r="K336" s="196"/>
      <c r="L336" s="192" t="str">
        <f>IFERROR(__xludf.DUMMYFUNCTION("IF(
  AND(D336=""Saída"", J336=""Sangria""),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197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94" t="str">
        <f>IFERROR(__xludf.DUMMYFUNCTION("ifna(VALUE(REGEXEXTRACT(E336,""[0-9.]+[,]+[0-9]+"")))"),"")</f>
        <v/>
      </c>
      <c r="O336" s="194"/>
      <c r="P336" s="194"/>
      <c r="Q336" s="194"/>
      <c r="R336" s="194"/>
      <c r="S336" s="194"/>
      <c r="T336" s="194"/>
      <c r="U336" s="194"/>
      <c r="V336" s="194"/>
      <c r="W336" s="194"/>
    </row>
    <row r="337" ht="14.25" customHeight="1">
      <c r="A337" s="31"/>
      <c r="B337" s="268"/>
      <c r="C337" s="269"/>
      <c r="D337" s="270"/>
      <c r="E337" s="275"/>
      <c r="F337" s="272"/>
      <c r="G337" s="273"/>
      <c r="H337" s="204"/>
      <c r="I337" s="204"/>
      <c r="J337" s="196"/>
      <c r="K337" s="196"/>
      <c r="L337" s="192" t="str">
        <f>IFERROR(__xludf.DUMMYFUNCTION("IF(
  AND(D337=""Saída"", J337=""Sangria""),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198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94" t="str">
        <f>IFERROR(__xludf.DUMMYFUNCTION("ifna(VALUE(REGEXEXTRACT(E337,""[0-9.]+[,]+[0-9]+"")))"),"")</f>
        <v/>
      </c>
      <c r="O337" s="194"/>
      <c r="P337" s="194"/>
      <c r="Q337" s="194"/>
      <c r="R337" s="194"/>
      <c r="S337" s="194"/>
      <c r="T337" s="194"/>
      <c r="U337" s="194"/>
      <c r="V337" s="194"/>
      <c r="W337" s="194"/>
    </row>
    <row r="338" ht="14.25" customHeight="1">
      <c r="A338" s="31"/>
      <c r="B338" s="268"/>
      <c r="C338" s="269"/>
      <c r="D338" s="270"/>
      <c r="E338" s="271"/>
      <c r="F338" s="272"/>
      <c r="G338" s="273"/>
      <c r="H338" s="204"/>
      <c r="I338" s="204"/>
      <c r="J338" s="196"/>
      <c r="K338" s="202"/>
      <c r="L338" s="192" t="str">
        <f>IFERROR(__xludf.DUMMYFUNCTION("IF(
  AND(D338=""Saída"", J338=""Sangria""),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197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94" t="str">
        <f>IFERROR(__xludf.DUMMYFUNCTION("ifna(VALUE(REGEXEXTRACT(E338,""[0-9.]+[,]+[0-9]+"")))"),"")</f>
        <v/>
      </c>
      <c r="O338" s="194"/>
      <c r="P338" s="194"/>
      <c r="Q338" s="194"/>
      <c r="R338" s="194"/>
      <c r="S338" s="194"/>
      <c r="T338" s="194"/>
      <c r="U338" s="194"/>
      <c r="V338" s="194"/>
      <c r="W338" s="194"/>
    </row>
    <row r="339" ht="14.25" customHeight="1">
      <c r="A339" s="31"/>
      <c r="B339" s="268"/>
      <c r="C339" s="269"/>
      <c r="D339" s="270"/>
      <c r="E339" s="271"/>
      <c r="F339" s="272"/>
      <c r="G339" s="273"/>
      <c r="H339" s="204"/>
      <c r="I339" s="204"/>
      <c r="J339" s="196"/>
      <c r="K339" s="196"/>
      <c r="L339" s="192" t="str">
        <f>IFERROR(__xludf.DUMMYFUNCTION("IF(
  AND(D339=""Saída"", J339=""Sangria""),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198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94" t="str">
        <f>IFERROR(__xludf.DUMMYFUNCTION("ifna(VALUE(REGEXEXTRACT(E339,""[0-9.]+[,]+[0-9]+"")))"),"")</f>
        <v/>
      </c>
      <c r="O339" s="194"/>
      <c r="P339" s="194"/>
      <c r="Q339" s="194"/>
      <c r="R339" s="194"/>
      <c r="S339" s="194"/>
      <c r="T339" s="194"/>
      <c r="U339" s="194"/>
      <c r="V339" s="194"/>
      <c r="W339" s="194"/>
    </row>
    <row r="340" ht="14.25" customHeight="1">
      <c r="A340" s="31"/>
      <c r="B340" s="268"/>
      <c r="C340" s="269"/>
      <c r="D340" s="270"/>
      <c r="E340" s="271"/>
      <c r="F340" s="272"/>
      <c r="G340" s="273"/>
      <c r="H340" s="204"/>
      <c r="I340" s="204"/>
      <c r="J340" s="196"/>
      <c r="K340" s="196"/>
      <c r="L340" s="192" t="str">
        <f>IFERROR(__xludf.DUMMYFUNCTION("IF(
  AND(D340=""Saída"", J340=""Sangria""),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197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94" t="str">
        <f>IFERROR(__xludf.DUMMYFUNCTION("ifna(VALUE(REGEXEXTRACT(E340,""[0-9.]+[,]+[0-9]+"")))"),"")</f>
        <v/>
      </c>
      <c r="O340" s="194"/>
      <c r="P340" s="194"/>
      <c r="Q340" s="194"/>
      <c r="R340" s="194"/>
      <c r="S340" s="194"/>
      <c r="T340" s="194"/>
      <c r="U340" s="194"/>
      <c r="V340" s="194"/>
      <c r="W340" s="194"/>
    </row>
    <row r="341" ht="14.25" customHeight="1">
      <c r="A341" s="31"/>
      <c r="B341" s="268"/>
      <c r="C341" s="269"/>
      <c r="D341" s="270"/>
      <c r="E341" s="271"/>
      <c r="F341" s="276"/>
      <c r="G341" s="273"/>
      <c r="H341" s="204"/>
      <c r="I341" s="204"/>
      <c r="J341" s="196"/>
      <c r="K341" s="196"/>
      <c r="L341" s="192" t="str">
        <f>IFERROR(__xludf.DUMMYFUNCTION("IF(
  AND(D341=""Saída"", J341=""Sangria""),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198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94" t="str">
        <f>IFERROR(__xludf.DUMMYFUNCTION("ifna(VALUE(REGEXEXTRACT(E341,""[0-9.]+[,]+[0-9]+"")))"),"")</f>
        <v/>
      </c>
      <c r="O341" s="194"/>
      <c r="P341" s="194"/>
      <c r="Q341" s="194"/>
      <c r="R341" s="194"/>
      <c r="S341" s="194"/>
      <c r="T341" s="194"/>
      <c r="U341" s="194"/>
      <c r="V341" s="194"/>
      <c r="W341" s="194"/>
    </row>
    <row r="342" ht="14.25" customHeight="1">
      <c r="A342" s="31"/>
      <c r="B342" s="268"/>
      <c r="C342" s="269"/>
      <c r="D342" s="270"/>
      <c r="E342" s="271"/>
      <c r="F342" s="272"/>
      <c r="G342" s="274"/>
      <c r="H342" s="204"/>
      <c r="I342" s="204"/>
      <c r="J342" s="196"/>
      <c r="K342" s="202"/>
      <c r="L342" s="192" t="str">
        <f>IFERROR(__xludf.DUMMYFUNCTION("IF(
  AND(D342=""Saída"", J342=""Sangria""),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197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94" t="str">
        <f>IFERROR(__xludf.DUMMYFUNCTION("ifna(VALUE(REGEXEXTRACT(E342,""[0-9.]+[,]+[0-9]+"")))"),"")</f>
        <v/>
      </c>
      <c r="O342" s="194"/>
      <c r="P342" s="194"/>
      <c r="Q342" s="194"/>
      <c r="R342" s="194"/>
      <c r="S342" s="194"/>
      <c r="T342" s="194"/>
      <c r="U342" s="194"/>
      <c r="V342" s="194"/>
      <c r="W342" s="194"/>
    </row>
    <row r="343" ht="14.25" customHeight="1">
      <c r="A343" s="31"/>
      <c r="B343" s="268"/>
      <c r="C343" s="269"/>
      <c r="D343" s="270"/>
      <c r="E343" s="271"/>
      <c r="F343" s="272"/>
      <c r="G343" s="273"/>
      <c r="H343" s="204"/>
      <c r="I343" s="204"/>
      <c r="J343" s="196"/>
      <c r="K343" s="196"/>
      <c r="L343" s="192" t="str">
        <f>IFERROR(__xludf.DUMMYFUNCTION("IF(
  AND(D343=""Saída"", J343=""Sangria""),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198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94" t="str">
        <f>IFERROR(__xludf.DUMMYFUNCTION("ifna(VALUE(REGEXEXTRACT(E343,""[0-9.]+[,]+[0-9]+"")))"),"")</f>
        <v/>
      </c>
      <c r="O343" s="194"/>
      <c r="P343" s="194"/>
      <c r="Q343" s="194"/>
      <c r="R343" s="194"/>
      <c r="S343" s="194"/>
      <c r="T343" s="194"/>
      <c r="U343" s="194"/>
      <c r="V343" s="194"/>
      <c r="W343" s="194"/>
    </row>
    <row r="344" ht="14.25" customHeight="1">
      <c r="A344" s="31"/>
      <c r="B344" s="268"/>
      <c r="C344" s="269"/>
      <c r="D344" s="270"/>
      <c r="E344" s="271"/>
      <c r="F344" s="272"/>
      <c r="G344" s="273"/>
      <c r="H344" s="204"/>
      <c r="I344" s="204"/>
      <c r="J344" s="196"/>
      <c r="K344" s="196"/>
      <c r="L344" s="192" t="str">
        <f>IFERROR(__xludf.DUMMYFUNCTION("IF(
  AND(D344=""Saída"", J344=""Sangria""),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197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94" t="str">
        <f>IFERROR(__xludf.DUMMYFUNCTION("ifna(VALUE(REGEXEXTRACT(E344,""[0-9.]+[,]+[0-9]+"")))"),"")</f>
        <v/>
      </c>
      <c r="O344" s="194"/>
      <c r="P344" s="194"/>
      <c r="Q344" s="194"/>
      <c r="R344" s="194"/>
      <c r="S344" s="194"/>
      <c r="T344" s="194"/>
      <c r="U344" s="194"/>
      <c r="V344" s="194"/>
      <c r="W344" s="194"/>
    </row>
    <row r="345" ht="14.25" customHeight="1">
      <c r="A345" s="31"/>
      <c r="B345" s="268"/>
      <c r="C345" s="269"/>
      <c r="D345" s="270"/>
      <c r="E345" s="271"/>
      <c r="F345" s="272"/>
      <c r="G345" s="273"/>
      <c r="H345" s="204"/>
      <c r="I345" s="204"/>
      <c r="J345" s="196"/>
      <c r="K345" s="196"/>
      <c r="L345" s="192" t="str">
        <f>IFERROR(__xludf.DUMMYFUNCTION("IF(
  AND(D345=""Saída"", J345=""Sangria""),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198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94" t="str">
        <f>IFERROR(__xludf.DUMMYFUNCTION("ifna(VALUE(REGEXEXTRACT(E345,""[0-9.]+[,]+[0-9]+"")))"),"")</f>
        <v/>
      </c>
      <c r="O345" s="194"/>
      <c r="P345" s="194"/>
      <c r="Q345" s="194"/>
      <c r="R345" s="194"/>
      <c r="S345" s="194"/>
      <c r="T345" s="194"/>
      <c r="U345" s="194"/>
      <c r="V345" s="194"/>
      <c r="W345" s="194"/>
    </row>
    <row r="346" ht="14.25" customHeight="1">
      <c r="A346" s="31"/>
      <c r="B346" s="268"/>
      <c r="C346" s="269"/>
      <c r="D346" s="270"/>
      <c r="E346" s="271"/>
      <c r="F346" s="272"/>
      <c r="G346" s="273"/>
      <c r="H346" s="204"/>
      <c r="I346" s="204"/>
      <c r="J346" s="196"/>
      <c r="K346" s="196"/>
      <c r="L346" s="192" t="str">
        <f>IFERROR(__xludf.DUMMYFUNCTION("IF(
  AND(D346=""Saída"", J346=""Sangria""),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197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94" t="str">
        <f>IFERROR(__xludf.DUMMYFUNCTION("ifna(VALUE(REGEXEXTRACT(E346,""[0-9.]+[,]+[0-9]+"")))"),"")</f>
        <v/>
      </c>
      <c r="O346" s="194"/>
      <c r="P346" s="194"/>
      <c r="Q346" s="194"/>
      <c r="R346" s="194"/>
      <c r="S346" s="194"/>
      <c r="T346" s="194"/>
      <c r="U346" s="194"/>
      <c r="V346" s="194"/>
      <c r="W346" s="194"/>
    </row>
    <row r="347" ht="14.25" customHeight="1">
      <c r="A347" s="31"/>
      <c r="B347" s="268"/>
      <c r="C347" s="269"/>
      <c r="D347" s="270"/>
      <c r="E347" s="271"/>
      <c r="F347" s="272"/>
      <c r="G347" s="273"/>
      <c r="H347" s="204"/>
      <c r="I347" s="204"/>
      <c r="J347" s="196"/>
      <c r="K347" s="202"/>
      <c r="L347" s="192" t="str">
        <f>IFERROR(__xludf.DUMMYFUNCTION("IF(
  AND(D347=""Saída"", J347=""Sangria""),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198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94" t="str">
        <f>IFERROR(__xludf.DUMMYFUNCTION("ifna(VALUE(REGEXEXTRACT(E347,""[0-9.]+[,]+[0-9]+"")))"),"")</f>
        <v/>
      </c>
      <c r="O347" s="194"/>
      <c r="P347" s="194"/>
      <c r="Q347" s="194"/>
      <c r="R347" s="194"/>
      <c r="S347" s="194"/>
      <c r="T347" s="194"/>
      <c r="U347" s="194"/>
      <c r="V347" s="194"/>
      <c r="W347" s="194"/>
    </row>
    <row r="348" ht="14.25" customHeight="1">
      <c r="A348" s="31"/>
      <c r="B348" s="268"/>
      <c r="C348" s="269"/>
      <c r="D348" s="270"/>
      <c r="E348" s="271"/>
      <c r="F348" s="272"/>
      <c r="G348" s="273"/>
      <c r="H348" s="204"/>
      <c r="I348" s="204"/>
      <c r="J348" s="196"/>
      <c r="K348" s="196"/>
      <c r="L348" s="192" t="str">
        <f>IFERROR(__xludf.DUMMYFUNCTION("IF(
  AND(D348=""Saída"", J348=""Sangria""),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197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94" t="str">
        <f>IFERROR(__xludf.DUMMYFUNCTION("ifna(VALUE(REGEXEXTRACT(E348,""[0-9.]+[,]+[0-9]+"")))"),"")</f>
        <v/>
      </c>
      <c r="O348" s="194"/>
      <c r="P348" s="194"/>
      <c r="Q348" s="194"/>
      <c r="R348" s="194"/>
      <c r="S348" s="194"/>
      <c r="T348" s="194"/>
      <c r="U348" s="194"/>
      <c r="V348" s="194"/>
      <c r="W348" s="194"/>
    </row>
    <row r="349" ht="14.25" customHeight="1">
      <c r="A349" s="31"/>
      <c r="B349" s="268"/>
      <c r="C349" s="269"/>
      <c r="D349" s="270"/>
      <c r="E349" s="275"/>
      <c r="F349" s="272"/>
      <c r="G349" s="273"/>
      <c r="H349" s="204"/>
      <c r="I349" s="204"/>
      <c r="J349" s="196"/>
      <c r="K349" s="196"/>
      <c r="L349" s="192" t="str">
        <f>IFERROR(__xludf.DUMMYFUNCTION("IF(
  AND(D349=""Saída"", J349=""Sangria""),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198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94" t="str">
        <f>IFERROR(__xludf.DUMMYFUNCTION("ifna(VALUE(REGEXEXTRACT(E349,""[0-9.]+[,]+[0-9]+"")))"),"")</f>
        <v/>
      </c>
      <c r="O349" s="194"/>
      <c r="P349" s="194"/>
      <c r="Q349" s="194"/>
      <c r="R349" s="194"/>
      <c r="S349" s="194"/>
      <c r="T349" s="194"/>
      <c r="U349" s="194"/>
      <c r="V349" s="194"/>
      <c r="W349" s="194"/>
    </row>
    <row r="350" ht="14.25" customHeight="1">
      <c r="A350" s="31"/>
      <c r="B350" s="268"/>
      <c r="C350" s="269"/>
      <c r="D350" s="270"/>
      <c r="E350" s="271"/>
      <c r="F350" s="272"/>
      <c r="G350" s="273"/>
      <c r="H350" s="204"/>
      <c r="I350" s="204"/>
      <c r="J350" s="196"/>
      <c r="K350" s="202"/>
      <c r="L350" s="192" t="str">
        <f>IFERROR(__xludf.DUMMYFUNCTION("IF(
  AND(D350=""Saída"", J350=""Sangria""),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197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94" t="str">
        <f>IFERROR(__xludf.DUMMYFUNCTION("ifna(VALUE(REGEXEXTRACT(E350,""[0-9.]+[,]+[0-9]+"")))"),"")</f>
        <v/>
      </c>
      <c r="O350" s="194"/>
      <c r="P350" s="194"/>
      <c r="Q350" s="194"/>
      <c r="R350" s="194"/>
      <c r="S350" s="194"/>
      <c r="T350" s="194"/>
      <c r="U350" s="194"/>
      <c r="V350" s="194"/>
      <c r="W350" s="194"/>
    </row>
    <row r="351" ht="14.25" customHeight="1">
      <c r="A351" s="31"/>
      <c r="B351" s="268"/>
      <c r="C351" s="269"/>
      <c r="D351" s="270"/>
      <c r="E351" s="271"/>
      <c r="F351" s="276"/>
      <c r="G351" s="273"/>
      <c r="H351" s="204"/>
      <c r="I351" s="204"/>
      <c r="J351" s="196"/>
      <c r="K351" s="202"/>
      <c r="L351" s="192" t="str">
        <f>IFERROR(__xludf.DUMMYFUNCTION("IF(
  AND(D351=""Saída"", J351=""Sangria""),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198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94" t="str">
        <f>IFERROR(__xludf.DUMMYFUNCTION("ifna(VALUE(REGEXEXTRACT(E351,""[0-9.]+[,]+[0-9]+"")))"),"")</f>
        <v/>
      </c>
      <c r="O351" s="194"/>
      <c r="P351" s="194"/>
      <c r="Q351" s="194"/>
      <c r="R351" s="194"/>
      <c r="S351" s="194"/>
      <c r="T351" s="194"/>
      <c r="U351" s="194"/>
      <c r="V351" s="194"/>
      <c r="W351" s="194"/>
    </row>
    <row r="352" ht="14.25" customHeight="1">
      <c r="A352" s="31"/>
      <c r="B352" s="268"/>
      <c r="C352" s="269"/>
      <c r="D352" s="270"/>
      <c r="E352" s="271"/>
      <c r="F352" s="272"/>
      <c r="G352" s="273"/>
      <c r="H352" s="204"/>
      <c r="I352" s="204"/>
      <c r="J352" s="196"/>
      <c r="K352" s="196"/>
      <c r="L352" s="192" t="str">
        <f>IFERROR(__xludf.DUMMYFUNCTION("IF(
  AND(D352=""Saída"", J352=""Sangria""),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197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94" t="str">
        <f>IFERROR(__xludf.DUMMYFUNCTION("ifna(VALUE(REGEXEXTRACT(E352,""[0-9.]+[,]+[0-9]+"")))"),"")</f>
        <v/>
      </c>
      <c r="O352" s="194"/>
      <c r="P352" s="194"/>
      <c r="Q352" s="194"/>
      <c r="R352" s="194"/>
      <c r="S352" s="194"/>
      <c r="T352" s="194"/>
      <c r="U352" s="194"/>
      <c r="V352" s="194"/>
      <c r="W352" s="194"/>
    </row>
    <row r="353" ht="14.25" customHeight="1">
      <c r="A353" s="31"/>
      <c r="B353" s="268"/>
      <c r="C353" s="269"/>
      <c r="D353" s="270"/>
      <c r="E353" s="271"/>
      <c r="F353" s="276"/>
      <c r="G353" s="273"/>
      <c r="H353" s="204"/>
      <c r="I353" s="204"/>
      <c r="J353" s="196"/>
      <c r="K353" s="196"/>
      <c r="L353" s="192" t="str">
        <f>IFERROR(__xludf.DUMMYFUNCTION("IF(
  AND(D353=""Saída"", J353=""Sangria""),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198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94" t="str">
        <f>IFERROR(__xludf.DUMMYFUNCTION("ifna(VALUE(REGEXEXTRACT(E353,""[0-9.]+[,]+[0-9]+"")))"),"")</f>
        <v/>
      </c>
      <c r="O353" s="194"/>
      <c r="P353" s="194"/>
      <c r="Q353" s="194"/>
      <c r="R353" s="194"/>
      <c r="S353" s="194"/>
      <c r="T353" s="194"/>
      <c r="U353" s="194"/>
      <c r="V353" s="194"/>
      <c r="W353" s="194"/>
    </row>
    <row r="354" ht="14.25" customHeight="1">
      <c r="A354" s="31"/>
      <c r="B354" s="268"/>
      <c r="C354" s="269"/>
      <c r="D354" s="270"/>
      <c r="E354" s="271"/>
      <c r="F354" s="272"/>
      <c r="G354" s="273"/>
      <c r="H354" s="204"/>
      <c r="I354" s="204"/>
      <c r="J354" s="196"/>
      <c r="K354" s="196"/>
      <c r="L354" s="192" t="str">
        <f>IFERROR(__xludf.DUMMYFUNCTION("IF(
  AND(D354=""Saída"", J354=""Sangria""),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197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94" t="str">
        <f>IFERROR(__xludf.DUMMYFUNCTION("ifna(VALUE(REGEXEXTRACT(E354,""[0-9.]+[,]+[0-9]+"")))"),"")</f>
        <v/>
      </c>
      <c r="O354" s="194"/>
      <c r="P354" s="194"/>
      <c r="Q354" s="194"/>
      <c r="R354" s="194"/>
      <c r="S354" s="194"/>
      <c r="T354" s="194"/>
      <c r="U354" s="194"/>
      <c r="V354" s="194"/>
      <c r="W354" s="194"/>
    </row>
    <row r="355" ht="14.25" customHeight="1">
      <c r="A355" s="31"/>
      <c r="B355" s="268"/>
      <c r="C355" s="269"/>
      <c r="D355" s="270"/>
      <c r="E355" s="271"/>
      <c r="F355" s="272"/>
      <c r="G355" s="273"/>
      <c r="H355" s="204"/>
      <c r="I355" s="204"/>
      <c r="J355" s="196"/>
      <c r="K355" s="196"/>
      <c r="L355" s="192" t="str">
        <f>IFERROR(__xludf.DUMMYFUNCTION("IF(
  AND(D355=""Saída"", J355=""Sangria""),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198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94" t="str">
        <f>IFERROR(__xludf.DUMMYFUNCTION("ifna(VALUE(REGEXEXTRACT(E355,""[0-9.]+[,]+[0-9]+"")))"),"")</f>
        <v/>
      </c>
      <c r="O355" s="194"/>
      <c r="P355" s="194"/>
      <c r="Q355" s="194"/>
      <c r="R355" s="194"/>
      <c r="S355" s="194"/>
      <c r="T355" s="194"/>
      <c r="U355" s="194"/>
      <c r="V355" s="194"/>
      <c r="W355" s="194"/>
    </row>
    <row r="356" ht="14.25" customHeight="1">
      <c r="A356" s="31"/>
      <c r="B356" s="268"/>
      <c r="C356" s="269"/>
      <c r="D356" s="270"/>
      <c r="E356" s="271"/>
      <c r="F356" s="272"/>
      <c r="G356" s="273"/>
      <c r="H356" s="204"/>
      <c r="I356" s="204"/>
      <c r="J356" s="196"/>
      <c r="K356" s="196"/>
      <c r="L356" s="192" t="str">
        <f>IFERROR(__xludf.DUMMYFUNCTION("IF(
  AND(D356=""Saída"", J356=""Sangria""),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197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94" t="str">
        <f>IFERROR(__xludf.DUMMYFUNCTION("ifna(VALUE(REGEXEXTRACT(E356,""[0-9.]+[,]+[0-9]+"")))"),"")</f>
        <v/>
      </c>
      <c r="O356" s="194"/>
      <c r="P356" s="194"/>
      <c r="Q356" s="194"/>
      <c r="R356" s="194"/>
      <c r="S356" s="194"/>
      <c r="T356" s="194"/>
      <c r="U356" s="194"/>
      <c r="V356" s="194"/>
      <c r="W356" s="194"/>
    </row>
    <row r="357" ht="14.25" customHeight="1">
      <c r="A357" s="31"/>
      <c r="B357" s="268"/>
      <c r="C357" s="269"/>
      <c r="D357" s="270"/>
      <c r="E357" s="275"/>
      <c r="F357" s="272"/>
      <c r="G357" s="273"/>
      <c r="H357" s="204"/>
      <c r="I357" s="204"/>
      <c r="J357" s="196"/>
      <c r="K357" s="196"/>
      <c r="L357" s="192" t="str">
        <f>IFERROR(__xludf.DUMMYFUNCTION("IF(
  AND(D357=""Saída"", J357=""Sangria""),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198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94" t="str">
        <f>IFERROR(__xludf.DUMMYFUNCTION("ifna(VALUE(REGEXEXTRACT(E357,""[0-9.]+[,]+[0-9]+"")))"),"")</f>
        <v/>
      </c>
      <c r="O357" s="194"/>
      <c r="P357" s="194"/>
      <c r="Q357" s="194"/>
      <c r="R357" s="194"/>
      <c r="S357" s="194"/>
      <c r="T357" s="194"/>
      <c r="U357" s="194"/>
      <c r="V357" s="194"/>
      <c r="W357" s="194"/>
    </row>
    <row r="358" ht="14.25" customHeight="1">
      <c r="A358" s="31"/>
      <c r="B358" s="268"/>
      <c r="C358" s="269"/>
      <c r="D358" s="270"/>
      <c r="E358" s="271"/>
      <c r="F358" s="272"/>
      <c r="G358" s="273"/>
      <c r="H358" s="204"/>
      <c r="I358" s="204"/>
      <c r="J358" s="196"/>
      <c r="K358" s="202"/>
      <c r="L358" s="192" t="str">
        <f>IFERROR(__xludf.DUMMYFUNCTION("IF(
  AND(D358=""Saída"", J358=""Sangria""),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197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94" t="str">
        <f>IFERROR(__xludf.DUMMYFUNCTION("ifna(VALUE(REGEXEXTRACT(E358,""[0-9.]+[,]+[0-9]+"")))"),"")</f>
        <v/>
      </c>
      <c r="O358" s="194"/>
      <c r="P358" s="194"/>
      <c r="Q358" s="194"/>
      <c r="R358" s="194"/>
      <c r="S358" s="194"/>
      <c r="T358" s="194"/>
      <c r="U358" s="194"/>
      <c r="V358" s="194"/>
      <c r="W358" s="194"/>
    </row>
    <row r="359" ht="14.25" customHeight="1">
      <c r="A359" s="31"/>
      <c r="B359" s="268"/>
      <c r="C359" s="269"/>
      <c r="D359" s="270"/>
      <c r="E359" s="271"/>
      <c r="F359" s="272"/>
      <c r="G359" s="273"/>
      <c r="H359" s="204"/>
      <c r="I359" s="204"/>
      <c r="J359" s="196"/>
      <c r="K359" s="202"/>
      <c r="L359" s="192" t="str">
        <f>IFERROR(__xludf.DUMMYFUNCTION("IF(
  AND(D359=""Saída"", J359=""Sangria""),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198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94" t="str">
        <f>IFERROR(__xludf.DUMMYFUNCTION("ifna(VALUE(REGEXEXTRACT(E359,""[0-9.]+[,]+[0-9]+"")))"),"")</f>
        <v/>
      </c>
      <c r="O359" s="194"/>
      <c r="P359" s="194"/>
      <c r="Q359" s="194"/>
      <c r="R359" s="194"/>
      <c r="S359" s="194"/>
      <c r="T359" s="194"/>
      <c r="U359" s="194"/>
      <c r="V359" s="194"/>
      <c r="W359" s="194"/>
    </row>
    <row r="360" ht="14.25" customHeight="1">
      <c r="A360" s="31"/>
      <c r="B360" s="268"/>
      <c r="C360" s="269"/>
      <c r="D360" s="270"/>
      <c r="E360" s="271"/>
      <c r="F360" s="272"/>
      <c r="G360" s="273"/>
      <c r="H360" s="204"/>
      <c r="I360" s="204"/>
      <c r="J360" s="196"/>
      <c r="K360" s="196"/>
      <c r="L360" s="192" t="str">
        <f>IFERROR(__xludf.DUMMYFUNCTION("IF(
  AND(D360=""Saída"", J360=""Sangria""),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197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94" t="str">
        <f>IFERROR(__xludf.DUMMYFUNCTION("ifna(VALUE(REGEXEXTRACT(E360,""[0-9.]+[,]+[0-9]+"")))"),"")</f>
        <v/>
      </c>
      <c r="O360" s="194"/>
      <c r="P360" s="194"/>
      <c r="Q360" s="194"/>
      <c r="R360" s="194"/>
      <c r="S360" s="194"/>
      <c r="T360" s="194"/>
      <c r="U360" s="194"/>
      <c r="V360" s="194"/>
      <c r="W360" s="194"/>
    </row>
    <row r="361" ht="14.25" customHeight="1">
      <c r="A361" s="31"/>
      <c r="B361" s="268"/>
      <c r="C361" s="269"/>
      <c r="D361" s="270"/>
      <c r="E361" s="271"/>
      <c r="F361" s="272"/>
      <c r="G361" s="273"/>
      <c r="H361" s="204"/>
      <c r="I361" s="204"/>
      <c r="J361" s="196"/>
      <c r="K361" s="196"/>
      <c r="L361" s="192" t="str">
        <f>IFERROR(__xludf.DUMMYFUNCTION("IF(
  AND(D361=""Saída"", J361=""Sangria""),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198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94" t="str">
        <f>IFERROR(__xludf.DUMMYFUNCTION("ifna(VALUE(REGEXEXTRACT(E361,""[0-9.]+[,]+[0-9]+"")))"),"")</f>
        <v/>
      </c>
      <c r="O361" s="194"/>
      <c r="P361" s="194"/>
      <c r="Q361" s="194"/>
      <c r="R361" s="194"/>
      <c r="S361" s="194"/>
      <c r="T361" s="194"/>
      <c r="U361" s="194"/>
      <c r="V361" s="194"/>
      <c r="W361" s="194"/>
    </row>
    <row r="362" ht="14.25" customHeight="1">
      <c r="A362" s="31"/>
      <c r="B362" s="268"/>
      <c r="C362" s="269"/>
      <c r="D362" s="270"/>
      <c r="E362" s="271"/>
      <c r="F362" s="272"/>
      <c r="G362" s="273"/>
      <c r="H362" s="204"/>
      <c r="I362" s="204"/>
      <c r="J362" s="196"/>
      <c r="K362" s="196"/>
      <c r="L362" s="192" t="str">
        <f>IFERROR(__xludf.DUMMYFUNCTION("IF(
  AND(D362=""Saída"", J362=""Sangria""),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197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94" t="str">
        <f>IFERROR(__xludf.DUMMYFUNCTION("ifna(VALUE(REGEXEXTRACT(E362,""[0-9.]+[,]+[0-9]+"")))"),"")</f>
        <v/>
      </c>
      <c r="O362" s="194"/>
      <c r="P362" s="194"/>
      <c r="Q362" s="194"/>
      <c r="R362" s="194"/>
      <c r="S362" s="194"/>
      <c r="T362" s="194"/>
      <c r="U362" s="194"/>
      <c r="V362" s="194"/>
      <c r="W362" s="194"/>
    </row>
    <row r="363" ht="14.25" customHeight="1">
      <c r="A363" s="31"/>
      <c r="B363" s="268"/>
      <c r="C363" s="269"/>
      <c r="D363" s="270"/>
      <c r="E363" s="271"/>
      <c r="F363" s="276"/>
      <c r="G363" s="273"/>
      <c r="H363" s="204"/>
      <c r="I363" s="204"/>
      <c r="J363" s="196"/>
      <c r="K363" s="196"/>
      <c r="L363" s="192" t="str">
        <f>IFERROR(__xludf.DUMMYFUNCTION("IF(
  AND(D363=""Saída"", J363=""Sangria""),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198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94" t="str">
        <f>IFERROR(__xludf.DUMMYFUNCTION("ifna(VALUE(REGEXEXTRACT(E363,""[0-9.]+[,]+[0-9]+"")))"),"")</f>
        <v/>
      </c>
      <c r="O363" s="194"/>
      <c r="P363" s="194"/>
      <c r="Q363" s="194"/>
      <c r="R363" s="194"/>
      <c r="S363" s="194"/>
      <c r="T363" s="194"/>
      <c r="U363" s="194"/>
      <c r="V363" s="194"/>
      <c r="W363" s="194"/>
    </row>
    <row r="364" ht="14.25" customHeight="1">
      <c r="A364" s="31"/>
      <c r="B364" s="268"/>
      <c r="C364" s="269"/>
      <c r="D364" s="270"/>
      <c r="E364" s="271"/>
      <c r="F364" s="272"/>
      <c r="G364" s="273"/>
      <c r="H364" s="204"/>
      <c r="I364" s="204"/>
      <c r="J364" s="196"/>
      <c r="K364" s="196"/>
      <c r="L364" s="192" t="str">
        <f>IFERROR(__xludf.DUMMYFUNCTION("IF(
  AND(D364=""Saída"", J364=""Sangria""),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197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94" t="str">
        <f>IFERROR(__xludf.DUMMYFUNCTION("ifna(VALUE(REGEXEXTRACT(E364,""[0-9.]+[,]+[0-9]+"")))"),"")</f>
        <v/>
      </c>
      <c r="O364" s="194"/>
      <c r="P364" s="194"/>
      <c r="Q364" s="194"/>
      <c r="R364" s="194"/>
      <c r="S364" s="194"/>
      <c r="T364" s="194"/>
      <c r="U364" s="194"/>
      <c r="V364" s="194"/>
      <c r="W364" s="194"/>
    </row>
    <row r="365" ht="14.25" customHeight="1">
      <c r="A365" s="31"/>
      <c r="B365" s="268"/>
      <c r="C365" s="269"/>
      <c r="D365" s="270"/>
      <c r="E365" s="271"/>
      <c r="F365" s="272"/>
      <c r="G365" s="273"/>
      <c r="H365" s="204"/>
      <c r="I365" s="204"/>
      <c r="J365" s="196"/>
      <c r="K365" s="196"/>
      <c r="L365" s="192" t="str">
        <f>IFERROR(__xludf.DUMMYFUNCTION("IF(
  AND(D365=""Saída"", J365=""Sangria""),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198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94" t="str">
        <f>IFERROR(__xludf.DUMMYFUNCTION("ifna(VALUE(REGEXEXTRACT(E365,""[0-9.]+[,]+[0-9]+"")))"),"")</f>
        <v/>
      </c>
      <c r="O365" s="194"/>
      <c r="P365" s="194"/>
      <c r="Q365" s="194"/>
      <c r="R365" s="194"/>
      <c r="S365" s="194"/>
      <c r="T365" s="194"/>
      <c r="U365" s="194"/>
      <c r="V365" s="194"/>
      <c r="W365" s="194"/>
    </row>
    <row r="366" ht="14.25" customHeight="1">
      <c r="A366" s="31"/>
      <c r="B366" s="268"/>
      <c r="C366" s="269"/>
      <c r="D366" s="270"/>
      <c r="E366" s="271"/>
      <c r="F366" s="272"/>
      <c r="G366" s="273"/>
      <c r="H366" s="204"/>
      <c r="I366" s="204"/>
      <c r="J366" s="196"/>
      <c r="K366" s="196"/>
      <c r="L366" s="192" t="str">
        <f>IFERROR(__xludf.DUMMYFUNCTION("IF(
  AND(D366=""Saída"", J366=""Sangria""),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197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94" t="str">
        <f>IFERROR(__xludf.DUMMYFUNCTION("ifna(VALUE(REGEXEXTRACT(E366,""[0-9.]+[,]+[0-9]+"")))"),"")</f>
        <v/>
      </c>
      <c r="O366" s="194"/>
      <c r="P366" s="194"/>
      <c r="Q366" s="194"/>
      <c r="R366" s="194"/>
      <c r="S366" s="194"/>
      <c r="T366" s="194"/>
      <c r="U366" s="194"/>
      <c r="V366" s="194"/>
      <c r="W366" s="194"/>
    </row>
    <row r="367" ht="14.25" customHeight="1">
      <c r="A367" s="31"/>
      <c r="B367" s="268"/>
      <c r="C367" s="269"/>
      <c r="D367" s="270"/>
      <c r="E367" s="271"/>
      <c r="F367" s="272"/>
      <c r="G367" s="273"/>
      <c r="H367" s="204"/>
      <c r="I367" s="204"/>
      <c r="J367" s="196"/>
      <c r="K367" s="202"/>
      <c r="L367" s="192" t="str">
        <f>IFERROR(__xludf.DUMMYFUNCTION("IF(
  AND(D367=""Saída"", J367=""Sangria""),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198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94" t="str">
        <f>IFERROR(__xludf.DUMMYFUNCTION("ifna(VALUE(REGEXEXTRACT(E367,""[0-9.]+[,]+[0-9]+"")))"),"")</f>
        <v/>
      </c>
      <c r="O367" s="194"/>
      <c r="P367" s="194"/>
      <c r="Q367" s="194"/>
      <c r="R367" s="194"/>
      <c r="S367" s="194"/>
      <c r="T367" s="194"/>
      <c r="U367" s="194"/>
      <c r="V367" s="194"/>
      <c r="W367" s="194"/>
    </row>
    <row r="368" ht="14.25" customHeight="1">
      <c r="A368" s="31"/>
      <c r="B368" s="268"/>
      <c r="C368" s="269"/>
      <c r="D368" s="270"/>
      <c r="E368" s="271"/>
      <c r="F368" s="272"/>
      <c r="G368" s="273"/>
      <c r="H368" s="204"/>
      <c r="I368" s="204"/>
      <c r="J368" s="196"/>
      <c r="K368" s="202"/>
      <c r="L368" s="192" t="str">
        <f>IFERROR(__xludf.DUMMYFUNCTION("IF(
  AND(D368=""Saída"", J368=""Sangria""),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197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94" t="str">
        <f>IFERROR(__xludf.DUMMYFUNCTION("ifna(VALUE(REGEXEXTRACT(E368,""[0-9.]+[,]+[0-9]+"")))"),"")</f>
        <v/>
      </c>
      <c r="O368" s="194"/>
      <c r="P368" s="194"/>
      <c r="Q368" s="194"/>
      <c r="R368" s="194"/>
      <c r="S368" s="194"/>
      <c r="T368" s="194"/>
      <c r="U368" s="194"/>
      <c r="V368" s="194"/>
      <c r="W368" s="194"/>
    </row>
    <row r="369" ht="14.25" customHeight="1">
      <c r="A369" s="31"/>
      <c r="B369" s="268"/>
      <c r="C369" s="269"/>
      <c r="D369" s="270"/>
      <c r="E369" s="271"/>
      <c r="F369" s="276"/>
      <c r="G369" s="273"/>
      <c r="H369" s="204"/>
      <c r="I369" s="204"/>
      <c r="J369" s="196"/>
      <c r="K369" s="196"/>
      <c r="L369" s="192" t="str">
        <f>IFERROR(__xludf.DUMMYFUNCTION("IF(
  AND(D369=""Saída"", J369=""Sangria""),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198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94" t="str">
        <f>IFERROR(__xludf.DUMMYFUNCTION("ifna(VALUE(REGEXEXTRACT(E369,""[0-9.]+[,]+[0-9]+"")))"),"")</f>
        <v/>
      </c>
      <c r="O369" s="194"/>
      <c r="P369" s="194"/>
      <c r="Q369" s="194"/>
      <c r="R369" s="194"/>
      <c r="S369" s="194"/>
      <c r="T369" s="194"/>
      <c r="U369" s="194"/>
      <c r="V369" s="194"/>
      <c r="W369" s="194"/>
    </row>
    <row r="370" ht="14.25" customHeight="1">
      <c r="A370" s="31"/>
      <c r="B370" s="268"/>
      <c r="C370" s="269"/>
      <c r="D370" s="270"/>
      <c r="E370" s="271"/>
      <c r="F370" s="272"/>
      <c r="G370" s="273"/>
      <c r="H370" s="204"/>
      <c r="I370" s="204"/>
      <c r="J370" s="196"/>
      <c r="K370" s="196"/>
      <c r="L370" s="192" t="str">
        <f>IFERROR(__xludf.DUMMYFUNCTION("IF(
  AND(D370=""Saída"", J370=""Sangria""),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197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94" t="str">
        <f>IFERROR(__xludf.DUMMYFUNCTION("ifna(VALUE(REGEXEXTRACT(E370,""[0-9.]+[,]+[0-9]+"")))"),"")</f>
        <v/>
      </c>
      <c r="O370" s="194"/>
      <c r="P370" s="194"/>
      <c r="Q370" s="194"/>
      <c r="R370" s="194"/>
      <c r="S370" s="194"/>
      <c r="T370" s="194"/>
      <c r="U370" s="194"/>
      <c r="V370" s="194"/>
      <c r="W370" s="194"/>
    </row>
    <row r="371" ht="14.25" customHeight="1">
      <c r="A371" s="31"/>
      <c r="B371" s="268"/>
      <c r="C371" s="269"/>
      <c r="D371" s="270"/>
      <c r="E371" s="271"/>
      <c r="F371" s="272"/>
      <c r="G371" s="273"/>
      <c r="H371" s="204"/>
      <c r="I371" s="204"/>
      <c r="J371" s="196"/>
      <c r="K371" s="196"/>
      <c r="L371" s="192" t="str">
        <f>IFERROR(__xludf.DUMMYFUNCTION("IF(
  AND(D371=""Saída"", J371=""Sangria""),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198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94" t="str">
        <f>IFERROR(__xludf.DUMMYFUNCTION("ifna(VALUE(REGEXEXTRACT(E371,""[0-9.]+[,]+[0-9]+"")))"),"")</f>
        <v/>
      </c>
      <c r="O371" s="194"/>
      <c r="P371" s="194"/>
      <c r="Q371" s="194"/>
      <c r="R371" s="194"/>
      <c r="S371" s="194"/>
      <c r="T371" s="194"/>
      <c r="U371" s="194"/>
      <c r="V371" s="194"/>
      <c r="W371" s="194"/>
    </row>
    <row r="372" ht="14.25" customHeight="1">
      <c r="A372" s="31"/>
      <c r="B372" s="268"/>
      <c r="C372" s="269"/>
      <c r="D372" s="270"/>
      <c r="E372" s="271"/>
      <c r="F372" s="276"/>
      <c r="G372" s="273"/>
      <c r="H372" s="204"/>
      <c r="I372" s="204"/>
      <c r="J372" s="196"/>
      <c r="K372" s="196"/>
      <c r="L372" s="192" t="str">
        <f>IFERROR(__xludf.DUMMYFUNCTION("IF(
  AND(D372=""Saída"", J372=""Sangria""),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197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94" t="str">
        <f>IFERROR(__xludf.DUMMYFUNCTION("ifna(VALUE(REGEXEXTRACT(E372,""[0-9.]+[,]+[0-9]+"")))"),"")</f>
        <v/>
      </c>
      <c r="O372" s="194"/>
      <c r="P372" s="194"/>
      <c r="Q372" s="194"/>
      <c r="R372" s="194"/>
      <c r="S372" s="194"/>
      <c r="T372" s="194"/>
      <c r="U372" s="194"/>
      <c r="V372" s="194"/>
      <c r="W372" s="194"/>
    </row>
    <row r="373" ht="14.25" customHeight="1">
      <c r="A373" s="31"/>
      <c r="B373" s="268"/>
      <c r="C373" s="269"/>
      <c r="D373" s="270"/>
      <c r="E373" s="271"/>
      <c r="F373" s="272"/>
      <c r="G373" s="273"/>
      <c r="H373" s="204"/>
      <c r="I373" s="204"/>
      <c r="J373" s="196"/>
      <c r="K373" s="196"/>
      <c r="L373" s="192" t="str">
        <f>IFERROR(__xludf.DUMMYFUNCTION("IF(
  AND(D373=""Saída"", J373=""Sangria""),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198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94" t="str">
        <f>IFERROR(__xludf.DUMMYFUNCTION("ifna(VALUE(REGEXEXTRACT(E373,""[0-9.]+[,]+[0-9]+"")))"),"")</f>
        <v/>
      </c>
      <c r="O373" s="194"/>
      <c r="P373" s="194"/>
      <c r="Q373" s="194"/>
      <c r="R373" s="194"/>
      <c r="S373" s="194"/>
      <c r="T373" s="194"/>
      <c r="U373" s="194"/>
      <c r="V373" s="194"/>
      <c r="W373" s="194"/>
    </row>
    <row r="374" ht="14.25" customHeight="1">
      <c r="A374" s="31"/>
      <c r="B374" s="268"/>
      <c r="C374" s="212"/>
      <c r="D374" s="270"/>
      <c r="E374" s="271"/>
      <c r="F374" s="272"/>
      <c r="G374" s="273"/>
      <c r="H374" s="204"/>
      <c r="I374" s="204"/>
      <c r="J374" s="196"/>
      <c r="K374" s="202"/>
      <c r="L374" s="192" t="str">
        <f>IFERROR(__xludf.DUMMYFUNCTION("IF(
  AND(D374=""Saída"", J374=""Sangria""),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197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94" t="str">
        <f>IFERROR(__xludf.DUMMYFUNCTION("ifna(VALUE(REGEXEXTRACT(E374,""[0-9.]+[,]+[0-9]+"")))"),"")</f>
        <v/>
      </c>
      <c r="O374" s="194"/>
      <c r="P374" s="194"/>
      <c r="Q374" s="194"/>
      <c r="R374" s="194"/>
      <c r="S374" s="194"/>
      <c r="T374" s="194"/>
      <c r="U374" s="194"/>
      <c r="V374" s="194"/>
      <c r="W374" s="194"/>
    </row>
    <row r="375" ht="14.25" customHeight="1">
      <c r="A375" s="31"/>
      <c r="B375" s="268"/>
      <c r="C375" s="212"/>
      <c r="D375" s="270"/>
      <c r="E375" s="271"/>
      <c r="F375" s="272"/>
      <c r="G375" s="284"/>
      <c r="H375" s="204"/>
      <c r="I375" s="204"/>
      <c r="J375" s="196"/>
      <c r="K375" s="196"/>
      <c r="L375" s="192" t="str">
        <f>IFERROR(__xludf.DUMMYFUNCTION("IF(
  AND(D375=""Saída"", J375=""Sangria""),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198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94" t="str">
        <f>IFERROR(__xludf.DUMMYFUNCTION("ifna(VALUE(REGEXEXTRACT(E375,""[0-9.]+[,]+[0-9]+"")))"),"")</f>
        <v/>
      </c>
      <c r="O375" s="194"/>
      <c r="P375" s="194"/>
      <c r="Q375" s="194"/>
      <c r="R375" s="194"/>
      <c r="S375" s="194"/>
      <c r="T375" s="194"/>
      <c r="U375" s="194"/>
      <c r="V375" s="194"/>
      <c r="W375" s="194"/>
    </row>
    <row r="376" ht="14.25" customHeight="1">
      <c r="A376" s="31"/>
      <c r="B376" s="268"/>
      <c r="C376" s="269"/>
      <c r="D376" s="270"/>
      <c r="E376" s="271"/>
      <c r="F376" s="272"/>
      <c r="G376" s="273"/>
      <c r="H376" s="204"/>
      <c r="I376" s="204"/>
      <c r="J376" s="196"/>
      <c r="K376" s="196"/>
      <c r="L376" s="192" t="str">
        <f>IFERROR(__xludf.DUMMYFUNCTION("IF(
  AND(D376=""Saída"", J376=""Sangria""),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197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94" t="str">
        <f>IFERROR(__xludf.DUMMYFUNCTION("ifna(VALUE(REGEXEXTRACT(E376,""[0-9.]+[,]+[0-9]+"")))"),"")</f>
        <v/>
      </c>
      <c r="O376" s="194"/>
      <c r="P376" s="194"/>
      <c r="Q376" s="194"/>
      <c r="R376" s="194"/>
      <c r="S376" s="194"/>
      <c r="T376" s="194"/>
      <c r="U376" s="194"/>
      <c r="V376" s="194"/>
      <c r="W376" s="194"/>
    </row>
    <row r="377" ht="14.25" customHeight="1">
      <c r="A377" s="31"/>
      <c r="B377" s="268"/>
      <c r="C377" s="269"/>
      <c r="D377" s="270"/>
      <c r="E377" s="271"/>
      <c r="F377" s="272"/>
      <c r="G377" s="273"/>
      <c r="H377" s="204"/>
      <c r="I377" s="204"/>
      <c r="J377" s="212"/>
      <c r="K377" s="196"/>
      <c r="L377" s="192" t="str">
        <f>IFERROR(__xludf.DUMMYFUNCTION("IF(
  AND(D377=""Saída"", J377=""Sangria""),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198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94" t="str">
        <f>IFERROR(__xludf.DUMMYFUNCTION("ifna(VALUE(REGEXEXTRACT(E377,""[0-9.]+[,]+[0-9]+"")))"),"")</f>
        <v/>
      </c>
      <c r="O377" s="194"/>
      <c r="P377" s="194"/>
      <c r="Q377" s="194"/>
      <c r="R377" s="194"/>
      <c r="S377" s="194"/>
      <c r="T377" s="194"/>
      <c r="U377" s="194"/>
      <c r="V377" s="194"/>
      <c r="W377" s="194"/>
    </row>
    <row r="378" ht="14.25" customHeight="1">
      <c r="A378" s="31"/>
      <c r="B378" s="268"/>
      <c r="C378" s="269"/>
      <c r="D378" s="270"/>
      <c r="E378" s="271"/>
      <c r="F378" s="272"/>
      <c r="G378" s="273"/>
      <c r="H378" s="204"/>
      <c r="I378" s="204"/>
      <c r="J378" s="196"/>
      <c r="K378" s="202"/>
      <c r="L378" s="192" t="str">
        <f>IFERROR(__xludf.DUMMYFUNCTION("IF(
  AND(D378=""Saída"", J378=""Sangria""),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197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94" t="str">
        <f>IFERROR(__xludf.DUMMYFUNCTION("ifna(VALUE(REGEXEXTRACT(E378,""[0-9.]+[,]+[0-9]+"")))"),"")</f>
        <v/>
      </c>
      <c r="O378" s="194"/>
      <c r="P378" s="194"/>
      <c r="Q378" s="194"/>
      <c r="R378" s="194"/>
      <c r="S378" s="194"/>
      <c r="T378" s="194"/>
      <c r="U378" s="194"/>
      <c r="V378" s="194"/>
      <c r="W378" s="194"/>
    </row>
    <row r="379" ht="14.25" customHeight="1">
      <c r="A379" s="31"/>
      <c r="B379" s="268"/>
      <c r="C379" s="269"/>
      <c r="D379" s="270"/>
      <c r="E379" s="271"/>
      <c r="F379" s="272"/>
      <c r="G379" s="273"/>
      <c r="H379" s="204"/>
      <c r="I379" s="204"/>
      <c r="J379" s="196"/>
      <c r="K379" s="202"/>
      <c r="L379" s="192" t="str">
        <f>IFERROR(__xludf.DUMMYFUNCTION("IF(
  AND(D379=""Saída"", J379=""Sangria""),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198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94" t="str">
        <f>IFERROR(__xludf.DUMMYFUNCTION("ifna(VALUE(REGEXEXTRACT(E379,""[0-9.]+[,]+[0-9]+"")))"),"")</f>
        <v/>
      </c>
      <c r="O379" s="194"/>
      <c r="P379" s="194"/>
      <c r="Q379" s="194"/>
      <c r="R379" s="194"/>
      <c r="S379" s="194"/>
      <c r="T379" s="194"/>
      <c r="U379" s="194"/>
      <c r="V379" s="194"/>
      <c r="W379" s="194"/>
    </row>
    <row r="380" ht="14.25" customHeight="1">
      <c r="A380" s="31"/>
      <c r="B380" s="285"/>
      <c r="C380" s="212"/>
      <c r="D380" s="270"/>
      <c r="E380" s="271"/>
      <c r="F380" s="272"/>
      <c r="G380" s="273"/>
      <c r="H380" s="204"/>
      <c r="I380" s="204"/>
      <c r="J380" s="196"/>
      <c r="K380" s="196"/>
      <c r="L380" s="192" t="str">
        <f>IFERROR(__xludf.DUMMYFUNCTION("IF(
  AND(D380=""Saída"", J380=""Sangria""),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197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94" t="str">
        <f>IFERROR(__xludf.DUMMYFUNCTION("ifna(VALUE(REGEXEXTRACT(E380,""[0-9.]+[,]+[0-9]+"")))"),"")</f>
        <v/>
      </c>
      <c r="O380" s="194"/>
      <c r="P380" s="194"/>
      <c r="Q380" s="194"/>
      <c r="R380" s="194"/>
      <c r="S380" s="194"/>
      <c r="T380" s="194"/>
      <c r="U380" s="194"/>
      <c r="V380" s="194"/>
      <c r="W380" s="194"/>
    </row>
    <row r="381" ht="14.25" customHeight="1">
      <c r="A381" s="31"/>
      <c r="B381" s="268"/>
      <c r="C381" s="212"/>
      <c r="D381" s="270"/>
      <c r="E381" s="271"/>
      <c r="F381" s="272"/>
      <c r="G381" s="273"/>
      <c r="H381" s="204"/>
      <c r="I381" s="204"/>
      <c r="J381" s="196"/>
      <c r="K381" s="202"/>
      <c r="L381" s="192" t="str">
        <f>IFERROR(__xludf.DUMMYFUNCTION("IF(
  AND(D381=""Saída"", J381=""Sangria""),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198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94" t="str">
        <f>IFERROR(__xludf.DUMMYFUNCTION("ifna(VALUE(REGEXEXTRACT(E381,""[0-9.]+[,]+[0-9]+"")))"),"")</f>
        <v/>
      </c>
      <c r="O381" s="194"/>
      <c r="P381" s="194"/>
      <c r="Q381" s="194"/>
      <c r="R381" s="194"/>
      <c r="S381" s="194"/>
      <c r="T381" s="194"/>
      <c r="U381" s="194"/>
      <c r="V381" s="194"/>
      <c r="W381" s="194"/>
    </row>
    <row r="382" ht="14.25" customHeight="1">
      <c r="A382" s="31"/>
      <c r="B382" s="268"/>
      <c r="C382" s="269"/>
      <c r="D382" s="270"/>
      <c r="E382" s="271"/>
      <c r="F382" s="276"/>
      <c r="G382" s="273"/>
      <c r="H382" s="204"/>
      <c r="I382" s="204"/>
      <c r="J382" s="196"/>
      <c r="K382" s="202"/>
      <c r="L382" s="192" t="str">
        <f>IFERROR(__xludf.DUMMYFUNCTION("IF(
  AND(D382=""Saída"", J382=""Sangria""),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197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94" t="str">
        <f>IFERROR(__xludf.DUMMYFUNCTION("ifna(VALUE(REGEXEXTRACT(E382,""[0-9.]+[,]+[0-9]+"")))"),"")</f>
        <v/>
      </c>
      <c r="O382" s="194"/>
      <c r="P382" s="194"/>
      <c r="Q382" s="194"/>
      <c r="R382" s="194"/>
      <c r="S382" s="194"/>
      <c r="T382" s="194"/>
      <c r="U382" s="194"/>
      <c r="V382" s="194"/>
      <c r="W382" s="194"/>
    </row>
    <row r="383" ht="14.25" customHeight="1">
      <c r="A383" s="31"/>
      <c r="B383" s="268"/>
      <c r="C383" s="212"/>
      <c r="D383" s="270"/>
      <c r="E383" s="271"/>
      <c r="F383" s="272"/>
      <c r="G383" s="273"/>
      <c r="H383" s="204"/>
      <c r="I383" s="204"/>
      <c r="J383" s="196"/>
      <c r="K383" s="196"/>
      <c r="L383" s="192" t="str">
        <f>IFERROR(__xludf.DUMMYFUNCTION("IF(
  AND(D383=""Saída"", J383=""Sangria""),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198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94" t="str">
        <f>IFERROR(__xludf.DUMMYFUNCTION("ifna(VALUE(REGEXEXTRACT(E383,""[0-9.]+[,]+[0-9]+"")))"),"")</f>
        <v/>
      </c>
      <c r="O383" s="194"/>
      <c r="P383" s="194"/>
      <c r="Q383" s="194"/>
      <c r="R383" s="194"/>
      <c r="S383" s="194"/>
      <c r="T383" s="194"/>
      <c r="U383" s="194"/>
      <c r="V383" s="194"/>
      <c r="W383" s="194"/>
    </row>
    <row r="384" ht="14.25" customHeight="1">
      <c r="A384" s="31"/>
      <c r="B384" s="268"/>
      <c r="C384" s="269"/>
      <c r="D384" s="270"/>
      <c r="E384" s="271"/>
      <c r="F384" s="276"/>
      <c r="G384" s="273"/>
      <c r="H384" s="204"/>
      <c r="I384" s="204"/>
      <c r="J384" s="196"/>
      <c r="K384" s="196"/>
      <c r="L384" s="192" t="str">
        <f>IFERROR(__xludf.DUMMYFUNCTION("IF(
  AND(D384=""Saída"", J384=""Sangria""),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197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94" t="str">
        <f>IFERROR(__xludf.DUMMYFUNCTION("ifna(VALUE(REGEXEXTRACT(E384,""[0-9.]+[,]+[0-9]+"")))"),"")</f>
        <v/>
      </c>
      <c r="O384" s="194"/>
      <c r="P384" s="194"/>
      <c r="Q384" s="194"/>
      <c r="R384" s="194"/>
      <c r="S384" s="194"/>
      <c r="T384" s="194"/>
      <c r="U384" s="194"/>
      <c r="V384" s="194"/>
      <c r="W384" s="194"/>
    </row>
    <row r="385" ht="14.25" customHeight="1">
      <c r="A385" s="31"/>
      <c r="B385" s="268"/>
      <c r="C385" s="269"/>
      <c r="D385" s="270"/>
      <c r="E385" s="271"/>
      <c r="F385" s="276"/>
      <c r="G385" s="273"/>
      <c r="H385" s="204"/>
      <c r="I385" s="204"/>
      <c r="J385" s="196"/>
      <c r="K385" s="202"/>
      <c r="L385" s="192" t="str">
        <f>IFERROR(__xludf.DUMMYFUNCTION("IF(
  AND(D385=""Saída"", J385=""Sangria""),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198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94" t="str">
        <f>IFERROR(__xludf.DUMMYFUNCTION("ifna(VALUE(REGEXEXTRACT(E385,""[0-9.]+[,]+[0-9]+"")))"),"")</f>
        <v/>
      </c>
      <c r="O385" s="194"/>
      <c r="P385" s="194"/>
      <c r="Q385" s="194"/>
      <c r="R385" s="194"/>
      <c r="S385" s="194"/>
      <c r="T385" s="194"/>
      <c r="U385" s="194"/>
      <c r="V385" s="194"/>
      <c r="W385" s="194"/>
    </row>
    <row r="386" ht="14.25" customHeight="1">
      <c r="A386" s="31"/>
      <c r="B386" s="268"/>
      <c r="C386" s="269"/>
      <c r="D386" s="270"/>
      <c r="E386" s="271"/>
      <c r="F386" s="276"/>
      <c r="G386" s="273"/>
      <c r="H386" s="204"/>
      <c r="I386" s="204"/>
      <c r="J386" s="196"/>
      <c r="K386" s="202"/>
      <c r="L386" s="192" t="str">
        <f>IFERROR(__xludf.DUMMYFUNCTION("IF(
  AND(D386=""Saída"", J386=""Sangria""),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197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94" t="str">
        <f>IFERROR(__xludf.DUMMYFUNCTION("ifna(VALUE(REGEXEXTRACT(E386,""[0-9.]+[,]+[0-9]+"")))"),"")</f>
        <v/>
      </c>
      <c r="O386" s="194"/>
      <c r="P386" s="194"/>
      <c r="Q386" s="194"/>
      <c r="R386" s="194"/>
      <c r="S386" s="194"/>
      <c r="T386" s="194"/>
      <c r="U386" s="194"/>
      <c r="V386" s="194"/>
      <c r="W386" s="194"/>
    </row>
    <row r="387" ht="14.25" customHeight="1">
      <c r="A387" s="31"/>
      <c r="B387" s="268"/>
      <c r="C387" s="269"/>
      <c r="D387" s="270"/>
      <c r="E387" s="271"/>
      <c r="F387" s="276"/>
      <c r="G387" s="273"/>
      <c r="H387" s="204"/>
      <c r="I387" s="204"/>
      <c r="J387" s="196"/>
      <c r="K387" s="202"/>
      <c r="L387" s="192" t="str">
        <f>IFERROR(__xludf.DUMMYFUNCTION("IF(
  AND(D387=""Saída"", J387=""Sangria""),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198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94" t="str">
        <f>IFERROR(__xludf.DUMMYFUNCTION("ifna(VALUE(REGEXEXTRACT(E387,""[0-9.]+[,]+[0-9]+"")))"),"")</f>
        <v/>
      </c>
      <c r="O387" s="194"/>
      <c r="P387" s="194"/>
      <c r="Q387" s="194"/>
      <c r="R387" s="194"/>
      <c r="S387" s="194"/>
      <c r="T387" s="194"/>
      <c r="U387" s="194"/>
      <c r="V387" s="194"/>
      <c r="W387" s="194"/>
    </row>
    <row r="388" ht="14.25" customHeight="1">
      <c r="A388" s="31"/>
      <c r="B388" s="268"/>
      <c r="C388" s="269"/>
      <c r="D388" s="270"/>
      <c r="E388" s="271"/>
      <c r="F388" s="276"/>
      <c r="G388" s="273"/>
      <c r="H388" s="204"/>
      <c r="I388" s="204"/>
      <c r="J388" s="196"/>
      <c r="K388" s="202"/>
      <c r="L388" s="192" t="str">
        <f>IFERROR(__xludf.DUMMYFUNCTION("IF(
  AND(D388=""Saída"", J388=""Sangria""),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197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94" t="str">
        <f>IFERROR(__xludf.DUMMYFUNCTION("ifna(VALUE(REGEXEXTRACT(E388,""[0-9.]+[,]+[0-9]+"")))"),"")</f>
        <v/>
      </c>
      <c r="O388" s="194"/>
      <c r="P388" s="194"/>
      <c r="Q388" s="194"/>
      <c r="R388" s="194"/>
      <c r="S388" s="194"/>
      <c r="T388" s="194"/>
      <c r="U388" s="194"/>
      <c r="V388" s="194"/>
      <c r="W388" s="194"/>
    </row>
    <row r="389" ht="14.25" customHeight="1">
      <c r="A389" s="31"/>
      <c r="B389" s="268"/>
      <c r="C389" s="269"/>
      <c r="D389" s="270"/>
      <c r="E389" s="271"/>
      <c r="F389" s="276"/>
      <c r="G389" s="273"/>
      <c r="H389" s="204"/>
      <c r="I389" s="204"/>
      <c r="J389" s="212"/>
      <c r="K389" s="202"/>
      <c r="L389" s="192" t="str">
        <f>IFERROR(__xludf.DUMMYFUNCTION("IF(
  AND(D389=""Saída"", J389=""Sangria""),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198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94" t="str">
        <f>IFERROR(__xludf.DUMMYFUNCTION("ifna(VALUE(REGEXEXTRACT(E389,""[0-9.]+[,]+[0-9]+"")))"),"")</f>
        <v/>
      </c>
      <c r="O389" s="194"/>
      <c r="P389" s="194"/>
      <c r="Q389" s="194"/>
      <c r="R389" s="194"/>
      <c r="S389" s="194"/>
      <c r="T389" s="194"/>
      <c r="U389" s="194"/>
      <c r="V389" s="194"/>
      <c r="W389" s="194"/>
    </row>
    <row r="390" ht="14.25" customHeight="1">
      <c r="A390" s="31"/>
      <c r="B390" s="268"/>
      <c r="C390" s="269"/>
      <c r="D390" s="270"/>
      <c r="E390" s="271"/>
      <c r="F390" s="276"/>
      <c r="G390" s="273"/>
      <c r="H390" s="204"/>
      <c r="I390" s="204"/>
      <c r="J390" s="196"/>
      <c r="K390" s="196"/>
      <c r="L390" s="192" t="str">
        <f>IFERROR(__xludf.DUMMYFUNCTION("IF(
  AND(D390=""Saída"", J390=""Sangria""),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197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94" t="str">
        <f>IFERROR(__xludf.DUMMYFUNCTION("ifna(VALUE(REGEXEXTRACT(E390,""[0-9.]+[,]+[0-9]+"")))"),"")</f>
        <v/>
      </c>
      <c r="O390" s="194"/>
      <c r="P390" s="194"/>
      <c r="Q390" s="194"/>
      <c r="R390" s="194"/>
      <c r="S390" s="194"/>
      <c r="T390" s="194"/>
      <c r="U390" s="194"/>
      <c r="V390" s="194"/>
      <c r="W390" s="194"/>
    </row>
    <row r="391" ht="14.25" customHeight="1">
      <c r="A391" s="31"/>
      <c r="B391" s="268"/>
      <c r="C391" s="269"/>
      <c r="D391" s="270"/>
      <c r="E391" s="271"/>
      <c r="F391" s="276"/>
      <c r="G391" s="273"/>
      <c r="H391" s="204"/>
      <c r="I391" s="204"/>
      <c r="J391" s="196"/>
      <c r="K391" s="202"/>
      <c r="L391" s="192" t="str">
        <f>IFERROR(__xludf.DUMMYFUNCTION("IF(
  AND(D391=""Saída"", J391=""Sangria""),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198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94" t="str">
        <f>IFERROR(__xludf.DUMMYFUNCTION("ifna(VALUE(REGEXEXTRACT(E391,""[0-9.]+[,]+[0-9]+"")))"),"")</f>
        <v/>
      </c>
      <c r="O391" s="194"/>
      <c r="P391" s="194"/>
      <c r="Q391" s="194"/>
      <c r="R391" s="194"/>
      <c r="S391" s="194"/>
      <c r="T391" s="194"/>
      <c r="U391" s="194"/>
      <c r="V391" s="194"/>
      <c r="W391" s="194"/>
    </row>
    <row r="392" ht="14.25" customHeight="1">
      <c r="A392" s="31"/>
      <c r="B392" s="268"/>
      <c r="C392" s="269"/>
      <c r="D392" s="270"/>
      <c r="E392" s="271"/>
      <c r="F392" s="276"/>
      <c r="G392" s="273"/>
      <c r="H392" s="204"/>
      <c r="I392" s="204"/>
      <c r="J392" s="196"/>
      <c r="K392" s="196"/>
      <c r="L392" s="192" t="str">
        <f>IFERROR(__xludf.DUMMYFUNCTION("IF(
  AND(D392=""Saída"", J392=""Sangria""),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197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94" t="str">
        <f>IFERROR(__xludf.DUMMYFUNCTION("ifna(VALUE(REGEXEXTRACT(E392,""[0-9.]+[,]+[0-9]+"")))"),"")</f>
        <v/>
      </c>
      <c r="O392" s="194"/>
      <c r="P392" s="194"/>
      <c r="Q392" s="194"/>
      <c r="R392" s="194"/>
      <c r="S392" s="194"/>
      <c r="T392" s="194"/>
      <c r="U392" s="194"/>
      <c r="V392" s="194"/>
      <c r="W392" s="194"/>
    </row>
    <row r="393" ht="14.25" customHeight="1">
      <c r="A393" s="31"/>
      <c r="B393" s="268"/>
      <c r="C393" s="269"/>
      <c r="D393" s="270"/>
      <c r="E393" s="271"/>
      <c r="F393" s="276"/>
      <c r="G393" s="273"/>
      <c r="H393" s="204"/>
      <c r="I393" s="204"/>
      <c r="J393" s="196"/>
      <c r="K393" s="196"/>
      <c r="L393" s="192" t="str">
        <f>IFERROR(__xludf.DUMMYFUNCTION("IF(
  AND(D393=""Saída"", J393=""Sangria""),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198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94" t="str">
        <f>IFERROR(__xludf.DUMMYFUNCTION("ifna(VALUE(REGEXEXTRACT(E393,""[0-9.]+[,]+[0-9]+"")))"),"")</f>
        <v/>
      </c>
      <c r="O393" s="194"/>
      <c r="P393" s="194"/>
      <c r="Q393" s="194"/>
      <c r="R393" s="194"/>
      <c r="S393" s="194"/>
      <c r="T393" s="194"/>
      <c r="U393" s="194"/>
      <c r="V393" s="194"/>
      <c r="W393" s="194"/>
    </row>
    <row r="394" ht="14.25" customHeight="1">
      <c r="A394" s="31"/>
      <c r="B394" s="268"/>
      <c r="C394" s="286"/>
      <c r="D394" s="270"/>
      <c r="E394" s="271"/>
      <c r="F394" s="204"/>
      <c r="G394" s="273"/>
      <c r="H394" s="204"/>
      <c r="I394" s="204"/>
      <c r="J394" s="202"/>
      <c r="K394" s="202"/>
      <c r="L394" s="192" t="str">
        <f>IFERROR(__xludf.DUMMYFUNCTION("IF(
  AND(D394=""Saída"", J394=""Sangria""),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197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94" t="str">
        <f>IFERROR(__xludf.DUMMYFUNCTION("ifna(VALUE(REGEXEXTRACT(E394,""[0-9.]+[,]+[0-9]+"")))"),"")</f>
        <v/>
      </c>
      <c r="O394" s="194"/>
      <c r="P394" s="194"/>
      <c r="Q394" s="194"/>
      <c r="R394" s="194"/>
      <c r="S394" s="194"/>
      <c r="T394" s="194"/>
      <c r="U394" s="194"/>
      <c r="V394" s="194"/>
      <c r="W394" s="194"/>
    </row>
    <row r="395" ht="14.25" customHeight="1">
      <c r="A395" s="31"/>
      <c r="B395" s="287"/>
      <c r="C395" s="286"/>
      <c r="D395" s="270"/>
      <c r="E395" s="271"/>
      <c r="F395" s="204"/>
      <c r="G395" s="273"/>
      <c r="H395" s="204"/>
      <c r="I395" s="204"/>
      <c r="J395" s="202"/>
      <c r="K395" s="202"/>
      <c r="L395" s="192" t="str">
        <f>IFERROR(__xludf.DUMMYFUNCTION("IF(
  AND(D395=""Saída"", J395=""Sangria""),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198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94" t="str">
        <f>IFERROR(__xludf.DUMMYFUNCTION("ifna(VALUE(REGEXEXTRACT(E395,""[0-9.]+[,]+[0-9]+"")))"),"")</f>
        <v/>
      </c>
      <c r="O395" s="194"/>
      <c r="P395" s="194"/>
      <c r="Q395" s="194"/>
      <c r="R395" s="194"/>
      <c r="S395" s="194"/>
      <c r="T395" s="194"/>
      <c r="U395" s="194"/>
      <c r="V395" s="194"/>
      <c r="W395" s="194"/>
    </row>
    <row r="396" ht="14.25" customHeight="1">
      <c r="A396" s="31"/>
      <c r="B396" s="287"/>
      <c r="C396" s="286"/>
      <c r="D396" s="270"/>
      <c r="E396" s="271"/>
      <c r="F396" s="204"/>
      <c r="G396" s="273"/>
      <c r="H396" s="204"/>
      <c r="I396" s="204"/>
      <c r="J396" s="202"/>
      <c r="K396" s="202"/>
      <c r="L396" s="192" t="str">
        <f>IFERROR(__xludf.DUMMYFUNCTION("IF(
  AND(D396=""Saída"", J396=""Sangria""),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197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94" t="str">
        <f>IFERROR(__xludf.DUMMYFUNCTION("ifna(VALUE(REGEXEXTRACT(E396,""[0-9.]+[,]+[0-9]+"")))"),"")</f>
        <v/>
      </c>
      <c r="O396" s="194"/>
      <c r="P396" s="194"/>
      <c r="Q396" s="194"/>
      <c r="R396" s="194"/>
      <c r="S396" s="194"/>
      <c r="T396" s="194"/>
      <c r="U396" s="194"/>
      <c r="V396" s="194"/>
      <c r="W396" s="194"/>
    </row>
    <row r="397" ht="14.25" customHeight="1">
      <c r="A397" s="31"/>
      <c r="B397" s="287"/>
      <c r="C397" s="286"/>
      <c r="D397" s="270"/>
      <c r="E397" s="271"/>
      <c r="F397" s="204"/>
      <c r="G397" s="273"/>
      <c r="H397" s="204"/>
      <c r="I397" s="204"/>
      <c r="J397" s="202"/>
      <c r="K397" s="202"/>
      <c r="L397" s="192" t="str">
        <f>IFERROR(__xludf.DUMMYFUNCTION("IF(
  AND(D397=""Saída"", J397=""Sangria""),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198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94" t="str">
        <f>IFERROR(__xludf.DUMMYFUNCTION("ifna(VALUE(REGEXEXTRACT(E397,""[0-9.]+[,]+[0-9]+"")))"),"")</f>
        <v/>
      </c>
      <c r="O397" s="194"/>
      <c r="P397" s="194"/>
      <c r="Q397" s="194"/>
      <c r="R397" s="194"/>
      <c r="S397" s="194"/>
      <c r="T397" s="194"/>
      <c r="U397" s="194"/>
      <c r="V397" s="194"/>
      <c r="W397" s="194"/>
    </row>
    <row r="398" ht="14.25" customHeight="1">
      <c r="A398" s="31"/>
      <c r="B398" s="287"/>
      <c r="C398" s="286"/>
      <c r="D398" s="270"/>
      <c r="E398" s="271"/>
      <c r="F398" s="204"/>
      <c r="G398" s="273"/>
      <c r="H398" s="204"/>
      <c r="I398" s="204"/>
      <c r="J398" s="202"/>
      <c r="K398" s="202"/>
      <c r="L398" s="192" t="str">
        <f>IFERROR(__xludf.DUMMYFUNCTION("IF(
  AND(D398=""Saída"", J398=""Sangria""),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197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94" t="str">
        <f>IFERROR(__xludf.DUMMYFUNCTION("ifna(VALUE(REGEXEXTRACT(E398,""[0-9.]+[,]+[0-9]+"")))"),"")</f>
        <v/>
      </c>
      <c r="O398" s="194"/>
      <c r="P398" s="194"/>
      <c r="Q398" s="194"/>
      <c r="R398" s="194"/>
      <c r="S398" s="194"/>
      <c r="T398" s="194"/>
      <c r="U398" s="194"/>
      <c r="V398" s="194"/>
      <c r="W398" s="194"/>
    </row>
    <row r="399" ht="14.25" customHeight="1">
      <c r="A399" s="31"/>
      <c r="B399" s="287"/>
      <c r="C399" s="286"/>
      <c r="D399" s="270"/>
      <c r="E399" s="271"/>
      <c r="F399" s="204"/>
      <c r="G399" s="273"/>
      <c r="H399" s="204"/>
      <c r="I399" s="204"/>
      <c r="J399" s="202"/>
      <c r="K399" s="202"/>
      <c r="L399" s="192" t="str">
        <f>IFERROR(__xludf.DUMMYFUNCTION("IF(
  AND(D399=""Saída"", J399=""Sangria""),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198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94" t="str">
        <f>IFERROR(__xludf.DUMMYFUNCTION("ifna(VALUE(REGEXEXTRACT(E399,""[0-9.]+[,]+[0-9]+"")))"),"")</f>
        <v/>
      </c>
      <c r="O399" s="194"/>
      <c r="P399" s="194"/>
      <c r="Q399" s="194"/>
      <c r="R399" s="194"/>
      <c r="S399" s="194"/>
      <c r="T399" s="194"/>
      <c r="U399" s="194"/>
      <c r="V399" s="194"/>
      <c r="W399" s="194"/>
    </row>
    <row r="400" ht="14.25" customHeight="1">
      <c r="A400" s="31"/>
      <c r="B400" s="287"/>
      <c r="C400" s="286"/>
      <c r="D400" s="270"/>
      <c r="E400" s="271"/>
      <c r="F400" s="204"/>
      <c r="G400" s="273"/>
      <c r="H400" s="204"/>
      <c r="I400" s="204"/>
      <c r="J400" s="202"/>
      <c r="K400" s="202"/>
      <c r="L400" s="192" t="str">
        <f>IFERROR(__xludf.DUMMYFUNCTION("IF(
  AND(D400=""Saída"", J400=""Sangria""),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197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94" t="str">
        <f>IFERROR(__xludf.DUMMYFUNCTION("ifna(VALUE(REGEXEXTRACT(E400,""[0-9.]+[,]+[0-9]+"")))"),"")</f>
        <v/>
      </c>
      <c r="O400" s="194"/>
      <c r="P400" s="194"/>
      <c r="Q400" s="194"/>
      <c r="R400" s="194"/>
      <c r="S400" s="194"/>
      <c r="T400" s="194"/>
      <c r="U400" s="194"/>
      <c r="V400" s="194"/>
      <c r="W400" s="194"/>
    </row>
    <row r="401" ht="14.25" customHeight="1">
      <c r="A401" s="31"/>
      <c r="B401" s="287"/>
      <c r="C401" s="286"/>
      <c r="D401" s="270"/>
      <c r="E401" s="271"/>
      <c r="F401" s="204"/>
      <c r="G401" s="273"/>
      <c r="H401" s="204"/>
      <c r="I401" s="204"/>
      <c r="J401" s="202"/>
      <c r="K401" s="202"/>
      <c r="L401" s="192" t="str">
        <f>IFERROR(__xludf.DUMMYFUNCTION("IF(
  AND(D401=""Saída"", J401=""Sangria""),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198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94" t="str">
        <f>IFERROR(__xludf.DUMMYFUNCTION("ifna(VALUE(REGEXEXTRACT(E401,""[0-9.]+[,]+[0-9]+"")))"),"")</f>
        <v/>
      </c>
      <c r="O401" s="194"/>
      <c r="P401" s="194"/>
      <c r="Q401" s="194"/>
      <c r="R401" s="194"/>
      <c r="S401" s="194"/>
      <c r="T401" s="194"/>
      <c r="U401" s="194"/>
      <c r="V401" s="194"/>
      <c r="W401" s="194"/>
    </row>
    <row r="402" ht="14.25" customHeight="1">
      <c r="A402" s="31"/>
      <c r="B402" s="287"/>
      <c r="C402" s="286"/>
      <c r="D402" s="270"/>
      <c r="E402" s="271"/>
      <c r="F402" s="204"/>
      <c r="G402" s="273"/>
      <c r="H402" s="204"/>
      <c r="I402" s="204"/>
      <c r="J402" s="202"/>
      <c r="K402" s="202"/>
      <c r="L402" s="192" t="str">
        <f>IFERROR(__xludf.DUMMYFUNCTION("IF(
  AND(D402=""Saída"", J402=""Sangria""),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197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94" t="str">
        <f>IFERROR(__xludf.DUMMYFUNCTION("ifna(VALUE(REGEXEXTRACT(E402,""[0-9.]+[,]+[0-9]+"")))"),"")</f>
        <v/>
      </c>
      <c r="O402" s="194"/>
      <c r="P402" s="194"/>
      <c r="Q402" s="194"/>
      <c r="R402" s="194"/>
      <c r="S402" s="194"/>
      <c r="T402" s="194"/>
      <c r="U402" s="194"/>
      <c r="V402" s="194"/>
      <c r="W402" s="194"/>
    </row>
    <row r="403" ht="14.25" customHeight="1">
      <c r="A403" s="31"/>
      <c r="B403" s="287"/>
      <c r="C403" s="286"/>
      <c r="D403" s="270"/>
      <c r="E403" s="271"/>
      <c r="F403" s="204"/>
      <c r="G403" s="273"/>
      <c r="H403" s="204"/>
      <c r="I403" s="204"/>
      <c r="J403" s="202"/>
      <c r="K403" s="202"/>
      <c r="L403" s="192" t="str">
        <f>IFERROR(__xludf.DUMMYFUNCTION("IF(
  AND(D403=""Saída"", J403=""Sangria""),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198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94" t="str">
        <f>IFERROR(__xludf.DUMMYFUNCTION("ifna(VALUE(REGEXEXTRACT(E403,""[0-9.]+[,]+[0-9]+"")))"),"")</f>
        <v/>
      </c>
      <c r="O403" s="194"/>
      <c r="P403" s="194"/>
      <c r="Q403" s="194"/>
      <c r="R403" s="194"/>
      <c r="S403" s="194"/>
      <c r="T403" s="194"/>
      <c r="U403" s="194"/>
      <c r="V403" s="194"/>
      <c r="W403" s="194"/>
    </row>
    <row r="404" ht="14.25" customHeight="1">
      <c r="A404" s="31"/>
      <c r="B404" s="287"/>
      <c r="C404" s="286"/>
      <c r="D404" s="270"/>
      <c r="E404" s="271"/>
      <c r="F404" s="204"/>
      <c r="G404" s="273"/>
      <c r="H404" s="204"/>
      <c r="I404" s="204"/>
      <c r="J404" s="202"/>
      <c r="K404" s="202"/>
      <c r="L404" s="192" t="str">
        <f>IFERROR(__xludf.DUMMYFUNCTION("IF(
  AND(D404=""Saída"", J404=""Sangria""),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197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94" t="str">
        <f>IFERROR(__xludf.DUMMYFUNCTION("ifna(VALUE(REGEXEXTRACT(E404,""[0-9.]+[,]+[0-9]+"")))"),"")</f>
        <v/>
      </c>
      <c r="O404" s="194"/>
      <c r="P404" s="194"/>
      <c r="Q404" s="194"/>
      <c r="R404" s="194"/>
      <c r="S404" s="194"/>
      <c r="T404" s="194"/>
      <c r="U404" s="194"/>
      <c r="V404" s="194"/>
      <c r="W404" s="194"/>
    </row>
    <row r="405" ht="14.25" customHeight="1">
      <c r="A405" s="31"/>
      <c r="B405" s="287"/>
      <c r="C405" s="286"/>
      <c r="D405" s="270"/>
      <c r="E405" s="271"/>
      <c r="F405" s="204"/>
      <c r="G405" s="273"/>
      <c r="H405" s="204"/>
      <c r="I405" s="204"/>
      <c r="J405" s="202"/>
      <c r="K405" s="202"/>
      <c r="L405" s="192" t="str">
        <f>IFERROR(__xludf.DUMMYFUNCTION("IF(
  AND(D405=""Saída"", J405=""Sangria""),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198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94" t="str">
        <f>IFERROR(__xludf.DUMMYFUNCTION("ifna(VALUE(REGEXEXTRACT(E405,""[0-9.]+[,]+[0-9]+"")))"),"")</f>
        <v/>
      </c>
      <c r="O405" s="194"/>
      <c r="P405" s="194"/>
      <c r="Q405" s="194"/>
      <c r="R405" s="194"/>
      <c r="S405" s="194"/>
      <c r="T405" s="194"/>
      <c r="U405" s="194"/>
      <c r="V405" s="194"/>
      <c r="W405" s="194"/>
    </row>
    <row r="406" ht="14.25" customHeight="1">
      <c r="A406" s="31"/>
      <c r="B406" s="287"/>
      <c r="C406" s="286"/>
      <c r="D406" s="270"/>
      <c r="E406" s="288"/>
      <c r="F406" s="204"/>
      <c r="G406" s="273"/>
      <c r="H406" s="204"/>
      <c r="I406" s="204"/>
      <c r="J406" s="202"/>
      <c r="K406" s="202"/>
      <c r="L406" s="192" t="str">
        <f>IFERROR(__xludf.DUMMYFUNCTION("IF(
  AND(D406=""Saída"", J406=""Sangria""),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197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94" t="str">
        <f>IFERROR(__xludf.DUMMYFUNCTION("ifna(VALUE(REGEXEXTRACT(E406,""[0-9.]+[,]+[0-9]+"")))"),"")</f>
        <v/>
      </c>
      <c r="O406" s="194"/>
      <c r="P406" s="194"/>
      <c r="Q406" s="194"/>
      <c r="R406" s="194"/>
      <c r="S406" s="194"/>
      <c r="T406" s="194"/>
      <c r="U406" s="194"/>
      <c r="V406" s="194"/>
      <c r="W406" s="194"/>
    </row>
    <row r="407" ht="14.25" customHeight="1">
      <c r="A407" s="31"/>
      <c r="B407" s="287"/>
      <c r="C407" s="286"/>
      <c r="D407" s="270"/>
      <c r="E407" s="288"/>
      <c r="F407" s="204"/>
      <c r="G407" s="289"/>
      <c r="H407" s="204"/>
      <c r="I407" s="204"/>
      <c r="J407" s="202"/>
      <c r="K407" s="202"/>
      <c r="L407" s="192" t="str">
        <f>IFERROR(__xludf.DUMMYFUNCTION("IF(
  AND(D407=""Saída"", J407=""Sangria""),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198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94" t="str">
        <f>IFERROR(__xludf.DUMMYFUNCTION("ifna(VALUE(REGEXEXTRACT(E407,""[0-9.]+[,]+[0-9]+"")))"),"")</f>
        <v/>
      </c>
      <c r="O407" s="194"/>
      <c r="P407" s="194"/>
      <c r="Q407" s="194"/>
      <c r="R407" s="194"/>
      <c r="S407" s="194"/>
      <c r="T407" s="194"/>
      <c r="U407" s="194"/>
      <c r="V407" s="194"/>
      <c r="W407" s="194"/>
    </row>
    <row r="408" ht="14.25" customHeight="1">
      <c r="A408" s="31"/>
      <c r="B408" s="287"/>
      <c r="C408" s="286"/>
      <c r="D408" s="270"/>
      <c r="E408" s="288"/>
      <c r="F408" s="204"/>
      <c r="G408" s="289"/>
      <c r="H408" s="204"/>
      <c r="I408" s="204"/>
      <c r="J408" s="202"/>
      <c r="K408" s="202"/>
      <c r="L408" s="192" t="str">
        <f>IFERROR(__xludf.DUMMYFUNCTION("IF(
  AND(D408=""Saída"", J408=""Sangria""),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197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94" t="str">
        <f>IFERROR(__xludf.DUMMYFUNCTION("ifna(VALUE(REGEXEXTRACT(E408,""[0-9.]+[,]+[0-9]+"")))"),"")</f>
        <v/>
      </c>
      <c r="O408" s="194"/>
      <c r="P408" s="194"/>
      <c r="Q408" s="194"/>
      <c r="R408" s="194"/>
      <c r="S408" s="194"/>
      <c r="T408" s="194"/>
      <c r="U408" s="194"/>
      <c r="V408" s="194"/>
      <c r="W408" s="194"/>
    </row>
    <row r="409" ht="14.25" customHeight="1">
      <c r="A409" s="31"/>
      <c r="B409" s="287"/>
      <c r="C409" s="286"/>
      <c r="D409" s="270"/>
      <c r="E409" s="288"/>
      <c r="F409" s="204"/>
      <c r="G409" s="289"/>
      <c r="H409" s="204"/>
      <c r="I409" s="204"/>
      <c r="J409" s="202"/>
      <c r="K409" s="202"/>
      <c r="L409" s="192" t="str">
        <f>IFERROR(__xludf.DUMMYFUNCTION("IF(
  AND(D409=""Saída"", J409=""Sangria""),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198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94" t="str">
        <f>IFERROR(__xludf.DUMMYFUNCTION("ifna(VALUE(REGEXEXTRACT(E409,""[0-9.]+[,]+[0-9]+"")))"),"")</f>
        <v/>
      </c>
      <c r="O409" s="194"/>
      <c r="P409" s="194"/>
      <c r="Q409" s="194"/>
      <c r="R409" s="194"/>
      <c r="S409" s="194"/>
      <c r="T409" s="194"/>
      <c r="U409" s="194"/>
      <c r="V409" s="194"/>
      <c r="W409" s="194"/>
    </row>
    <row r="410" ht="14.25" customHeight="1">
      <c r="A410" s="31"/>
      <c r="B410" s="287"/>
      <c r="C410" s="286"/>
      <c r="D410" s="270"/>
      <c r="E410" s="288"/>
      <c r="F410" s="204"/>
      <c r="G410" s="289"/>
      <c r="H410" s="204"/>
      <c r="I410" s="204"/>
      <c r="J410" s="202"/>
      <c r="K410" s="202"/>
      <c r="L410" s="192" t="str">
        <f>IFERROR(__xludf.DUMMYFUNCTION("IF(
  AND(D410=""Saída"", J410=""Sangria""),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197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94" t="str">
        <f>IFERROR(__xludf.DUMMYFUNCTION("ifna(VALUE(REGEXEXTRACT(E410,""[0-9.]+[,]+[0-9]+"")))"),"")</f>
        <v/>
      </c>
      <c r="O410" s="194"/>
      <c r="P410" s="194"/>
      <c r="Q410" s="194"/>
      <c r="R410" s="194"/>
      <c r="S410" s="194"/>
      <c r="T410" s="194"/>
      <c r="U410" s="194"/>
      <c r="V410" s="194"/>
      <c r="W410" s="194"/>
    </row>
    <row r="411" ht="14.25" customHeight="1">
      <c r="A411" s="31"/>
      <c r="B411" s="287"/>
      <c r="C411" s="286"/>
      <c r="D411" s="204"/>
      <c r="E411" s="288"/>
      <c r="F411" s="204"/>
      <c r="G411" s="289"/>
      <c r="H411" s="204"/>
      <c r="I411" s="204"/>
      <c r="J411" s="202"/>
      <c r="K411" s="202"/>
      <c r="L411" s="192" t="str">
        <f>IFERROR(__xludf.DUMMYFUNCTION("IF(
  AND(D411=""Saída"", J411=""Sangria""),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198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94" t="str">
        <f>IFERROR(__xludf.DUMMYFUNCTION("ifna(VALUE(REGEXEXTRACT(E411,""[0-9.]+[,]+[0-9]+"")))"),"")</f>
        <v/>
      </c>
      <c r="O411" s="194"/>
      <c r="P411" s="194"/>
      <c r="Q411" s="194"/>
      <c r="R411" s="194"/>
      <c r="S411" s="194"/>
      <c r="T411" s="194"/>
      <c r="U411" s="194"/>
      <c r="V411" s="194"/>
      <c r="W411" s="194"/>
    </row>
    <row r="412" ht="14.25" customHeight="1">
      <c r="A412" s="31"/>
      <c r="B412" s="287"/>
      <c r="C412" s="286"/>
      <c r="D412" s="204"/>
      <c r="E412" s="288"/>
      <c r="F412" s="204"/>
      <c r="G412" s="289"/>
      <c r="H412" s="204"/>
      <c r="I412" s="204"/>
      <c r="J412" s="202"/>
      <c r="K412" s="202"/>
      <c r="L412" s="192" t="str">
        <f>IFERROR(__xludf.DUMMYFUNCTION("IF(
  AND(D412=""Saída"", J412=""Sangria""),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197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94" t="str">
        <f>IFERROR(__xludf.DUMMYFUNCTION("ifna(VALUE(REGEXEXTRACT(E412,""[0-9.]+[,]+[0-9]+"")))"),"")</f>
        <v/>
      </c>
      <c r="O412" s="194"/>
      <c r="P412" s="194"/>
      <c r="Q412" s="194"/>
      <c r="R412" s="194"/>
      <c r="S412" s="194"/>
      <c r="T412" s="194"/>
      <c r="U412" s="194"/>
      <c r="V412" s="194"/>
      <c r="W412" s="194"/>
    </row>
    <row r="413" ht="14.25" customHeight="1">
      <c r="A413" s="31"/>
      <c r="B413" s="287"/>
      <c r="C413" s="286"/>
      <c r="D413" s="204"/>
      <c r="E413" s="288"/>
      <c r="F413" s="204"/>
      <c r="G413" s="289"/>
      <c r="H413" s="204"/>
      <c r="I413" s="204"/>
      <c r="J413" s="202"/>
      <c r="K413" s="202"/>
      <c r="L413" s="192" t="str">
        <f>IFERROR(__xludf.DUMMYFUNCTION("IF(
  AND(D413=""Saída"", J413=""Sangria""),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198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94" t="str">
        <f>IFERROR(__xludf.DUMMYFUNCTION("ifna(VALUE(REGEXEXTRACT(E413,""[0-9.]+[,]+[0-9]+"")))"),"")</f>
        <v/>
      </c>
      <c r="O413" s="194"/>
      <c r="P413" s="194"/>
      <c r="Q413" s="194"/>
      <c r="R413" s="194"/>
      <c r="S413" s="194"/>
      <c r="T413" s="194"/>
      <c r="U413" s="194"/>
      <c r="V413" s="194"/>
      <c r="W413" s="194"/>
    </row>
    <row r="414" ht="14.25" customHeight="1">
      <c r="A414" s="31"/>
      <c r="B414" s="287"/>
      <c r="C414" s="286"/>
      <c r="D414" s="204"/>
      <c r="E414" s="288"/>
      <c r="F414" s="204"/>
      <c r="G414" s="289"/>
      <c r="H414" s="204"/>
      <c r="I414" s="204"/>
      <c r="J414" s="202"/>
      <c r="K414" s="202"/>
      <c r="L414" s="192" t="str">
        <f>IFERROR(__xludf.DUMMYFUNCTION("IF(
  AND(D414=""Saída"", J414=""Sangria""),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197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94" t="str">
        <f>IFERROR(__xludf.DUMMYFUNCTION("ifna(VALUE(REGEXEXTRACT(E414,""[0-9.]+[,]+[0-9]+"")))"),"")</f>
        <v/>
      </c>
      <c r="O414" s="194"/>
      <c r="P414" s="194"/>
      <c r="Q414" s="194"/>
      <c r="R414" s="194"/>
      <c r="S414" s="194"/>
      <c r="T414" s="194"/>
      <c r="U414" s="194"/>
      <c r="V414" s="194"/>
      <c r="W414" s="194"/>
    </row>
    <row r="415" ht="14.25" customHeight="1">
      <c r="A415" s="31"/>
      <c r="B415" s="287"/>
      <c r="C415" s="286"/>
      <c r="D415" s="204"/>
      <c r="E415" s="288"/>
      <c r="F415" s="204"/>
      <c r="G415" s="289"/>
      <c r="H415" s="204"/>
      <c r="I415" s="204"/>
      <c r="J415" s="202"/>
      <c r="K415" s="202"/>
      <c r="L415" s="192" t="str">
        <f>IFERROR(__xludf.DUMMYFUNCTION("IF(
  AND(D415=""Saída"", J415=""Sangria""),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198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94" t="str">
        <f>IFERROR(__xludf.DUMMYFUNCTION("ifna(VALUE(REGEXEXTRACT(E415,""[0-9.]+[,]+[0-9]+"")))"),"")</f>
        <v/>
      </c>
      <c r="O415" s="194"/>
      <c r="P415" s="194"/>
      <c r="Q415" s="194"/>
      <c r="R415" s="194"/>
      <c r="S415" s="194"/>
      <c r="T415" s="194"/>
      <c r="U415" s="194"/>
      <c r="V415" s="194"/>
      <c r="W415" s="194"/>
    </row>
    <row r="416" ht="14.25" customHeight="1">
      <c r="A416" s="31"/>
      <c r="B416" s="287"/>
      <c r="C416" s="286"/>
      <c r="D416" s="204"/>
      <c r="E416" s="288"/>
      <c r="F416" s="204"/>
      <c r="G416" s="289"/>
      <c r="H416" s="204"/>
      <c r="I416" s="204"/>
      <c r="J416" s="202"/>
      <c r="K416" s="202"/>
      <c r="L416" s="192" t="str">
        <f>IFERROR(__xludf.DUMMYFUNCTION("IF(
  AND(D416=""Saída"", J416=""Sangria""),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197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94" t="str">
        <f>IFERROR(__xludf.DUMMYFUNCTION("ifna(VALUE(REGEXEXTRACT(E416,""[0-9.]+[,]+[0-9]+"")))"),"")</f>
        <v/>
      </c>
      <c r="O416" s="194"/>
      <c r="P416" s="194"/>
      <c r="Q416" s="194"/>
      <c r="R416" s="194"/>
      <c r="S416" s="194"/>
      <c r="T416" s="194"/>
      <c r="U416" s="194"/>
      <c r="V416" s="194"/>
      <c r="W416" s="194"/>
    </row>
    <row r="417" ht="14.25" customHeight="1">
      <c r="A417" s="31"/>
      <c r="B417" s="287"/>
      <c r="C417" s="286"/>
      <c r="D417" s="204"/>
      <c r="E417" s="288"/>
      <c r="F417" s="204"/>
      <c r="G417" s="289"/>
      <c r="H417" s="204"/>
      <c r="I417" s="204"/>
      <c r="J417" s="202"/>
      <c r="K417" s="202"/>
      <c r="L417" s="192" t="str">
        <f>IFERROR(__xludf.DUMMYFUNCTION("IF(
  AND(D417=""Saída"", J417=""Sangria""),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198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94" t="str">
        <f>IFERROR(__xludf.DUMMYFUNCTION("ifna(VALUE(REGEXEXTRACT(E417,""[0-9.]+[,]+[0-9]+"")))"),"")</f>
        <v/>
      </c>
      <c r="O417" s="194"/>
      <c r="P417" s="194"/>
      <c r="Q417" s="194"/>
      <c r="R417" s="194"/>
      <c r="S417" s="194"/>
      <c r="T417" s="194"/>
      <c r="U417" s="194"/>
      <c r="V417" s="194"/>
      <c r="W417" s="194"/>
    </row>
    <row r="418" ht="14.25" customHeight="1">
      <c r="A418" s="31"/>
      <c r="B418" s="287"/>
      <c r="C418" s="286"/>
      <c r="D418" s="204"/>
      <c r="E418" s="288"/>
      <c r="F418" s="204"/>
      <c r="G418" s="289"/>
      <c r="H418" s="204"/>
      <c r="I418" s="204"/>
      <c r="J418" s="202"/>
      <c r="K418" s="202"/>
      <c r="L418" s="192" t="str">
        <f>IFERROR(__xludf.DUMMYFUNCTION("IF(
  AND(D418=""Saída"", J418=""Sangria""),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197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94" t="str">
        <f>IFERROR(__xludf.DUMMYFUNCTION("ifna(VALUE(REGEXEXTRACT(E418,""[0-9.]+[,]+[0-9]+"")))"),"")</f>
        <v/>
      </c>
      <c r="O418" s="194"/>
      <c r="P418" s="194"/>
      <c r="Q418" s="194"/>
      <c r="R418" s="194"/>
      <c r="S418" s="194"/>
      <c r="T418" s="194"/>
      <c r="U418" s="194"/>
      <c r="V418" s="194"/>
      <c r="W418" s="194"/>
    </row>
    <row r="419" ht="14.25" customHeight="1">
      <c r="A419" s="31"/>
      <c r="B419" s="287"/>
      <c r="C419" s="286"/>
      <c r="D419" s="204"/>
      <c r="E419" s="288"/>
      <c r="F419" s="204"/>
      <c r="G419" s="289"/>
      <c r="H419" s="204"/>
      <c r="I419" s="204"/>
      <c r="J419" s="202"/>
      <c r="K419" s="202"/>
      <c r="L419" s="192" t="str">
        <f>IFERROR(__xludf.DUMMYFUNCTION("IF(
  AND(D419=""Saída"", J419=""Sangria""),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198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94" t="str">
        <f>IFERROR(__xludf.DUMMYFUNCTION("ifna(VALUE(REGEXEXTRACT(E419,""[0-9.]+[,]+[0-9]+"")))"),"")</f>
        <v/>
      </c>
      <c r="O419" s="194"/>
      <c r="P419" s="194"/>
      <c r="Q419" s="194"/>
      <c r="R419" s="194"/>
      <c r="S419" s="194"/>
      <c r="T419" s="194"/>
      <c r="U419" s="194"/>
      <c r="V419" s="194"/>
      <c r="W419" s="194"/>
    </row>
    <row r="420" ht="14.25" customHeight="1">
      <c r="A420" s="31"/>
      <c r="B420" s="287"/>
      <c r="C420" s="286"/>
      <c r="D420" s="204"/>
      <c r="E420" s="288"/>
      <c r="F420" s="204"/>
      <c r="G420" s="289"/>
      <c r="H420" s="204"/>
      <c r="I420" s="204"/>
      <c r="J420" s="202"/>
      <c r="K420" s="202"/>
      <c r="L420" s="192" t="str">
        <f>IFERROR(__xludf.DUMMYFUNCTION("IF(
  AND(D420=""Saída"", J420=""Sangria""),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197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94" t="str">
        <f>IFERROR(__xludf.DUMMYFUNCTION("ifna(VALUE(REGEXEXTRACT(E420,""[0-9.]+[,]+[0-9]+"")))"),"")</f>
        <v/>
      </c>
      <c r="O420" s="194"/>
      <c r="P420" s="194"/>
      <c r="Q420" s="194"/>
      <c r="R420" s="194"/>
      <c r="S420" s="194"/>
      <c r="T420" s="194"/>
      <c r="U420" s="194"/>
      <c r="V420" s="194"/>
      <c r="W420" s="194"/>
    </row>
    <row r="421" ht="14.25" customHeight="1">
      <c r="A421" s="31"/>
      <c r="B421" s="287"/>
      <c r="C421" s="286"/>
      <c r="D421" s="204"/>
      <c r="E421" s="288"/>
      <c r="F421" s="204"/>
      <c r="G421" s="289"/>
      <c r="H421" s="204"/>
      <c r="I421" s="204"/>
      <c r="J421" s="202"/>
      <c r="K421" s="202"/>
      <c r="L421" s="192" t="str">
        <f>IFERROR(__xludf.DUMMYFUNCTION("IF(
  AND(D421=""Saída"", J421=""Sangria""),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198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94" t="str">
        <f>IFERROR(__xludf.DUMMYFUNCTION("ifna(VALUE(REGEXEXTRACT(E421,""[0-9.]+[,]+[0-9]+"")))"),"")</f>
        <v/>
      </c>
      <c r="O421" s="194"/>
      <c r="P421" s="194"/>
      <c r="Q421" s="194"/>
      <c r="R421" s="194"/>
      <c r="S421" s="194"/>
      <c r="T421" s="194"/>
      <c r="U421" s="194"/>
      <c r="V421" s="194"/>
      <c r="W421" s="194"/>
    </row>
    <row r="422" ht="14.25" customHeight="1">
      <c r="A422" s="31"/>
      <c r="B422" s="287"/>
      <c r="C422" s="286"/>
      <c r="D422" s="204"/>
      <c r="E422" s="288"/>
      <c r="F422" s="204"/>
      <c r="G422" s="289"/>
      <c r="H422" s="204"/>
      <c r="I422" s="204"/>
      <c r="J422" s="202"/>
      <c r="K422" s="202"/>
      <c r="L422" s="192" t="str">
        <f>IFERROR(__xludf.DUMMYFUNCTION("IF(
  AND(D422=""Saída"", J422=""Sangria""),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197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94" t="str">
        <f>IFERROR(__xludf.DUMMYFUNCTION("ifna(VALUE(REGEXEXTRACT(E422,""[0-9.]+[,]+[0-9]+"")))"),"")</f>
        <v/>
      </c>
      <c r="O422" s="194"/>
      <c r="P422" s="194"/>
      <c r="Q422" s="194"/>
      <c r="R422" s="194"/>
      <c r="S422" s="194"/>
      <c r="T422" s="194"/>
      <c r="U422" s="194"/>
      <c r="V422" s="194"/>
      <c r="W422" s="194"/>
    </row>
    <row r="423" ht="14.25" customHeight="1">
      <c r="A423" s="31"/>
      <c r="B423" s="287"/>
      <c r="C423" s="286"/>
      <c r="D423" s="204"/>
      <c r="E423" s="288"/>
      <c r="F423" s="204"/>
      <c r="G423" s="289"/>
      <c r="H423" s="204"/>
      <c r="I423" s="204"/>
      <c r="J423" s="202"/>
      <c r="K423" s="202"/>
      <c r="L423" s="192" t="str">
        <f>IFERROR(__xludf.DUMMYFUNCTION("IF(
  AND(D423=""Saída"", J423=""Sangria""),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198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94" t="str">
        <f>IFERROR(__xludf.DUMMYFUNCTION("ifna(VALUE(REGEXEXTRACT(E423,""[0-9.]+[,]+[0-9]+"")))"),"")</f>
        <v/>
      </c>
      <c r="O423" s="194"/>
      <c r="P423" s="194"/>
      <c r="Q423" s="194"/>
      <c r="R423" s="194"/>
      <c r="S423" s="194"/>
      <c r="T423" s="194"/>
      <c r="U423" s="194"/>
      <c r="V423" s="194"/>
      <c r="W423" s="194"/>
    </row>
    <row r="424" ht="14.25" customHeight="1">
      <c r="A424" s="31"/>
      <c r="B424" s="287"/>
      <c r="C424" s="286"/>
      <c r="D424" s="204"/>
      <c r="E424" s="288"/>
      <c r="F424" s="204"/>
      <c r="G424" s="289"/>
      <c r="H424" s="204"/>
      <c r="I424" s="204"/>
      <c r="J424" s="202"/>
      <c r="K424" s="202"/>
      <c r="L424" s="192" t="str">
        <f>IFERROR(__xludf.DUMMYFUNCTION("IF(
  AND(D424=""Saída"", J424=""Sangria""),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197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94" t="str">
        <f>IFERROR(__xludf.DUMMYFUNCTION("ifna(VALUE(REGEXEXTRACT(E424,""[0-9.]+[,]+[0-9]+"")))"),"")</f>
        <v/>
      </c>
      <c r="O424" s="194"/>
      <c r="P424" s="194"/>
      <c r="Q424" s="194"/>
      <c r="R424" s="194"/>
      <c r="S424" s="194"/>
      <c r="T424" s="194"/>
      <c r="U424" s="194"/>
      <c r="V424" s="194"/>
      <c r="W424" s="194"/>
    </row>
    <row r="425" ht="14.25" customHeight="1">
      <c r="A425" s="31"/>
      <c r="B425" s="287"/>
      <c r="C425" s="286"/>
      <c r="D425" s="204"/>
      <c r="E425" s="288"/>
      <c r="F425" s="204"/>
      <c r="G425" s="289"/>
      <c r="H425" s="204"/>
      <c r="I425" s="204"/>
      <c r="J425" s="202"/>
      <c r="K425" s="202"/>
      <c r="L425" s="192" t="str">
        <f>IFERROR(__xludf.DUMMYFUNCTION("IF(
  AND(D425=""Saída"", J425=""Sangria""),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198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94" t="str">
        <f>IFERROR(__xludf.DUMMYFUNCTION("ifna(VALUE(REGEXEXTRACT(E425,""[0-9.]+[,]+[0-9]+"")))"),"")</f>
        <v/>
      </c>
      <c r="O425" s="194"/>
      <c r="P425" s="194"/>
      <c r="Q425" s="194"/>
      <c r="R425" s="194"/>
      <c r="S425" s="194"/>
      <c r="T425" s="194"/>
      <c r="U425" s="194"/>
      <c r="V425" s="194"/>
      <c r="W425" s="194"/>
    </row>
    <row r="426" ht="14.25" customHeight="1">
      <c r="A426" s="31"/>
      <c r="B426" s="287"/>
      <c r="C426" s="286"/>
      <c r="D426" s="204"/>
      <c r="E426" s="288"/>
      <c r="F426" s="204"/>
      <c r="G426" s="289"/>
      <c r="H426" s="204"/>
      <c r="I426" s="204"/>
      <c r="J426" s="202"/>
      <c r="K426" s="202"/>
      <c r="L426" s="192" t="str">
        <f>IFERROR(__xludf.DUMMYFUNCTION("IF(
  AND(D426=""Saída"", J426=""Sangria""),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197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94" t="str">
        <f>IFERROR(__xludf.DUMMYFUNCTION("ifna(VALUE(REGEXEXTRACT(E426,""[0-9.]+[,]+[0-9]+"")))"),"")</f>
        <v/>
      </c>
      <c r="O426" s="194"/>
      <c r="P426" s="194"/>
      <c r="Q426" s="194"/>
      <c r="R426" s="194"/>
      <c r="S426" s="194"/>
      <c r="T426" s="194"/>
      <c r="U426" s="194"/>
      <c r="V426" s="194"/>
      <c r="W426" s="194"/>
    </row>
    <row r="427" ht="14.25" customHeight="1">
      <c r="A427" s="31"/>
      <c r="B427" s="287"/>
      <c r="C427" s="286"/>
      <c r="D427" s="204"/>
      <c r="E427" s="288"/>
      <c r="F427" s="204"/>
      <c r="G427" s="289"/>
      <c r="H427" s="204"/>
      <c r="I427" s="204"/>
      <c r="J427" s="202"/>
      <c r="K427" s="202"/>
      <c r="L427" s="192" t="str">
        <f>IFERROR(__xludf.DUMMYFUNCTION("IF(
  AND(D427=""Saída"", J427=""Sangria""),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198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94" t="str">
        <f>IFERROR(__xludf.DUMMYFUNCTION("ifna(VALUE(REGEXEXTRACT(E427,""[0-9.]+[,]+[0-9]+"")))"),"")</f>
        <v/>
      </c>
      <c r="O427" s="194"/>
      <c r="P427" s="194"/>
      <c r="Q427" s="194"/>
      <c r="R427" s="194"/>
      <c r="S427" s="194"/>
      <c r="T427" s="194"/>
      <c r="U427" s="194"/>
      <c r="V427" s="194"/>
      <c r="W427" s="194"/>
    </row>
    <row r="428" ht="14.25" customHeight="1">
      <c r="A428" s="31"/>
      <c r="B428" s="287"/>
      <c r="C428" s="286"/>
      <c r="D428" s="204"/>
      <c r="E428" s="288"/>
      <c r="F428" s="204"/>
      <c r="G428" s="289"/>
      <c r="H428" s="204"/>
      <c r="I428" s="204"/>
      <c r="J428" s="202"/>
      <c r="K428" s="202"/>
      <c r="L428" s="192" t="str">
        <f>IFERROR(__xludf.DUMMYFUNCTION("IF(
  AND(D428=""Saída"", J428=""Sangria""),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197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94" t="str">
        <f>IFERROR(__xludf.DUMMYFUNCTION("ifna(VALUE(REGEXEXTRACT(E428,""[0-9.]+[,]+[0-9]+"")))"),"")</f>
        <v/>
      </c>
      <c r="O428" s="194"/>
      <c r="P428" s="194"/>
      <c r="Q428" s="194"/>
      <c r="R428" s="194"/>
      <c r="S428" s="194"/>
      <c r="T428" s="194"/>
      <c r="U428" s="194"/>
      <c r="V428" s="194"/>
      <c r="W428" s="194"/>
    </row>
    <row r="429" ht="14.25" customHeight="1">
      <c r="A429" s="31"/>
      <c r="B429" s="287"/>
      <c r="C429" s="286"/>
      <c r="D429" s="204"/>
      <c r="E429" s="288"/>
      <c r="F429" s="204"/>
      <c r="G429" s="289"/>
      <c r="H429" s="204"/>
      <c r="I429" s="204"/>
      <c r="J429" s="202"/>
      <c r="K429" s="202"/>
      <c r="L429" s="192" t="str">
        <f>IFERROR(__xludf.DUMMYFUNCTION("IF(
  AND(D429=""Saída"", J429=""Sangria""),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198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94" t="str">
        <f>IFERROR(__xludf.DUMMYFUNCTION("ifna(VALUE(REGEXEXTRACT(E429,""[0-9.]+[,]+[0-9]+"")))"),"")</f>
        <v/>
      </c>
      <c r="O429" s="194"/>
      <c r="P429" s="194"/>
      <c r="Q429" s="194"/>
      <c r="R429" s="194"/>
      <c r="S429" s="194"/>
      <c r="T429" s="194"/>
      <c r="U429" s="194"/>
      <c r="V429" s="194"/>
      <c r="W429" s="194"/>
    </row>
    <row r="430" ht="14.25" customHeight="1">
      <c r="A430" s="31"/>
      <c r="B430" s="287"/>
      <c r="C430" s="286"/>
      <c r="D430" s="204"/>
      <c r="E430" s="288"/>
      <c r="F430" s="204"/>
      <c r="G430" s="289"/>
      <c r="H430" s="204"/>
      <c r="I430" s="204"/>
      <c r="J430" s="202"/>
      <c r="K430" s="202"/>
      <c r="L430" s="192" t="str">
        <f>IFERROR(__xludf.DUMMYFUNCTION("IF(
  AND(D430=""Saída"", J430=""Sangria""),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197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94" t="str">
        <f>IFERROR(__xludf.DUMMYFUNCTION("ifna(VALUE(REGEXEXTRACT(E430,""[0-9.]+[,]+[0-9]+"")))"),"")</f>
        <v/>
      </c>
      <c r="O430" s="194"/>
      <c r="P430" s="194"/>
      <c r="Q430" s="194"/>
      <c r="R430" s="194"/>
      <c r="S430" s="194"/>
      <c r="T430" s="194"/>
      <c r="U430" s="194"/>
      <c r="V430" s="194"/>
      <c r="W430" s="194"/>
    </row>
    <row r="431" ht="14.25" customHeight="1">
      <c r="A431" s="31"/>
      <c r="B431" s="287"/>
      <c r="C431" s="286"/>
      <c r="D431" s="204"/>
      <c r="E431" s="288"/>
      <c r="F431" s="204"/>
      <c r="G431" s="289"/>
      <c r="H431" s="204"/>
      <c r="I431" s="204"/>
      <c r="J431" s="202"/>
      <c r="K431" s="202"/>
      <c r="L431" s="192" t="str">
        <f>IFERROR(__xludf.DUMMYFUNCTION("IF(
  AND(D431=""Saída"", J431=""Sangria""),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198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94" t="str">
        <f>IFERROR(__xludf.DUMMYFUNCTION("ifna(VALUE(REGEXEXTRACT(E431,""[0-9.]+[,]+[0-9]+"")))"),"")</f>
        <v/>
      </c>
      <c r="O431" s="194"/>
      <c r="P431" s="194"/>
      <c r="Q431" s="194"/>
      <c r="R431" s="194"/>
      <c r="S431" s="194"/>
      <c r="T431" s="194"/>
      <c r="U431" s="194"/>
      <c r="V431" s="194"/>
      <c r="W431" s="194"/>
    </row>
    <row r="432" ht="14.25" customHeight="1">
      <c r="A432" s="31"/>
      <c r="B432" s="287"/>
      <c r="C432" s="286"/>
      <c r="D432" s="204"/>
      <c r="E432" s="288"/>
      <c r="F432" s="204"/>
      <c r="G432" s="289"/>
      <c r="H432" s="204"/>
      <c r="I432" s="204"/>
      <c r="J432" s="202"/>
      <c r="K432" s="202"/>
      <c r="L432" s="192" t="str">
        <f>IFERROR(__xludf.DUMMYFUNCTION("IF(
  AND(D432=""Saída"", J432=""Sangria""),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197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94" t="str">
        <f>IFERROR(__xludf.DUMMYFUNCTION("ifna(VALUE(REGEXEXTRACT(E432,""[0-9.]+[,]+[0-9]+"")))"),"")</f>
        <v/>
      </c>
      <c r="O432" s="194"/>
      <c r="P432" s="194"/>
      <c r="Q432" s="194"/>
      <c r="R432" s="194"/>
      <c r="S432" s="194"/>
      <c r="T432" s="194"/>
      <c r="U432" s="194"/>
      <c r="V432" s="194"/>
      <c r="W432" s="194"/>
    </row>
    <row r="433" ht="14.25" customHeight="1">
      <c r="A433" s="31"/>
      <c r="B433" s="287"/>
      <c r="C433" s="286"/>
      <c r="D433" s="204"/>
      <c r="E433" s="288"/>
      <c r="F433" s="204"/>
      <c r="G433" s="289"/>
      <c r="H433" s="204"/>
      <c r="I433" s="204"/>
      <c r="J433" s="202"/>
      <c r="K433" s="202"/>
      <c r="L433" s="192" t="str">
        <f>IFERROR(__xludf.DUMMYFUNCTION("IF(
  AND(D433=""Saída"", J433=""Sangria""),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198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94" t="str">
        <f>IFERROR(__xludf.DUMMYFUNCTION("ifna(VALUE(REGEXEXTRACT(E433,""[0-9.]+[,]+[0-9]+"")))"),"")</f>
        <v/>
      </c>
      <c r="O433" s="194"/>
      <c r="P433" s="194"/>
      <c r="Q433" s="194"/>
      <c r="R433" s="194"/>
      <c r="S433" s="194"/>
      <c r="T433" s="194"/>
      <c r="U433" s="194"/>
      <c r="V433" s="194"/>
      <c r="W433" s="194"/>
    </row>
    <row r="434" ht="14.25" customHeight="1">
      <c r="A434" s="31"/>
      <c r="B434" s="287"/>
      <c r="C434" s="286"/>
      <c r="D434" s="204"/>
      <c r="E434" s="288"/>
      <c r="F434" s="204"/>
      <c r="G434" s="289"/>
      <c r="H434" s="204"/>
      <c r="I434" s="204"/>
      <c r="J434" s="202"/>
      <c r="K434" s="202"/>
      <c r="L434" s="192" t="str">
        <f>IFERROR(__xludf.DUMMYFUNCTION("IF(
  AND(D434=""Saída"", J434=""Sangria""),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197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94" t="str">
        <f>IFERROR(__xludf.DUMMYFUNCTION("ifna(VALUE(REGEXEXTRACT(E434,""[0-9.]+[,]+[0-9]+"")))"),"")</f>
        <v/>
      </c>
      <c r="O434" s="194"/>
      <c r="P434" s="194"/>
      <c r="Q434" s="194"/>
      <c r="R434" s="194"/>
      <c r="S434" s="194"/>
      <c r="T434" s="194"/>
      <c r="U434" s="194"/>
      <c r="V434" s="194"/>
      <c r="W434" s="194"/>
    </row>
    <row r="435" ht="14.25" customHeight="1">
      <c r="A435" s="31"/>
      <c r="B435" s="287"/>
      <c r="C435" s="286"/>
      <c r="D435" s="204"/>
      <c r="E435" s="288"/>
      <c r="F435" s="204"/>
      <c r="G435" s="289"/>
      <c r="H435" s="204"/>
      <c r="I435" s="204"/>
      <c r="J435" s="202"/>
      <c r="K435" s="202"/>
      <c r="L435" s="192" t="str">
        <f>IFERROR(__xludf.DUMMYFUNCTION("IF(
  AND(D435=""Saída"", J435=""Sangria""),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198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94" t="str">
        <f>IFERROR(__xludf.DUMMYFUNCTION("ifna(VALUE(REGEXEXTRACT(E435,""[0-9.]+[,]+[0-9]+"")))"),"")</f>
        <v/>
      </c>
      <c r="O435" s="194"/>
      <c r="P435" s="194"/>
      <c r="Q435" s="194"/>
      <c r="R435" s="194"/>
      <c r="S435" s="194"/>
      <c r="T435" s="194"/>
      <c r="U435" s="194"/>
      <c r="V435" s="194"/>
      <c r="W435" s="194"/>
    </row>
    <row r="436" ht="14.25" customHeight="1">
      <c r="A436" s="31"/>
      <c r="B436" s="287"/>
      <c r="C436" s="286"/>
      <c r="D436" s="204"/>
      <c r="E436" s="288"/>
      <c r="F436" s="204"/>
      <c r="G436" s="289"/>
      <c r="H436" s="204"/>
      <c r="I436" s="204"/>
      <c r="J436" s="202"/>
      <c r="K436" s="202"/>
      <c r="L436" s="192" t="str">
        <f>IFERROR(__xludf.DUMMYFUNCTION("IF(
  AND(D436=""Saída"", J436=""Sangria""),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197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94" t="str">
        <f>IFERROR(__xludf.DUMMYFUNCTION("ifna(VALUE(REGEXEXTRACT(E436,""[0-9.]+[,]+[0-9]+"")))"),"")</f>
        <v/>
      </c>
      <c r="O436" s="194"/>
      <c r="P436" s="194"/>
      <c r="Q436" s="194"/>
      <c r="R436" s="194"/>
      <c r="S436" s="194"/>
      <c r="T436" s="194"/>
      <c r="U436" s="194"/>
      <c r="V436" s="194"/>
      <c r="W436" s="194"/>
    </row>
    <row r="437" ht="14.25" customHeight="1">
      <c r="A437" s="31"/>
      <c r="B437" s="287"/>
      <c r="C437" s="286"/>
      <c r="D437" s="204"/>
      <c r="E437" s="288"/>
      <c r="F437" s="204"/>
      <c r="G437" s="289"/>
      <c r="H437" s="204"/>
      <c r="I437" s="204"/>
      <c r="J437" s="202"/>
      <c r="K437" s="202"/>
      <c r="L437" s="192" t="str">
        <f>IFERROR(__xludf.DUMMYFUNCTION("IF(
  AND(D437=""Saída"", J437=""Sangria""),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198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94" t="str">
        <f>IFERROR(__xludf.DUMMYFUNCTION("ifna(VALUE(REGEXEXTRACT(E437,""[0-9.]+[,]+[0-9]+"")))"),"")</f>
        <v/>
      </c>
      <c r="O437" s="194"/>
      <c r="P437" s="194"/>
      <c r="Q437" s="194"/>
      <c r="R437" s="194"/>
      <c r="S437" s="194"/>
      <c r="T437" s="194"/>
      <c r="U437" s="194"/>
      <c r="V437" s="194"/>
      <c r="W437" s="194"/>
    </row>
    <row r="438" ht="14.25" customHeight="1">
      <c r="A438" s="31"/>
      <c r="B438" s="287"/>
      <c r="C438" s="286"/>
      <c r="D438" s="204"/>
      <c r="E438" s="288"/>
      <c r="F438" s="204"/>
      <c r="G438" s="289"/>
      <c r="H438" s="204"/>
      <c r="I438" s="204"/>
      <c r="J438" s="202"/>
      <c r="K438" s="202"/>
      <c r="L438" s="192" t="str">
        <f>IFERROR(__xludf.DUMMYFUNCTION("IF(
  AND(D438=""Saída"", J438=""Sangria""),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197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94" t="str">
        <f>IFERROR(__xludf.DUMMYFUNCTION("ifna(VALUE(REGEXEXTRACT(E438,""[0-9.]+[,]+[0-9]+"")))"),"")</f>
        <v/>
      </c>
      <c r="O438" s="194"/>
      <c r="P438" s="194"/>
      <c r="Q438" s="194"/>
      <c r="R438" s="194"/>
      <c r="S438" s="194"/>
      <c r="T438" s="194"/>
      <c r="U438" s="194"/>
      <c r="V438" s="194"/>
      <c r="W438" s="194"/>
    </row>
    <row r="439" ht="14.25" customHeight="1">
      <c r="A439" s="31"/>
      <c r="B439" s="287"/>
      <c r="C439" s="286"/>
      <c r="D439" s="204"/>
      <c r="E439" s="288"/>
      <c r="F439" s="204"/>
      <c r="G439" s="289"/>
      <c r="H439" s="204"/>
      <c r="I439" s="204"/>
      <c r="J439" s="202"/>
      <c r="K439" s="202"/>
      <c r="L439" s="192" t="str">
        <f>IFERROR(__xludf.DUMMYFUNCTION("IF(
  AND(D439=""Saída"", J439=""Sangria""),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198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94" t="str">
        <f>IFERROR(__xludf.DUMMYFUNCTION("ifna(VALUE(REGEXEXTRACT(E439,""[0-9.]+[,]+[0-9]+"")))"),"")</f>
        <v/>
      </c>
      <c r="O439" s="194"/>
      <c r="P439" s="194"/>
      <c r="Q439" s="194"/>
      <c r="R439" s="194"/>
      <c r="S439" s="194"/>
      <c r="T439" s="194"/>
      <c r="U439" s="194"/>
      <c r="V439" s="194"/>
      <c r="W439" s="194"/>
    </row>
    <row r="440" ht="14.25" customHeight="1">
      <c r="A440" s="31"/>
      <c r="B440" s="287"/>
      <c r="C440" s="286"/>
      <c r="D440" s="204"/>
      <c r="E440" s="288"/>
      <c r="F440" s="204"/>
      <c r="G440" s="289"/>
      <c r="H440" s="204"/>
      <c r="I440" s="204"/>
      <c r="J440" s="202"/>
      <c r="K440" s="202"/>
      <c r="L440" s="192" t="str">
        <f>IFERROR(__xludf.DUMMYFUNCTION("IF(
  AND(D440=""Saída"", J440=""Sangria""),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197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94" t="str">
        <f>IFERROR(__xludf.DUMMYFUNCTION("ifna(VALUE(REGEXEXTRACT(E440,""[0-9.]+[,]+[0-9]+"")))"),"")</f>
        <v/>
      </c>
      <c r="O440" s="194"/>
      <c r="P440" s="194"/>
      <c r="Q440" s="194"/>
      <c r="R440" s="194"/>
      <c r="S440" s="194"/>
      <c r="T440" s="194"/>
      <c r="U440" s="194"/>
      <c r="V440" s="194"/>
      <c r="W440" s="194"/>
    </row>
    <row r="441" ht="14.25" customHeight="1">
      <c r="A441" s="31"/>
      <c r="B441" s="287"/>
      <c r="C441" s="286"/>
      <c r="D441" s="204"/>
      <c r="E441" s="288"/>
      <c r="F441" s="204"/>
      <c r="G441" s="289"/>
      <c r="H441" s="204"/>
      <c r="I441" s="204"/>
      <c r="J441" s="202"/>
      <c r="K441" s="202"/>
      <c r="L441" s="192" t="str">
        <f>IFERROR(__xludf.DUMMYFUNCTION("IF(
  AND(D441=""Saída"", J441=""Sangria""),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198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94" t="str">
        <f>IFERROR(__xludf.DUMMYFUNCTION("ifna(VALUE(REGEXEXTRACT(E441,""[0-9.]+[,]+[0-9]+"")))"),"")</f>
        <v/>
      </c>
      <c r="O441" s="194"/>
      <c r="P441" s="194"/>
      <c r="Q441" s="194"/>
      <c r="R441" s="194"/>
      <c r="S441" s="194"/>
      <c r="T441" s="194"/>
      <c r="U441" s="194"/>
      <c r="V441" s="194"/>
      <c r="W441" s="194"/>
    </row>
    <row r="442" ht="14.25" customHeight="1">
      <c r="A442" s="31"/>
      <c r="B442" s="287"/>
      <c r="C442" s="286"/>
      <c r="D442" s="204"/>
      <c r="E442" s="288"/>
      <c r="F442" s="204"/>
      <c r="G442" s="289"/>
      <c r="H442" s="204"/>
      <c r="I442" s="204"/>
      <c r="J442" s="202"/>
      <c r="K442" s="202"/>
      <c r="L442" s="192" t="str">
        <f>IFERROR(__xludf.DUMMYFUNCTION("IF(
  AND(D442=""Saída"", J442=""Sangria""),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197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94" t="str">
        <f>IFERROR(__xludf.DUMMYFUNCTION("ifna(VALUE(REGEXEXTRACT(E442,""[0-9.]+[,]+[0-9]+"")))"),"")</f>
        <v/>
      </c>
      <c r="O442" s="194"/>
      <c r="P442" s="194"/>
      <c r="Q442" s="194"/>
      <c r="R442" s="194"/>
      <c r="S442" s="194"/>
      <c r="T442" s="194"/>
      <c r="U442" s="194"/>
      <c r="V442" s="194"/>
      <c r="W442" s="194"/>
    </row>
    <row r="443" ht="14.25" customHeight="1">
      <c r="A443" s="31"/>
      <c r="B443" s="287"/>
      <c r="C443" s="286"/>
      <c r="D443" s="204"/>
      <c r="E443" s="288"/>
      <c r="F443" s="204"/>
      <c r="G443" s="289"/>
      <c r="H443" s="204"/>
      <c r="I443" s="204"/>
      <c r="J443" s="202"/>
      <c r="K443" s="202"/>
      <c r="L443" s="192" t="str">
        <f>IFERROR(__xludf.DUMMYFUNCTION("IF(
  AND(D443=""Saída"", J443=""Sangria""),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198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94" t="str">
        <f>IFERROR(__xludf.DUMMYFUNCTION("ifna(VALUE(REGEXEXTRACT(E443,""[0-9.]+[,]+[0-9]+"")))"),"")</f>
        <v/>
      </c>
      <c r="O443" s="194"/>
      <c r="P443" s="194"/>
      <c r="Q443" s="194"/>
      <c r="R443" s="194"/>
      <c r="S443" s="194"/>
      <c r="T443" s="194"/>
      <c r="U443" s="194"/>
      <c r="V443" s="194"/>
      <c r="W443" s="194"/>
    </row>
    <row r="444" ht="14.25" customHeight="1">
      <c r="A444" s="31"/>
      <c r="B444" s="287"/>
      <c r="C444" s="286"/>
      <c r="D444" s="204"/>
      <c r="E444" s="288"/>
      <c r="F444" s="204"/>
      <c r="G444" s="289"/>
      <c r="H444" s="204"/>
      <c r="I444" s="204"/>
      <c r="J444" s="202"/>
      <c r="K444" s="202"/>
      <c r="L444" s="192" t="str">
        <f>IFERROR(__xludf.DUMMYFUNCTION("IF(
  AND(D444=""Saída"", J444=""Sangria""),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197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94" t="str">
        <f>IFERROR(__xludf.DUMMYFUNCTION("ifna(VALUE(REGEXEXTRACT(E444,""[0-9.]+[,]+[0-9]+"")))"),"")</f>
        <v/>
      </c>
      <c r="O444" s="194"/>
      <c r="P444" s="194"/>
      <c r="Q444" s="194"/>
      <c r="R444" s="194"/>
      <c r="S444" s="194"/>
      <c r="T444" s="194"/>
      <c r="U444" s="194"/>
      <c r="V444" s="194"/>
      <c r="W444" s="194"/>
    </row>
    <row r="445" ht="14.25" customHeight="1">
      <c r="A445" s="31"/>
      <c r="B445" s="287"/>
      <c r="C445" s="286"/>
      <c r="D445" s="204"/>
      <c r="E445" s="288"/>
      <c r="F445" s="204"/>
      <c r="G445" s="289"/>
      <c r="H445" s="204"/>
      <c r="I445" s="204"/>
      <c r="J445" s="202"/>
      <c r="K445" s="202"/>
      <c r="L445" s="192" t="str">
        <f>IFERROR(__xludf.DUMMYFUNCTION("IF(
  AND(D445=""Saída"", J445=""Sangria""),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198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94" t="str">
        <f>IFERROR(__xludf.DUMMYFUNCTION("ifna(VALUE(REGEXEXTRACT(E445,""[0-9.]+[,]+[0-9]+"")))"),"")</f>
        <v/>
      </c>
      <c r="O445" s="194"/>
      <c r="P445" s="194"/>
      <c r="Q445" s="194"/>
      <c r="R445" s="194"/>
      <c r="S445" s="194"/>
      <c r="T445" s="194"/>
      <c r="U445" s="194"/>
      <c r="V445" s="194"/>
      <c r="W445" s="194"/>
    </row>
    <row r="446" ht="14.25" customHeight="1">
      <c r="A446" s="31"/>
      <c r="B446" s="287"/>
      <c r="C446" s="286"/>
      <c r="D446" s="204"/>
      <c r="E446" s="288"/>
      <c r="F446" s="204"/>
      <c r="G446" s="289"/>
      <c r="H446" s="204"/>
      <c r="I446" s="204"/>
      <c r="J446" s="202"/>
      <c r="K446" s="202"/>
      <c r="L446" s="192" t="str">
        <f>IFERROR(__xludf.DUMMYFUNCTION("IF(
  AND(D446=""Saída"", J446=""Sangria""),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197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94" t="str">
        <f>IFERROR(__xludf.DUMMYFUNCTION("ifna(VALUE(REGEXEXTRACT(E446,""[0-9.]+[,]+[0-9]+"")))"),"")</f>
        <v/>
      </c>
      <c r="O446" s="194"/>
      <c r="P446" s="194"/>
      <c r="Q446" s="194"/>
      <c r="R446" s="194"/>
      <c r="S446" s="194"/>
      <c r="T446" s="194"/>
      <c r="U446" s="194"/>
      <c r="V446" s="194"/>
      <c r="W446" s="194"/>
    </row>
    <row r="447" ht="14.25" customHeight="1">
      <c r="A447" s="31"/>
      <c r="B447" s="287"/>
      <c r="C447" s="286"/>
      <c r="D447" s="204"/>
      <c r="E447" s="288"/>
      <c r="F447" s="204"/>
      <c r="G447" s="289"/>
      <c r="H447" s="204"/>
      <c r="I447" s="204"/>
      <c r="J447" s="202"/>
      <c r="K447" s="202"/>
      <c r="L447" s="192" t="str">
        <f>IFERROR(__xludf.DUMMYFUNCTION("IF(
  AND(D447=""Saída"", J447=""Sangria""),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198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94" t="str">
        <f>IFERROR(__xludf.DUMMYFUNCTION("ifna(VALUE(REGEXEXTRACT(E447,""[0-9.]+[,]+[0-9]+"")))"),"")</f>
        <v/>
      </c>
      <c r="O447" s="194"/>
      <c r="P447" s="194"/>
      <c r="Q447" s="194"/>
      <c r="R447" s="194"/>
      <c r="S447" s="194"/>
      <c r="T447" s="194"/>
      <c r="U447" s="194"/>
      <c r="V447" s="194"/>
      <c r="W447" s="194"/>
    </row>
    <row r="448" ht="14.25" customHeight="1">
      <c r="A448" s="31"/>
      <c r="B448" s="287"/>
      <c r="C448" s="286"/>
      <c r="D448" s="204"/>
      <c r="E448" s="288"/>
      <c r="F448" s="204"/>
      <c r="G448" s="289"/>
      <c r="H448" s="204"/>
      <c r="I448" s="204"/>
      <c r="J448" s="202"/>
      <c r="K448" s="202"/>
      <c r="L448" s="192" t="str">
        <f>IFERROR(__xludf.DUMMYFUNCTION("IF(
  AND(D448=""Saída"", J448=""Sangria""),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197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94" t="str">
        <f>IFERROR(__xludf.DUMMYFUNCTION("ifna(VALUE(REGEXEXTRACT(E448,""[0-9.]+[,]+[0-9]+"")))"),"")</f>
        <v/>
      </c>
      <c r="O448" s="194"/>
      <c r="P448" s="194"/>
      <c r="Q448" s="194"/>
      <c r="R448" s="194"/>
      <c r="S448" s="194"/>
      <c r="T448" s="194"/>
      <c r="U448" s="194"/>
      <c r="V448" s="194"/>
      <c r="W448" s="194"/>
    </row>
    <row r="449" ht="14.25" customHeight="1">
      <c r="A449" s="31"/>
      <c r="B449" s="287"/>
      <c r="C449" s="286"/>
      <c r="D449" s="204"/>
      <c r="E449" s="288"/>
      <c r="F449" s="204"/>
      <c r="G449" s="289"/>
      <c r="H449" s="204"/>
      <c r="I449" s="204"/>
      <c r="J449" s="202"/>
      <c r="K449" s="202"/>
      <c r="L449" s="192" t="str">
        <f>IFERROR(__xludf.DUMMYFUNCTION("IF(
  AND(D449=""Saída"", J449=""Sangria""),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198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94" t="str">
        <f>IFERROR(__xludf.DUMMYFUNCTION("ifna(VALUE(REGEXEXTRACT(E449,""[0-9.]+[,]+[0-9]+"")))"),"")</f>
        <v/>
      </c>
      <c r="O449" s="194"/>
      <c r="P449" s="194"/>
      <c r="Q449" s="194"/>
      <c r="R449" s="194"/>
      <c r="S449" s="194"/>
      <c r="T449" s="194"/>
      <c r="U449" s="194"/>
      <c r="V449" s="194"/>
      <c r="W449" s="194"/>
    </row>
    <row r="450" ht="14.25" customHeight="1">
      <c r="A450" s="31"/>
      <c r="B450" s="287"/>
      <c r="C450" s="286"/>
      <c r="D450" s="204"/>
      <c r="E450" s="288"/>
      <c r="F450" s="204"/>
      <c r="G450" s="289"/>
      <c r="H450" s="204"/>
      <c r="I450" s="204"/>
      <c r="J450" s="202"/>
      <c r="K450" s="202"/>
      <c r="L450" s="192" t="str">
        <f>IFERROR(__xludf.DUMMYFUNCTION("IF(
  AND(D450=""Saída"", J450=""Sangria""),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197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94" t="str">
        <f>IFERROR(__xludf.DUMMYFUNCTION("ifna(VALUE(REGEXEXTRACT(E450,""[0-9.]+[,]+[0-9]+"")))"),"")</f>
        <v/>
      </c>
      <c r="O450" s="194"/>
      <c r="P450" s="194"/>
      <c r="Q450" s="194"/>
      <c r="R450" s="194"/>
      <c r="S450" s="194"/>
      <c r="T450" s="194"/>
      <c r="U450" s="194"/>
      <c r="V450" s="194"/>
      <c r="W450" s="194"/>
    </row>
    <row r="451" ht="14.25" customHeight="1">
      <c r="A451" s="31"/>
      <c r="B451" s="287"/>
      <c r="C451" s="286"/>
      <c r="D451" s="204"/>
      <c r="E451" s="288"/>
      <c r="F451" s="204"/>
      <c r="G451" s="289"/>
      <c r="H451" s="204"/>
      <c r="I451" s="204"/>
      <c r="J451" s="202"/>
      <c r="K451" s="202"/>
      <c r="L451" s="192" t="str">
        <f>IFERROR(__xludf.DUMMYFUNCTION("IF(
  AND(D451=""Saída"", J451=""Sangria""),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198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94" t="str">
        <f>IFERROR(__xludf.DUMMYFUNCTION("ifna(VALUE(REGEXEXTRACT(E451,""[0-9.]+[,]+[0-9]+"")))"),"")</f>
        <v/>
      </c>
      <c r="O451" s="194"/>
      <c r="P451" s="194"/>
      <c r="Q451" s="194"/>
      <c r="R451" s="194"/>
      <c r="S451" s="194"/>
      <c r="T451" s="194"/>
      <c r="U451" s="194"/>
      <c r="V451" s="194"/>
      <c r="W451" s="194"/>
    </row>
    <row r="452" ht="14.25" customHeight="1">
      <c r="A452" s="31"/>
      <c r="B452" s="287"/>
      <c r="C452" s="286"/>
      <c r="D452" s="204"/>
      <c r="E452" s="288"/>
      <c r="F452" s="204"/>
      <c r="G452" s="289"/>
      <c r="H452" s="204"/>
      <c r="I452" s="204"/>
      <c r="J452" s="202"/>
      <c r="K452" s="202"/>
      <c r="L452" s="192" t="str">
        <f>IFERROR(__xludf.DUMMYFUNCTION("IF(
  AND(D452=""Saída"", J452=""Sangria""),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197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94" t="str">
        <f>IFERROR(__xludf.DUMMYFUNCTION("ifna(VALUE(REGEXEXTRACT(E452,""[0-9.]+[,]+[0-9]+"")))"),"")</f>
        <v/>
      </c>
      <c r="O452" s="194"/>
      <c r="P452" s="194"/>
      <c r="Q452" s="194"/>
      <c r="R452" s="194"/>
      <c r="S452" s="194"/>
      <c r="T452" s="194"/>
      <c r="U452" s="194"/>
      <c r="V452" s="194"/>
      <c r="W452" s="194"/>
    </row>
    <row r="453" ht="14.25" customHeight="1">
      <c r="A453" s="31"/>
      <c r="B453" s="287"/>
      <c r="C453" s="286"/>
      <c r="D453" s="204"/>
      <c r="E453" s="288"/>
      <c r="F453" s="204"/>
      <c r="G453" s="289"/>
      <c r="H453" s="204"/>
      <c r="I453" s="204"/>
      <c r="J453" s="202"/>
      <c r="K453" s="202"/>
      <c r="L453" s="192" t="str">
        <f>IFERROR(__xludf.DUMMYFUNCTION("IF(
  AND(D453=""Saída"", J453=""Sangria""),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198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94" t="str">
        <f>IFERROR(__xludf.DUMMYFUNCTION("ifna(VALUE(REGEXEXTRACT(E453,""[0-9.]+[,]+[0-9]+"")))"),"")</f>
        <v/>
      </c>
      <c r="O453" s="194"/>
      <c r="P453" s="194"/>
      <c r="Q453" s="194"/>
      <c r="R453" s="194"/>
      <c r="S453" s="194"/>
      <c r="T453" s="194"/>
      <c r="U453" s="194"/>
      <c r="V453" s="194"/>
      <c r="W453" s="194"/>
    </row>
    <row r="454" ht="14.25" customHeight="1">
      <c r="A454" s="31"/>
      <c r="B454" s="287"/>
      <c r="C454" s="286"/>
      <c r="D454" s="204"/>
      <c r="E454" s="288"/>
      <c r="F454" s="204"/>
      <c r="G454" s="289"/>
      <c r="H454" s="204"/>
      <c r="I454" s="204"/>
      <c r="J454" s="202"/>
      <c r="K454" s="202"/>
      <c r="L454" s="192" t="str">
        <f>IFERROR(__xludf.DUMMYFUNCTION("IF(
  AND(D454=""Saída"", J454=""Sangria""),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197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94" t="str">
        <f>IFERROR(__xludf.DUMMYFUNCTION("ifna(VALUE(REGEXEXTRACT(E454,""[0-9.]+[,]+[0-9]+"")))"),"")</f>
        <v/>
      </c>
      <c r="O454" s="194"/>
      <c r="P454" s="194"/>
      <c r="Q454" s="194"/>
      <c r="R454" s="194"/>
      <c r="S454" s="194"/>
      <c r="T454" s="194"/>
      <c r="U454" s="194"/>
      <c r="V454" s="194"/>
      <c r="W454" s="194"/>
    </row>
    <row r="455" ht="14.25" customHeight="1">
      <c r="A455" s="31"/>
      <c r="B455" s="287"/>
      <c r="C455" s="286"/>
      <c r="D455" s="204"/>
      <c r="E455" s="288"/>
      <c r="F455" s="204"/>
      <c r="G455" s="289"/>
      <c r="H455" s="204"/>
      <c r="I455" s="204"/>
      <c r="J455" s="202"/>
      <c r="K455" s="202"/>
      <c r="L455" s="192" t="str">
        <f>IFERROR(__xludf.DUMMYFUNCTION("IF(
  AND(D455=""Saída"", J455=""Sangria""),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198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94" t="str">
        <f>IFERROR(__xludf.DUMMYFUNCTION("ifna(VALUE(REGEXEXTRACT(E455,""[0-9.]+[,]+[0-9]+"")))"),"")</f>
        <v/>
      </c>
      <c r="O455" s="194"/>
      <c r="P455" s="194"/>
      <c r="Q455" s="194"/>
      <c r="R455" s="194"/>
      <c r="S455" s="194"/>
      <c r="T455" s="194"/>
      <c r="U455" s="194"/>
      <c r="V455" s="194"/>
      <c r="W455" s="194"/>
    </row>
    <row r="456" ht="14.25" customHeight="1">
      <c r="A456" s="31"/>
      <c r="B456" s="287"/>
      <c r="C456" s="286"/>
      <c r="D456" s="204"/>
      <c r="E456" s="288"/>
      <c r="F456" s="204"/>
      <c r="G456" s="289"/>
      <c r="H456" s="204"/>
      <c r="I456" s="204"/>
      <c r="J456" s="202"/>
      <c r="K456" s="202"/>
      <c r="L456" s="192" t="str">
        <f>IFERROR(__xludf.DUMMYFUNCTION("IF(
  AND(D456=""Saída"", J456=""Sangria""),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197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94" t="str">
        <f>IFERROR(__xludf.DUMMYFUNCTION("ifna(VALUE(REGEXEXTRACT(E456,""[0-9.]+[,]+[0-9]+"")))"),"")</f>
        <v/>
      </c>
      <c r="O456" s="194"/>
      <c r="P456" s="194"/>
      <c r="Q456" s="194"/>
      <c r="R456" s="194"/>
      <c r="S456" s="194"/>
      <c r="T456" s="194"/>
      <c r="U456" s="194"/>
      <c r="V456" s="194"/>
      <c r="W456" s="194"/>
    </row>
    <row r="457" ht="14.25" customHeight="1">
      <c r="A457" s="31"/>
      <c r="B457" s="287"/>
      <c r="C457" s="286"/>
      <c r="D457" s="204"/>
      <c r="E457" s="288"/>
      <c r="F457" s="204"/>
      <c r="G457" s="289"/>
      <c r="H457" s="204"/>
      <c r="I457" s="204"/>
      <c r="J457" s="202"/>
      <c r="K457" s="202"/>
      <c r="L457" s="192" t="str">
        <f>IFERROR(__xludf.DUMMYFUNCTION("IF(
  AND(D457=""Saída"", J457=""Sangria""),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198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94" t="str">
        <f>IFERROR(__xludf.DUMMYFUNCTION("ifna(VALUE(REGEXEXTRACT(E457,""[0-9.]+[,]+[0-9]+"")))"),"")</f>
        <v/>
      </c>
      <c r="O457" s="194"/>
      <c r="P457" s="194"/>
      <c r="Q457" s="194"/>
      <c r="R457" s="194"/>
      <c r="S457" s="194"/>
      <c r="T457" s="194"/>
      <c r="U457" s="194"/>
      <c r="V457" s="194"/>
      <c r="W457" s="194"/>
    </row>
    <row r="458" ht="14.25" customHeight="1">
      <c r="A458" s="31"/>
      <c r="B458" s="287"/>
      <c r="C458" s="286"/>
      <c r="D458" s="204"/>
      <c r="E458" s="288"/>
      <c r="F458" s="204"/>
      <c r="G458" s="289"/>
      <c r="H458" s="204"/>
      <c r="I458" s="204"/>
      <c r="J458" s="202"/>
      <c r="K458" s="202"/>
      <c r="L458" s="192" t="str">
        <f>IFERROR(__xludf.DUMMYFUNCTION("IF(
  AND(D458=""Saída"", J458=""Sangria""),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197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94" t="str">
        <f>IFERROR(__xludf.DUMMYFUNCTION("ifna(VALUE(REGEXEXTRACT(E458,""[0-9.]+[,]+[0-9]+"")))"),"")</f>
        <v/>
      </c>
      <c r="O458" s="194"/>
      <c r="P458" s="194"/>
      <c r="Q458" s="194"/>
      <c r="R458" s="194"/>
      <c r="S458" s="194"/>
      <c r="T458" s="194"/>
      <c r="U458" s="194"/>
      <c r="V458" s="194"/>
      <c r="W458" s="194"/>
    </row>
    <row r="459" ht="14.25" customHeight="1">
      <c r="A459" s="31"/>
      <c r="B459" s="287"/>
      <c r="C459" s="286"/>
      <c r="D459" s="204"/>
      <c r="E459" s="288"/>
      <c r="F459" s="204"/>
      <c r="G459" s="289"/>
      <c r="H459" s="204"/>
      <c r="I459" s="204"/>
      <c r="J459" s="202"/>
      <c r="K459" s="202"/>
      <c r="L459" s="192" t="str">
        <f>IFERROR(__xludf.DUMMYFUNCTION("IF(
  AND(D459=""Saída"", J459=""Sangria""),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198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94" t="str">
        <f>IFERROR(__xludf.DUMMYFUNCTION("ifna(VALUE(REGEXEXTRACT(E459,""[0-9.]+[,]+[0-9]+"")))"),"")</f>
        <v/>
      </c>
      <c r="O459" s="194"/>
      <c r="P459" s="194"/>
      <c r="Q459" s="194"/>
      <c r="R459" s="194"/>
      <c r="S459" s="194"/>
      <c r="T459" s="194"/>
      <c r="U459" s="194"/>
      <c r="V459" s="194"/>
      <c r="W459" s="194"/>
    </row>
    <row r="460" ht="14.25" customHeight="1">
      <c r="A460" s="31"/>
      <c r="B460" s="287"/>
      <c r="C460" s="286"/>
      <c r="D460" s="204"/>
      <c r="E460" s="288"/>
      <c r="F460" s="204"/>
      <c r="G460" s="289"/>
      <c r="H460" s="204"/>
      <c r="I460" s="204"/>
      <c r="J460" s="202"/>
      <c r="K460" s="202"/>
      <c r="L460" s="192" t="str">
        <f>IFERROR(__xludf.DUMMYFUNCTION("IF(
  AND(D460=""Saída"", J460=""Sangria""),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197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94" t="str">
        <f>IFERROR(__xludf.DUMMYFUNCTION("ifna(VALUE(REGEXEXTRACT(E460,""[0-9.]+[,]+[0-9]+"")))"),"")</f>
        <v/>
      </c>
      <c r="O460" s="194"/>
      <c r="P460" s="194"/>
      <c r="Q460" s="194"/>
      <c r="R460" s="194"/>
      <c r="S460" s="194"/>
      <c r="T460" s="194"/>
      <c r="U460" s="194"/>
      <c r="V460" s="194"/>
      <c r="W460" s="194"/>
    </row>
    <row r="461" ht="14.25" customHeight="1">
      <c r="A461" s="31"/>
      <c r="B461" s="287"/>
      <c r="C461" s="286"/>
      <c r="D461" s="204"/>
      <c r="E461" s="288"/>
      <c r="F461" s="204"/>
      <c r="G461" s="289"/>
      <c r="H461" s="204"/>
      <c r="I461" s="204"/>
      <c r="J461" s="202"/>
      <c r="K461" s="202"/>
      <c r="L461" s="192" t="str">
        <f>IFERROR(__xludf.DUMMYFUNCTION("IF(
  AND(D461=""Saída"", J461=""Sangria""),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198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94" t="str">
        <f>IFERROR(__xludf.DUMMYFUNCTION("ifna(VALUE(REGEXEXTRACT(E461,""[0-9.]+[,]+[0-9]+"")))"),"")</f>
        <v/>
      </c>
      <c r="O461" s="194"/>
      <c r="P461" s="194"/>
      <c r="Q461" s="194"/>
      <c r="R461" s="194"/>
      <c r="S461" s="194"/>
      <c r="T461" s="194"/>
      <c r="U461" s="194"/>
      <c r="V461" s="194"/>
      <c r="W461" s="194"/>
    </row>
    <row r="462" ht="14.25" customHeight="1">
      <c r="A462" s="31"/>
      <c r="B462" s="287"/>
      <c r="C462" s="286"/>
      <c r="D462" s="204"/>
      <c r="E462" s="288"/>
      <c r="F462" s="204"/>
      <c r="G462" s="289"/>
      <c r="H462" s="204"/>
      <c r="I462" s="204"/>
      <c r="J462" s="202"/>
      <c r="K462" s="202"/>
      <c r="L462" s="192" t="str">
        <f>IFERROR(__xludf.DUMMYFUNCTION("IF(
  AND(D462=""Saída"", J462=""Sangria""),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197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94" t="str">
        <f>IFERROR(__xludf.DUMMYFUNCTION("ifna(VALUE(REGEXEXTRACT(E462,""[0-9.]+[,]+[0-9]+"")))"),"")</f>
        <v/>
      </c>
      <c r="O462" s="194"/>
      <c r="P462" s="194"/>
      <c r="Q462" s="194"/>
      <c r="R462" s="194"/>
      <c r="S462" s="194"/>
      <c r="T462" s="194"/>
      <c r="U462" s="194"/>
      <c r="V462" s="194"/>
      <c r="W462" s="194"/>
    </row>
    <row r="463" ht="14.25" customHeight="1">
      <c r="A463" s="31"/>
      <c r="B463" s="287"/>
      <c r="C463" s="286"/>
      <c r="D463" s="204"/>
      <c r="E463" s="288"/>
      <c r="F463" s="204"/>
      <c r="G463" s="289"/>
      <c r="H463" s="204"/>
      <c r="I463" s="204"/>
      <c r="J463" s="202"/>
      <c r="K463" s="202"/>
      <c r="L463" s="192" t="str">
        <f>IFERROR(__xludf.DUMMYFUNCTION("IF(
  AND(D463=""Saída"", J463=""Sangria""),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198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94" t="str">
        <f>IFERROR(__xludf.DUMMYFUNCTION("ifna(VALUE(REGEXEXTRACT(E463,""[0-9.]+[,]+[0-9]+"")))"),"")</f>
        <v/>
      </c>
      <c r="O463" s="194"/>
      <c r="P463" s="194"/>
      <c r="Q463" s="194"/>
      <c r="R463" s="194"/>
      <c r="S463" s="194"/>
      <c r="T463" s="194"/>
      <c r="U463" s="194"/>
      <c r="V463" s="194"/>
      <c r="W463" s="194"/>
    </row>
    <row r="464" ht="14.25" customHeight="1">
      <c r="A464" s="31"/>
      <c r="B464" s="287"/>
      <c r="C464" s="286"/>
      <c r="D464" s="204"/>
      <c r="E464" s="288"/>
      <c r="F464" s="204"/>
      <c r="G464" s="289"/>
      <c r="H464" s="204"/>
      <c r="I464" s="204"/>
      <c r="J464" s="202"/>
      <c r="K464" s="202"/>
      <c r="L464" s="192" t="str">
        <f>IFERROR(__xludf.DUMMYFUNCTION("IF(
  AND(D464=""Saída"", J464=""Sangria""),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197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94" t="str">
        <f>IFERROR(__xludf.DUMMYFUNCTION("ifna(VALUE(REGEXEXTRACT(E464,""[0-9.]+[,]+[0-9]+"")))"),"")</f>
        <v/>
      </c>
      <c r="O464" s="194"/>
      <c r="P464" s="194"/>
      <c r="Q464" s="194"/>
      <c r="R464" s="194"/>
      <c r="S464" s="194"/>
      <c r="T464" s="194"/>
      <c r="U464" s="194"/>
      <c r="V464" s="194"/>
      <c r="W464" s="194"/>
    </row>
    <row r="465" ht="14.25" customHeight="1">
      <c r="A465" s="31"/>
      <c r="B465" s="287"/>
      <c r="C465" s="286"/>
      <c r="D465" s="204"/>
      <c r="E465" s="288"/>
      <c r="F465" s="204"/>
      <c r="G465" s="289"/>
      <c r="H465" s="204"/>
      <c r="I465" s="204"/>
      <c r="J465" s="202"/>
      <c r="K465" s="202"/>
      <c r="L465" s="192" t="str">
        <f>IFERROR(__xludf.DUMMYFUNCTION("IF(
  AND(D465=""Saída"", J465=""Sangria""),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198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94" t="str">
        <f>IFERROR(__xludf.DUMMYFUNCTION("ifna(VALUE(REGEXEXTRACT(E465,""[0-9.]+[,]+[0-9]+"")))"),"")</f>
        <v/>
      </c>
      <c r="O465" s="194"/>
      <c r="P465" s="194"/>
      <c r="Q465" s="194"/>
      <c r="R465" s="194"/>
      <c r="S465" s="194"/>
      <c r="T465" s="194"/>
      <c r="U465" s="194"/>
      <c r="V465" s="194"/>
      <c r="W465" s="194"/>
    </row>
    <row r="466" ht="14.25" customHeight="1">
      <c r="A466" s="31"/>
      <c r="B466" s="287"/>
      <c r="C466" s="286"/>
      <c r="D466" s="204"/>
      <c r="E466" s="288"/>
      <c r="F466" s="204"/>
      <c r="G466" s="289"/>
      <c r="H466" s="204"/>
      <c r="I466" s="204"/>
      <c r="J466" s="202"/>
      <c r="K466" s="202"/>
      <c r="L466" s="192" t="str">
        <f>IFERROR(__xludf.DUMMYFUNCTION("IF(
  AND(D466=""Saída"", J466=""Sangria""),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197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94" t="str">
        <f>IFERROR(__xludf.DUMMYFUNCTION("ifna(VALUE(REGEXEXTRACT(E466,""[0-9.]+[,]+[0-9]+"")))"),"")</f>
        <v/>
      </c>
      <c r="O466" s="194"/>
      <c r="P466" s="194"/>
      <c r="Q466" s="194"/>
      <c r="R466" s="194"/>
      <c r="S466" s="194"/>
      <c r="T466" s="194"/>
      <c r="U466" s="194"/>
      <c r="V466" s="194"/>
      <c r="W466" s="194"/>
    </row>
    <row r="467" ht="14.25" customHeight="1">
      <c r="A467" s="31"/>
      <c r="B467" s="287"/>
      <c r="C467" s="286"/>
      <c r="D467" s="204"/>
      <c r="E467" s="288"/>
      <c r="F467" s="204"/>
      <c r="G467" s="289"/>
      <c r="H467" s="204"/>
      <c r="I467" s="204"/>
      <c r="J467" s="202"/>
      <c r="K467" s="202"/>
      <c r="L467" s="192" t="str">
        <f>IFERROR(__xludf.DUMMYFUNCTION("IF(
  AND(D467=""Saída"", J467=""Sangria""),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198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94" t="str">
        <f>IFERROR(__xludf.DUMMYFUNCTION("ifna(VALUE(REGEXEXTRACT(E467,""[0-9.]+[,]+[0-9]+"")))"),"")</f>
        <v/>
      </c>
      <c r="O467" s="194"/>
      <c r="P467" s="194"/>
      <c r="Q467" s="194"/>
      <c r="R467" s="194"/>
      <c r="S467" s="194"/>
      <c r="T467" s="194"/>
      <c r="U467" s="194"/>
      <c r="V467" s="194"/>
      <c r="W467" s="194"/>
    </row>
    <row r="468" ht="14.25" customHeight="1">
      <c r="A468" s="31"/>
      <c r="B468" s="287"/>
      <c r="C468" s="286"/>
      <c r="D468" s="204"/>
      <c r="E468" s="288"/>
      <c r="F468" s="204"/>
      <c r="G468" s="289"/>
      <c r="H468" s="204"/>
      <c r="I468" s="204"/>
      <c r="J468" s="202"/>
      <c r="K468" s="202"/>
      <c r="L468" s="192" t="str">
        <f>IFERROR(__xludf.DUMMYFUNCTION("IF(
  AND(D468=""Saída"", J468=""Sangria""),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197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94" t="str">
        <f>IFERROR(__xludf.DUMMYFUNCTION("ifna(VALUE(REGEXEXTRACT(E468,""[0-9.]+[,]+[0-9]+"")))"),"")</f>
        <v/>
      </c>
      <c r="O468" s="194"/>
      <c r="P468" s="194"/>
      <c r="Q468" s="194"/>
      <c r="R468" s="194"/>
      <c r="S468" s="194"/>
      <c r="T468" s="194"/>
      <c r="U468" s="194"/>
      <c r="V468" s="194"/>
      <c r="W468" s="194"/>
    </row>
    <row r="469" ht="14.25" customHeight="1">
      <c r="A469" s="31"/>
      <c r="B469" s="287"/>
      <c r="C469" s="286"/>
      <c r="D469" s="204"/>
      <c r="E469" s="288"/>
      <c r="F469" s="204"/>
      <c r="G469" s="289"/>
      <c r="H469" s="204"/>
      <c r="I469" s="204"/>
      <c r="J469" s="202"/>
      <c r="K469" s="202"/>
      <c r="L469" s="192" t="str">
        <f>IFERROR(__xludf.DUMMYFUNCTION("IF(
  AND(D469=""Saída"", J469=""Sangria""),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198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94" t="str">
        <f>IFERROR(__xludf.DUMMYFUNCTION("ifna(VALUE(REGEXEXTRACT(E469,""[0-9.]+[,]+[0-9]+"")))"),"")</f>
        <v/>
      </c>
      <c r="O469" s="194"/>
      <c r="P469" s="194"/>
      <c r="Q469" s="194"/>
      <c r="R469" s="194"/>
      <c r="S469" s="194"/>
      <c r="T469" s="194"/>
      <c r="U469" s="194"/>
      <c r="V469" s="194"/>
      <c r="W469" s="194"/>
    </row>
    <row r="470" ht="14.25" customHeight="1">
      <c r="A470" s="31"/>
      <c r="B470" s="287"/>
      <c r="C470" s="286"/>
      <c r="D470" s="204"/>
      <c r="E470" s="288"/>
      <c r="F470" s="204"/>
      <c r="G470" s="289"/>
      <c r="H470" s="204"/>
      <c r="I470" s="204"/>
      <c r="J470" s="202"/>
      <c r="K470" s="202"/>
      <c r="L470" s="192" t="str">
        <f>IFERROR(__xludf.DUMMYFUNCTION("IF(
  AND(D470=""Saída"", J470=""Sangria""),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197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94" t="str">
        <f>IFERROR(__xludf.DUMMYFUNCTION("ifna(VALUE(REGEXEXTRACT(E470,""[0-9.]+[,]+[0-9]+"")))"),"")</f>
        <v/>
      </c>
      <c r="O470" s="194"/>
      <c r="P470" s="194"/>
      <c r="Q470" s="194"/>
      <c r="R470" s="194"/>
      <c r="S470" s="194"/>
      <c r="T470" s="194"/>
      <c r="U470" s="194"/>
      <c r="V470" s="194"/>
      <c r="W470" s="194"/>
    </row>
    <row r="471" ht="14.25" customHeight="1">
      <c r="A471" s="31"/>
      <c r="B471" s="287"/>
      <c r="C471" s="286"/>
      <c r="D471" s="204"/>
      <c r="E471" s="288"/>
      <c r="F471" s="204"/>
      <c r="G471" s="289"/>
      <c r="H471" s="204"/>
      <c r="I471" s="204"/>
      <c r="J471" s="202"/>
      <c r="K471" s="202"/>
      <c r="L471" s="192" t="str">
        <f>IFERROR(__xludf.DUMMYFUNCTION("IF(
  AND(D471=""Saída"", J471=""Sangria""),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198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94" t="str">
        <f>IFERROR(__xludf.DUMMYFUNCTION("ifna(VALUE(REGEXEXTRACT(E471,""[0-9.]+[,]+[0-9]+"")))"),"")</f>
        <v/>
      </c>
      <c r="O471" s="194"/>
      <c r="P471" s="194"/>
      <c r="Q471" s="194"/>
      <c r="R471" s="194"/>
      <c r="S471" s="194"/>
      <c r="T471" s="194"/>
      <c r="U471" s="194"/>
      <c r="V471" s="194"/>
      <c r="W471" s="194"/>
    </row>
    <row r="472" ht="14.25" customHeight="1">
      <c r="A472" s="31"/>
      <c r="B472" s="287"/>
      <c r="C472" s="286"/>
      <c r="D472" s="204"/>
      <c r="E472" s="288"/>
      <c r="F472" s="204"/>
      <c r="G472" s="289"/>
      <c r="H472" s="204"/>
      <c r="I472" s="204"/>
      <c r="J472" s="202"/>
      <c r="K472" s="202"/>
      <c r="L472" s="192" t="str">
        <f>IFERROR(__xludf.DUMMYFUNCTION("IF(
  AND(D472=""Saída"", J472=""Sangria""),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197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94" t="str">
        <f>IFERROR(__xludf.DUMMYFUNCTION("ifna(VALUE(REGEXEXTRACT(E472,""[0-9.]+[,]+[0-9]+"")))"),"")</f>
        <v/>
      </c>
      <c r="O472" s="194"/>
      <c r="P472" s="194"/>
      <c r="Q472" s="194"/>
      <c r="R472" s="194"/>
      <c r="S472" s="194"/>
      <c r="T472" s="194"/>
      <c r="U472" s="194"/>
      <c r="V472" s="194"/>
      <c r="W472" s="194"/>
    </row>
    <row r="473" ht="14.25" customHeight="1">
      <c r="A473" s="31"/>
      <c r="B473" s="287"/>
      <c r="C473" s="286"/>
      <c r="D473" s="204"/>
      <c r="E473" s="288"/>
      <c r="F473" s="204"/>
      <c r="G473" s="289"/>
      <c r="H473" s="204"/>
      <c r="I473" s="204"/>
      <c r="J473" s="202"/>
      <c r="K473" s="202"/>
      <c r="L473" s="192" t="str">
        <f>IFERROR(__xludf.DUMMYFUNCTION("IF(
  AND(D473=""Saída"", J473=""Sangria""),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198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94" t="str">
        <f>IFERROR(__xludf.DUMMYFUNCTION("ifna(VALUE(REGEXEXTRACT(E473,""[0-9.]+[,]+[0-9]+"")))"),"")</f>
        <v/>
      </c>
      <c r="O473" s="194"/>
      <c r="P473" s="194"/>
      <c r="Q473" s="194"/>
      <c r="R473" s="194"/>
      <c r="S473" s="194"/>
      <c r="T473" s="194"/>
      <c r="U473" s="194"/>
      <c r="V473" s="194"/>
      <c r="W473" s="194"/>
    </row>
    <row r="474" ht="14.25" customHeight="1">
      <c r="A474" s="31"/>
      <c r="B474" s="287"/>
      <c r="C474" s="286"/>
      <c r="D474" s="204"/>
      <c r="E474" s="288"/>
      <c r="F474" s="204"/>
      <c r="G474" s="289"/>
      <c r="H474" s="204"/>
      <c r="I474" s="204"/>
      <c r="J474" s="202"/>
      <c r="K474" s="202"/>
      <c r="L474" s="192" t="str">
        <f>IFERROR(__xludf.DUMMYFUNCTION("IF(
  AND(D474=""Saída"", J474=""Sangria""),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197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94" t="str">
        <f>IFERROR(__xludf.DUMMYFUNCTION("ifna(VALUE(REGEXEXTRACT(E474,""[0-9.]+[,]+[0-9]+"")))"),"")</f>
        <v/>
      </c>
      <c r="O474" s="194"/>
      <c r="P474" s="194"/>
      <c r="Q474" s="194"/>
      <c r="R474" s="194"/>
      <c r="S474" s="194"/>
      <c r="T474" s="194"/>
      <c r="U474" s="194"/>
      <c r="V474" s="194"/>
      <c r="W474" s="194"/>
    </row>
    <row r="475" ht="14.25" customHeight="1">
      <c r="A475" s="31"/>
      <c r="B475" s="287"/>
      <c r="C475" s="286"/>
      <c r="D475" s="204"/>
      <c r="E475" s="288"/>
      <c r="F475" s="204"/>
      <c r="G475" s="289"/>
      <c r="H475" s="204"/>
      <c r="I475" s="204"/>
      <c r="J475" s="202"/>
      <c r="K475" s="202"/>
      <c r="L475" s="192" t="str">
        <f>IFERROR(__xludf.DUMMYFUNCTION("IF(
  AND(D475=""Saída"", J475=""Sangria""),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198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94" t="str">
        <f>IFERROR(__xludf.DUMMYFUNCTION("ifna(VALUE(REGEXEXTRACT(E475,""[0-9.]+[,]+[0-9]+"")))"),"")</f>
        <v/>
      </c>
      <c r="O475" s="194"/>
      <c r="P475" s="194"/>
      <c r="Q475" s="194"/>
      <c r="R475" s="194"/>
      <c r="S475" s="194"/>
      <c r="T475" s="194"/>
      <c r="U475" s="194"/>
      <c r="V475" s="194"/>
      <c r="W475" s="194"/>
    </row>
    <row r="476" ht="14.25" customHeight="1">
      <c r="A476" s="31"/>
      <c r="B476" s="287"/>
      <c r="C476" s="286"/>
      <c r="D476" s="204"/>
      <c r="E476" s="288"/>
      <c r="F476" s="204"/>
      <c r="G476" s="289"/>
      <c r="H476" s="204"/>
      <c r="I476" s="204"/>
      <c r="J476" s="202"/>
      <c r="K476" s="202"/>
      <c r="L476" s="192" t="str">
        <f>IFERROR(__xludf.DUMMYFUNCTION("IF(
  AND(D476=""Saída"", J476=""Sangria""),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197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94" t="str">
        <f>IFERROR(__xludf.DUMMYFUNCTION("ifna(VALUE(REGEXEXTRACT(E476,""[0-9.]+[,]+[0-9]+"")))"),"")</f>
        <v/>
      </c>
      <c r="O476" s="194"/>
      <c r="P476" s="194"/>
      <c r="Q476" s="194"/>
      <c r="R476" s="194"/>
      <c r="S476" s="194"/>
      <c r="T476" s="194"/>
      <c r="U476" s="194"/>
      <c r="V476" s="194"/>
      <c r="W476" s="194"/>
    </row>
    <row r="477" ht="14.25" customHeight="1">
      <c r="A477" s="31"/>
      <c r="B477" s="287"/>
      <c r="C477" s="286"/>
      <c r="D477" s="204"/>
      <c r="E477" s="288"/>
      <c r="F477" s="204"/>
      <c r="G477" s="289"/>
      <c r="H477" s="204"/>
      <c r="I477" s="204"/>
      <c r="J477" s="202"/>
      <c r="K477" s="202"/>
      <c r="L477" s="192" t="str">
        <f>IFERROR(__xludf.DUMMYFUNCTION("IF(
  AND(D477=""Saída"", J477=""Sangria""),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198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94" t="str">
        <f>IFERROR(__xludf.DUMMYFUNCTION("ifna(VALUE(REGEXEXTRACT(E477,""[0-9.]+[,]+[0-9]+"")))"),"")</f>
        <v/>
      </c>
      <c r="O477" s="194"/>
      <c r="P477" s="194"/>
      <c r="Q477" s="194"/>
      <c r="R477" s="194"/>
      <c r="S477" s="194"/>
      <c r="T477" s="194"/>
      <c r="U477" s="194"/>
      <c r="V477" s="194"/>
      <c r="W477" s="194"/>
    </row>
    <row r="478" ht="14.25" customHeight="1">
      <c r="A478" s="31"/>
      <c r="B478" s="287"/>
      <c r="C478" s="286"/>
      <c r="D478" s="204"/>
      <c r="E478" s="288"/>
      <c r="F478" s="204"/>
      <c r="G478" s="289"/>
      <c r="H478" s="204"/>
      <c r="I478" s="204"/>
      <c r="J478" s="202"/>
      <c r="K478" s="202"/>
      <c r="L478" s="192" t="str">
        <f>IFERROR(__xludf.DUMMYFUNCTION("IF(
  AND(D478=""Saída"", J478=""Sangria""),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197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94" t="str">
        <f>IFERROR(__xludf.DUMMYFUNCTION("ifna(VALUE(REGEXEXTRACT(E478,""[0-9.]+[,]+[0-9]+"")))"),"")</f>
        <v/>
      </c>
      <c r="O478" s="194"/>
      <c r="P478" s="194"/>
      <c r="Q478" s="194"/>
      <c r="R478" s="194"/>
      <c r="S478" s="194"/>
      <c r="T478" s="194"/>
      <c r="U478" s="194"/>
      <c r="V478" s="194"/>
      <c r="W478" s="194"/>
    </row>
    <row r="479" ht="14.25" customHeight="1">
      <c r="A479" s="31"/>
      <c r="B479" s="287"/>
      <c r="C479" s="286"/>
      <c r="D479" s="204"/>
      <c r="E479" s="288"/>
      <c r="F479" s="204"/>
      <c r="G479" s="289"/>
      <c r="H479" s="204"/>
      <c r="I479" s="204"/>
      <c r="J479" s="202"/>
      <c r="K479" s="202"/>
      <c r="L479" s="192" t="str">
        <f>IFERROR(__xludf.DUMMYFUNCTION("IF(
  AND(D479=""Saída"", J479=""Sangria""),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198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94" t="str">
        <f>IFERROR(__xludf.DUMMYFUNCTION("ifna(VALUE(REGEXEXTRACT(E479,""[0-9.]+[,]+[0-9]+"")))"),"")</f>
        <v/>
      </c>
      <c r="O479" s="194"/>
      <c r="P479" s="194"/>
      <c r="Q479" s="194"/>
      <c r="R479" s="194"/>
      <c r="S479" s="194"/>
      <c r="T479" s="194"/>
      <c r="U479" s="194"/>
      <c r="V479" s="194"/>
      <c r="W479" s="194"/>
    </row>
    <row r="480" ht="14.25" customHeight="1">
      <c r="A480" s="31"/>
      <c r="B480" s="287"/>
      <c r="C480" s="286"/>
      <c r="D480" s="204"/>
      <c r="E480" s="288"/>
      <c r="F480" s="204"/>
      <c r="G480" s="289"/>
      <c r="H480" s="204"/>
      <c r="I480" s="204"/>
      <c r="J480" s="202"/>
      <c r="K480" s="202"/>
      <c r="L480" s="192" t="str">
        <f>IFERROR(__xludf.DUMMYFUNCTION("IF(
  AND(D480=""Saída"", J480=""Sangria""),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197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94" t="str">
        <f>IFERROR(__xludf.DUMMYFUNCTION("ifna(VALUE(REGEXEXTRACT(E480,""[0-9.]+[,]+[0-9]+"")))"),"")</f>
        <v/>
      </c>
      <c r="O480" s="194"/>
      <c r="P480" s="194"/>
      <c r="Q480" s="194"/>
      <c r="R480" s="194"/>
      <c r="S480" s="194"/>
      <c r="T480" s="194"/>
      <c r="U480" s="194"/>
      <c r="V480" s="194"/>
      <c r="W480" s="194"/>
    </row>
    <row r="481" ht="14.25" customHeight="1">
      <c r="A481" s="31"/>
      <c r="B481" s="287"/>
      <c r="C481" s="286"/>
      <c r="D481" s="204"/>
      <c r="E481" s="288"/>
      <c r="F481" s="204"/>
      <c r="G481" s="289"/>
      <c r="H481" s="204"/>
      <c r="I481" s="204"/>
      <c r="J481" s="202"/>
      <c r="K481" s="202"/>
      <c r="L481" s="192" t="str">
        <f>IFERROR(__xludf.DUMMYFUNCTION("IF(
  AND(D481=""Saída"", J481=""Sangria""),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198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94" t="str">
        <f>IFERROR(__xludf.DUMMYFUNCTION("ifna(VALUE(REGEXEXTRACT(E481,""[0-9.]+[,]+[0-9]+"")))"),"")</f>
        <v/>
      </c>
      <c r="O481" s="194"/>
      <c r="P481" s="194"/>
      <c r="Q481" s="194"/>
      <c r="R481" s="194"/>
      <c r="S481" s="194"/>
      <c r="T481" s="194"/>
      <c r="U481" s="194"/>
      <c r="V481" s="194"/>
      <c r="W481" s="194"/>
    </row>
    <row r="482" ht="14.25" customHeight="1">
      <c r="A482" s="31"/>
      <c r="B482" s="287"/>
      <c r="C482" s="286"/>
      <c r="D482" s="204"/>
      <c r="E482" s="288"/>
      <c r="F482" s="204"/>
      <c r="G482" s="289"/>
      <c r="H482" s="204"/>
      <c r="I482" s="204"/>
      <c r="J482" s="202"/>
      <c r="K482" s="202"/>
      <c r="L482" s="192" t="str">
        <f>IFERROR(__xludf.DUMMYFUNCTION("IF(
  AND(D482=""Saída"", J482=""Sangria""),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197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94" t="str">
        <f>IFERROR(__xludf.DUMMYFUNCTION("ifna(VALUE(REGEXEXTRACT(E482,""[0-9.]+[,]+[0-9]+"")))"),"")</f>
        <v/>
      </c>
      <c r="O482" s="194"/>
      <c r="P482" s="194"/>
      <c r="Q482" s="194"/>
      <c r="R482" s="194"/>
      <c r="S482" s="194"/>
      <c r="T482" s="194"/>
      <c r="U482" s="194"/>
      <c r="V482" s="194"/>
      <c r="W482" s="194"/>
    </row>
    <row r="483" ht="14.25" customHeight="1">
      <c r="A483" s="31"/>
      <c r="B483" s="287"/>
      <c r="C483" s="286"/>
      <c r="D483" s="204"/>
      <c r="E483" s="288"/>
      <c r="F483" s="204"/>
      <c r="G483" s="289"/>
      <c r="H483" s="204"/>
      <c r="I483" s="204"/>
      <c r="J483" s="202"/>
      <c r="K483" s="202"/>
      <c r="L483" s="192" t="str">
        <f>IFERROR(__xludf.DUMMYFUNCTION("IF(
  AND(D483=""Saída"", J483=""Sangria""),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198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94" t="str">
        <f>IFERROR(__xludf.DUMMYFUNCTION("ifna(VALUE(REGEXEXTRACT(E483,""[0-9.]+[,]+[0-9]+"")))"),"")</f>
        <v/>
      </c>
      <c r="O483" s="194"/>
      <c r="P483" s="194"/>
      <c r="Q483" s="194"/>
      <c r="R483" s="194"/>
      <c r="S483" s="194"/>
      <c r="T483" s="194"/>
      <c r="U483" s="194"/>
      <c r="V483" s="194"/>
      <c r="W483" s="194"/>
    </row>
    <row r="484" ht="14.25" customHeight="1">
      <c r="A484" s="31"/>
      <c r="B484" s="287"/>
      <c r="C484" s="286"/>
      <c r="D484" s="204"/>
      <c r="E484" s="288"/>
      <c r="F484" s="204"/>
      <c r="G484" s="289"/>
      <c r="H484" s="204"/>
      <c r="I484" s="204"/>
      <c r="J484" s="202"/>
      <c r="K484" s="202"/>
      <c r="L484" s="192" t="str">
        <f>IFERROR(__xludf.DUMMYFUNCTION("IF(
  AND(D484=""Saída"", J484=""Sangria""),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197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94" t="str">
        <f>IFERROR(__xludf.DUMMYFUNCTION("ifna(VALUE(REGEXEXTRACT(E484,""[0-9.]+[,]+[0-9]+"")))"),"")</f>
        <v/>
      </c>
      <c r="O484" s="194"/>
      <c r="P484" s="194"/>
      <c r="Q484" s="194"/>
      <c r="R484" s="194"/>
      <c r="S484" s="194"/>
      <c r="T484" s="194"/>
      <c r="U484" s="194"/>
      <c r="V484" s="194"/>
      <c r="W484" s="194"/>
    </row>
    <row r="485" ht="14.25" customHeight="1">
      <c r="A485" s="31"/>
      <c r="B485" s="287"/>
      <c r="C485" s="286"/>
      <c r="D485" s="204"/>
      <c r="E485" s="288"/>
      <c r="F485" s="204"/>
      <c r="G485" s="289"/>
      <c r="H485" s="204"/>
      <c r="I485" s="204"/>
      <c r="J485" s="202"/>
      <c r="K485" s="202"/>
      <c r="L485" s="192" t="str">
        <f>IFERROR(__xludf.DUMMYFUNCTION("IF(
  AND(D485=""Saída"", J485=""Sangria""),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198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94" t="str">
        <f>IFERROR(__xludf.DUMMYFUNCTION("ifna(VALUE(REGEXEXTRACT(E485,""[0-9.]+[,]+[0-9]+"")))"),"")</f>
        <v/>
      </c>
      <c r="O485" s="194"/>
      <c r="P485" s="194"/>
      <c r="Q485" s="194"/>
      <c r="R485" s="194"/>
      <c r="S485" s="194"/>
      <c r="T485" s="194"/>
      <c r="U485" s="194"/>
      <c r="V485" s="194"/>
      <c r="W485" s="194"/>
    </row>
    <row r="486" ht="14.25" customHeight="1">
      <c r="A486" s="31"/>
      <c r="B486" s="287"/>
      <c r="C486" s="286"/>
      <c r="D486" s="204"/>
      <c r="E486" s="288"/>
      <c r="F486" s="204"/>
      <c r="G486" s="289"/>
      <c r="H486" s="204"/>
      <c r="I486" s="204"/>
      <c r="J486" s="202"/>
      <c r="K486" s="202"/>
      <c r="L486" s="192" t="str">
        <f>IFERROR(__xludf.DUMMYFUNCTION("IF(
  AND(D486=""Saída"", J486=""Sangria""),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197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94" t="str">
        <f>IFERROR(__xludf.DUMMYFUNCTION("ifna(VALUE(REGEXEXTRACT(E486,""[0-9.]+[,]+[0-9]+"")))"),"")</f>
        <v/>
      </c>
      <c r="O486" s="194"/>
      <c r="P486" s="194"/>
      <c r="Q486" s="194"/>
      <c r="R486" s="194"/>
      <c r="S486" s="194"/>
      <c r="T486" s="194"/>
      <c r="U486" s="194"/>
      <c r="V486" s="194"/>
      <c r="W486" s="194"/>
    </row>
    <row r="487" ht="14.25" customHeight="1">
      <c r="A487" s="31"/>
      <c r="B487" s="287"/>
      <c r="C487" s="286"/>
      <c r="D487" s="204"/>
      <c r="E487" s="288"/>
      <c r="F487" s="204"/>
      <c r="G487" s="289"/>
      <c r="H487" s="204"/>
      <c r="I487" s="204"/>
      <c r="J487" s="202"/>
      <c r="K487" s="202"/>
      <c r="L487" s="192" t="str">
        <f>IFERROR(__xludf.DUMMYFUNCTION("IF(
  AND(D487=""Saída"", J487=""Sangria""),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198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94" t="str">
        <f>IFERROR(__xludf.DUMMYFUNCTION("ifna(VALUE(REGEXEXTRACT(E487,""[0-9.]+[,]+[0-9]+"")))"),"")</f>
        <v/>
      </c>
      <c r="O487" s="194"/>
      <c r="P487" s="194"/>
      <c r="Q487" s="194"/>
      <c r="R487" s="194"/>
      <c r="S487" s="194"/>
      <c r="T487" s="194"/>
      <c r="U487" s="194"/>
      <c r="V487" s="194"/>
      <c r="W487" s="194"/>
    </row>
    <row r="488" ht="14.25" customHeight="1">
      <c r="A488" s="31"/>
      <c r="B488" s="287"/>
      <c r="C488" s="286"/>
      <c r="D488" s="204"/>
      <c r="E488" s="288"/>
      <c r="F488" s="204"/>
      <c r="G488" s="289"/>
      <c r="H488" s="204"/>
      <c r="I488" s="204"/>
      <c r="J488" s="202"/>
      <c r="K488" s="202"/>
      <c r="L488" s="192" t="str">
        <f>IFERROR(__xludf.DUMMYFUNCTION("IF(
  AND(D488=""Saída"", J488=""Sangria""),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197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94" t="str">
        <f>IFERROR(__xludf.DUMMYFUNCTION("ifna(VALUE(REGEXEXTRACT(E488,""[0-9.]+[,]+[0-9]+"")))"),"")</f>
        <v/>
      </c>
      <c r="O488" s="194"/>
      <c r="P488" s="194"/>
      <c r="Q488" s="194"/>
      <c r="R488" s="194"/>
      <c r="S488" s="194"/>
      <c r="T488" s="194"/>
      <c r="U488" s="194"/>
      <c r="V488" s="194"/>
      <c r="W488" s="194"/>
    </row>
    <row r="489" ht="14.25" customHeight="1">
      <c r="A489" s="31"/>
      <c r="B489" s="287"/>
      <c r="C489" s="286"/>
      <c r="D489" s="204"/>
      <c r="E489" s="288"/>
      <c r="F489" s="204"/>
      <c r="G489" s="289"/>
      <c r="H489" s="204"/>
      <c r="I489" s="204"/>
      <c r="J489" s="202"/>
      <c r="K489" s="202"/>
      <c r="L489" s="192" t="str">
        <f>IFERROR(__xludf.DUMMYFUNCTION("IF(
  AND(D489=""Saída"", J489=""Sangria""),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198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94" t="str">
        <f>IFERROR(__xludf.DUMMYFUNCTION("ifna(VALUE(REGEXEXTRACT(E489,""[0-9.]+[,]+[0-9]+"")))"),"")</f>
        <v/>
      </c>
      <c r="O489" s="194"/>
      <c r="P489" s="194"/>
      <c r="Q489" s="194"/>
      <c r="R489" s="194"/>
      <c r="S489" s="194"/>
      <c r="T489" s="194"/>
      <c r="U489" s="194"/>
      <c r="V489" s="194"/>
      <c r="W489" s="194"/>
    </row>
    <row r="490" ht="14.25" customHeight="1">
      <c r="A490" s="31"/>
      <c r="B490" s="287"/>
      <c r="C490" s="286"/>
      <c r="D490" s="204"/>
      <c r="E490" s="288"/>
      <c r="F490" s="204"/>
      <c r="G490" s="289"/>
      <c r="H490" s="204"/>
      <c r="I490" s="204"/>
      <c r="J490" s="202"/>
      <c r="K490" s="202"/>
      <c r="L490" s="192" t="str">
        <f>IFERROR(__xludf.DUMMYFUNCTION("IF(
  AND(D490=""Saída"", J490=""Sangria""),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197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94" t="str">
        <f>IFERROR(__xludf.DUMMYFUNCTION("ifna(VALUE(REGEXEXTRACT(E490,""[0-9.]+[,]+[0-9]+"")))"),"")</f>
        <v/>
      </c>
      <c r="O490" s="194"/>
      <c r="P490" s="194"/>
      <c r="Q490" s="194"/>
      <c r="R490" s="194"/>
      <c r="S490" s="194"/>
      <c r="T490" s="194"/>
      <c r="U490" s="194"/>
      <c r="V490" s="194"/>
      <c r="W490" s="194"/>
    </row>
    <row r="491" ht="14.25" customHeight="1">
      <c r="A491" s="31"/>
      <c r="B491" s="287"/>
      <c r="C491" s="286"/>
      <c r="D491" s="204"/>
      <c r="E491" s="288"/>
      <c r="F491" s="204"/>
      <c r="G491" s="289"/>
      <c r="H491" s="204"/>
      <c r="I491" s="204"/>
      <c r="J491" s="202"/>
      <c r="K491" s="202"/>
      <c r="L491" s="192" t="str">
        <f>IFERROR(__xludf.DUMMYFUNCTION("IF(
  AND(D491=""Saída"", J491=""Sangria""),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198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94" t="str">
        <f>IFERROR(__xludf.DUMMYFUNCTION("ifna(VALUE(REGEXEXTRACT(E491,""[0-9.]+[,]+[0-9]+"")))"),"")</f>
        <v/>
      </c>
      <c r="O491" s="194"/>
      <c r="P491" s="194"/>
      <c r="Q491" s="194"/>
      <c r="R491" s="194"/>
      <c r="S491" s="194"/>
      <c r="T491" s="194"/>
      <c r="U491" s="194"/>
      <c r="V491" s="194"/>
      <c r="W491" s="194"/>
    </row>
    <row r="492" ht="14.25" customHeight="1">
      <c r="A492" s="31"/>
      <c r="B492" s="287"/>
      <c r="C492" s="286"/>
      <c r="D492" s="204"/>
      <c r="E492" s="288"/>
      <c r="F492" s="204"/>
      <c r="G492" s="289"/>
      <c r="H492" s="204"/>
      <c r="I492" s="204"/>
      <c r="J492" s="202"/>
      <c r="K492" s="202"/>
      <c r="L492" s="192" t="str">
        <f>IFERROR(__xludf.DUMMYFUNCTION("IF(
  AND(D492=""Saída"", J492=""Sangria""),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197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94" t="str">
        <f>IFERROR(__xludf.DUMMYFUNCTION("ifna(VALUE(REGEXEXTRACT(E492,""[0-9.]+[,]+[0-9]+"")))"),"")</f>
        <v/>
      </c>
      <c r="O492" s="194"/>
      <c r="P492" s="194"/>
      <c r="Q492" s="194"/>
      <c r="R492" s="194"/>
      <c r="S492" s="194"/>
      <c r="T492" s="194"/>
      <c r="U492" s="194"/>
      <c r="V492" s="194"/>
      <c r="W492" s="194"/>
    </row>
    <row r="493" ht="14.25" customHeight="1">
      <c r="A493" s="31"/>
      <c r="B493" s="287"/>
      <c r="C493" s="286"/>
      <c r="D493" s="204"/>
      <c r="E493" s="288"/>
      <c r="F493" s="204"/>
      <c r="G493" s="289"/>
      <c r="H493" s="204"/>
      <c r="I493" s="204"/>
      <c r="J493" s="202"/>
      <c r="K493" s="202"/>
      <c r="L493" s="192" t="str">
        <f>IFERROR(__xludf.DUMMYFUNCTION("IF(
  AND(D493=""Saída"", J493=""Sangria""),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198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94" t="str">
        <f>IFERROR(__xludf.DUMMYFUNCTION("ifna(VALUE(REGEXEXTRACT(E493,""[0-9.]+[,]+[0-9]+"")))"),"")</f>
        <v/>
      </c>
      <c r="O493" s="194"/>
      <c r="P493" s="194"/>
      <c r="Q493" s="194"/>
      <c r="R493" s="194"/>
      <c r="S493" s="194"/>
      <c r="T493" s="194"/>
      <c r="U493" s="194"/>
      <c r="V493" s="194"/>
      <c r="W493" s="194"/>
    </row>
    <row r="494" ht="14.25" customHeight="1">
      <c r="A494" s="31"/>
      <c r="B494" s="287"/>
      <c r="C494" s="286"/>
      <c r="D494" s="204"/>
      <c r="E494" s="288"/>
      <c r="F494" s="204"/>
      <c r="G494" s="289"/>
      <c r="H494" s="204"/>
      <c r="I494" s="204"/>
      <c r="J494" s="202"/>
      <c r="K494" s="202"/>
      <c r="L494" s="192" t="str">
        <f>IFERROR(__xludf.DUMMYFUNCTION("IF(
  AND(D494=""Saída"", J494=""Sangria""),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197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94" t="str">
        <f>IFERROR(__xludf.DUMMYFUNCTION("ifna(VALUE(REGEXEXTRACT(E494,""[0-9.]+[,]+[0-9]+"")))"),"")</f>
        <v/>
      </c>
      <c r="O494" s="194"/>
      <c r="P494" s="194"/>
      <c r="Q494" s="194"/>
      <c r="R494" s="194"/>
      <c r="S494" s="194"/>
      <c r="T494" s="194"/>
      <c r="U494" s="194"/>
      <c r="V494" s="194"/>
      <c r="W494" s="194"/>
    </row>
    <row r="495" ht="14.25" customHeight="1">
      <c r="A495" s="31"/>
      <c r="B495" s="287"/>
      <c r="C495" s="286"/>
      <c r="D495" s="204"/>
      <c r="E495" s="288"/>
      <c r="F495" s="204"/>
      <c r="G495" s="289"/>
      <c r="H495" s="204"/>
      <c r="I495" s="204"/>
      <c r="J495" s="202"/>
      <c r="K495" s="202"/>
      <c r="L495" s="192" t="str">
        <f>IFERROR(__xludf.DUMMYFUNCTION("IF(
  AND(D495=""Saída"", J495=""Sangria""),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198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94" t="str">
        <f>IFERROR(__xludf.DUMMYFUNCTION("ifna(VALUE(REGEXEXTRACT(E495,""[0-9.]+[,]+[0-9]+"")))"),"")</f>
        <v/>
      </c>
      <c r="O495" s="194"/>
      <c r="P495" s="194"/>
      <c r="Q495" s="194"/>
      <c r="R495" s="194"/>
      <c r="S495" s="194"/>
      <c r="T495" s="194"/>
      <c r="U495" s="194"/>
      <c r="V495" s="194"/>
      <c r="W495" s="194"/>
    </row>
    <row r="496" ht="14.25" customHeight="1">
      <c r="A496" s="31"/>
      <c r="B496" s="287"/>
      <c r="C496" s="286"/>
      <c r="D496" s="204"/>
      <c r="E496" s="288"/>
      <c r="F496" s="204"/>
      <c r="G496" s="289"/>
      <c r="H496" s="204"/>
      <c r="I496" s="204"/>
      <c r="J496" s="202"/>
      <c r="K496" s="202"/>
      <c r="L496" s="192" t="str">
        <f>IFERROR(__xludf.DUMMYFUNCTION("IF(
  AND(D496=""Saída"", J496=""Sangria""),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197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94" t="str">
        <f>IFERROR(__xludf.DUMMYFUNCTION("ifna(VALUE(REGEXEXTRACT(E496,""[0-9.]+[,]+[0-9]+"")))"),"")</f>
        <v/>
      </c>
      <c r="O496" s="194"/>
      <c r="P496" s="194"/>
      <c r="Q496" s="194"/>
      <c r="R496" s="194"/>
      <c r="S496" s="194"/>
      <c r="T496" s="194"/>
      <c r="U496" s="194"/>
      <c r="V496" s="194"/>
      <c r="W496" s="194"/>
    </row>
    <row r="497" ht="14.25" customHeight="1">
      <c r="A497" s="31"/>
      <c r="B497" s="287"/>
      <c r="C497" s="286"/>
      <c r="D497" s="204"/>
      <c r="E497" s="288"/>
      <c r="F497" s="204"/>
      <c r="G497" s="289"/>
      <c r="H497" s="204"/>
      <c r="I497" s="204"/>
      <c r="J497" s="202"/>
      <c r="K497" s="202"/>
      <c r="L497" s="192" t="str">
        <f>IFERROR(__xludf.DUMMYFUNCTION("IF(
  AND(D497=""Saída"", J497=""Sangria""),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198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94" t="str">
        <f>IFERROR(__xludf.DUMMYFUNCTION("ifna(VALUE(REGEXEXTRACT(E497,""[0-9.]+[,]+[0-9]+"")))"),"")</f>
        <v/>
      </c>
      <c r="O497" s="194"/>
      <c r="P497" s="194"/>
      <c r="Q497" s="194"/>
      <c r="R497" s="194"/>
      <c r="S497" s="194"/>
      <c r="T497" s="194"/>
      <c r="U497" s="194"/>
      <c r="V497" s="194"/>
      <c r="W497" s="194"/>
    </row>
    <row r="498" ht="14.25" customHeight="1">
      <c r="A498" s="31"/>
      <c r="B498" s="287"/>
      <c r="C498" s="286"/>
      <c r="D498" s="204"/>
      <c r="E498" s="288"/>
      <c r="F498" s="204"/>
      <c r="G498" s="289"/>
      <c r="H498" s="204"/>
      <c r="I498" s="204"/>
      <c r="J498" s="202"/>
      <c r="K498" s="202"/>
      <c r="L498" s="192" t="str">
        <f>IFERROR(__xludf.DUMMYFUNCTION("IF(
  AND(D498=""Saída"", J498=""Sangria""),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197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94" t="str">
        <f>IFERROR(__xludf.DUMMYFUNCTION("ifna(VALUE(REGEXEXTRACT(E498,""[0-9.]+[,]+[0-9]+"")))"),"")</f>
        <v/>
      </c>
      <c r="O498" s="194"/>
      <c r="P498" s="194"/>
      <c r="Q498" s="194"/>
      <c r="R498" s="194"/>
      <c r="S498" s="194"/>
      <c r="T498" s="194"/>
      <c r="U498" s="194"/>
      <c r="V498" s="194"/>
      <c r="W498" s="194"/>
    </row>
    <row r="499" ht="14.25" customHeight="1">
      <c r="A499" s="31"/>
      <c r="B499" s="287"/>
      <c r="C499" s="286"/>
      <c r="D499" s="204"/>
      <c r="E499" s="288"/>
      <c r="F499" s="204"/>
      <c r="G499" s="289"/>
      <c r="H499" s="204"/>
      <c r="I499" s="204"/>
      <c r="J499" s="202"/>
      <c r="K499" s="202"/>
      <c r="L499" s="192" t="str">
        <f>IFERROR(__xludf.DUMMYFUNCTION("IF(
  AND(D499=""Saída"", J499=""Sangria""),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198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94" t="str">
        <f>IFERROR(__xludf.DUMMYFUNCTION("ifna(VALUE(REGEXEXTRACT(E499,""[0-9.]+[,]+[0-9]+"")))"),"")</f>
        <v/>
      </c>
      <c r="O499" s="194"/>
      <c r="P499" s="194"/>
      <c r="Q499" s="194"/>
      <c r="R499" s="194"/>
      <c r="S499" s="194"/>
      <c r="T499" s="194"/>
      <c r="U499" s="194"/>
      <c r="V499" s="194"/>
      <c r="W499" s="194"/>
    </row>
    <row r="500" ht="14.25" customHeight="1">
      <c r="A500" s="31"/>
      <c r="B500" s="287"/>
      <c r="C500" s="286"/>
      <c r="D500" s="204"/>
      <c r="E500" s="288"/>
      <c r="F500" s="204"/>
      <c r="G500" s="289"/>
      <c r="H500" s="204"/>
      <c r="I500" s="204"/>
      <c r="J500" s="202"/>
      <c r="K500" s="202"/>
      <c r="L500" s="192" t="str">
        <f>IFERROR(__xludf.DUMMYFUNCTION("IF(
  AND(D500=""Saída"", J500=""Sangria""),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197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94" t="str">
        <f>IFERROR(__xludf.DUMMYFUNCTION("ifna(VALUE(REGEXEXTRACT(E500,""[0-9.]+[,]+[0-9]+"")))"),"")</f>
        <v/>
      </c>
      <c r="O500" s="194"/>
      <c r="P500" s="194"/>
      <c r="Q500" s="194"/>
      <c r="R500" s="194"/>
      <c r="S500" s="194"/>
      <c r="T500" s="194"/>
      <c r="U500" s="194"/>
      <c r="V500" s="194"/>
      <c r="W500" s="194"/>
    </row>
    <row r="501" ht="14.25" customHeight="1">
      <c r="A501" s="31"/>
      <c r="B501" s="287"/>
      <c r="C501" s="286"/>
      <c r="D501" s="204"/>
      <c r="E501" s="288"/>
      <c r="F501" s="204"/>
      <c r="G501" s="289"/>
      <c r="H501" s="204"/>
      <c r="I501" s="204"/>
      <c r="J501" s="202"/>
      <c r="K501" s="202"/>
      <c r="L501" s="192" t="str">
        <f>IFERROR(__xludf.DUMMYFUNCTION("IF(
  AND(D501=""Saída"", J501=""Sangria""),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198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94" t="str">
        <f>IFERROR(__xludf.DUMMYFUNCTION("ifna(VALUE(REGEXEXTRACT(E501,""[0-9.]+[,]+[0-9]+"")))"),"")</f>
        <v/>
      </c>
      <c r="O501" s="194"/>
      <c r="P501" s="194"/>
      <c r="Q501" s="194"/>
      <c r="R501" s="194"/>
      <c r="S501" s="194"/>
      <c r="T501" s="194"/>
      <c r="U501" s="194"/>
      <c r="V501" s="194"/>
      <c r="W501" s="194"/>
    </row>
    <row r="502" ht="14.25" customHeight="1">
      <c r="A502" s="31"/>
      <c r="B502" s="287"/>
      <c r="C502" s="286"/>
      <c r="D502" s="204"/>
      <c r="E502" s="288"/>
      <c r="F502" s="204"/>
      <c r="G502" s="289"/>
      <c r="H502" s="204"/>
      <c r="I502" s="204"/>
      <c r="J502" s="202"/>
      <c r="K502" s="202"/>
      <c r="L502" s="192" t="str">
        <f>IFERROR(__xludf.DUMMYFUNCTION("IF(
  AND(D502=""Saída"", J502=""Sangria""),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197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94" t="str">
        <f>IFERROR(__xludf.DUMMYFUNCTION("ifna(VALUE(REGEXEXTRACT(E502,""[0-9.]+[,]+[0-9]+"")))"),"")</f>
        <v/>
      </c>
      <c r="O502" s="194"/>
      <c r="P502" s="194"/>
      <c r="Q502" s="194"/>
      <c r="R502" s="194"/>
      <c r="S502" s="194"/>
      <c r="T502" s="194"/>
      <c r="U502" s="194"/>
      <c r="V502" s="194"/>
      <c r="W502" s="194"/>
    </row>
    <row r="503" ht="14.25" customHeight="1">
      <c r="A503" s="31"/>
      <c r="B503" s="287"/>
      <c r="C503" s="286"/>
      <c r="D503" s="204"/>
      <c r="E503" s="288"/>
      <c r="F503" s="204"/>
      <c r="G503" s="289"/>
      <c r="H503" s="204"/>
      <c r="I503" s="204"/>
      <c r="J503" s="202"/>
      <c r="K503" s="202"/>
      <c r="L503" s="192" t="str">
        <f>IFERROR(__xludf.DUMMYFUNCTION("IF(
  AND(D503=""Saída"", J503=""Sangria""),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198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94" t="str">
        <f>IFERROR(__xludf.DUMMYFUNCTION("ifna(VALUE(REGEXEXTRACT(E503,""[0-9.]+[,]+[0-9]+"")))"),"")</f>
        <v/>
      </c>
      <c r="O503" s="194"/>
      <c r="P503" s="194"/>
      <c r="Q503" s="194"/>
      <c r="R503" s="194"/>
      <c r="S503" s="194"/>
      <c r="T503" s="194"/>
      <c r="U503" s="194"/>
      <c r="V503" s="194"/>
      <c r="W503" s="194"/>
    </row>
    <row r="504" ht="14.25" customHeight="1">
      <c r="A504" s="31"/>
      <c r="B504" s="293"/>
      <c r="C504" s="294"/>
      <c r="D504" s="295"/>
      <c r="E504" s="296"/>
      <c r="F504" s="295"/>
      <c r="G504" s="297"/>
      <c r="H504" s="295"/>
      <c r="I504" s="295"/>
      <c r="J504" s="298"/>
      <c r="K504" s="298"/>
      <c r="L504" s="192" t="str">
        <f>IFERROR(__xludf.DUMMYFUNCTION("IF(
  AND(D504=""Saída"", J504=""Sangria""),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197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94" t="str">
        <f>IFERROR(__xludf.DUMMYFUNCTION("ifna(VALUE(REGEXEXTRACT(E504,""[0-9.]+[,]+[0-9]+"")))"),"")</f>
        <v/>
      </c>
      <c r="O504" s="194"/>
      <c r="P504" s="194"/>
      <c r="Q504" s="194"/>
      <c r="R504" s="194"/>
      <c r="S504" s="194"/>
      <c r="T504" s="194"/>
      <c r="U504" s="194"/>
      <c r="V504" s="194"/>
      <c r="W504" s="194"/>
    </row>
    <row r="505" ht="14.25" customHeight="1">
      <c r="A505" s="31"/>
      <c r="B505" s="299"/>
      <c r="C505" s="286"/>
      <c r="D505" s="204"/>
      <c r="E505" s="288"/>
      <c r="F505" s="204"/>
      <c r="G505" s="289"/>
      <c r="H505" s="204"/>
      <c r="I505" s="204"/>
      <c r="J505" s="202"/>
      <c r="K505" s="202"/>
      <c r="L505" s="192" t="str">
        <f>IFERROR(__xludf.DUMMYFUNCTION("IF(
  AND(D505=""Saída"", J505=""Sangria""),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198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</row>
    <row r="506" ht="14.25" customHeight="1">
      <c r="A506" s="31"/>
      <c r="B506" s="299"/>
      <c r="C506" s="286"/>
      <c r="D506" s="204"/>
      <c r="E506" s="288"/>
      <c r="F506" s="204"/>
      <c r="G506" s="289"/>
      <c r="H506" s="204"/>
      <c r="I506" s="204"/>
      <c r="J506" s="202"/>
      <c r="K506" s="202"/>
      <c r="L506" s="192" t="str">
        <f>IFERROR(__xludf.DUMMYFUNCTION("IF(
  AND(D506=""Saída"", J506=""Sangria""),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197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</row>
    <row r="507" ht="14.25" customHeight="1">
      <c r="A507" s="31"/>
      <c r="B507" s="299"/>
      <c r="C507" s="286"/>
      <c r="D507" s="204"/>
      <c r="E507" s="288"/>
      <c r="F507" s="204"/>
      <c r="G507" s="289"/>
      <c r="H507" s="204"/>
      <c r="I507" s="204"/>
      <c r="J507" s="202"/>
      <c r="K507" s="202"/>
      <c r="L507" s="192" t="str">
        <f>IFERROR(__xludf.DUMMYFUNCTION("IF(
  AND(D507=""Saída"", J507=""Sangria""),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198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</row>
  </sheetData>
  <mergeCells count="100">
    <mergeCell ref="O93:T94"/>
    <mergeCell ref="S95:T95"/>
    <mergeCell ref="O140:V140"/>
    <mergeCell ref="S141:U141"/>
    <mergeCell ref="S142:U142"/>
    <mergeCell ref="S143:U143"/>
    <mergeCell ref="S144:U144"/>
    <mergeCell ref="S145:U145"/>
    <mergeCell ref="S146:U146"/>
    <mergeCell ref="S147:U147"/>
    <mergeCell ref="S148:U148"/>
    <mergeCell ref="S149:U149"/>
    <mergeCell ref="S150:U150"/>
    <mergeCell ref="S151:U151"/>
    <mergeCell ref="S152:U152"/>
    <mergeCell ref="S153:U153"/>
    <mergeCell ref="S154:U154"/>
    <mergeCell ref="S155:U155"/>
    <mergeCell ref="S156:U156"/>
    <mergeCell ref="S157:U157"/>
    <mergeCell ref="S158:U158"/>
    <mergeCell ref="S159:U159"/>
    <mergeCell ref="S160:U160"/>
    <mergeCell ref="S161:U161"/>
    <mergeCell ref="S162:U162"/>
    <mergeCell ref="S163:U163"/>
    <mergeCell ref="S164:U164"/>
    <mergeCell ref="S165:U165"/>
    <mergeCell ref="S166:U166"/>
    <mergeCell ref="S167:U167"/>
    <mergeCell ref="S168:U168"/>
    <mergeCell ref="S169:U169"/>
    <mergeCell ref="S170:U170"/>
    <mergeCell ref="S171:U171"/>
    <mergeCell ref="S172:U172"/>
    <mergeCell ref="S173:U173"/>
    <mergeCell ref="S174:U174"/>
    <mergeCell ref="S175:U175"/>
    <mergeCell ref="S176:U176"/>
    <mergeCell ref="S177:U177"/>
    <mergeCell ref="S178:U178"/>
    <mergeCell ref="S179:U179"/>
    <mergeCell ref="S187:U187"/>
    <mergeCell ref="S188:U188"/>
    <mergeCell ref="S189:U189"/>
    <mergeCell ref="S190:U190"/>
    <mergeCell ref="S191:U191"/>
    <mergeCell ref="S192:U192"/>
    <mergeCell ref="S180:U180"/>
    <mergeCell ref="S181:U181"/>
    <mergeCell ref="S182:U182"/>
    <mergeCell ref="S183:U183"/>
    <mergeCell ref="S184:U184"/>
    <mergeCell ref="S185:U185"/>
    <mergeCell ref="S186:U186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C19:D19"/>
    <mergeCell ref="C23:D23"/>
    <mergeCell ref="E23:F23"/>
    <mergeCell ref="G23:H23"/>
    <mergeCell ref="I23:J23"/>
    <mergeCell ref="I24:J24"/>
    <mergeCell ref="I25:J25"/>
    <mergeCell ref="B27:M27"/>
    <mergeCell ref="G14:H14"/>
    <mergeCell ref="I14:J14"/>
    <mergeCell ref="C18:D18"/>
    <mergeCell ref="E18:H18"/>
    <mergeCell ref="I18:J18"/>
    <mergeCell ref="E19:F19"/>
    <mergeCell ref="I22:J22"/>
    <mergeCell ref="K18:L18"/>
    <mergeCell ref="K19:L19"/>
    <mergeCell ref="T19:W19"/>
    <mergeCell ref="O48:R48"/>
    <mergeCell ref="T48:W48"/>
    <mergeCell ref="O68:R68"/>
    <mergeCell ref="T68:W68"/>
  </mergeCells>
  <conditionalFormatting sqref="M29:M507">
    <cfRule type="cellIs" dxfId="5" priority="1" operator="equal">
      <formula>"Não Encontrada"</formula>
    </cfRule>
  </conditionalFormatting>
  <conditionalFormatting sqref="E29:E198">
    <cfRule type="expression" dxfId="6" priority="2">
      <formula>and($J$22:$J$497="Sangria",$D$22:$D$497="Saída")</formula>
    </cfRule>
  </conditionalFormatting>
  <conditionalFormatting sqref="D4 D11">
    <cfRule type="cellIs" dxfId="7" priority="3" operator="greaterThanOrEqual">
      <formula>500</formula>
    </cfRule>
  </conditionalFormatting>
  <conditionalFormatting sqref="D4 D11">
    <cfRule type="cellIs" dxfId="8" priority="4" operator="between">
      <formula>400</formula>
      <formula>500</formula>
    </cfRule>
  </conditionalFormatting>
  <conditionalFormatting sqref="F4 F11">
    <cfRule type="cellIs" dxfId="7" priority="5" operator="greaterThanOrEqual">
      <formula>500</formula>
    </cfRule>
  </conditionalFormatting>
  <conditionalFormatting sqref="F4 F11">
    <cfRule type="cellIs" dxfId="5" priority="6" operator="between">
      <formula>400</formula>
      <formula>500</formula>
    </cfRule>
  </conditionalFormatting>
  <conditionalFormatting sqref="H4 H11">
    <cfRule type="cellIs" dxfId="7" priority="7" operator="greaterThanOrEqual">
      <formula>500</formula>
    </cfRule>
  </conditionalFormatting>
  <conditionalFormatting sqref="H4 H11">
    <cfRule type="cellIs" dxfId="5" priority="8" operator="between">
      <formula>400</formula>
      <formula>500</formula>
    </cfRule>
  </conditionalFormatting>
  <conditionalFormatting sqref="J4 J11">
    <cfRule type="cellIs" dxfId="7" priority="9" operator="greaterThanOrEqual">
      <formula>500</formula>
    </cfRule>
  </conditionalFormatting>
  <conditionalFormatting sqref="J4 J11">
    <cfRule type="cellIs" dxfId="8" priority="10" operator="between">
      <formula>400</formula>
      <formula>500</formula>
    </cfRule>
  </conditionalFormatting>
  <conditionalFormatting sqref="L4:W4 L11 D20 S20:W20 O49:W49 O69:W69">
    <cfRule type="cellIs" dxfId="7" priority="11" operator="greaterThanOrEqual">
      <formula>500</formula>
    </cfRule>
  </conditionalFormatting>
  <conditionalFormatting sqref="L4:W4 L11 D20 S20:W20 O49:W49 O69:W69">
    <cfRule type="cellIs" dxfId="8" priority="12" operator="between">
      <formula>400</formula>
      <formula>500</formula>
    </cfRule>
  </conditionalFormatting>
  <conditionalFormatting sqref="E29:E507">
    <cfRule type="containsText" dxfId="9" priority="13" operator="containsText" text="R$">
      <formula>NOT(ISERROR(SEARCH(("R$"),(E29))))</formula>
    </cfRule>
  </conditionalFormatting>
  <conditionalFormatting sqref="B29:K507">
    <cfRule type="expression" dxfId="6" priority="14">
      <formula>and($J$29:$J$504="Sangria",$D$29:$D$504="Saída")</formula>
    </cfRule>
  </conditionalFormatting>
  <conditionalFormatting sqref="K29:K507">
    <cfRule type="expression" dxfId="10" priority="15">
      <formula>or($J$29:$J$218="Compra Moedas",$J$29:$J$218="Cortesias",$J$29:$J$218="Troco")</formula>
    </cfRule>
  </conditionalFormatting>
  <conditionalFormatting sqref="K29:K507">
    <cfRule type="expression" dxfId="11" priority="16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7">
    <cfRule type="expression" dxfId="5" priority="17">
      <formula>and(SEARCH("Vale",G29),or(J29="Consumo",J29="Sangria",J29="Compra Moedas",J29="Cortesia",J29="Troco",J29="Estorno Cliente",J29="Outros Pagamentos",J29="Inadimplência"))</formula>
    </cfRule>
  </conditionalFormatting>
  <conditionalFormatting sqref="I29:I507">
    <cfRule type="expression" dxfId="5" priority="18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9">
      <formula>LEN(TRIM(I43))&gt;0</formula>
    </cfRule>
  </conditionalFormatting>
  <conditionalFormatting sqref="I29:I507">
    <cfRule type="expression" dxfId="5" priority="20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7">
    <cfRule type="expression" dxfId="5" priority="21">
      <formula>and(SEARCH("Cortesia",G29),or(J29="Consumo",J29="Sangria",J29="Adiantamento",J29="Troco",J29="Estorno Cliente",J29="Outros Pagamentos",J29="Inadimplência"))</formula>
    </cfRule>
  </conditionalFormatting>
  <conditionalFormatting sqref="C29:C507">
    <cfRule type="expression" dxfId="11" priority="22">
      <formula>and($C$29:$C$218="",or($D$29:$D$218="Entrada",$D$29:$D$218="Saída"))</formula>
    </cfRule>
  </conditionalFormatting>
  <conditionalFormatting sqref="I29:I507">
    <cfRule type="expression" dxfId="5" priority="23">
      <formula>and(K29 = "",or(J29="Consumo",J29="Adiantamento"))</formula>
    </cfRule>
  </conditionalFormatting>
  <conditionalFormatting sqref="L29:L507">
    <cfRule type="cellIs" dxfId="5" priority="24" operator="equal">
      <formula>"Caixa Sangria"</formula>
    </cfRule>
  </conditionalFormatting>
  <dataValidations>
    <dataValidation type="list" allowBlank="1" showErrorMessage="1" sqref="K29:K507">
      <formula1>'MAIO 2026'!$B$4:$B$16</formula1>
    </dataValidation>
    <dataValidation type="list" allowBlank="1" showErrorMessage="1" sqref="J29:J176 J178:J179 J181:J190 J192:J195 J197:J208 J210:J267 J269:J286 J288:J303 J306:J308 J310:J376 J378:J388 J390:J507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7.8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5.75"/>
    <col customWidth="1" min="14" max="14" width="3.88"/>
    <col customWidth="1" min="15" max="15" width="10.13"/>
    <col customWidth="1" min="16" max="16" width="12.0"/>
    <col customWidth="1" min="17" max="17" width="12.75"/>
    <col customWidth="1" min="18" max="18" width="12.38"/>
    <col customWidth="1" min="19" max="19" width="0.63"/>
    <col customWidth="1" min="20" max="20" width="10.13"/>
    <col customWidth="1" min="21" max="21" width="21.13"/>
    <col customWidth="1" min="22" max="22" width="12.5"/>
    <col customWidth="1" min="23" max="23" width="13.63"/>
  </cols>
  <sheetData>
    <row r="1" ht="8.25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1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>
      <c r="A2" s="33" t="s">
        <v>5940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5"/>
      <c r="M2" s="32"/>
      <c r="N2" s="32"/>
      <c r="O2" s="36" t="s">
        <v>5945</v>
      </c>
      <c r="P2" s="34"/>
      <c r="Q2" s="34"/>
      <c r="R2" s="34"/>
      <c r="S2" s="34"/>
      <c r="T2" s="34"/>
      <c r="U2" s="34"/>
      <c r="V2" s="34"/>
      <c r="W2" s="35"/>
    </row>
    <row r="3">
      <c r="A3" s="37" t="s">
        <v>5950</v>
      </c>
      <c r="B3" s="38"/>
      <c r="C3" s="39" t="str">
        <f>B4</f>
        <v>Mariselma</v>
      </c>
      <c r="D3" s="38"/>
      <c r="E3" s="40" t="str">
        <f>B5</f>
        <v/>
      </c>
      <c r="F3" s="38"/>
      <c r="G3" s="40" t="str">
        <f>B6</f>
        <v>Sabrina</v>
      </c>
      <c r="H3" s="38"/>
      <c r="I3" s="40" t="str">
        <f>B7</f>
        <v/>
      </c>
      <c r="J3" s="38"/>
      <c r="K3" s="40" t="str">
        <f>B8</f>
        <v>Joice</v>
      </c>
      <c r="L3" s="41"/>
      <c r="M3" s="42"/>
      <c r="N3" s="42"/>
      <c r="O3" s="43" t="str">
        <f>B4</f>
        <v>Mariselma</v>
      </c>
      <c r="P3" s="34"/>
      <c r="Q3" s="34"/>
      <c r="R3" s="35"/>
      <c r="S3" s="44"/>
      <c r="T3" s="45" t="str">
        <f>B5</f>
        <v/>
      </c>
      <c r="U3" s="34"/>
      <c r="V3" s="34"/>
      <c r="W3" s="35"/>
    </row>
    <row r="4" ht="15.75" customHeight="1">
      <c r="A4" s="46" t="s">
        <v>225</v>
      </c>
      <c r="B4" s="47" t="s">
        <v>5991</v>
      </c>
      <c r="C4" s="48" t="s">
        <v>783</v>
      </c>
      <c r="D4" s="49">
        <f>SUMIFS(N29:N504,J29:J504,C4,K29:K504,C3)+SUMIF(Q96:Q138,A4,R96:R138)+D9</f>
        <v>0</v>
      </c>
      <c r="E4" s="50" t="s">
        <v>783</v>
      </c>
      <c r="F4" s="49">
        <f>SUMIFS(N29:N504,J29:J504,E4,K29:K504,E3)+SUMIF(Q96:Q138,A5,R96:R138)+F9</f>
        <v>0</v>
      </c>
      <c r="G4" s="50" t="s">
        <v>783</v>
      </c>
      <c r="H4" s="49">
        <f>SUMIFS(N29:N504,J29:J504,C4,K29:K504,G3)+SUMIF(Q96:Q138,A6,R96:R138)+H9</f>
        <v>1000</v>
      </c>
      <c r="I4" s="50" t="s">
        <v>783</v>
      </c>
      <c r="J4" s="49">
        <f>SUMIFS(N29:N504,J29:J504,C4,K29:K504,I3)+SUMIF(Q96:Q138,A7,R96:R138)+J9</f>
        <v>0</v>
      </c>
      <c r="K4" s="50" t="s">
        <v>783</v>
      </c>
      <c r="L4" s="51">
        <f>SUMIFS(N29:N504,J29:J504,C4,K29:K504,K3)+SUMIF(Q96:Q138,A8,R96:R138)+L9</f>
        <v>0</v>
      </c>
      <c r="M4" s="32"/>
      <c r="N4" s="32"/>
      <c r="O4" s="52" t="str">
        <f>IFERROR(__xludf.DUMMYFUNCTION("query(C28:L507,""select Col1,Col3,Col8,Col9 where (Col8 = 'Adiantamento' or Col8 = 'Consumo') and Col9 = '""&amp;B4&amp;""'"",1)"),"Data")</f>
        <v>Data</v>
      </c>
      <c r="P4" s="53" t="str">
        <f>IFERROR(__xludf.DUMMYFUNCTION("""COMPUTED_VALUE"""),"Valor ")</f>
        <v>Valor </v>
      </c>
      <c r="Q4" s="53" t="str">
        <f>IFERROR(__xludf.DUMMYFUNCTION("""COMPUTED_VALUE"""),"Tipo")</f>
        <v>Tipo</v>
      </c>
      <c r="R4" s="54" t="str">
        <f>IFERROR(__xludf.DUMMYFUNCTION("""COMPUTED_VALUE"""),"Funcionário")</f>
        <v>Funcionário</v>
      </c>
      <c r="S4" s="55"/>
      <c r="T4" s="56" t="str">
        <f>IFERROR(__xludf.DUMMYFUNCTION("query(C28:L507,""select Col1,Col3,Col8,Col9 where (Col8 = 'Adiantamento' or Col8 = 'Consumo') and Col9 = '""&amp;B5&amp;""'"",1)"),"Data")</f>
        <v>Data</v>
      </c>
      <c r="U4" s="56" t="str">
        <f>IFERROR(__xludf.DUMMYFUNCTION("""COMPUTED_VALUE"""),"Valor ")</f>
        <v>Valor </v>
      </c>
      <c r="V4" s="56" t="str">
        <f>IFERROR(__xludf.DUMMYFUNCTION("""COMPUTED_VALUE"""),"Tipo")</f>
        <v>Tipo</v>
      </c>
      <c r="W4" s="57" t="str">
        <f>IFERROR(__xludf.DUMMYFUNCTION("""COMPUTED_VALUE"""),"Funcionário")</f>
        <v>Funcionário</v>
      </c>
    </row>
    <row r="5" ht="15.0" customHeight="1">
      <c r="A5" s="46"/>
      <c r="B5" s="47"/>
      <c r="C5" s="48" t="s">
        <v>6080</v>
      </c>
      <c r="D5" s="49">
        <f>SUMIFS(N29:N504,J29:J504,C5,K29:K504,C3)</f>
        <v>10.57</v>
      </c>
      <c r="E5" s="50" t="s">
        <v>6080</v>
      </c>
      <c r="F5" s="49">
        <f>SUMIFS(N29:N504,J29:J504,C5,K29:K504,E3)</f>
        <v>0</v>
      </c>
      <c r="G5" s="50" t="s">
        <v>6080</v>
      </c>
      <c r="H5" s="49">
        <f>SUMIFS(N29:N504,J29:J504,C5,K29:K504,G3)</f>
        <v>216.2</v>
      </c>
      <c r="I5" s="50" t="s">
        <v>6080</v>
      </c>
      <c r="J5" s="49">
        <f>SUMIFS(N29:N504,J29:J504,C5,K29:K504,I3)</f>
        <v>0</v>
      </c>
      <c r="K5" s="50" t="s">
        <v>6080</v>
      </c>
      <c r="L5" s="51">
        <f>SUMIFS(N29:N504,J29:J504,C5,K29:K504,K3)</f>
        <v>0</v>
      </c>
      <c r="M5" s="32"/>
      <c r="N5" s="32"/>
      <c r="O5" s="58">
        <f>IFERROR(__xludf.DUMMYFUNCTION("""COMPUTED_VALUE"""),46170.88107638889)</f>
        <v>46170.88108</v>
      </c>
      <c r="P5" s="59" t="str">
        <f>IFERROR(__xludf.DUMMYFUNCTION("""COMPUTED_VALUE"""),"R$ 10,57")</f>
        <v>R$ 10,57</v>
      </c>
      <c r="Q5" s="59" t="str">
        <f>IFERROR(__xludf.DUMMYFUNCTION("""COMPUTED_VALUE"""),"Consumo")</f>
        <v>Consumo</v>
      </c>
      <c r="R5" s="60" t="str">
        <f>IFERROR(__xludf.DUMMYFUNCTION("""COMPUTED_VALUE"""),"Mariselma")</f>
        <v>Mariselma</v>
      </c>
      <c r="S5" s="61"/>
      <c r="T5" s="59"/>
      <c r="U5" s="59"/>
      <c r="V5" s="59"/>
      <c r="W5" s="60"/>
    </row>
    <row r="6" ht="16.5" customHeight="1">
      <c r="A6" s="46" t="s">
        <v>126</v>
      </c>
      <c r="B6" s="47" t="s">
        <v>6111</v>
      </c>
      <c r="C6" s="48" t="s">
        <v>6112</v>
      </c>
      <c r="D6" s="49">
        <f>D5*0.8</f>
        <v>8.456</v>
      </c>
      <c r="E6" s="50" t="s">
        <v>6112</v>
      </c>
      <c r="F6" s="49">
        <f>F5*0.8</f>
        <v>0</v>
      </c>
      <c r="G6" s="50" t="s">
        <v>6112</v>
      </c>
      <c r="H6" s="49">
        <f>H5*0.8</f>
        <v>172.96</v>
      </c>
      <c r="I6" s="50" t="s">
        <v>6112</v>
      </c>
      <c r="J6" s="49">
        <f>J5*0.8</f>
        <v>0</v>
      </c>
      <c r="K6" s="62" t="s">
        <v>6112</v>
      </c>
      <c r="L6" s="51">
        <f>L5*0.8</f>
        <v>0</v>
      </c>
      <c r="M6" s="32"/>
      <c r="N6" s="32"/>
      <c r="O6" s="58"/>
      <c r="P6" s="59"/>
      <c r="Q6" s="59"/>
      <c r="R6" s="60"/>
      <c r="S6" s="61"/>
      <c r="T6" s="59"/>
      <c r="U6" s="59"/>
      <c r="V6" s="59"/>
      <c r="W6" s="60"/>
    </row>
    <row r="7" ht="14.25" customHeight="1">
      <c r="A7" s="46"/>
      <c r="B7" s="47"/>
      <c r="C7" s="63" t="s">
        <v>6160</v>
      </c>
      <c r="D7" s="64"/>
      <c r="E7" s="65" t="s">
        <v>6160</v>
      </c>
      <c r="F7" s="64"/>
      <c r="G7" s="65" t="s">
        <v>6160</v>
      </c>
      <c r="H7" s="64"/>
      <c r="I7" s="65" t="s">
        <v>6160</v>
      </c>
      <c r="J7" s="64"/>
      <c r="K7" s="65" t="s">
        <v>6160</v>
      </c>
      <c r="L7" s="67"/>
      <c r="M7" s="68"/>
      <c r="N7" s="68"/>
      <c r="O7" s="58"/>
      <c r="P7" s="59"/>
      <c r="Q7" s="59"/>
      <c r="R7" s="60"/>
      <c r="S7" s="61"/>
      <c r="T7" s="59"/>
      <c r="U7" s="59"/>
      <c r="V7" s="59"/>
      <c r="W7" s="60"/>
    </row>
    <row r="8" ht="14.25" customHeight="1">
      <c r="A8" s="11" t="s">
        <v>877</v>
      </c>
      <c r="B8" s="47" t="s">
        <v>6180</v>
      </c>
      <c r="C8" s="69" t="s">
        <v>6182</v>
      </c>
      <c r="D8" s="73"/>
      <c r="E8" s="71" t="s">
        <v>6182</v>
      </c>
      <c r="F8" s="72"/>
      <c r="G8" s="71" t="s">
        <v>6182</v>
      </c>
      <c r="H8" s="70"/>
      <c r="I8" s="71" t="s">
        <v>6182</v>
      </c>
      <c r="J8" s="73"/>
      <c r="K8" s="71" t="s">
        <v>6182</v>
      </c>
      <c r="L8" s="74"/>
      <c r="M8" s="75"/>
      <c r="N8" s="75"/>
      <c r="O8" s="58"/>
      <c r="P8" s="59"/>
      <c r="Q8" s="59"/>
      <c r="R8" s="60"/>
      <c r="S8" s="61"/>
      <c r="T8" s="59"/>
      <c r="U8" s="59"/>
      <c r="V8" s="59"/>
      <c r="W8" s="60"/>
    </row>
    <row r="9">
      <c r="A9" s="46" t="s">
        <v>3739</v>
      </c>
      <c r="B9" s="47" t="s">
        <v>6197</v>
      </c>
      <c r="C9" s="76" t="s">
        <v>51</v>
      </c>
      <c r="D9" s="77"/>
      <c r="E9" s="78" t="s">
        <v>51</v>
      </c>
      <c r="F9" s="79"/>
      <c r="G9" s="78" t="s">
        <v>51</v>
      </c>
      <c r="H9" s="77"/>
      <c r="I9" s="78" t="s">
        <v>51</v>
      </c>
      <c r="J9" s="77"/>
      <c r="K9" s="78" t="s">
        <v>51</v>
      </c>
      <c r="L9" s="80"/>
      <c r="M9" s="75"/>
      <c r="N9" s="75"/>
      <c r="O9" s="58"/>
      <c r="P9" s="59"/>
      <c r="Q9" s="59"/>
      <c r="R9" s="60"/>
      <c r="S9" s="61"/>
      <c r="T9" s="59"/>
      <c r="U9" s="59"/>
      <c r="V9" s="59"/>
      <c r="W9" s="60"/>
    </row>
    <row r="10" ht="21.75" customHeight="1">
      <c r="A10" s="46"/>
      <c r="B10" s="47"/>
      <c r="C10" s="81" t="str">
        <f>B9</f>
        <v>Fernando</v>
      </c>
      <c r="D10" s="82"/>
      <c r="E10" s="83" t="str">
        <f>B10</f>
        <v/>
      </c>
      <c r="F10" s="82"/>
      <c r="G10" s="83" t="str">
        <f>B11</f>
        <v/>
      </c>
      <c r="H10" s="82"/>
      <c r="I10" s="83" t="str">
        <f>B12</f>
        <v/>
      </c>
      <c r="J10" s="82"/>
      <c r="K10" s="83" t="str">
        <f>B13</f>
        <v/>
      </c>
      <c r="L10" s="84"/>
      <c r="M10" s="31"/>
      <c r="N10" s="31"/>
      <c r="O10" s="58"/>
      <c r="P10" s="85"/>
      <c r="Q10" s="85"/>
      <c r="R10" s="86"/>
      <c r="S10" s="87"/>
      <c r="T10" s="85"/>
      <c r="U10" s="85"/>
      <c r="V10" s="85"/>
      <c r="W10" s="86"/>
    </row>
    <row r="11">
      <c r="A11" s="88"/>
      <c r="B11" s="89"/>
      <c r="C11" s="90" t="s">
        <v>783</v>
      </c>
      <c r="D11" s="91">
        <f>SUMIFS(N29:N514,J29:J514,C11,K29:K514,C10)+SUMIF(Q96:Q138,A9,R96:R138)+D16</f>
        <v>0</v>
      </c>
      <c r="E11" s="92" t="s">
        <v>783</v>
      </c>
      <c r="F11" s="91">
        <f>SUMIFS(N29:N514,J29:J514,E11,K29:K514,E10)+SUMIF(Q96:Q138,A10,R96:R138)+F16</f>
        <v>0</v>
      </c>
      <c r="G11" s="92" t="s">
        <v>783</v>
      </c>
      <c r="H11" s="91">
        <f>SUMIFS(N29:N514,J29:J514,C11,K29:K514,G10)+SUMIF(Q96:Q138,A11,R96:R138)+H16</f>
        <v>0</v>
      </c>
      <c r="I11" s="92" t="s">
        <v>783</v>
      </c>
      <c r="J11" s="91">
        <f>SUMIFS(N29:N514,J29:J514,C11,K29:K514,I10)+SUMIF(Q96:Q138,A11,R96:R138)+J16</f>
        <v>0</v>
      </c>
      <c r="K11" s="92" t="s">
        <v>783</v>
      </c>
      <c r="L11" s="93">
        <f>SUMIFS(N29:N514,J29:J514,C11,K29:K514,K10)+SUMIF(Q96:Q138,A13,R96:R138)+L16</f>
        <v>0</v>
      </c>
      <c r="M11" s="31"/>
      <c r="N11" s="31"/>
      <c r="O11" s="94"/>
      <c r="P11" s="95"/>
      <c r="Q11" s="95"/>
      <c r="R11" s="96"/>
      <c r="S11" s="97"/>
      <c r="T11" s="95"/>
      <c r="U11" s="95"/>
      <c r="V11" s="95"/>
      <c r="W11" s="96"/>
    </row>
    <row r="12">
      <c r="A12" s="88"/>
      <c r="B12" s="89"/>
      <c r="C12" s="90" t="s">
        <v>6080</v>
      </c>
      <c r="D12" s="91">
        <f>SUMIFS(N36:N514,J36:J514,C12,K36:K514,C10)</f>
        <v>0</v>
      </c>
      <c r="E12" s="92" t="s">
        <v>6080</v>
      </c>
      <c r="F12" s="91">
        <f>SUMIFS(N29:N514,J29:J514,C12,K29:K514,E10)</f>
        <v>0</v>
      </c>
      <c r="G12" s="92" t="s">
        <v>6080</v>
      </c>
      <c r="H12" s="91">
        <f>SUMIFS(N36:N514,J36:J514,C12,K36:K514,G10)</f>
        <v>0</v>
      </c>
      <c r="I12" s="92" t="s">
        <v>6080</v>
      </c>
      <c r="J12" s="91">
        <f>SUMIFS(N29:N514,J29:J514,C12,K29:K514,I10)</f>
        <v>0</v>
      </c>
      <c r="K12" s="92" t="s">
        <v>6080</v>
      </c>
      <c r="L12" s="93">
        <f>SUMIFS(N29:N514,J29:J514,C12,K29:K514,K10)</f>
        <v>0</v>
      </c>
      <c r="M12" s="31"/>
      <c r="N12" s="31"/>
      <c r="O12" s="94"/>
      <c r="P12" s="95"/>
      <c r="Q12" s="95"/>
      <c r="R12" s="96"/>
      <c r="S12" s="97"/>
      <c r="T12" s="95"/>
      <c r="U12" s="95"/>
      <c r="V12" s="95"/>
      <c r="W12" s="96"/>
    </row>
    <row r="13">
      <c r="A13" s="98"/>
      <c r="B13" s="99"/>
      <c r="C13" s="90" t="s">
        <v>6112</v>
      </c>
      <c r="D13" s="91">
        <f>D12*0.8</f>
        <v>0</v>
      </c>
      <c r="E13" s="92" t="s">
        <v>6112</v>
      </c>
      <c r="F13" s="91">
        <f>F12*0.8</f>
        <v>0</v>
      </c>
      <c r="G13" s="92" t="s">
        <v>6112</v>
      </c>
      <c r="H13" s="91">
        <f>H12*0.8</f>
        <v>0</v>
      </c>
      <c r="I13" s="92" t="s">
        <v>6112</v>
      </c>
      <c r="J13" s="91">
        <f>J12*0.8</f>
        <v>0</v>
      </c>
      <c r="K13" s="100" t="s">
        <v>6112</v>
      </c>
      <c r="L13" s="93">
        <f>L12*0.8</f>
        <v>0</v>
      </c>
      <c r="M13" s="31"/>
      <c r="N13" s="31"/>
      <c r="O13" s="94"/>
      <c r="P13" s="95"/>
      <c r="Q13" s="95"/>
      <c r="R13" s="96"/>
      <c r="S13" s="97"/>
      <c r="T13" s="95"/>
      <c r="U13" s="95"/>
      <c r="V13" s="95"/>
      <c r="W13" s="96"/>
    </row>
    <row r="14">
      <c r="A14" s="98"/>
      <c r="B14" s="99"/>
      <c r="C14" s="63" t="s">
        <v>6160</v>
      </c>
      <c r="D14" s="64"/>
      <c r="E14" s="65" t="s">
        <v>6160</v>
      </c>
      <c r="F14" s="64"/>
      <c r="G14" s="65" t="s">
        <v>6160</v>
      </c>
      <c r="H14" s="64"/>
      <c r="I14" s="65" t="s">
        <v>6160</v>
      </c>
      <c r="J14" s="64"/>
      <c r="K14" s="65" t="s">
        <v>6160</v>
      </c>
      <c r="L14" s="67"/>
      <c r="M14" s="31"/>
      <c r="N14" s="31"/>
      <c r="O14" s="94"/>
      <c r="P14" s="95"/>
      <c r="Q14" s="95"/>
      <c r="R14" s="96"/>
      <c r="S14" s="97"/>
      <c r="T14" s="95"/>
      <c r="U14" s="95"/>
      <c r="V14" s="95"/>
      <c r="W14" s="96"/>
    </row>
    <row r="15">
      <c r="A15" s="98"/>
      <c r="B15" s="99"/>
      <c r="C15" s="69" t="s">
        <v>6182</v>
      </c>
      <c r="D15" s="70"/>
      <c r="E15" s="71" t="s">
        <v>6182</v>
      </c>
      <c r="F15" s="72"/>
      <c r="G15" s="71" t="s">
        <v>6182</v>
      </c>
      <c r="H15" s="73"/>
      <c r="I15" s="71" t="s">
        <v>6182</v>
      </c>
      <c r="J15" s="73"/>
      <c r="K15" s="71" t="s">
        <v>6182</v>
      </c>
      <c r="L15" s="74"/>
      <c r="M15" s="31"/>
      <c r="N15" s="31"/>
      <c r="O15" s="94"/>
      <c r="P15" s="95"/>
      <c r="Q15" s="95"/>
      <c r="R15" s="96"/>
      <c r="S15" s="97"/>
      <c r="T15" s="95"/>
      <c r="U15" s="95"/>
      <c r="V15" s="95"/>
      <c r="W15" s="96"/>
    </row>
    <row r="16">
      <c r="A16" s="101"/>
      <c r="B16" s="102"/>
      <c r="C16" s="103" t="s">
        <v>51</v>
      </c>
      <c r="D16" s="104"/>
      <c r="E16" s="105" t="s">
        <v>51</v>
      </c>
      <c r="F16" s="106"/>
      <c r="G16" s="105" t="s">
        <v>51</v>
      </c>
      <c r="H16" s="104"/>
      <c r="I16" s="105" t="s">
        <v>51</v>
      </c>
      <c r="J16" s="104"/>
      <c r="K16" s="105" t="s">
        <v>51</v>
      </c>
      <c r="L16" s="107"/>
      <c r="M16" s="31"/>
      <c r="N16" s="31"/>
      <c r="O16" s="94"/>
      <c r="P16" s="95"/>
      <c r="Q16" s="95"/>
      <c r="R16" s="96"/>
      <c r="S16" s="97"/>
      <c r="T16" s="95"/>
      <c r="U16" s="95"/>
      <c r="V16" s="95"/>
      <c r="W16" s="96"/>
    </row>
    <row r="17">
      <c r="A17" s="87"/>
      <c r="B17" s="87"/>
      <c r="C17" s="31"/>
      <c r="D17" s="31"/>
      <c r="E17" s="108"/>
      <c r="F17" s="108"/>
      <c r="G17" s="108"/>
      <c r="H17" s="108"/>
      <c r="I17" s="108"/>
      <c r="J17" s="108"/>
      <c r="K17" s="108"/>
      <c r="L17" s="108"/>
      <c r="M17" s="31"/>
      <c r="N17" s="31"/>
      <c r="O17" s="94"/>
      <c r="P17" s="95"/>
      <c r="Q17" s="95"/>
      <c r="R17" s="96"/>
      <c r="S17" s="97"/>
      <c r="T17" s="95"/>
      <c r="U17" s="95"/>
      <c r="V17" s="95"/>
      <c r="W17" s="96"/>
    </row>
    <row r="18">
      <c r="A18" s="87"/>
      <c r="B18" s="87"/>
      <c r="C18" s="109"/>
      <c r="D18" s="110"/>
      <c r="E18" s="111" t="s">
        <v>6285</v>
      </c>
      <c r="F18" s="112"/>
      <c r="G18" s="112"/>
      <c r="H18" s="113"/>
      <c r="I18" s="111" t="s">
        <v>6287</v>
      </c>
      <c r="J18" s="113"/>
      <c r="K18" s="111" t="s">
        <v>6290</v>
      </c>
      <c r="L18" s="113"/>
      <c r="M18" s="31"/>
      <c r="N18" s="31"/>
      <c r="O18" s="114"/>
      <c r="P18" s="115"/>
      <c r="Q18" s="115"/>
      <c r="R18" s="115"/>
      <c r="S18" s="116"/>
      <c r="T18" s="115"/>
      <c r="U18" s="115"/>
      <c r="V18" s="115"/>
      <c r="W18" s="117"/>
    </row>
    <row r="19">
      <c r="A19" s="30"/>
      <c r="B19" s="30"/>
      <c r="C19" s="118"/>
      <c r="D19" s="119"/>
      <c r="E19" s="118"/>
      <c r="F19" s="120"/>
      <c r="G19" s="121" t="s">
        <v>6299</v>
      </c>
      <c r="H19" s="122">
        <f>SUMIF(L29:L499,G19,N29:N499)</f>
        <v>0</v>
      </c>
      <c r="I19" s="123" t="s">
        <v>6300</v>
      </c>
      <c r="J19" s="124" t="s">
        <v>6302</v>
      </c>
      <c r="K19" s="125" t="s">
        <v>6304</v>
      </c>
      <c r="L19" s="119"/>
      <c r="M19" s="31"/>
      <c r="N19" s="31"/>
      <c r="O19" s="126"/>
      <c r="P19" s="127"/>
      <c r="Q19" s="127"/>
      <c r="R19" s="127"/>
      <c r="S19" s="128"/>
      <c r="T19" s="129" t="str">
        <f>B7</f>
        <v/>
      </c>
      <c r="U19" s="112"/>
      <c r="V19" s="112"/>
      <c r="W19" s="130"/>
    </row>
    <row r="20">
      <c r="A20" s="131"/>
      <c r="B20" s="131"/>
      <c r="C20" s="132" t="s">
        <v>783</v>
      </c>
      <c r="D20" s="133">
        <f>SUMIFS(N29:N504,J29:J504,C20,K29:K504,C19)+SUMIF(Q102:Q138,A9,R102:R138)+D25</f>
        <v>0</v>
      </c>
      <c r="E20" s="132" t="s">
        <v>783</v>
      </c>
      <c r="F20" s="134">
        <f>SUMIFS(N29:N504,J29:J504,C20,K29:K504,E19)+SUMIF(Q102:Q138,A10,R102:R138)+F25</f>
        <v>0</v>
      </c>
      <c r="G20" s="135" t="s">
        <v>6328</v>
      </c>
      <c r="H20" s="136">
        <v>0.0</v>
      </c>
      <c r="I20" s="137">
        <f>SUMIF(J29:J504,I19,N29:N504)</f>
        <v>0</v>
      </c>
      <c r="J20" s="138">
        <f>SUMIF(J29:J504,J19,N29:N504)</f>
        <v>0</v>
      </c>
      <c r="K20" s="139" t="s">
        <v>6335</v>
      </c>
      <c r="L20" s="140"/>
      <c r="M20" s="31"/>
      <c r="N20" s="31"/>
      <c r="O20" s="141"/>
      <c r="P20" s="142"/>
      <c r="Q20" s="142"/>
      <c r="R20" s="142"/>
      <c r="S20" s="55"/>
      <c r="T20" s="56" t="str">
        <f>IFERROR(__xludf.DUMMYFUNCTION("query(C28:L507,""select Col1,Col3,Col8,Col9 where (Col8 = 'Adiantamento' or Col8 = 'Consumo') and Col9 = '""&amp;B7&amp;""'"",1)"),"Data")</f>
        <v>Data</v>
      </c>
      <c r="U20" s="56" t="str">
        <f>IFERROR(__xludf.DUMMYFUNCTION("""COMPUTED_VALUE"""),"Valor ")</f>
        <v>Valor </v>
      </c>
      <c r="V20" s="56" t="str">
        <f>IFERROR(__xludf.DUMMYFUNCTION("""COMPUTED_VALUE"""),"Tipo")</f>
        <v>Tipo</v>
      </c>
      <c r="W20" s="57" t="str">
        <f>IFERROR(__xludf.DUMMYFUNCTION("""COMPUTED_VALUE"""),"Funcionário")</f>
        <v>Funcionário</v>
      </c>
    </row>
    <row r="21" ht="19.5" customHeight="1">
      <c r="A21" s="143"/>
      <c r="B21" s="143"/>
      <c r="C21" s="132" t="s">
        <v>6080</v>
      </c>
      <c r="D21" s="133">
        <f>SUMIFS(N29:N504,J29:J504,C21,K29:K504,C19)</f>
        <v>0</v>
      </c>
      <c r="E21" s="132" t="s">
        <v>6080</v>
      </c>
      <c r="F21" s="134">
        <f>SUMIFS(N29:N504,J29:J504,E21,K29:K504,E19)</f>
        <v>0</v>
      </c>
      <c r="G21" s="92" t="s">
        <v>6354</v>
      </c>
      <c r="H21" s="133">
        <f>SUMIFS(N29:N504,D29:D504,"Saída",J29:J504,"Sangria")</f>
        <v>1300</v>
      </c>
      <c r="I21" s="144"/>
      <c r="J21" s="145"/>
      <c r="K21" s="139" t="s">
        <v>6364</v>
      </c>
      <c r="L21" s="140"/>
      <c r="M21" s="31"/>
      <c r="N21" s="31"/>
      <c r="O21" s="114"/>
      <c r="P21" s="59"/>
      <c r="Q21" s="59"/>
      <c r="R21" s="60"/>
      <c r="S21" s="61"/>
      <c r="T21" s="59"/>
      <c r="U21" s="59"/>
      <c r="V21" s="59"/>
      <c r="W21" s="60"/>
    </row>
    <row r="22">
      <c r="A22" s="143"/>
      <c r="B22" s="143"/>
      <c r="C22" s="146" t="s">
        <v>6112</v>
      </c>
      <c r="D22" s="133">
        <f>D21*0.8</f>
        <v>0</v>
      </c>
      <c r="E22" s="146" t="s">
        <v>6112</v>
      </c>
      <c r="F22" s="147">
        <f>F21*0.8</f>
        <v>0</v>
      </c>
      <c r="G22" s="148" t="s">
        <v>6369</v>
      </c>
      <c r="H22" s="149">
        <f>SUMIFS(N29:N504,D29:D504,"Entrada",J29:J504,"Sangria")</f>
        <v>0</v>
      </c>
      <c r="I22" s="150" t="s">
        <v>6370</v>
      </c>
      <c r="J22" s="151"/>
      <c r="K22" s="139" t="s">
        <v>6372</v>
      </c>
      <c r="L22" s="140"/>
      <c r="M22" s="31"/>
      <c r="N22" s="31"/>
      <c r="O22" s="58"/>
      <c r="P22" s="59"/>
      <c r="Q22" s="59"/>
      <c r="R22" s="60"/>
      <c r="S22" s="61"/>
      <c r="T22" s="59"/>
      <c r="U22" s="59"/>
      <c r="V22" s="59"/>
      <c r="W22" s="60"/>
    </row>
    <row r="23">
      <c r="A23" s="152"/>
      <c r="B23" s="152"/>
      <c r="C23" s="153" t="s">
        <v>6160</v>
      </c>
      <c r="D23" s="154"/>
      <c r="E23" s="153" t="s">
        <v>6160</v>
      </c>
      <c r="F23" s="154"/>
      <c r="G23" s="155" t="s">
        <v>6380</v>
      </c>
      <c r="H23" s="156"/>
      <c r="I23" s="157">
        <f>SUMIF(J29:J504,I22,N29:N504)</f>
        <v>0</v>
      </c>
      <c r="J23" s="158"/>
      <c r="K23" s="139" t="s">
        <v>6389</v>
      </c>
      <c r="L23" s="140"/>
      <c r="M23" s="31"/>
      <c r="N23" s="31"/>
      <c r="O23" s="58"/>
      <c r="P23" s="59"/>
      <c r="Q23" s="59"/>
      <c r="R23" s="60"/>
      <c r="S23" s="61"/>
      <c r="T23" s="59"/>
      <c r="U23" s="59"/>
      <c r="V23" s="59"/>
      <c r="W23" s="60"/>
    </row>
    <row r="24">
      <c r="A24" s="159"/>
      <c r="B24" s="159"/>
      <c r="C24" s="160" t="s">
        <v>6182</v>
      </c>
      <c r="D24" s="161"/>
      <c r="E24" s="160" t="s">
        <v>6182</v>
      </c>
      <c r="F24" s="161"/>
      <c r="G24" s="92" t="s">
        <v>6398</v>
      </c>
      <c r="H24" s="163">
        <f>SUMIF(L29:L504,G24,N29:N504)</f>
        <v>0</v>
      </c>
      <c r="I24" s="164" t="s">
        <v>6404</v>
      </c>
      <c r="J24" s="156"/>
      <c r="K24" s="139" t="s">
        <v>6407</v>
      </c>
      <c r="L24" s="140"/>
      <c r="M24" s="31"/>
      <c r="N24" s="31"/>
      <c r="O24" s="58"/>
      <c r="P24" s="59"/>
      <c r="Q24" s="59"/>
      <c r="R24" s="60"/>
      <c r="S24" s="61"/>
      <c r="T24" s="59"/>
      <c r="U24" s="59"/>
      <c r="V24" s="59"/>
      <c r="W24" s="60"/>
    </row>
    <row r="25" ht="14.25" customHeight="1">
      <c r="A25" s="159"/>
      <c r="B25" s="159"/>
      <c r="C25" s="165" t="s">
        <v>51</v>
      </c>
      <c r="D25" s="166"/>
      <c r="E25" s="165" t="s">
        <v>51</v>
      </c>
      <c r="F25" s="166"/>
      <c r="G25" s="167" t="s">
        <v>6416</v>
      </c>
      <c r="H25" s="168">
        <f>SUMIF(L29:L504,G25,N29:N504)</f>
        <v>0</v>
      </c>
      <c r="I25" s="157">
        <f>SUMIF(J29:J504,I24,N29:N504)</f>
        <v>0</v>
      </c>
      <c r="J25" s="158"/>
      <c r="K25" s="169"/>
      <c r="L25" s="170"/>
      <c r="M25" s="32"/>
      <c r="N25" s="32"/>
      <c r="O25" s="58"/>
      <c r="P25" s="59"/>
      <c r="Q25" s="59"/>
      <c r="R25" s="60"/>
      <c r="S25" s="61"/>
      <c r="T25" s="59"/>
      <c r="U25" s="59"/>
      <c r="V25" s="59"/>
      <c r="W25" s="60"/>
    </row>
    <row r="26" ht="14.25" customHeight="1">
      <c r="A26" s="171"/>
      <c r="B26" s="171"/>
      <c r="C26" s="171"/>
      <c r="D26" s="171"/>
      <c r="E26" s="171"/>
      <c r="F26" s="171"/>
      <c r="G26" s="172"/>
      <c r="H26" s="171"/>
      <c r="I26" s="171"/>
      <c r="J26" s="173"/>
      <c r="K26" s="173"/>
      <c r="L26" s="173"/>
      <c r="M26" s="174"/>
      <c r="N26" s="174"/>
      <c r="O26" s="58"/>
      <c r="P26" s="85"/>
      <c r="Q26" s="85"/>
      <c r="R26" s="86"/>
      <c r="S26" s="87"/>
      <c r="T26" s="85"/>
      <c r="U26" s="85"/>
      <c r="V26" s="85"/>
      <c r="W26" s="86"/>
    </row>
    <row r="27">
      <c r="A27" s="175"/>
      <c r="B27" s="176" t="s">
        <v>6426</v>
      </c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10"/>
      <c r="N27" s="174"/>
      <c r="O27" s="94"/>
      <c r="P27" s="95"/>
      <c r="Q27" s="95"/>
      <c r="R27" s="96"/>
      <c r="S27" s="97"/>
      <c r="T27" s="95"/>
      <c r="U27" s="95"/>
      <c r="V27" s="95"/>
      <c r="W27" s="96"/>
    </row>
    <row r="28">
      <c r="A28" s="178"/>
      <c r="B28" s="179" t="s">
        <v>0</v>
      </c>
      <c r="C28" s="180" t="s">
        <v>10</v>
      </c>
      <c r="D28" s="181" t="s">
        <v>18</v>
      </c>
      <c r="E28" s="180" t="s">
        <v>21</v>
      </c>
      <c r="F28" s="181"/>
      <c r="G28" s="181" t="s">
        <v>6</v>
      </c>
      <c r="H28" s="182"/>
      <c r="I28" s="183" t="s">
        <v>47</v>
      </c>
      <c r="J28" s="181" t="s">
        <v>52</v>
      </c>
      <c r="K28" s="180" t="s">
        <v>38</v>
      </c>
      <c r="L28" s="184" t="s">
        <v>6443</v>
      </c>
      <c r="M28" s="185" t="s">
        <v>5</v>
      </c>
      <c r="N28" s="174"/>
      <c r="O28" s="94"/>
      <c r="P28" s="95"/>
      <c r="Q28" s="95"/>
      <c r="R28" s="96"/>
      <c r="S28" s="97"/>
      <c r="T28" s="95"/>
      <c r="U28" s="95"/>
      <c r="V28" s="95"/>
      <c r="W28" s="96"/>
    </row>
    <row r="29">
      <c r="A29" s="186"/>
      <c r="B29" s="13">
        <v>2196923.0</v>
      </c>
      <c r="C29" s="14">
        <v>46168.72487268518</v>
      </c>
      <c r="D29" s="187" t="s">
        <v>97</v>
      </c>
      <c r="E29" s="188" t="s">
        <v>101</v>
      </c>
      <c r="F29" s="189"/>
      <c r="G29" s="187" t="s">
        <v>109</v>
      </c>
      <c r="H29" s="190"/>
      <c r="I29" s="190"/>
      <c r="J29" s="191" t="s">
        <v>6080</v>
      </c>
      <c r="K29" s="191" t="s">
        <v>6159</v>
      </c>
      <c r="L29" s="192" t="str">
        <f>IFERROR(__xludf.DUMMYFUNCTION("IF(
  AND(D29=""Saída"", J29=""Sangria""),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193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94">
        <f>IFERROR(__xludf.DUMMYFUNCTION("ifna(VALUE(REGEXEXTRACT(E29,""[0-9.]+[,]+[0-9]+"")))"),21.13)</f>
        <v>21.13</v>
      </c>
      <c r="O29" s="94"/>
      <c r="P29" s="95"/>
      <c r="Q29" s="95"/>
      <c r="R29" s="96"/>
      <c r="S29" s="97"/>
      <c r="T29" s="95"/>
      <c r="U29" s="95"/>
      <c r="V29" s="95"/>
      <c r="W29" s="96"/>
    </row>
    <row r="30" ht="14.25" customHeight="1">
      <c r="A30" s="186"/>
      <c r="B30" s="13">
        <v>2196992.0</v>
      </c>
      <c r="C30" s="14">
        <v>46168.7491087963</v>
      </c>
      <c r="D30" s="187" t="s">
        <v>97</v>
      </c>
      <c r="E30" s="188" t="s">
        <v>123</v>
      </c>
      <c r="F30" s="189"/>
      <c r="G30" s="187" t="s">
        <v>124</v>
      </c>
      <c r="H30" s="195"/>
      <c r="I30" s="195"/>
      <c r="J30" s="196" t="s">
        <v>6080</v>
      </c>
      <c r="K30" s="196" t="s">
        <v>6111</v>
      </c>
      <c r="L30" s="192" t="str">
        <f>IFERROR(__xludf.DUMMYFUNCTION("IF(
  AND(D30=""Saída"", J30=""Sangria""),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197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94">
        <f>IFERROR(__xludf.DUMMYFUNCTION("ifna(VALUE(REGEXEXTRACT(E30,""[0-9.]+[,]+[0-9]+"")))"),16.98)</f>
        <v>16.98</v>
      </c>
      <c r="O30" s="94"/>
      <c r="P30" s="95"/>
      <c r="Q30" s="95"/>
      <c r="R30" s="96"/>
      <c r="S30" s="97"/>
      <c r="T30" s="95"/>
      <c r="U30" s="95"/>
      <c r="V30" s="95"/>
      <c r="W30" s="96"/>
    </row>
    <row r="31" ht="14.25" customHeight="1">
      <c r="A31" s="186"/>
      <c r="B31" s="13">
        <v>2197058.0</v>
      </c>
      <c r="C31" s="14">
        <v>46168.76887731482</v>
      </c>
      <c r="D31" s="187" t="s">
        <v>97</v>
      </c>
      <c r="E31" s="188" t="s">
        <v>133</v>
      </c>
      <c r="F31" s="189"/>
      <c r="G31" s="187" t="s">
        <v>134</v>
      </c>
      <c r="H31" s="195"/>
      <c r="I31" s="195"/>
      <c r="J31" s="196" t="s">
        <v>6446</v>
      </c>
      <c r="K31" s="196"/>
      <c r="L31" s="192" t="str">
        <f>IFERROR(__xludf.DUMMYFUNCTION("IF(
  AND(D31=""Saída"", J31=""Sangria""),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198" t="str">
        <f>IFERROR(__xludf.DUMMYFUNCTION("IF(J31=""Compra de Mercadorias"",
   IF(
      COUNTIF(ARRAYFORMULA(TRIM(CLEAN(TO_TEXT(Notas!BS:BS)))), TRIM(CLEAN(TO_TEXT(B31)))) &gt; 0,
      ""Encontrada"",
      ""Não Encontrada""
   ),
"""")"),"Encontrada")</f>
        <v>Encontrada</v>
      </c>
      <c r="N31" s="194">
        <f>IFERROR(__xludf.DUMMYFUNCTION("ifna(VALUE(REGEXEXTRACT(E31,""[0-9.]+[,]+[0-9]+"")))"),59.66)</f>
        <v>59.66</v>
      </c>
      <c r="O31" s="94"/>
      <c r="P31" s="95"/>
      <c r="Q31" s="95"/>
      <c r="R31" s="96"/>
      <c r="S31" s="97"/>
      <c r="T31" s="95"/>
      <c r="U31" s="95"/>
      <c r="V31" s="95"/>
      <c r="W31" s="96"/>
    </row>
    <row r="32" ht="14.25" customHeight="1">
      <c r="A32" s="186"/>
      <c r="B32" s="13">
        <v>2197066.0</v>
      </c>
      <c r="C32" s="14">
        <v>46168.7719212963</v>
      </c>
      <c r="D32" s="187" t="s">
        <v>97</v>
      </c>
      <c r="E32" s="188" t="s">
        <v>141</v>
      </c>
      <c r="F32" s="189"/>
      <c r="G32" s="187" t="s">
        <v>143</v>
      </c>
      <c r="H32" s="195"/>
      <c r="I32" s="195"/>
      <c r="J32" s="196" t="s">
        <v>6080</v>
      </c>
      <c r="K32" s="196" t="s">
        <v>6198</v>
      </c>
      <c r="L32" s="192" t="str">
        <f>IFERROR(__xludf.DUMMYFUNCTION("IF(
  AND(D32=""Saída"", J32=""Sangria""),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199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94">
        <f>IFERROR(__xludf.DUMMYFUNCTION("ifna(VALUE(REGEXEXTRACT(E32,""[0-9.]+[,]+[0-9]+"")))"),15.98)</f>
        <v>15.98</v>
      </c>
      <c r="O32" s="94"/>
      <c r="P32" s="95"/>
      <c r="Q32" s="95"/>
      <c r="R32" s="96"/>
      <c r="S32" s="97"/>
      <c r="T32" s="95"/>
      <c r="U32" s="95"/>
      <c r="V32" s="95"/>
      <c r="W32" s="96"/>
    </row>
    <row r="33" ht="14.25" customHeight="1">
      <c r="A33" s="186"/>
      <c r="B33" s="13">
        <v>2197258.0</v>
      </c>
      <c r="C33" s="14">
        <v>46168.86792824074</v>
      </c>
      <c r="D33" s="187" t="s">
        <v>97</v>
      </c>
      <c r="E33" s="188" t="s">
        <v>150</v>
      </c>
      <c r="F33" s="200"/>
      <c r="G33" s="187" t="s">
        <v>151</v>
      </c>
      <c r="H33" s="195"/>
      <c r="I33" s="195"/>
      <c r="J33" s="196" t="s">
        <v>6080</v>
      </c>
      <c r="K33" s="196" t="s">
        <v>6111</v>
      </c>
      <c r="L33" s="192" t="str">
        <f>IFERROR(__xludf.DUMMYFUNCTION("IF(
  AND(D33=""Saída"", J33=""Sangria""),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198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94">
        <f>IFERROR(__xludf.DUMMYFUNCTION("ifna(VALUE(REGEXEXTRACT(E33,""[0-9.]+[,]+[0-9]+"")))"),91.02)</f>
        <v>91.02</v>
      </c>
      <c r="O33" s="94"/>
      <c r="P33" s="95"/>
      <c r="Q33" s="95"/>
      <c r="R33" s="96"/>
      <c r="S33" s="97"/>
      <c r="T33" s="95"/>
      <c r="U33" s="95"/>
      <c r="V33" s="95"/>
      <c r="W33" s="96"/>
    </row>
    <row r="34" ht="14.25" customHeight="1">
      <c r="A34" s="186"/>
      <c r="B34" s="13">
        <v>2198152.0</v>
      </c>
      <c r="C34" s="14">
        <v>46169.67042824074</v>
      </c>
      <c r="D34" s="187" t="s">
        <v>97</v>
      </c>
      <c r="E34" s="188" t="s">
        <v>156</v>
      </c>
      <c r="F34" s="189"/>
      <c r="G34" s="187" t="s">
        <v>157</v>
      </c>
      <c r="H34" s="195"/>
      <c r="I34" s="195"/>
      <c r="J34" s="196" t="s">
        <v>6080</v>
      </c>
      <c r="K34" s="196" t="s">
        <v>6159</v>
      </c>
      <c r="L34" s="192" t="str">
        <f>IFERROR(__xludf.DUMMYFUNCTION("IF(
  AND(D34=""Saída"", J34=""Sangria""),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197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94">
        <f>IFERROR(__xludf.DUMMYFUNCTION("ifna(VALUE(REGEXEXTRACT(E34,""[0-9.]+[,]+[0-9]+"")))"),17.86)</f>
        <v>17.86</v>
      </c>
      <c r="O34" s="114"/>
      <c r="P34" s="115"/>
      <c r="Q34" s="115"/>
      <c r="R34" s="115"/>
      <c r="S34" s="116"/>
      <c r="T34" s="115"/>
      <c r="U34" s="115"/>
      <c r="V34" s="115"/>
      <c r="W34" s="117"/>
    </row>
    <row r="35" ht="18.75" customHeight="1">
      <c r="A35" s="186"/>
      <c r="B35" s="13">
        <v>2198157.0</v>
      </c>
      <c r="C35" s="14">
        <v>46169.67167824074</v>
      </c>
      <c r="D35" s="187" t="s">
        <v>97</v>
      </c>
      <c r="E35" s="188" t="s">
        <v>163</v>
      </c>
      <c r="F35" s="189"/>
      <c r="G35" s="187" t="s">
        <v>165</v>
      </c>
      <c r="H35" s="195"/>
      <c r="I35" s="195"/>
      <c r="J35" s="196" t="s">
        <v>6080</v>
      </c>
      <c r="K35" s="196" t="s">
        <v>6159</v>
      </c>
      <c r="L35" s="192" t="str">
        <f>IFERROR(__xludf.DUMMYFUNCTION("IF(
  AND(D35=""Saída"", J35=""Sangria""),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198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94">
        <f>IFERROR(__xludf.DUMMYFUNCTION("ifna(VALUE(REGEXEXTRACT(E35,""[0-9.]+[,]+[0-9]+"")))"),0.01)</f>
        <v>0.01</v>
      </c>
      <c r="O35" s="31"/>
      <c r="P35" s="31"/>
      <c r="Q35" s="31"/>
      <c r="R35" s="31"/>
      <c r="S35" s="31"/>
      <c r="T35" s="31"/>
      <c r="U35" s="31"/>
      <c r="V35" s="31"/>
      <c r="W35" s="31"/>
    </row>
    <row r="36" ht="14.25" customHeight="1">
      <c r="A36" s="186"/>
      <c r="B36" s="13">
        <v>2198446.0</v>
      </c>
      <c r="C36" s="14">
        <v>46169.76696759259</v>
      </c>
      <c r="D36" s="187" t="s">
        <v>97</v>
      </c>
      <c r="E36" s="188" t="s">
        <v>170</v>
      </c>
      <c r="F36" s="189"/>
      <c r="G36" s="187" t="s">
        <v>151</v>
      </c>
      <c r="H36" s="195"/>
      <c r="I36" s="195"/>
      <c r="J36" s="196" t="s">
        <v>6080</v>
      </c>
      <c r="K36" s="196" t="s">
        <v>6111</v>
      </c>
      <c r="L36" s="192" t="str">
        <f>IFERROR(__xludf.DUMMYFUNCTION("IF(
  AND(D36=""Saída"", J36=""Sangria""),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197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94">
        <f>IFERROR(__xludf.DUMMYFUNCTION("ifna(VALUE(REGEXEXTRACT(E36,""[0-9.]+[,]+[0-9]+"")))"),12.71)</f>
        <v>12.71</v>
      </c>
      <c r="O36" s="31"/>
      <c r="P36" s="31"/>
      <c r="Q36" s="31"/>
      <c r="R36" s="31"/>
      <c r="S36" s="31"/>
      <c r="T36" s="31"/>
      <c r="U36" s="31"/>
      <c r="V36" s="31"/>
      <c r="W36" s="31"/>
    </row>
    <row r="37" ht="14.25" customHeight="1">
      <c r="A37" s="186"/>
      <c r="B37" s="13">
        <v>2198643.0</v>
      </c>
      <c r="C37" s="14">
        <v>46169.867372685185</v>
      </c>
      <c r="D37" s="187" t="s">
        <v>97</v>
      </c>
      <c r="E37" s="188" t="s">
        <v>175</v>
      </c>
      <c r="F37" s="189"/>
      <c r="G37" s="187" t="s">
        <v>151</v>
      </c>
      <c r="H37" s="195"/>
      <c r="I37" s="195"/>
      <c r="J37" s="196" t="s">
        <v>6080</v>
      </c>
      <c r="K37" s="196" t="s">
        <v>6111</v>
      </c>
      <c r="L37" s="192" t="str">
        <f>IFERROR(__xludf.DUMMYFUNCTION("IF(
  AND(D37=""Saída"", J37=""Sangria""),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01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94">
        <f>IFERROR(__xludf.DUMMYFUNCTION("ifna(VALUE(REGEXEXTRACT(E37,""[0-9.]+[,]+[0-9]+"")))"),17.0)</f>
        <v>17</v>
      </c>
      <c r="O37" s="31"/>
      <c r="P37" s="31"/>
      <c r="Q37" s="31"/>
      <c r="R37" s="31"/>
      <c r="S37" s="31"/>
      <c r="T37" s="31"/>
      <c r="U37" s="31"/>
      <c r="V37" s="31"/>
      <c r="W37" s="31"/>
    </row>
    <row r="38" ht="14.25" customHeight="1">
      <c r="A38" s="186"/>
      <c r="B38" s="13">
        <v>2198682.0</v>
      </c>
      <c r="C38" s="14">
        <v>46169.88270833333</v>
      </c>
      <c r="D38" s="187" t="s">
        <v>97</v>
      </c>
      <c r="E38" s="188" t="s">
        <v>191</v>
      </c>
      <c r="F38" s="200"/>
      <c r="G38" s="187" t="s">
        <v>193</v>
      </c>
      <c r="H38" s="195"/>
      <c r="I38" s="195"/>
      <c r="J38" s="196" t="s">
        <v>6446</v>
      </c>
      <c r="K38" s="196"/>
      <c r="L38" s="192" t="str">
        <f>IFERROR(__xludf.DUMMYFUNCTION("IF(
  AND(D38=""Saída"", J38=""Sangria""),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197" t="str">
        <f>IFERROR(__xludf.DUMMYFUNCTION("IF(J38=""Compra de Mercadorias"",
   IF(
      COUNTIF(ARRAYFORMULA(TRIM(CLEAN(TO_TEXT(Notas!BS:BS)))), TRIM(CLEAN(TO_TEXT(B38)))) &gt; 0,
      ""Encontrada"",
      ""Não Encontrada""
   ),
"""")"),"Encontrada")</f>
        <v>Encontrada</v>
      </c>
      <c r="N38" s="194">
        <f>IFERROR(__xludf.DUMMYFUNCTION("ifna(VALUE(REGEXEXTRACT(E38,""[0-9.]+[,]+[0-9]+"")))"),43.35)</f>
        <v>43.35</v>
      </c>
      <c r="O38" s="31"/>
      <c r="P38" s="31"/>
      <c r="Q38" s="31"/>
      <c r="R38" s="31"/>
      <c r="S38" s="31"/>
      <c r="T38" s="31"/>
      <c r="U38" s="31"/>
      <c r="V38" s="31"/>
      <c r="W38" s="31"/>
    </row>
    <row r="39" ht="21.75" customHeight="1">
      <c r="A39" s="186"/>
      <c r="B39" s="13">
        <v>2199486.0</v>
      </c>
      <c r="C39" s="14">
        <v>46170.664814814816</v>
      </c>
      <c r="D39" s="187" t="s">
        <v>204</v>
      </c>
      <c r="E39" s="188" t="s">
        <v>206</v>
      </c>
      <c r="F39" s="189"/>
      <c r="G39" s="187" t="s">
        <v>212</v>
      </c>
      <c r="H39" s="195"/>
      <c r="I39" s="195"/>
      <c r="J39" s="196"/>
      <c r="K39" s="196"/>
      <c r="L39" s="192" t="str">
        <f>IFERROR(__xludf.DUMMYFUNCTION("IF(
  AND(D39=""Saída"", J39=""Sangria""),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198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94">
        <f>IFERROR(__xludf.DUMMYFUNCTION("ifna(VALUE(REGEXEXTRACT(E39,""[0-9.]+[,]+[0-9]+"")))"),10.57)</f>
        <v>10.57</v>
      </c>
      <c r="O39" s="31"/>
      <c r="P39" s="31"/>
      <c r="Q39" s="31"/>
      <c r="R39" s="31"/>
      <c r="S39" s="31"/>
      <c r="T39" s="31"/>
      <c r="U39" s="31"/>
      <c r="V39" s="31"/>
      <c r="W39" s="31"/>
    </row>
    <row r="40" ht="14.25" customHeight="1">
      <c r="A40" s="186"/>
      <c r="B40" s="13">
        <v>2199583.0</v>
      </c>
      <c r="C40" s="14">
        <v>46170.69662037037</v>
      </c>
      <c r="D40" s="187" t="s">
        <v>97</v>
      </c>
      <c r="E40" s="188" t="s">
        <v>233</v>
      </c>
      <c r="F40" s="189"/>
      <c r="G40" s="187" t="s">
        <v>109</v>
      </c>
      <c r="H40" s="195"/>
      <c r="I40" s="195"/>
      <c r="J40" s="196" t="s">
        <v>6080</v>
      </c>
      <c r="K40" s="196" t="s">
        <v>6159</v>
      </c>
      <c r="L40" s="192" t="str">
        <f>IFERROR(__xludf.DUMMYFUNCTION("IF(
  AND(D40=""Saída"", J40=""Sangria""),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197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94">
        <f>IFERROR(__xludf.DUMMYFUNCTION("ifna(VALUE(REGEXEXTRACT(E40,""[0-9.]+[,]+[0-9]+"")))"),19.0)</f>
        <v>19</v>
      </c>
      <c r="O40" s="31"/>
      <c r="P40" s="31"/>
      <c r="Q40" s="31"/>
      <c r="R40" s="31"/>
      <c r="S40" s="31"/>
      <c r="T40" s="31"/>
      <c r="U40" s="31"/>
      <c r="V40" s="31"/>
      <c r="W40" s="31"/>
    </row>
    <row r="41" ht="14.25" customHeight="1">
      <c r="A41" s="186"/>
      <c r="B41" s="13">
        <v>2199829.0</v>
      </c>
      <c r="C41" s="14">
        <v>46170.788668981484</v>
      </c>
      <c r="D41" s="187" t="s">
        <v>97</v>
      </c>
      <c r="E41" s="188" t="s">
        <v>243</v>
      </c>
      <c r="F41" s="189"/>
      <c r="G41" s="187" t="s">
        <v>151</v>
      </c>
      <c r="H41" s="195"/>
      <c r="I41" s="195"/>
      <c r="J41" s="196" t="s">
        <v>6080</v>
      </c>
      <c r="K41" s="196" t="s">
        <v>6111</v>
      </c>
      <c r="L41" s="192" t="str">
        <f>IFERROR(__xludf.DUMMYFUNCTION("IF(
  AND(D41=""Saída"", J41=""Sangria""),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201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94">
        <f>IFERROR(__xludf.DUMMYFUNCTION("ifna(VALUE(REGEXEXTRACT(E41,""[0-9.]+[,]+[0-9]+"")))"),10.82)</f>
        <v>10.82</v>
      </c>
      <c r="O41" s="31"/>
      <c r="P41" s="31"/>
      <c r="Q41" s="31"/>
      <c r="R41" s="31"/>
      <c r="S41" s="31"/>
      <c r="T41" s="31"/>
      <c r="U41" s="31"/>
      <c r="V41" s="31"/>
      <c r="W41" s="31"/>
    </row>
    <row r="42" ht="14.25" customHeight="1">
      <c r="A42" s="186"/>
      <c r="B42" s="13">
        <v>2199998.0</v>
      </c>
      <c r="C42" s="14">
        <v>46170.866122685184</v>
      </c>
      <c r="D42" s="187" t="s">
        <v>97</v>
      </c>
      <c r="E42" s="188" t="s">
        <v>262</v>
      </c>
      <c r="F42" s="189"/>
      <c r="G42" s="187" t="s">
        <v>263</v>
      </c>
      <c r="H42" s="195"/>
      <c r="I42" s="195"/>
      <c r="J42" s="196" t="s">
        <v>6446</v>
      </c>
      <c r="K42" s="196"/>
      <c r="L42" s="192" t="str">
        <f>IFERROR(__xludf.DUMMYFUNCTION("IF(
  AND(D42=""Saída"", J42=""Sangria""),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197" t="str">
        <f>IFERROR(__xludf.DUMMYFUNCTION("IF(J42=""Compra de Mercadorias"",
   IF(
      COUNTIF(ARRAYFORMULA(TRIM(CLEAN(TO_TEXT(Notas!BS:BS)))), TRIM(CLEAN(TO_TEXT(B42)))) &gt; 0,
      ""Encontrada"",
      ""Não Encontrada""
   ),
"""")"),"Encontrada")</f>
        <v>Encontrada</v>
      </c>
      <c r="N42" s="194">
        <f>IFERROR(__xludf.DUMMYFUNCTION("ifna(VALUE(REGEXEXTRACT(E42,""[0-9.]+[,]+[0-9]+"")))"),4.0)</f>
        <v>4</v>
      </c>
      <c r="O42" s="31"/>
      <c r="P42" s="31"/>
      <c r="Q42" s="31"/>
      <c r="R42" s="31"/>
      <c r="S42" s="31"/>
      <c r="T42" s="31"/>
      <c r="U42" s="31"/>
      <c r="V42" s="31"/>
      <c r="W42" s="31"/>
    </row>
    <row r="43" ht="14.25" customHeight="1">
      <c r="A43" s="186"/>
      <c r="B43" s="13">
        <v>2200042.0</v>
      </c>
      <c r="C43" s="14">
        <v>46170.88107638889</v>
      </c>
      <c r="D43" s="187" t="s">
        <v>97</v>
      </c>
      <c r="E43" s="188" t="s">
        <v>206</v>
      </c>
      <c r="F43" s="189"/>
      <c r="G43" s="187" t="s">
        <v>273</v>
      </c>
      <c r="H43" s="202"/>
      <c r="I43" s="202"/>
      <c r="J43" s="196" t="s">
        <v>6080</v>
      </c>
      <c r="K43" s="196" t="s">
        <v>5991</v>
      </c>
      <c r="L43" s="192" t="str">
        <f>IFERROR(__xludf.DUMMYFUNCTION("IF(
  AND(D43=""Saída"", J43=""Sangria""),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03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94">
        <f>IFERROR(__xludf.DUMMYFUNCTION("ifna(VALUE(REGEXEXTRACT(E43,""[0-9.]+[,]+[0-9]+"")))"),10.57)</f>
        <v>10.57</v>
      </c>
      <c r="O43" s="31"/>
      <c r="P43" s="31"/>
      <c r="Q43" s="31"/>
      <c r="R43" s="31"/>
      <c r="S43" s="31"/>
      <c r="T43" s="31"/>
      <c r="U43" s="31"/>
      <c r="V43" s="31"/>
      <c r="W43" s="31"/>
    </row>
    <row r="44" ht="14.25" customHeight="1">
      <c r="A44" s="186"/>
      <c r="B44" s="13">
        <v>2200972.0</v>
      </c>
      <c r="C44" s="14">
        <v>46171.68236111111</v>
      </c>
      <c r="D44" s="187" t="s">
        <v>97</v>
      </c>
      <c r="E44" s="188" t="s">
        <v>281</v>
      </c>
      <c r="F44" s="189"/>
      <c r="G44" s="187" t="s">
        <v>282</v>
      </c>
      <c r="H44" s="202"/>
      <c r="I44" s="202"/>
      <c r="J44" s="196" t="s">
        <v>6080</v>
      </c>
      <c r="K44" s="196" t="s">
        <v>6111</v>
      </c>
      <c r="L44" s="192" t="str">
        <f>IFERROR(__xludf.DUMMYFUNCTION("IF(
  AND(D44=""Saída"", J44=""Sangria""),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197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94">
        <f>IFERROR(__xludf.DUMMYFUNCTION("ifna(VALUE(REGEXEXTRACT(E44,""[0-9.]+[,]+[0-9]+"")))"),19.9)</f>
        <v>19.9</v>
      </c>
      <c r="O44" s="31"/>
      <c r="P44" s="31"/>
      <c r="Q44" s="31"/>
      <c r="R44" s="31"/>
      <c r="S44" s="31"/>
      <c r="T44" s="31"/>
      <c r="U44" s="31"/>
      <c r="V44" s="31"/>
      <c r="W44" s="31"/>
    </row>
    <row r="45" ht="14.25" customHeight="1">
      <c r="A45" s="186"/>
      <c r="B45" s="13">
        <v>2201180.0</v>
      </c>
      <c r="C45" s="14">
        <v>46171.75644675926</v>
      </c>
      <c r="D45" s="187" t="s">
        <v>97</v>
      </c>
      <c r="E45" s="188" t="s">
        <v>290</v>
      </c>
      <c r="F45" s="189"/>
      <c r="G45" s="187" t="s">
        <v>292</v>
      </c>
      <c r="H45" s="204"/>
      <c r="I45" s="204"/>
      <c r="J45" s="196" t="s">
        <v>6446</v>
      </c>
      <c r="K45" s="196"/>
      <c r="L45" s="192" t="str">
        <f>IFERROR(__xludf.DUMMYFUNCTION("IF(
  AND(D45=""Saída"", J45=""Sangria""),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198" t="str">
        <f>IFERROR(__xludf.DUMMYFUNCTION("IF(J45=""Compra de Mercadorias"",
   IF(
      COUNTIF(ARRAYFORMULA(TRIM(CLEAN(TO_TEXT(Notas!BS:BS)))), TRIM(CLEAN(TO_TEXT(B45)))) &gt; 0,
      ""Encontrada"",
      ""Não Encontrada""
   ),
"""")"),"Encontrada")</f>
        <v>Encontrada</v>
      </c>
      <c r="N45" s="194">
        <f>IFERROR(__xludf.DUMMYFUNCTION("ifna(VALUE(REGEXEXTRACT(E45,""[0-9.]+[,]+[0-9]+"")))"),140.0)</f>
        <v>140</v>
      </c>
      <c r="O45" s="31"/>
      <c r="P45" s="31"/>
      <c r="Q45" s="31"/>
      <c r="R45" s="31"/>
      <c r="S45" s="31"/>
      <c r="T45" s="31"/>
      <c r="U45" s="31"/>
      <c r="V45" s="31"/>
      <c r="W45" s="31"/>
    </row>
    <row r="46" ht="18.75" customHeight="1">
      <c r="A46" s="186"/>
      <c r="B46" s="13">
        <v>2201194.0</v>
      </c>
      <c r="C46" s="14">
        <v>46171.76315972222</v>
      </c>
      <c r="D46" s="187" t="s">
        <v>97</v>
      </c>
      <c r="E46" s="188" t="s">
        <v>298</v>
      </c>
      <c r="F46" s="189"/>
      <c r="G46" s="187" t="s">
        <v>301</v>
      </c>
      <c r="H46" s="204"/>
      <c r="I46" s="204"/>
      <c r="J46" s="196" t="s">
        <v>6446</v>
      </c>
      <c r="K46" s="196"/>
      <c r="L46" s="192" t="str">
        <f>IFERROR(__xludf.DUMMYFUNCTION("IF(
  AND(D46=""Saída"", J46=""Sangria""),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197" t="str">
        <f>IFERROR(__xludf.DUMMYFUNCTION("IF(J46=""Compra de Mercadorias"",
   IF(
      COUNTIF(ARRAYFORMULA(TRIM(CLEAN(TO_TEXT(Notas!BS:BS)))), TRIM(CLEAN(TO_TEXT(B46)))) &gt; 0,
      ""Encontrada"",
      ""Não Encontrada""
   ),
"""")"),"Encontrada")</f>
        <v>Encontrada</v>
      </c>
      <c r="N46" s="194">
        <f>IFERROR(__xludf.DUMMYFUNCTION("ifna(VALUE(REGEXEXTRACT(E46,""[0-9.]+[,]+[0-9]+"")))"),87.22)</f>
        <v>87.22</v>
      </c>
      <c r="O46" s="31"/>
      <c r="P46" s="31"/>
      <c r="Q46" s="31"/>
      <c r="R46" s="31"/>
      <c r="S46" s="31"/>
      <c r="T46" s="31"/>
      <c r="U46" s="31"/>
      <c r="V46" s="31"/>
      <c r="W46" s="31"/>
    </row>
    <row r="47" ht="14.25" customHeight="1">
      <c r="A47" s="186"/>
      <c r="B47" s="13">
        <v>2201207.0</v>
      </c>
      <c r="C47" s="14">
        <v>46171.76900462963</v>
      </c>
      <c r="D47" s="187" t="s">
        <v>97</v>
      </c>
      <c r="E47" s="188" t="s">
        <v>306</v>
      </c>
      <c r="F47" s="189"/>
      <c r="G47" s="187" t="s">
        <v>308</v>
      </c>
      <c r="H47" s="204"/>
      <c r="I47" s="204"/>
      <c r="J47" s="196" t="s">
        <v>6446</v>
      </c>
      <c r="K47" s="196"/>
      <c r="L47" s="192" t="str">
        <f>IFERROR(__xludf.DUMMYFUNCTION("IF(
  AND(D47=""Saída"", J47=""Sangria""),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198" t="str">
        <f>IFERROR(__xludf.DUMMYFUNCTION("IF(J47=""Compra de Mercadorias"",
   IF(
      COUNTIF(ARRAYFORMULA(TRIM(CLEAN(TO_TEXT(Notas!BS:BS)))), TRIM(CLEAN(TO_TEXT(B47)))) &gt; 0,
      ""Encontrada"",
      ""Não Encontrada""
   ),
"""")"),"Encontrada")</f>
        <v>Encontrada</v>
      </c>
      <c r="N47" s="194">
        <f>IFERROR(__xludf.DUMMYFUNCTION("ifna(VALUE(REGEXEXTRACT(E47,""[0-9.]+[,]+[0-9]+"")))"),56.0)</f>
        <v>56</v>
      </c>
      <c r="O47" s="31"/>
      <c r="P47" s="31"/>
      <c r="Q47" s="31"/>
      <c r="R47" s="31"/>
      <c r="S47" s="31"/>
      <c r="T47" s="31"/>
      <c r="U47" s="31"/>
      <c r="V47" s="31"/>
      <c r="W47" s="31"/>
    </row>
    <row r="48">
      <c r="A48" s="186"/>
      <c r="B48" s="13">
        <v>2201214.0</v>
      </c>
      <c r="C48" s="14">
        <v>46171.77125</v>
      </c>
      <c r="D48" s="187" t="s">
        <v>97</v>
      </c>
      <c r="E48" s="188" t="s">
        <v>317</v>
      </c>
      <c r="F48" s="189"/>
      <c r="G48" s="187" t="s">
        <v>319</v>
      </c>
      <c r="H48" s="204"/>
      <c r="I48" s="204"/>
      <c r="J48" s="196" t="s">
        <v>6446</v>
      </c>
      <c r="K48" s="196"/>
      <c r="L48" s="192" t="str">
        <f>IFERROR(__xludf.DUMMYFUNCTION("IF(
  AND(D48=""Saída"", J48=""Sangria""),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197" t="str">
        <f>IFERROR(__xludf.DUMMYFUNCTION("IF(J48=""Compra de Mercadorias"",
   IF(
      COUNTIF(ARRAYFORMULA(TRIM(CLEAN(TO_TEXT(Notas!BS:BS)))), TRIM(CLEAN(TO_TEXT(B48)))) &gt; 0,
      ""Encontrada"",
      ""Não Encontrada""
   ),
"""")"),"Encontrada")</f>
        <v>Encontrada</v>
      </c>
      <c r="N48" s="194">
        <f>IFERROR(__xludf.DUMMYFUNCTION("ifna(VALUE(REGEXEXTRACT(E48,""[0-9.]+[,]+[0-9]+"")))"),32.0)</f>
        <v>32</v>
      </c>
      <c r="O48" s="205" t="str">
        <f>B8</f>
        <v>Joice</v>
      </c>
      <c r="P48" s="112"/>
      <c r="Q48" s="112"/>
      <c r="R48" s="112"/>
      <c r="S48" s="128"/>
      <c r="T48" s="129" t="str">
        <f>B9</f>
        <v>Fernando</v>
      </c>
      <c r="U48" s="112"/>
      <c r="V48" s="112"/>
      <c r="W48" s="130"/>
    </row>
    <row r="49" ht="14.25" customHeight="1">
      <c r="A49" s="186"/>
      <c r="B49" s="13">
        <v>2201216.0</v>
      </c>
      <c r="C49" s="14">
        <v>46171.77230324074</v>
      </c>
      <c r="D49" s="187" t="s">
        <v>97</v>
      </c>
      <c r="E49" s="188" t="s">
        <v>317</v>
      </c>
      <c r="F49" s="200"/>
      <c r="G49" s="187" t="s">
        <v>328</v>
      </c>
      <c r="H49" s="204"/>
      <c r="I49" s="204"/>
      <c r="J49" s="196" t="s">
        <v>6446</v>
      </c>
      <c r="K49" s="196"/>
      <c r="L49" s="192" t="str">
        <f>IFERROR(__xludf.DUMMYFUNCTION("IF(
  AND(D49=""Saída"", J49=""Sangria""),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198" t="str">
        <f>IFERROR(__xludf.DUMMYFUNCTION("IF(J49=""Compra de Mercadorias"",
   IF(
      COUNTIF(ARRAYFORMULA(TRIM(CLEAN(TO_TEXT(Notas!BS:BS)))), TRIM(CLEAN(TO_TEXT(B49)))) &gt; 0,
      ""Encontrada"",
      ""Não Encontrada""
   ),
"""")"),"Encontrada")</f>
        <v>Encontrada</v>
      </c>
      <c r="N49" s="194">
        <f>IFERROR(__xludf.DUMMYFUNCTION("ifna(VALUE(REGEXEXTRACT(E49,""[0-9.]+[,]+[0-9]+"")))"),32.0)</f>
        <v>32</v>
      </c>
      <c r="O49" s="52" t="str">
        <f>IFERROR(__xludf.DUMMYFUNCTION("query(C28:L507,""select Col1,Col3,Col8,Col9 where (Col8 = 'Adiantamento' or Col8 = 'Consumo') and Col9 = '""&amp;B8&amp;""'"",1)"),"Data")</f>
        <v>Data</v>
      </c>
      <c r="P49" s="53" t="str">
        <f>IFERROR(__xludf.DUMMYFUNCTION("""COMPUTED_VALUE"""),"Valor ")</f>
        <v>Valor </v>
      </c>
      <c r="Q49" s="53" t="str">
        <f>IFERROR(__xludf.DUMMYFUNCTION("""COMPUTED_VALUE"""),"Tipo")</f>
        <v>Tipo</v>
      </c>
      <c r="R49" s="53" t="str">
        <f>IFERROR(__xludf.DUMMYFUNCTION("""COMPUTED_VALUE"""),"Funcionário")</f>
        <v>Funcionário</v>
      </c>
      <c r="S49" s="55"/>
      <c r="T49" s="56" t="str">
        <f>IFERROR(__xludf.DUMMYFUNCTION("query(C28:L507,""select Col1,Col3,Col8,Col9 where (Col8 = 'Adiantamento' or Col8 = 'Consumo') and Col9 = '""&amp;B9&amp;""'"",1)"),"Data")</f>
        <v>Data</v>
      </c>
      <c r="U49" s="56" t="str">
        <f>IFERROR(__xludf.DUMMYFUNCTION("""COMPUTED_VALUE"""),"Valor ")</f>
        <v>Valor </v>
      </c>
      <c r="V49" s="56" t="str">
        <f>IFERROR(__xludf.DUMMYFUNCTION("""COMPUTED_VALUE"""),"Tipo")</f>
        <v>Tipo</v>
      </c>
      <c r="W49" s="57" t="str">
        <f>IFERROR(__xludf.DUMMYFUNCTION("""COMPUTED_VALUE"""),"Funcionário")</f>
        <v>Funcionário</v>
      </c>
    </row>
    <row r="50" ht="14.25" customHeight="1">
      <c r="A50" s="186"/>
      <c r="B50" s="13">
        <v>2201361.0</v>
      </c>
      <c r="C50" s="14">
        <v>46171.83896990741</v>
      </c>
      <c r="D50" s="187" t="s">
        <v>97</v>
      </c>
      <c r="E50" s="188" t="s">
        <v>333</v>
      </c>
      <c r="F50" s="189"/>
      <c r="G50" s="187" t="s">
        <v>151</v>
      </c>
      <c r="H50" s="204"/>
      <c r="I50" s="204"/>
      <c r="J50" s="196" t="s">
        <v>6080</v>
      </c>
      <c r="K50" s="196" t="s">
        <v>6111</v>
      </c>
      <c r="L50" s="192" t="str">
        <f>IFERROR(__xludf.DUMMYFUNCTION("IF(
  AND(D50=""Saída"", J50=""Sangria""),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01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94">
        <f>IFERROR(__xludf.DUMMYFUNCTION("ifna(VALUE(REGEXEXTRACT(E50,""[0-9.]+[,]+[0-9]+"")))"),47.77)</f>
        <v>47.77</v>
      </c>
      <c r="O50" s="58"/>
      <c r="P50" s="59"/>
      <c r="Q50" s="59"/>
      <c r="R50" s="59"/>
      <c r="S50" s="61"/>
      <c r="T50" s="59"/>
      <c r="U50" s="59"/>
      <c r="V50" s="59"/>
      <c r="W50" s="60"/>
    </row>
    <row r="51" ht="30.0" customHeight="1">
      <c r="A51" s="186"/>
      <c r="B51" s="13">
        <v>2202153.0</v>
      </c>
      <c r="C51" s="14">
        <v>46172.59386574074</v>
      </c>
      <c r="D51" s="187" t="s">
        <v>97</v>
      </c>
      <c r="E51" s="188" t="s">
        <v>343</v>
      </c>
      <c r="F51" s="189"/>
      <c r="G51" s="187" t="s">
        <v>345</v>
      </c>
      <c r="H51" s="204"/>
      <c r="I51" s="204"/>
      <c r="J51" s="196" t="s">
        <v>6446</v>
      </c>
      <c r="K51" s="196"/>
      <c r="L51" s="192" t="str">
        <f>IFERROR(__xludf.DUMMYFUNCTION("IF(
  AND(D51=""Saída"", J51=""Sangria""),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198" t="str">
        <f>IFERROR(__xludf.DUMMYFUNCTION("IF(J51=""Compra de Mercadorias"",
   IF(
      COUNTIF(ARRAYFORMULA(TRIM(CLEAN(TO_TEXT(Notas!BS:BS)))), TRIM(CLEAN(TO_TEXT(B51)))) &gt; 0,
      ""Encontrada"",
      ""Não Encontrada""
   ),
"""")"),"Não Encontrada")</f>
        <v>Não Encontrada</v>
      </c>
      <c r="N51" s="194">
        <f>IFERROR(__xludf.DUMMYFUNCTION("ifna(VALUE(REGEXEXTRACT(E51,""[0-9.]+[,]+[0-9]+"")))"),50.0)</f>
        <v>50</v>
      </c>
      <c r="O51" s="58"/>
      <c r="P51" s="59"/>
      <c r="Q51" s="59"/>
      <c r="R51" s="59"/>
      <c r="S51" s="61"/>
      <c r="T51" s="59"/>
      <c r="U51" s="59"/>
      <c r="V51" s="59"/>
      <c r="W51" s="60"/>
    </row>
    <row r="52" ht="14.25" customHeight="1">
      <c r="A52" s="186"/>
      <c r="B52" s="13">
        <v>2202178.0</v>
      </c>
      <c r="C52" s="14">
        <v>46172.602800925924</v>
      </c>
      <c r="D52" s="187" t="s">
        <v>97</v>
      </c>
      <c r="E52" s="188" t="s">
        <v>351</v>
      </c>
      <c r="F52" s="189"/>
      <c r="G52" s="187" t="s">
        <v>353</v>
      </c>
      <c r="H52" s="204"/>
      <c r="I52" s="204"/>
      <c r="J52" s="196" t="s">
        <v>6446</v>
      </c>
      <c r="K52" s="196"/>
      <c r="L52" s="192" t="str">
        <f>IFERROR(__xludf.DUMMYFUNCTION("IF(
  AND(D52=""Saída"", J52=""Sangria""),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197" t="str">
        <f>IFERROR(__xludf.DUMMYFUNCTION("IF(J52=""Compra de Mercadorias"",
   IF(
      COUNTIF(ARRAYFORMULA(TRIM(CLEAN(TO_TEXT(Notas!BS:BS)))), TRIM(CLEAN(TO_TEXT(B52)))) &gt; 0,
      ""Encontrada"",
      ""Não Encontrada""
   ),
"""")"),"Não Encontrada")</f>
        <v>Não Encontrada</v>
      </c>
      <c r="N52" s="194">
        <f>IFERROR(__xludf.DUMMYFUNCTION("ifna(VALUE(REGEXEXTRACT(E52,""[0-9.]+[,]+[0-9]+"")))"),15.25)</f>
        <v>15.25</v>
      </c>
      <c r="O52" s="58"/>
      <c r="P52" s="59"/>
      <c r="Q52" s="59"/>
      <c r="R52" s="59"/>
      <c r="S52" s="61"/>
      <c r="T52" s="59"/>
      <c r="U52" s="59"/>
      <c r="V52" s="59"/>
      <c r="W52" s="60"/>
    </row>
    <row r="53" ht="14.25" customHeight="1">
      <c r="A53" s="186"/>
      <c r="B53" s="13">
        <v>2205080.0</v>
      </c>
      <c r="C53" s="14">
        <v>46173.86902777778</v>
      </c>
      <c r="D53" s="187" t="s">
        <v>97</v>
      </c>
      <c r="E53" s="188" t="s">
        <v>362</v>
      </c>
      <c r="F53" s="189"/>
      <c r="G53" s="187" t="s">
        <v>364</v>
      </c>
      <c r="H53" s="204"/>
      <c r="I53" s="204"/>
      <c r="J53" s="196" t="s">
        <v>6469</v>
      </c>
      <c r="K53" s="196"/>
      <c r="L53" s="192" t="str">
        <f>IFERROR(__xludf.DUMMYFUNCTION("IF(
  AND(D53=""Saída"", J53=""Sangria""),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198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94">
        <f>IFERROR(__xludf.DUMMYFUNCTION("ifna(VALUE(REGEXEXTRACT(E53,""[0-9.]+[,]+[0-9]+"")))"),127.5)</f>
        <v>127.5</v>
      </c>
      <c r="O53" s="58"/>
      <c r="P53" s="59"/>
      <c r="Q53" s="59"/>
      <c r="R53" s="59"/>
      <c r="S53" s="61"/>
      <c r="T53" s="59"/>
      <c r="U53" s="59"/>
      <c r="V53" s="59"/>
      <c r="W53" s="60"/>
    </row>
    <row r="54" ht="14.25" customHeight="1">
      <c r="A54" s="186"/>
      <c r="B54" s="13">
        <v>2205130.0</v>
      </c>
      <c r="C54" s="14">
        <v>46173.87590277778</v>
      </c>
      <c r="D54" s="187" t="s">
        <v>97</v>
      </c>
      <c r="E54" s="188" t="s">
        <v>370</v>
      </c>
      <c r="F54" s="189"/>
      <c r="G54" s="187" t="s">
        <v>371</v>
      </c>
      <c r="H54" s="204"/>
      <c r="I54" s="204"/>
      <c r="J54" s="196" t="s">
        <v>6551</v>
      </c>
      <c r="K54" s="196"/>
      <c r="L54" s="192" t="str">
        <f>IFERROR(__xludf.DUMMYFUNCTION("IF(
  AND(D54=""Saída"", J54=""Sangria""),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197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94">
        <f>IFERROR(__xludf.DUMMYFUNCTION("ifna(VALUE(REGEXEXTRACT(E54,""[0-9.]+[,]+[0-9]+"")))"),24.0)</f>
        <v>24</v>
      </c>
      <c r="O54" s="58"/>
      <c r="P54" s="59"/>
      <c r="Q54" s="59"/>
      <c r="R54" s="59"/>
      <c r="S54" s="61"/>
      <c r="T54" s="59"/>
      <c r="U54" s="59"/>
      <c r="V54" s="59"/>
      <c r="W54" s="60"/>
    </row>
    <row r="55" ht="14.25" customHeight="1">
      <c r="A55" s="186"/>
      <c r="B55" s="13">
        <v>2206743.0</v>
      </c>
      <c r="C55" s="14">
        <v>46174.74456018519</v>
      </c>
      <c r="D55" s="187" t="s">
        <v>97</v>
      </c>
      <c r="E55" s="188" t="s">
        <v>381</v>
      </c>
      <c r="F55" s="189"/>
      <c r="G55" s="187" t="s">
        <v>382</v>
      </c>
      <c r="H55" s="204"/>
      <c r="I55" s="204"/>
      <c r="J55" s="196" t="s">
        <v>6551</v>
      </c>
      <c r="K55" s="196"/>
      <c r="L55" s="192" t="str">
        <f>IFERROR(__xludf.DUMMYFUNCTION("IF(
  AND(D55=""Saída"", J55=""Sangria""),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01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94">
        <f>IFERROR(__xludf.DUMMYFUNCTION("ifna(VALUE(REGEXEXTRACT(E55,""[0-9.]+[,]+[0-9]+"")))"),192.0)</f>
        <v>192</v>
      </c>
      <c r="O55" s="58"/>
      <c r="P55" s="85"/>
      <c r="Q55" s="85"/>
      <c r="R55" s="85"/>
      <c r="S55" s="87"/>
      <c r="T55" s="85"/>
      <c r="U55" s="85"/>
      <c r="V55" s="85"/>
      <c r="W55" s="86"/>
    </row>
    <row r="56" ht="14.25" customHeight="1">
      <c r="A56" s="186"/>
      <c r="B56" s="13">
        <v>2206816.0</v>
      </c>
      <c r="C56" s="14">
        <v>46174.76375</v>
      </c>
      <c r="D56" s="187" t="s">
        <v>97</v>
      </c>
      <c r="E56" s="188" t="s">
        <v>390</v>
      </c>
      <c r="F56" s="189"/>
      <c r="G56" s="187" t="s">
        <v>394</v>
      </c>
      <c r="H56" s="204"/>
      <c r="I56" s="204"/>
      <c r="J56" s="196" t="s">
        <v>6544</v>
      </c>
      <c r="K56" s="196" t="s">
        <v>6159</v>
      </c>
      <c r="L56" s="192" t="str">
        <f>IFERROR(__xludf.DUMMYFUNCTION("IF(
  AND(D56=""Saída"", J56=""Sangria""),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"),"Confirmada")</f>
        <v>Confirmada</v>
      </c>
      <c r="M56" s="197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94">
        <f>IFERROR(__xludf.DUMMYFUNCTION("ifna(VALUE(REGEXEXTRACT(E56,""[0-9.]+[,]+[0-9]+"")))"),1300.0)</f>
        <v>1300</v>
      </c>
      <c r="O56" s="94"/>
      <c r="P56" s="95"/>
      <c r="Q56" s="95"/>
      <c r="R56" s="95"/>
      <c r="S56" s="97"/>
      <c r="T56" s="95"/>
      <c r="U56" s="95"/>
      <c r="V56" s="95"/>
      <c r="W56" s="96"/>
    </row>
    <row r="57" ht="17.25" customHeight="1">
      <c r="A57" s="186"/>
      <c r="B57" s="13">
        <v>2206966.0</v>
      </c>
      <c r="C57" s="14">
        <v>46174.83568287037</v>
      </c>
      <c r="D57" s="187" t="s">
        <v>97</v>
      </c>
      <c r="E57" s="188" t="s">
        <v>402</v>
      </c>
      <c r="F57" s="200"/>
      <c r="G57" s="187" t="s">
        <v>403</v>
      </c>
      <c r="H57" s="204"/>
      <c r="I57" s="204"/>
      <c r="J57" s="196" t="s">
        <v>6469</v>
      </c>
      <c r="K57" s="196"/>
      <c r="L57" s="192" t="str">
        <f>IFERROR(__xludf.DUMMYFUNCTION("IF(
  AND(D57=""Saída"", J57=""Sangria""),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198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94">
        <f>IFERROR(__xludf.DUMMYFUNCTION("ifna(VALUE(REGEXEXTRACT(E57,""[0-9.]+[,]+[0-9]+"")))"),39.0)</f>
        <v>39</v>
      </c>
      <c r="O57" s="94"/>
      <c r="P57" s="95"/>
      <c r="Q57" s="95"/>
      <c r="R57" s="95"/>
      <c r="S57" s="97"/>
      <c r="T57" s="95"/>
      <c r="U57" s="95"/>
      <c r="V57" s="95"/>
      <c r="W57" s="96"/>
    </row>
    <row r="58" ht="14.25" customHeight="1">
      <c r="A58" s="186"/>
      <c r="B58" s="13"/>
      <c r="C58" s="14"/>
      <c r="D58" s="187"/>
      <c r="E58" s="188"/>
      <c r="F58" s="200"/>
      <c r="G58" s="187"/>
      <c r="H58" s="204"/>
      <c r="I58" s="204"/>
      <c r="J58" s="196"/>
      <c r="K58" s="196"/>
      <c r="L58" s="192" t="str">
        <f>IFERROR(__xludf.DUMMYFUNCTION("IF(
  AND(D58=""Saída"", J58=""Sangria""),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197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94" t="str">
        <f>IFERROR(__xludf.DUMMYFUNCTION("ifna(VALUE(REGEXEXTRACT(E58,""[0-9.]+[,]+[0-9]+"")))"),"")</f>
        <v/>
      </c>
      <c r="O58" s="94"/>
      <c r="P58" s="95"/>
      <c r="Q58" s="95"/>
      <c r="R58" s="95"/>
      <c r="S58" s="97"/>
      <c r="T58" s="95"/>
      <c r="U58" s="95"/>
      <c r="V58" s="95"/>
      <c r="W58" s="96"/>
    </row>
    <row r="59" ht="14.25" customHeight="1">
      <c r="A59" s="186"/>
      <c r="B59" s="13"/>
      <c r="C59" s="14"/>
      <c r="D59" s="187"/>
      <c r="E59" s="188"/>
      <c r="F59" s="200"/>
      <c r="G59" s="187"/>
      <c r="H59" s="204"/>
      <c r="I59" s="204"/>
      <c r="J59" s="196"/>
      <c r="K59" s="196"/>
      <c r="L59" s="192" t="str">
        <f>IFERROR(__xludf.DUMMYFUNCTION("IF(
  AND(D59=""Saída"", J59=""Sangria""),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198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94" t="str">
        <f>IFERROR(__xludf.DUMMYFUNCTION("ifna(VALUE(REGEXEXTRACT(E59,""[0-9.]+[,]+[0-9]+"")))"),"")</f>
        <v/>
      </c>
      <c r="O59" s="94"/>
      <c r="P59" s="95"/>
      <c r="Q59" s="95"/>
      <c r="R59" s="95"/>
      <c r="S59" s="97"/>
      <c r="T59" s="95"/>
      <c r="U59" s="95"/>
      <c r="V59" s="95"/>
      <c r="W59" s="96"/>
    </row>
    <row r="60" ht="14.25" customHeight="1">
      <c r="A60" s="186"/>
      <c r="B60" s="13"/>
      <c r="C60" s="14"/>
      <c r="D60" s="187"/>
      <c r="E60" s="188"/>
      <c r="F60" s="189"/>
      <c r="G60" s="187"/>
      <c r="H60" s="204"/>
      <c r="I60" s="204"/>
      <c r="J60" s="196"/>
      <c r="K60" s="196"/>
      <c r="L60" s="192" t="str">
        <f>IFERROR(__xludf.DUMMYFUNCTION("IF(
  AND(D60=""Saída"", J60=""Sangria""),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197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94" t="str">
        <f>IFERROR(__xludf.DUMMYFUNCTION("ifna(VALUE(REGEXEXTRACT(E60,""[0-9.]+[,]+[0-9]+"")))"),"")</f>
        <v/>
      </c>
      <c r="O60" s="207"/>
      <c r="P60" s="208"/>
      <c r="Q60" s="209"/>
      <c r="R60" s="210"/>
      <c r="S60" s="97"/>
      <c r="T60" s="95"/>
      <c r="U60" s="95"/>
      <c r="V60" s="95"/>
      <c r="W60" s="96"/>
    </row>
    <row r="61" ht="14.25" customHeight="1">
      <c r="A61" s="186"/>
      <c r="B61" s="13"/>
      <c r="C61" s="14"/>
      <c r="D61" s="187"/>
      <c r="E61" s="188"/>
      <c r="F61" s="189"/>
      <c r="G61" s="187"/>
      <c r="H61" s="204"/>
      <c r="I61" s="204"/>
      <c r="J61" s="196"/>
      <c r="K61" s="196"/>
      <c r="L61" s="192" t="str">
        <f>IFERROR(__xludf.DUMMYFUNCTION("IF(
  AND(D61=""Saída"", J61=""Sangria""),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198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94" t="str">
        <f>IFERROR(__xludf.DUMMYFUNCTION("ifna(VALUE(REGEXEXTRACT(E61,""[0-9.]+[,]+[0-9]+"")))"),"")</f>
        <v/>
      </c>
      <c r="O61" s="94"/>
      <c r="P61" s="95"/>
      <c r="Q61" s="95"/>
      <c r="R61" s="95"/>
      <c r="S61" s="97"/>
      <c r="T61" s="95"/>
      <c r="U61" s="95"/>
      <c r="V61" s="95"/>
      <c r="W61" s="96"/>
    </row>
    <row r="62" ht="14.25" customHeight="1">
      <c r="A62" s="186"/>
      <c r="B62" s="13"/>
      <c r="C62" s="14"/>
      <c r="D62" s="187"/>
      <c r="E62" s="188"/>
      <c r="F62" s="189"/>
      <c r="G62" s="187"/>
      <c r="H62" s="204"/>
      <c r="I62" s="204"/>
      <c r="J62" s="196"/>
      <c r="K62" s="196"/>
      <c r="L62" s="192" t="str">
        <f>IFERROR(__xludf.DUMMYFUNCTION("IF(
  AND(D62=""Saída"", J62=""Sangria""),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197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94" t="str">
        <f>IFERROR(__xludf.DUMMYFUNCTION("ifna(VALUE(REGEXEXTRACT(E62,""[0-9.]+[,]+[0-9]+"")))"),"")</f>
        <v/>
      </c>
      <c r="O62" s="94"/>
      <c r="P62" s="95"/>
      <c r="Q62" s="95"/>
      <c r="R62" s="95"/>
      <c r="S62" s="97"/>
      <c r="T62" s="95"/>
      <c r="U62" s="95"/>
      <c r="V62" s="95"/>
      <c r="W62" s="96"/>
    </row>
    <row r="63" ht="14.25" customHeight="1">
      <c r="A63" s="186"/>
      <c r="B63" s="13"/>
      <c r="C63" s="14"/>
      <c r="D63" s="187"/>
      <c r="E63" s="188"/>
      <c r="F63" s="189"/>
      <c r="G63" s="187"/>
      <c r="H63" s="204"/>
      <c r="I63" s="204"/>
      <c r="J63" s="196"/>
      <c r="K63" s="196"/>
      <c r="L63" s="192" t="str">
        <f>IFERROR(__xludf.DUMMYFUNCTION("IF(
  AND(D63=""Saída"", J63=""Sangria""),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198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94" t="str">
        <f>IFERROR(__xludf.DUMMYFUNCTION("ifna(VALUE(REGEXEXTRACT(E63,""[0-9.]+[,]+[0-9]+"")))"),"")</f>
        <v/>
      </c>
      <c r="O63" s="114"/>
      <c r="P63" s="115"/>
      <c r="Q63" s="115"/>
      <c r="R63" s="115"/>
      <c r="S63" s="116"/>
      <c r="T63" s="115"/>
      <c r="U63" s="115"/>
      <c r="V63" s="115"/>
      <c r="W63" s="117"/>
    </row>
    <row r="64" ht="35.25" customHeight="1">
      <c r="A64" s="186"/>
      <c r="B64" s="13"/>
      <c r="C64" s="14"/>
      <c r="D64" s="187"/>
      <c r="E64" s="188"/>
      <c r="F64" s="189"/>
      <c r="G64" s="187"/>
      <c r="H64" s="204"/>
      <c r="I64" s="204"/>
      <c r="J64" s="196"/>
      <c r="K64" s="196"/>
      <c r="L64" s="192" t="str">
        <f>IFERROR(__xludf.DUMMYFUNCTION("IF(
  AND(D64=""Saída"", J64=""Sangria""),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197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94" t="str">
        <f>IFERROR(__xludf.DUMMYFUNCTION("ifna(VALUE(REGEXEXTRACT(E64,""[0-9.]+[,]+[0-9]+"")))"),"")</f>
        <v/>
      </c>
      <c r="S64" s="31"/>
    </row>
    <row r="65" ht="14.25" customHeight="1">
      <c r="A65" s="186"/>
      <c r="B65" s="13"/>
      <c r="C65" s="14"/>
      <c r="D65" s="187"/>
      <c r="E65" s="188"/>
      <c r="F65" s="200"/>
      <c r="G65" s="187"/>
      <c r="H65" s="204"/>
      <c r="I65" s="204"/>
      <c r="J65" s="196"/>
      <c r="K65" s="196"/>
      <c r="L65" s="192" t="str">
        <f>IFERROR(__xludf.DUMMYFUNCTION("IF(
  AND(D65=""Saída"", J65=""Sangria""),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198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94" t="str">
        <f>IFERROR(__xludf.DUMMYFUNCTION("ifna(VALUE(REGEXEXTRACT(E65,""[0-9.]+[,]+[0-9]+"")))"),"")</f>
        <v/>
      </c>
      <c r="S65" s="31"/>
    </row>
    <row r="66" ht="14.25" customHeight="1">
      <c r="A66" s="186"/>
      <c r="B66" s="13"/>
      <c r="C66" s="14"/>
      <c r="D66" s="187"/>
      <c r="E66" s="188"/>
      <c r="F66" s="189"/>
      <c r="G66" s="187"/>
      <c r="H66" s="204"/>
      <c r="I66" s="204"/>
      <c r="J66" s="196"/>
      <c r="K66" s="196"/>
      <c r="L66" s="192" t="str">
        <f>IFERROR(__xludf.DUMMYFUNCTION("IF(
  AND(D66=""Saída"", J66=""Sangria""),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197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94" t="str">
        <f>IFERROR(__xludf.DUMMYFUNCTION("ifna(VALUE(REGEXEXTRACT(E66,""[0-9.]+[,]+[0-9]+"")))"),"")</f>
        <v/>
      </c>
      <c r="S66" s="31"/>
    </row>
    <row r="67" ht="14.25" customHeight="1">
      <c r="A67" s="186"/>
      <c r="B67" s="13"/>
      <c r="C67" s="14"/>
      <c r="D67" s="187"/>
      <c r="E67" s="188"/>
      <c r="F67" s="189"/>
      <c r="G67" s="187"/>
      <c r="H67" s="204"/>
      <c r="I67" s="204"/>
      <c r="J67" s="196"/>
      <c r="K67" s="196"/>
      <c r="L67" s="192" t="str">
        <f>IFERROR(__xludf.DUMMYFUNCTION("IF(
  AND(D67=""Saída"", J67=""Sangria""),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198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94" t="str">
        <f>IFERROR(__xludf.DUMMYFUNCTION("ifna(VALUE(REGEXEXTRACT(E67,""[0-9.]+[,]+[0-9]+"")))"),"")</f>
        <v/>
      </c>
      <c r="S67" s="31"/>
    </row>
    <row r="68">
      <c r="A68" s="186"/>
      <c r="B68" s="13"/>
      <c r="C68" s="14"/>
      <c r="D68" s="187"/>
      <c r="E68" s="188"/>
      <c r="F68" s="200"/>
      <c r="G68" s="187"/>
      <c r="H68" s="204"/>
      <c r="I68" s="204"/>
      <c r="J68" s="196"/>
      <c r="K68" s="196"/>
      <c r="L68" s="192" t="str">
        <f>IFERROR(__xludf.DUMMYFUNCTION("IF(
  AND(D68=""Saída"", J68=""Sangria""),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197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94" t="str">
        <f>IFERROR(__xludf.DUMMYFUNCTION("ifna(VALUE(REGEXEXTRACT(E68,""[0-9.]+[,]+[0-9]+"")))"),"")</f>
        <v/>
      </c>
      <c r="O68" s="205" t="str">
        <f>B6</f>
        <v>Sabrina</v>
      </c>
      <c r="P68" s="112"/>
      <c r="Q68" s="112"/>
      <c r="R68" s="112"/>
      <c r="S68" s="128"/>
      <c r="T68" s="129" t="str">
        <f>B11</f>
        <v/>
      </c>
      <c r="U68" s="112"/>
      <c r="V68" s="112"/>
      <c r="W68" s="130"/>
    </row>
    <row r="69" ht="14.25" customHeight="1">
      <c r="A69" s="186"/>
      <c r="B69" s="13"/>
      <c r="C69" s="14"/>
      <c r="D69" s="187"/>
      <c r="E69" s="188"/>
      <c r="F69" s="189"/>
      <c r="G69" s="187"/>
      <c r="H69" s="204"/>
      <c r="I69" s="204"/>
      <c r="J69" s="196"/>
      <c r="K69" s="196"/>
      <c r="L69" s="192" t="str">
        <f>IFERROR(__xludf.DUMMYFUNCTION("IF(
  AND(D69=""Saída"", J69=""Sangria""),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198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94" t="str">
        <f>IFERROR(__xludf.DUMMYFUNCTION("ifna(VALUE(REGEXEXTRACT(E69,""[0-9.]+[,]+[0-9]+"")))"),"")</f>
        <v/>
      </c>
      <c r="O69" s="52" t="str">
        <f>IFERROR(__xludf.DUMMYFUNCTION("query(C28:L507,""select Col1,Col3,Col8,Col9 where (Col8 = 'Adiantamento' or Col8 = 'Consumo') and Col9 = '""&amp;B6&amp;""'"",1)"),"Data")</f>
        <v>Data</v>
      </c>
      <c r="P69" s="53" t="str">
        <f>IFERROR(__xludf.DUMMYFUNCTION("""COMPUTED_VALUE"""),"Valor ")</f>
        <v>Valor </v>
      </c>
      <c r="Q69" s="53" t="str">
        <f>IFERROR(__xludf.DUMMYFUNCTION("""COMPUTED_VALUE"""),"Tipo")</f>
        <v>Tipo</v>
      </c>
      <c r="R69" s="53" t="str">
        <f>IFERROR(__xludf.DUMMYFUNCTION("""COMPUTED_VALUE"""),"Funcionário")</f>
        <v>Funcionário</v>
      </c>
      <c r="S69" s="55"/>
      <c r="T69" s="56" t="str">
        <f>IFERROR(__xludf.DUMMYFUNCTION("query(C28:L507,""select Col1,Col3,Col8,Col9 where (Col8 = 'Adiantamento' or Col8 = 'Consumo') and Col9 = '""&amp;B11&amp;""'"",1)"),"Data")</f>
        <v>Data</v>
      </c>
      <c r="U69" s="56" t="str">
        <f>IFERROR(__xludf.DUMMYFUNCTION("""COMPUTED_VALUE"""),"Valor ")</f>
        <v>Valor </v>
      </c>
      <c r="V69" s="56" t="str">
        <f>IFERROR(__xludf.DUMMYFUNCTION("""COMPUTED_VALUE"""),"Tipo")</f>
        <v>Tipo</v>
      </c>
      <c r="W69" s="57" t="str">
        <f>IFERROR(__xludf.DUMMYFUNCTION("""COMPUTED_VALUE"""),"Funcionário")</f>
        <v>Funcionário</v>
      </c>
    </row>
    <row r="70" ht="14.25" customHeight="1">
      <c r="A70" s="186"/>
      <c r="B70" s="13"/>
      <c r="C70" s="14"/>
      <c r="D70" s="187"/>
      <c r="E70" s="188"/>
      <c r="F70" s="189"/>
      <c r="G70" s="187"/>
      <c r="H70" s="204"/>
      <c r="I70" s="204"/>
      <c r="J70" s="196"/>
      <c r="K70" s="196"/>
      <c r="L70" s="192" t="str">
        <f>IFERROR(__xludf.DUMMYFUNCTION("IF(
  AND(D70=""Saída"", J70=""Sangria""),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197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94" t="str">
        <f>IFERROR(__xludf.DUMMYFUNCTION("ifna(VALUE(REGEXEXTRACT(E70,""[0-9.]+[,]+[0-9]+"")))"),"")</f>
        <v/>
      </c>
      <c r="O70" s="58">
        <f>IFERROR(__xludf.DUMMYFUNCTION("""COMPUTED_VALUE"""),46168.7491087963)</f>
        <v>46168.74911</v>
      </c>
      <c r="P70" s="59" t="str">
        <f>IFERROR(__xludf.DUMMYFUNCTION("""COMPUTED_VALUE"""),"R$ 16,98")</f>
        <v>R$ 16,98</v>
      </c>
      <c r="Q70" s="59" t="str">
        <f>IFERROR(__xludf.DUMMYFUNCTION("""COMPUTED_VALUE"""),"Consumo")</f>
        <v>Consumo</v>
      </c>
      <c r="R70" s="59" t="str">
        <f>IFERROR(__xludf.DUMMYFUNCTION("""COMPUTED_VALUE"""),"Sabrina")</f>
        <v>Sabrina</v>
      </c>
      <c r="S70" s="61"/>
      <c r="T70" s="59"/>
      <c r="U70" s="59"/>
      <c r="V70" s="59"/>
      <c r="W70" s="60"/>
    </row>
    <row r="71" ht="14.25" customHeight="1">
      <c r="A71" s="186"/>
      <c r="B71" s="13"/>
      <c r="C71" s="14"/>
      <c r="D71" s="187"/>
      <c r="E71" s="188"/>
      <c r="F71" s="200"/>
      <c r="G71" s="187"/>
      <c r="H71" s="204"/>
      <c r="I71" s="204"/>
      <c r="J71" s="196"/>
      <c r="K71" s="196"/>
      <c r="L71" s="192" t="str">
        <f>IFERROR(__xludf.DUMMYFUNCTION("IF(
  AND(D71=""Saída"", J71=""Sangria""),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198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94" t="str">
        <f>IFERROR(__xludf.DUMMYFUNCTION("ifna(VALUE(REGEXEXTRACT(E71,""[0-9.]+[,]+[0-9]+"")))"),"")</f>
        <v/>
      </c>
      <c r="O71" s="58">
        <f>IFERROR(__xludf.DUMMYFUNCTION("""COMPUTED_VALUE"""),46168.86792824074)</f>
        <v>46168.86793</v>
      </c>
      <c r="P71" s="59" t="str">
        <f>IFERROR(__xludf.DUMMYFUNCTION("""COMPUTED_VALUE"""),"R$ 91,02")</f>
        <v>R$ 91,02</v>
      </c>
      <c r="Q71" s="59" t="str">
        <f>IFERROR(__xludf.DUMMYFUNCTION("""COMPUTED_VALUE"""),"Consumo")</f>
        <v>Consumo</v>
      </c>
      <c r="R71" s="59" t="str">
        <f>IFERROR(__xludf.DUMMYFUNCTION("""COMPUTED_VALUE"""),"Sabrina")</f>
        <v>Sabrina</v>
      </c>
      <c r="S71" s="61"/>
      <c r="T71" s="59"/>
      <c r="U71" s="59"/>
      <c r="V71" s="59"/>
      <c r="W71" s="60"/>
    </row>
    <row r="72" ht="14.25" customHeight="1">
      <c r="A72" s="186"/>
      <c r="B72" s="13"/>
      <c r="C72" s="14"/>
      <c r="D72" s="187"/>
      <c r="E72" s="188"/>
      <c r="F72" s="189"/>
      <c r="G72" s="187"/>
      <c r="H72" s="204"/>
      <c r="I72" s="204"/>
      <c r="J72" s="196"/>
      <c r="K72" s="196"/>
      <c r="L72" s="192" t="str">
        <f>IFERROR(__xludf.DUMMYFUNCTION("IF(
  AND(D72=""Saída"", J72=""Sangria""),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197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94" t="str">
        <f>IFERROR(__xludf.DUMMYFUNCTION("ifna(VALUE(REGEXEXTRACT(E72,""[0-9.]+[,]+[0-9]+"")))"),"")</f>
        <v/>
      </c>
      <c r="O72" s="58">
        <f>IFERROR(__xludf.DUMMYFUNCTION("""COMPUTED_VALUE"""),46169.76696759259)</f>
        <v>46169.76697</v>
      </c>
      <c r="P72" s="59" t="str">
        <f>IFERROR(__xludf.DUMMYFUNCTION("""COMPUTED_VALUE"""),"R$ 12,71")</f>
        <v>R$ 12,71</v>
      </c>
      <c r="Q72" s="59" t="str">
        <f>IFERROR(__xludf.DUMMYFUNCTION("""COMPUTED_VALUE"""),"Consumo")</f>
        <v>Consumo</v>
      </c>
      <c r="R72" s="59" t="str">
        <f>IFERROR(__xludf.DUMMYFUNCTION("""COMPUTED_VALUE"""),"Sabrina")</f>
        <v>Sabrina</v>
      </c>
      <c r="S72" s="61"/>
      <c r="T72" s="59"/>
      <c r="U72" s="59"/>
      <c r="V72" s="59"/>
      <c r="W72" s="60"/>
    </row>
    <row r="73" ht="14.25" customHeight="1">
      <c r="A73" s="186"/>
      <c r="B73" s="13"/>
      <c r="C73" s="14"/>
      <c r="D73" s="187"/>
      <c r="E73" s="188"/>
      <c r="F73" s="189"/>
      <c r="G73" s="187"/>
      <c r="H73" s="204"/>
      <c r="I73" s="204"/>
      <c r="J73" s="196"/>
      <c r="K73" s="196"/>
      <c r="L73" s="192" t="str">
        <f>IFERROR(__xludf.DUMMYFUNCTION("IF(
  AND(D73=""Saída"", J73=""Sangria""),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198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94" t="str">
        <f>IFERROR(__xludf.DUMMYFUNCTION("ifna(VALUE(REGEXEXTRACT(E73,""[0-9.]+[,]+[0-9]+"")))"),"")</f>
        <v/>
      </c>
      <c r="O73" s="58">
        <f>IFERROR(__xludf.DUMMYFUNCTION("""COMPUTED_VALUE"""),46169.867372685185)</f>
        <v>46169.86737</v>
      </c>
      <c r="P73" s="59" t="str">
        <f>IFERROR(__xludf.DUMMYFUNCTION("""COMPUTED_VALUE"""),"R$ 17,00")</f>
        <v>R$ 17,00</v>
      </c>
      <c r="Q73" s="59" t="str">
        <f>IFERROR(__xludf.DUMMYFUNCTION("""COMPUTED_VALUE"""),"Consumo")</f>
        <v>Consumo</v>
      </c>
      <c r="R73" s="59" t="str">
        <f>IFERROR(__xludf.DUMMYFUNCTION("""COMPUTED_VALUE"""),"Sabrina")</f>
        <v>Sabrina</v>
      </c>
      <c r="S73" s="61"/>
      <c r="T73" s="59"/>
      <c r="U73" s="59"/>
      <c r="V73" s="59"/>
      <c r="W73" s="60"/>
    </row>
    <row r="74" ht="17.25" customHeight="1">
      <c r="A74" s="186"/>
      <c r="B74" s="13"/>
      <c r="C74" s="14"/>
      <c r="D74" s="187"/>
      <c r="E74" s="188"/>
      <c r="F74" s="189"/>
      <c r="G74" s="187"/>
      <c r="H74" s="204"/>
      <c r="I74" s="204"/>
      <c r="J74" s="196"/>
      <c r="K74" s="196"/>
      <c r="L74" s="192" t="str">
        <f>IFERROR(__xludf.DUMMYFUNCTION("IF(
  AND(D74=""Saída"", J74=""Sangria""),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197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94" t="str">
        <f>IFERROR(__xludf.DUMMYFUNCTION("ifna(VALUE(REGEXEXTRACT(E74,""[0-9.]+[,]+[0-9]+"")))"),"")</f>
        <v/>
      </c>
      <c r="O74" s="58">
        <f>IFERROR(__xludf.DUMMYFUNCTION("""COMPUTED_VALUE"""),46170.78866898148)</f>
        <v>46170.78867</v>
      </c>
      <c r="P74" s="59" t="str">
        <f>IFERROR(__xludf.DUMMYFUNCTION("""COMPUTED_VALUE"""),"R$ 10,82")</f>
        <v>R$ 10,82</v>
      </c>
      <c r="Q74" s="59" t="str">
        <f>IFERROR(__xludf.DUMMYFUNCTION("""COMPUTED_VALUE"""),"Consumo")</f>
        <v>Consumo</v>
      </c>
      <c r="R74" s="59" t="str">
        <f>IFERROR(__xludf.DUMMYFUNCTION("""COMPUTED_VALUE"""),"Sabrina")</f>
        <v>Sabrina</v>
      </c>
      <c r="S74" s="61"/>
      <c r="T74" s="59"/>
      <c r="U74" s="59"/>
      <c r="V74" s="59"/>
      <c r="W74" s="60"/>
    </row>
    <row r="75">
      <c r="A75" s="186"/>
      <c r="B75" s="13"/>
      <c r="C75" s="14"/>
      <c r="D75" s="187"/>
      <c r="E75" s="188"/>
      <c r="F75" s="189"/>
      <c r="G75" s="187"/>
      <c r="H75" s="204"/>
      <c r="I75" s="204"/>
      <c r="J75" s="196"/>
      <c r="K75" s="196"/>
      <c r="L75" s="192" t="str">
        <f>IFERROR(__xludf.DUMMYFUNCTION("IF(
  AND(D75=""Saída"", J75=""Sangria""),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198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94" t="str">
        <f>IFERROR(__xludf.DUMMYFUNCTION("ifna(VALUE(REGEXEXTRACT(E75,""[0-9.]+[,]+[0-9]+"")))"),"")</f>
        <v/>
      </c>
      <c r="O75" s="58">
        <f>IFERROR(__xludf.DUMMYFUNCTION("""COMPUTED_VALUE"""),46171.68236111111)</f>
        <v>46171.68236</v>
      </c>
      <c r="P75" s="85" t="str">
        <f>IFERROR(__xludf.DUMMYFUNCTION("""COMPUTED_VALUE"""),"R$ 19,90")</f>
        <v>R$ 19,90</v>
      </c>
      <c r="Q75" s="85" t="str">
        <f>IFERROR(__xludf.DUMMYFUNCTION("""COMPUTED_VALUE"""),"Consumo")</f>
        <v>Consumo</v>
      </c>
      <c r="R75" s="85" t="str">
        <f>IFERROR(__xludf.DUMMYFUNCTION("""COMPUTED_VALUE"""),"Sabrina")</f>
        <v>Sabrina</v>
      </c>
      <c r="S75" s="87"/>
      <c r="T75" s="85"/>
      <c r="U75" s="85"/>
      <c r="V75" s="85"/>
      <c r="W75" s="86"/>
    </row>
    <row r="76" ht="28.5" customHeight="1">
      <c r="A76" s="186"/>
      <c r="B76" s="13"/>
      <c r="C76" s="14"/>
      <c r="D76" s="187"/>
      <c r="E76" s="188"/>
      <c r="F76" s="189"/>
      <c r="G76" s="187"/>
      <c r="H76" s="204"/>
      <c r="I76" s="204"/>
      <c r="J76" s="196"/>
      <c r="K76" s="196"/>
      <c r="L76" s="192" t="str">
        <f>IFERROR(__xludf.DUMMYFUNCTION("IF(
  AND(D76=""Saída"", J76=""Sangria""),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197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94" t="str">
        <f>IFERROR(__xludf.DUMMYFUNCTION("ifna(VALUE(REGEXEXTRACT(E76,""[0-9.]+[,]+[0-9]+"")))"),"")</f>
        <v/>
      </c>
      <c r="O76" s="300">
        <f>IFERROR(__xludf.DUMMYFUNCTION("""COMPUTED_VALUE"""),46171.8389699074)</f>
        <v>46171.83897</v>
      </c>
      <c r="P76" s="95" t="str">
        <f>IFERROR(__xludf.DUMMYFUNCTION("""COMPUTED_VALUE"""),"R$ 47,77")</f>
        <v>R$ 47,77</v>
      </c>
      <c r="Q76" s="95" t="str">
        <f>IFERROR(__xludf.DUMMYFUNCTION("""COMPUTED_VALUE"""),"Consumo")</f>
        <v>Consumo</v>
      </c>
      <c r="R76" s="95" t="str">
        <f>IFERROR(__xludf.DUMMYFUNCTION("""COMPUTED_VALUE"""),"Sabrina")</f>
        <v>Sabrina</v>
      </c>
      <c r="S76" s="97"/>
      <c r="T76" s="95"/>
      <c r="U76" s="95"/>
      <c r="V76" s="95"/>
      <c r="W76" s="96"/>
    </row>
    <row r="77" ht="14.25" customHeight="1">
      <c r="A77" s="186"/>
      <c r="B77" s="13"/>
      <c r="C77" s="14"/>
      <c r="D77" s="187"/>
      <c r="E77" s="188"/>
      <c r="F77" s="189"/>
      <c r="G77" s="187"/>
      <c r="H77" s="204"/>
      <c r="I77" s="204"/>
      <c r="J77" s="196"/>
      <c r="K77" s="196"/>
      <c r="L77" s="192" t="str">
        <f>IFERROR(__xludf.DUMMYFUNCTION("IF(
  AND(D77=""Saída"", J77=""Sangria""),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198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94" t="str">
        <f>IFERROR(__xludf.DUMMYFUNCTION("ifna(VALUE(REGEXEXTRACT(E77,""[0-9.]+[,]+[0-9]+"")))"),"")</f>
        <v/>
      </c>
      <c r="O77" s="207"/>
      <c r="P77" s="208"/>
      <c r="Q77" s="209"/>
      <c r="R77" s="210"/>
      <c r="S77" s="97"/>
      <c r="T77" s="95"/>
      <c r="U77" s="95"/>
      <c r="V77" s="95"/>
      <c r="W77" s="96"/>
    </row>
    <row r="78" ht="34.5" customHeight="1">
      <c r="A78" s="186"/>
      <c r="B78" s="13"/>
      <c r="C78" s="14"/>
      <c r="D78" s="187"/>
      <c r="E78" s="188"/>
      <c r="F78" s="189"/>
      <c r="G78" s="187"/>
      <c r="H78" s="204"/>
      <c r="I78" s="204"/>
      <c r="J78" s="196"/>
      <c r="K78" s="196"/>
      <c r="L78" s="192" t="str">
        <f>IFERROR(__xludf.DUMMYFUNCTION("IF(
  AND(D78=""Saída"", J78=""Sangria""),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197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94" t="str">
        <f>IFERROR(__xludf.DUMMYFUNCTION("ifna(VALUE(REGEXEXTRACT(E78,""[0-9.]+[,]+[0-9]+"")))"),"")</f>
        <v/>
      </c>
      <c r="O78" s="207"/>
      <c r="P78" s="208"/>
      <c r="Q78" s="209"/>
      <c r="R78" s="210"/>
      <c r="S78" s="97"/>
      <c r="T78" s="95"/>
      <c r="U78" s="95"/>
      <c r="V78" s="95"/>
      <c r="W78" s="96"/>
    </row>
    <row r="79" ht="14.25" customHeight="1">
      <c r="A79" s="186"/>
      <c r="B79" s="13"/>
      <c r="C79" s="14"/>
      <c r="D79" s="187"/>
      <c r="E79" s="188"/>
      <c r="F79" s="189"/>
      <c r="G79" s="187"/>
      <c r="H79" s="204"/>
      <c r="I79" s="204"/>
      <c r="J79" s="196"/>
      <c r="K79" s="196"/>
      <c r="L79" s="192" t="str">
        <f>IFERROR(__xludf.DUMMYFUNCTION("IF(
  AND(D79=""Saída"", J79=""Sangria""),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198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94" t="str">
        <f>IFERROR(__xludf.DUMMYFUNCTION("ifna(VALUE(REGEXEXTRACT(E79,""[0-9.]+[,]+[0-9]+"")))"),"")</f>
        <v/>
      </c>
      <c r="O79" s="207"/>
      <c r="P79" s="208"/>
      <c r="Q79" s="209"/>
      <c r="R79" s="210"/>
      <c r="S79" s="97"/>
      <c r="T79" s="95"/>
      <c r="U79" s="95"/>
      <c r="V79" s="95"/>
      <c r="W79" s="96"/>
    </row>
    <row r="80" ht="14.25" customHeight="1">
      <c r="A80" s="186"/>
      <c r="B80" s="13"/>
      <c r="C80" s="14"/>
      <c r="D80" s="187"/>
      <c r="E80" s="188"/>
      <c r="F80" s="189"/>
      <c r="G80" s="187"/>
      <c r="H80" s="204"/>
      <c r="I80" s="204"/>
      <c r="J80" s="196"/>
      <c r="K80" s="196"/>
      <c r="L80" s="192" t="str">
        <f>IFERROR(__xludf.DUMMYFUNCTION("IF(
  AND(D80=""Saída"", J80=""Sangria""),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197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94" t="str">
        <f>IFERROR(__xludf.DUMMYFUNCTION("ifna(VALUE(REGEXEXTRACT(E80,""[0-9.]+[,]+[0-9]+"")))"),"")</f>
        <v/>
      </c>
      <c r="O80" s="207"/>
      <c r="P80" s="208"/>
      <c r="Q80" s="209"/>
      <c r="R80" s="210"/>
      <c r="S80" s="97"/>
      <c r="T80" s="95"/>
      <c r="U80" s="95"/>
      <c r="V80" s="95"/>
      <c r="W80" s="96"/>
    </row>
    <row r="81" ht="14.25" customHeight="1">
      <c r="A81" s="186"/>
      <c r="B81" s="13"/>
      <c r="C81" s="14"/>
      <c r="D81" s="187"/>
      <c r="E81" s="188"/>
      <c r="F81" s="189"/>
      <c r="G81" s="187"/>
      <c r="H81" s="204"/>
      <c r="I81" s="204"/>
      <c r="J81" s="196"/>
      <c r="K81" s="196"/>
      <c r="L81" s="192" t="str">
        <f>IFERROR(__xludf.DUMMYFUNCTION("IF(
  AND(D81=""Saída"", J81=""Sangria""),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198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94" t="str">
        <f>IFERROR(__xludf.DUMMYFUNCTION("ifna(VALUE(REGEXEXTRACT(E81,""[0-9.]+[,]+[0-9]+"")))"),"")</f>
        <v/>
      </c>
      <c r="O81" s="94"/>
      <c r="P81" s="95"/>
      <c r="Q81" s="95"/>
      <c r="R81" s="95"/>
      <c r="S81" s="97"/>
      <c r="T81" s="95"/>
      <c r="U81" s="95"/>
      <c r="V81" s="95"/>
      <c r="W81" s="96"/>
    </row>
    <row r="82" ht="14.25" customHeight="1">
      <c r="A82" s="186"/>
      <c r="B82" s="13"/>
      <c r="C82" s="14"/>
      <c r="D82" s="187"/>
      <c r="E82" s="188"/>
      <c r="F82" s="189"/>
      <c r="G82" s="187"/>
      <c r="H82" s="204"/>
      <c r="I82" s="204"/>
      <c r="J82" s="196"/>
      <c r="K82" s="196"/>
      <c r="L82" s="192" t="str">
        <f>IFERROR(__xludf.DUMMYFUNCTION("IF(
  AND(D82=""Saída"", J82=""Sangria""),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197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94" t="str">
        <f>IFERROR(__xludf.DUMMYFUNCTION("ifna(VALUE(REGEXEXTRACT(E82,""[0-9.]+[,]+[0-9]+"")))"),"")</f>
        <v/>
      </c>
      <c r="O82" s="94"/>
      <c r="P82" s="95"/>
      <c r="Q82" s="95"/>
      <c r="R82" s="95"/>
      <c r="S82" s="97"/>
      <c r="T82" s="95"/>
      <c r="U82" s="95"/>
      <c r="V82" s="95"/>
      <c r="W82" s="96"/>
    </row>
    <row r="83" ht="14.25" customHeight="1">
      <c r="A83" s="186"/>
      <c r="B83" s="13"/>
      <c r="C83" s="14"/>
      <c r="D83" s="187"/>
      <c r="E83" s="188"/>
      <c r="F83" s="189"/>
      <c r="G83" s="187"/>
      <c r="H83" s="204"/>
      <c r="I83" s="204"/>
      <c r="J83" s="196"/>
      <c r="K83" s="196"/>
      <c r="L83" s="192" t="str">
        <f>IFERROR(__xludf.DUMMYFUNCTION("IF(
  AND(D83=""Saída"", J83=""Sangria""),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198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94" t="str">
        <f>IFERROR(__xludf.DUMMYFUNCTION("ifna(VALUE(REGEXEXTRACT(E83,""[0-9.]+[,]+[0-9]+"")))"),"")</f>
        <v/>
      </c>
      <c r="O83" s="114"/>
      <c r="P83" s="115"/>
      <c r="Q83" s="115"/>
      <c r="R83" s="115"/>
      <c r="S83" s="97"/>
      <c r="T83" s="115"/>
      <c r="U83" s="115"/>
      <c r="V83" s="115"/>
      <c r="W83" s="117"/>
    </row>
    <row r="84" ht="14.25" customHeight="1">
      <c r="A84" s="186"/>
      <c r="B84" s="13"/>
      <c r="C84" s="14"/>
      <c r="D84" s="187"/>
      <c r="E84" s="188"/>
      <c r="F84" s="200"/>
      <c r="G84" s="187"/>
      <c r="H84" s="204"/>
      <c r="I84" s="204"/>
      <c r="J84" s="196"/>
      <c r="K84" s="196"/>
      <c r="L84" s="192" t="str">
        <f>IFERROR(__xludf.DUMMYFUNCTION("IF(
  AND(D84=""Saída"", J84=""Sangria""),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197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94" t="str">
        <f>IFERROR(__xludf.DUMMYFUNCTION("ifna(VALUE(REGEXEXTRACT(E84,""[0-9.]+[,]+[0-9]+"")))"),"")</f>
        <v/>
      </c>
      <c r="O84" s="211"/>
      <c r="P84" s="212"/>
      <c r="Q84" s="212"/>
      <c r="R84" s="212"/>
      <c r="S84" s="97"/>
      <c r="T84" s="212"/>
      <c r="U84" s="212"/>
      <c r="V84" s="212"/>
      <c r="W84" s="213"/>
    </row>
    <row r="85" ht="14.25" customHeight="1">
      <c r="A85" s="186"/>
      <c r="B85" s="13"/>
      <c r="C85" s="14"/>
      <c r="D85" s="187"/>
      <c r="E85" s="188"/>
      <c r="F85" s="189"/>
      <c r="G85" s="187"/>
      <c r="H85" s="204"/>
      <c r="I85" s="204"/>
      <c r="J85" s="196"/>
      <c r="K85" s="196"/>
      <c r="L85" s="192" t="str">
        <f>IFERROR(__xludf.DUMMYFUNCTION("IF(
  AND(D85=""Saída"", J85=""Sangria""),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198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94" t="str">
        <f>IFERROR(__xludf.DUMMYFUNCTION("ifna(VALUE(REGEXEXTRACT(E85,""[0-9.]+[,]+[0-9]+"")))"),"")</f>
        <v/>
      </c>
      <c r="O85" s="211"/>
      <c r="P85" s="212"/>
      <c r="Q85" s="212"/>
      <c r="R85" s="212"/>
      <c r="S85" s="97"/>
      <c r="T85" s="212"/>
      <c r="U85" s="212"/>
      <c r="V85" s="212"/>
      <c r="W85" s="213"/>
    </row>
    <row r="86" ht="14.25" customHeight="1">
      <c r="A86" s="186"/>
      <c r="B86" s="13"/>
      <c r="C86" s="14"/>
      <c r="D86" s="187"/>
      <c r="E86" s="188"/>
      <c r="F86" s="189"/>
      <c r="G86" s="187"/>
      <c r="H86" s="204"/>
      <c r="I86" s="204"/>
      <c r="J86" s="196"/>
      <c r="K86" s="196"/>
      <c r="L86" s="192" t="str">
        <f>IFERROR(__xludf.DUMMYFUNCTION("IF(
  AND(D86=""Saída"", J86=""Sangria""),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197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94" t="str">
        <f>IFERROR(__xludf.DUMMYFUNCTION("ifna(VALUE(REGEXEXTRACT(E86,""[0-9.]+[,]+[0-9]+"")))"),"")</f>
        <v/>
      </c>
      <c r="O86" s="211"/>
      <c r="P86" s="212"/>
      <c r="Q86" s="212"/>
      <c r="R86" s="212"/>
      <c r="S86" s="97"/>
      <c r="T86" s="212"/>
      <c r="U86" s="212"/>
      <c r="V86" s="212"/>
      <c r="W86" s="213"/>
    </row>
    <row r="87" ht="14.25" customHeight="1">
      <c r="A87" s="186"/>
      <c r="B87" s="13"/>
      <c r="C87" s="14"/>
      <c r="D87" s="187"/>
      <c r="E87" s="188"/>
      <c r="F87" s="189"/>
      <c r="G87" s="187"/>
      <c r="H87" s="204"/>
      <c r="I87" s="204"/>
      <c r="J87" s="196"/>
      <c r="K87" s="196"/>
      <c r="L87" s="192" t="str">
        <f>IFERROR(__xludf.DUMMYFUNCTION("IF(
  AND(D87=""Saída"", J87=""Sangria""),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198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94" t="str">
        <f>IFERROR(__xludf.DUMMYFUNCTION("ifna(VALUE(REGEXEXTRACT(E87,""[0-9.]+[,]+[0-9]+"")))"),"")</f>
        <v/>
      </c>
      <c r="O87" s="211"/>
      <c r="P87" s="212"/>
      <c r="Q87" s="212"/>
      <c r="R87" s="212"/>
      <c r="S87" s="97"/>
      <c r="T87" s="212"/>
      <c r="U87" s="212"/>
      <c r="V87" s="212"/>
      <c r="W87" s="213"/>
    </row>
    <row r="88" ht="14.25" customHeight="1">
      <c r="A88" s="186"/>
      <c r="B88" s="13"/>
      <c r="C88" s="14"/>
      <c r="D88" s="187"/>
      <c r="E88" s="188"/>
      <c r="F88" s="189"/>
      <c r="G88" s="187"/>
      <c r="H88" s="204"/>
      <c r="I88" s="204"/>
      <c r="J88" s="196"/>
      <c r="K88" s="196"/>
      <c r="L88" s="192" t="str">
        <f>IFERROR(__xludf.DUMMYFUNCTION("IF(
  AND(D88=""Saída"", J88=""Sangria""),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197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94" t="str">
        <f>IFERROR(__xludf.DUMMYFUNCTION("ifna(VALUE(REGEXEXTRACT(E88,""[0-9.]+[,]+[0-9]+"")))"),"")</f>
        <v/>
      </c>
      <c r="O88" s="214"/>
      <c r="P88" s="215"/>
      <c r="Q88" s="215"/>
      <c r="R88" s="215"/>
      <c r="S88" s="216"/>
      <c r="T88" s="215"/>
      <c r="U88" s="215"/>
      <c r="V88" s="215"/>
      <c r="W88" s="217"/>
    </row>
    <row r="89" ht="14.25" customHeight="1">
      <c r="A89" s="186"/>
      <c r="B89" s="13"/>
      <c r="C89" s="14"/>
      <c r="D89" s="187"/>
      <c r="E89" s="188"/>
      <c r="F89" s="189"/>
      <c r="G89" s="187"/>
      <c r="H89" s="204"/>
      <c r="I89" s="204"/>
      <c r="J89" s="196"/>
      <c r="K89" s="196"/>
      <c r="L89" s="192" t="str">
        <f>IFERROR(__xludf.DUMMYFUNCTION("IF(
  AND(D89=""Saída"", J89=""Sangria""),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198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94" t="str">
        <f>IFERROR(__xludf.DUMMYFUNCTION("ifna(VALUE(REGEXEXTRACT(E89,""[0-9.]+[,]+[0-9]+"")))"),"")</f>
        <v/>
      </c>
      <c r="O89" s="31"/>
      <c r="P89" s="31"/>
      <c r="Q89" s="31"/>
      <c r="R89" s="31"/>
      <c r="S89" s="31"/>
      <c r="T89" s="31"/>
      <c r="U89" s="31"/>
      <c r="V89" s="31"/>
      <c r="W89" s="31"/>
    </row>
    <row r="90" ht="14.25" customHeight="1">
      <c r="A90" s="186"/>
      <c r="B90" s="13"/>
      <c r="C90" s="14"/>
      <c r="D90" s="187"/>
      <c r="E90" s="188"/>
      <c r="F90" s="189"/>
      <c r="G90" s="187"/>
      <c r="H90" s="204"/>
      <c r="I90" s="204"/>
      <c r="J90" s="196"/>
      <c r="K90" s="196"/>
      <c r="L90" s="192" t="str">
        <f>IFERROR(__xludf.DUMMYFUNCTION("IF(
  AND(D90=""Saída"", J90=""Sangria""),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197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94" t="str">
        <f>IFERROR(__xludf.DUMMYFUNCTION("ifna(VALUE(REGEXEXTRACT(E90,""[0-9.]+[,]+[0-9]+"")))"),"")</f>
        <v/>
      </c>
      <c r="O90" s="31"/>
      <c r="P90" s="31"/>
      <c r="Q90" s="31"/>
      <c r="R90" s="31"/>
      <c r="S90" s="31"/>
      <c r="T90" s="31"/>
      <c r="U90" s="31"/>
      <c r="V90" s="31"/>
      <c r="W90" s="31"/>
    </row>
    <row r="91" ht="14.25" customHeight="1">
      <c r="A91" s="186"/>
      <c r="B91" s="13"/>
      <c r="C91" s="14"/>
      <c r="D91" s="187"/>
      <c r="E91" s="188"/>
      <c r="F91" s="189"/>
      <c r="G91" s="187"/>
      <c r="H91" s="204"/>
      <c r="I91" s="204"/>
      <c r="J91" s="196"/>
      <c r="K91" s="196"/>
      <c r="L91" s="192" t="str">
        <f>IFERROR(__xludf.DUMMYFUNCTION("IF(
  AND(D91=""Saída"", J91=""Sangria""),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198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94" t="str">
        <f>IFERROR(__xludf.DUMMYFUNCTION("ifna(VALUE(REGEXEXTRACT(E91,""[0-9.]+[,]+[0-9]+"")))"),"")</f>
        <v/>
      </c>
      <c r="O91" s="31"/>
      <c r="P91" s="31"/>
      <c r="Q91" s="31"/>
      <c r="R91" s="31"/>
      <c r="S91" s="31"/>
      <c r="T91" s="31"/>
      <c r="U91" s="31"/>
      <c r="V91" s="31"/>
      <c r="W91" s="31"/>
    </row>
    <row r="92" ht="14.25" customHeight="1">
      <c r="A92" s="186"/>
      <c r="B92" s="13"/>
      <c r="C92" s="14"/>
      <c r="D92" s="187"/>
      <c r="E92" s="188"/>
      <c r="F92" s="189"/>
      <c r="G92" s="187"/>
      <c r="H92" s="204"/>
      <c r="I92" s="204"/>
      <c r="J92" s="196"/>
      <c r="K92" s="196"/>
      <c r="L92" s="192" t="str">
        <f>IFERROR(__xludf.DUMMYFUNCTION("IF(
  AND(D92=""Saída"", J92=""Sangria""),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197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94" t="str">
        <f>IFERROR(__xludf.DUMMYFUNCTION("ifna(VALUE(REGEXEXTRACT(E92,""[0-9.]+[,]+[0-9]+"")))"),"")</f>
        <v/>
      </c>
      <c r="O92" s="31"/>
      <c r="P92" s="31"/>
      <c r="Q92" s="31"/>
      <c r="R92" s="31"/>
      <c r="S92" s="31"/>
      <c r="T92" s="31"/>
      <c r="U92" s="194"/>
      <c r="V92" s="194"/>
      <c r="W92" s="194"/>
    </row>
    <row r="93" ht="14.25" customHeight="1">
      <c r="A93" s="186"/>
      <c r="B93" s="13"/>
      <c r="C93" s="14"/>
      <c r="D93" s="187"/>
      <c r="E93" s="188"/>
      <c r="F93" s="189"/>
      <c r="G93" s="187"/>
      <c r="H93" s="204"/>
      <c r="I93" s="204"/>
      <c r="J93" s="196"/>
      <c r="K93" s="196"/>
      <c r="L93" s="192" t="str">
        <f>IFERROR(__xludf.DUMMYFUNCTION("IF(
  AND(D93=""Saída"", J93=""Sangria""),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198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94" t="str">
        <f>IFERROR(__xludf.DUMMYFUNCTION("ifna(VALUE(REGEXEXTRACT(E93,""[0-9.]+[,]+[0-9]+"")))"),"")</f>
        <v/>
      </c>
      <c r="O93" s="218" t="s">
        <v>7094</v>
      </c>
      <c r="P93" s="219"/>
      <c r="Q93" s="219"/>
      <c r="R93" s="219"/>
      <c r="S93" s="219"/>
      <c r="T93" s="64"/>
      <c r="U93" s="194"/>
      <c r="V93" s="194"/>
      <c r="W93" s="194"/>
    </row>
    <row r="94" ht="14.25" customHeight="1">
      <c r="A94" s="186"/>
      <c r="B94" s="13"/>
      <c r="C94" s="14"/>
      <c r="D94" s="187"/>
      <c r="E94" s="188"/>
      <c r="F94" s="189"/>
      <c r="G94" s="187"/>
      <c r="H94" s="204"/>
      <c r="I94" s="204"/>
      <c r="J94" s="196"/>
      <c r="K94" s="196"/>
      <c r="L94" s="192" t="str">
        <f>IFERROR(__xludf.DUMMYFUNCTION("IF(
  AND(D94=""Saída"", J94=""Sangria""),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197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94" t="str">
        <f>IFERROR(__xludf.DUMMYFUNCTION("ifna(VALUE(REGEXEXTRACT(E94,""[0-9.]+[,]+[0-9]+"")))"),"")</f>
        <v/>
      </c>
      <c r="O94" s="220"/>
      <c r="T94" s="221"/>
      <c r="U94" s="194"/>
      <c r="V94" s="194"/>
      <c r="W94" s="194"/>
    </row>
    <row r="95" ht="14.25" customHeight="1">
      <c r="A95" s="186"/>
      <c r="B95" s="13"/>
      <c r="C95" s="14"/>
      <c r="D95" s="187"/>
      <c r="E95" s="188"/>
      <c r="F95" s="189"/>
      <c r="G95" s="187"/>
      <c r="H95" s="204"/>
      <c r="I95" s="204"/>
      <c r="J95" s="196"/>
      <c r="K95" s="196"/>
      <c r="L95" s="192" t="str">
        <f>IFERROR(__xludf.DUMMYFUNCTION("IF(
  AND(D95=""Saída"", J95=""Sangria""),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198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94" t="str">
        <f>IFERROR(__xludf.DUMMYFUNCTION("ifna(VALUE(REGEXEXTRACT(E95,""[0-9.]+[,]+[0-9]+"")))"),"")</f>
        <v/>
      </c>
      <c r="O95" s="222" t="s">
        <v>0</v>
      </c>
      <c r="P95" s="223" t="s">
        <v>10</v>
      </c>
      <c r="Q95" s="223" t="s">
        <v>7118</v>
      </c>
      <c r="R95" s="223" t="s">
        <v>51</v>
      </c>
      <c r="S95" s="224" t="s">
        <v>38</v>
      </c>
      <c r="T95" s="221"/>
      <c r="U95" s="194"/>
      <c r="V95" s="194"/>
      <c r="W95" s="194"/>
    </row>
    <row r="96" ht="14.25" customHeight="1">
      <c r="A96" s="186"/>
      <c r="B96" s="13"/>
      <c r="C96" s="14"/>
      <c r="D96" s="187"/>
      <c r="E96" s="188"/>
      <c r="F96" s="189"/>
      <c r="G96" s="187"/>
      <c r="H96" s="204"/>
      <c r="I96" s="204"/>
      <c r="J96" s="196"/>
      <c r="K96" s="196"/>
      <c r="L96" s="192" t="str">
        <f>IFERROR(__xludf.DUMMYFUNCTION("IF(
  AND(D96=""Saída"", J96=""Sangria""),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197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94" t="str">
        <f>IFERROR(__xludf.DUMMYFUNCTION("ifna(VALUE(REGEXEXTRACT(E96,""[0-9.]+[,]+[0-9]+"")))"),"")</f>
        <v/>
      </c>
      <c r="O96" s="225" t="s">
        <v>3195</v>
      </c>
      <c r="P96" s="208">
        <v>46155.0</v>
      </c>
      <c r="Q96" s="209" t="s">
        <v>126</v>
      </c>
      <c r="R96" s="210">
        <v>500.0</v>
      </c>
      <c r="S96" s="226"/>
      <c r="T96" s="227" t="str">
        <f t="shared" ref="T96:T116" si="1">IFERROR(VLOOKUP(Q96, $A$4:$B$11, 2, FALSE), "")</f>
        <v>Sabrina</v>
      </c>
      <c r="U96" s="194"/>
      <c r="V96" s="194"/>
      <c r="W96" s="194"/>
    </row>
    <row r="97" ht="14.25" customHeight="1">
      <c r="A97" s="186"/>
      <c r="B97" s="13"/>
      <c r="C97" s="14"/>
      <c r="D97" s="187"/>
      <c r="E97" s="188"/>
      <c r="F97" s="189"/>
      <c r="G97" s="187"/>
      <c r="H97" s="204"/>
      <c r="I97" s="204"/>
      <c r="J97" s="196"/>
      <c r="K97" s="196"/>
      <c r="L97" s="192" t="str">
        <f>IFERROR(__xludf.DUMMYFUNCTION("IF(
  AND(D97=""Saída"", J97=""Sangria""),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198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94" t="str">
        <f>IFERROR(__xludf.DUMMYFUNCTION("ifna(VALUE(REGEXEXTRACT(E97,""[0-9.]+[,]+[0-9]+"")))"),"")</f>
        <v/>
      </c>
      <c r="O97" s="225" t="s">
        <v>5469</v>
      </c>
      <c r="P97" s="208">
        <v>46183.0</v>
      </c>
      <c r="Q97" s="209" t="s">
        <v>126</v>
      </c>
      <c r="R97" s="210">
        <v>500.0</v>
      </c>
      <c r="S97" s="228"/>
      <c r="T97" s="227" t="str">
        <f t="shared" si="1"/>
        <v>Sabrina</v>
      </c>
      <c r="U97" s="194"/>
      <c r="V97" s="194"/>
      <c r="W97" s="194"/>
    </row>
    <row r="98" ht="14.25" customHeight="1">
      <c r="A98" s="186"/>
      <c r="B98" s="13"/>
      <c r="C98" s="14"/>
      <c r="D98" s="187"/>
      <c r="E98" s="188"/>
      <c r="F98" s="189"/>
      <c r="G98" s="187"/>
      <c r="H98" s="204"/>
      <c r="I98" s="204"/>
      <c r="J98" s="196"/>
      <c r="K98" s="196"/>
      <c r="L98" s="192" t="str">
        <f>IFERROR(__xludf.DUMMYFUNCTION("IF(
  AND(D98=""Saída"", J98=""Sangria""),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197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94" t="str">
        <f>IFERROR(__xludf.DUMMYFUNCTION("ifna(VALUE(REGEXEXTRACT(E98,""[0-9.]+[,]+[0-9]+"")))"),"")</f>
        <v/>
      </c>
      <c r="O98" s="225" t="s">
        <v>5471</v>
      </c>
      <c r="P98" s="208">
        <v>46183.0</v>
      </c>
      <c r="Q98" s="209" t="s">
        <v>145</v>
      </c>
      <c r="R98" s="210">
        <v>300.0</v>
      </c>
      <c r="S98" s="229"/>
      <c r="T98" s="227" t="str">
        <f t="shared" si="1"/>
        <v/>
      </c>
      <c r="U98" s="194"/>
      <c r="V98" s="194"/>
      <c r="W98" s="194"/>
    </row>
    <row r="99" ht="14.25" customHeight="1">
      <c r="A99" s="186"/>
      <c r="B99" s="13"/>
      <c r="C99" s="14"/>
      <c r="D99" s="187"/>
      <c r="E99" s="188"/>
      <c r="F99" s="189"/>
      <c r="G99" s="187"/>
      <c r="H99" s="204"/>
      <c r="I99" s="204"/>
      <c r="J99" s="196"/>
      <c r="K99" s="196"/>
      <c r="L99" s="192" t="str">
        <f>IFERROR(__xludf.DUMMYFUNCTION("IF(
  AND(D99=""Saída"", J99=""Sangria""),
  IFNA(
    IF(
      SUM(
        QUERY(
          IMPORTRANGE(""https://docs.google.com/spreadsheets/d/1E4szPcLzsqlw4uyBAoJ61L1ChCgpz4wVP8tHfHW1g_c"",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IMPORTRANGE(""https://docs.google.com/spreadsheets/d/1E4szPcLzsqlw4uyBAoJ61L1ChCgpz4wVP8tHfHW1g_c"",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IMPORT"&amp;"RANGE(""https://docs.google.com/spreadsheets/d/1E4szPcLzsqlw4uyBAoJ61L1ChCgpz4wVP8tHfHW1g_c"",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198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94" t="str">
        <f>IFERROR(__xludf.DUMMYFUNCTION("ifna(VALUE(REGEXEXTRACT(E99,""[0-9.]+[,]+[0-9]+"")))"),"")</f>
        <v/>
      </c>
      <c r="O99" s="225"/>
      <c r="P99" s="208"/>
      <c r="Q99" s="209"/>
      <c r="R99" s="210"/>
      <c r="S99" s="230"/>
      <c r="T99" s="227" t="str">
        <f t="shared" si="1"/>
        <v/>
      </c>
      <c r="U99" s="194"/>
      <c r="V99" s="194"/>
      <c r="W99" s="194"/>
    </row>
    <row r="100" ht="14.25" customHeight="1">
      <c r="A100" s="186"/>
      <c r="B100" s="13"/>
      <c r="C100" s="14"/>
      <c r="D100" s="187"/>
      <c r="E100" s="188"/>
      <c r="F100" s="189"/>
      <c r="G100" s="187"/>
      <c r="H100" s="204"/>
      <c r="I100" s="204"/>
      <c r="J100" s="196"/>
      <c r="K100" s="196"/>
      <c r="L100" s="192" t="str">
        <f>IFERROR(__xludf.DUMMYFUNCTION("IF(
  AND(D100=""Saída"", J100=""Sangria""),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197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94" t="str">
        <f>IFERROR(__xludf.DUMMYFUNCTION("ifna(VALUE(REGEXEXTRACT(E100,""[0-9.]+[,]+[0-9]+"")))"),"")</f>
        <v/>
      </c>
      <c r="O100" s="225"/>
      <c r="P100" s="208"/>
      <c r="Q100" s="209"/>
      <c r="R100" s="210"/>
      <c r="S100" s="229"/>
      <c r="T100" s="227" t="str">
        <f t="shared" si="1"/>
        <v/>
      </c>
      <c r="U100" s="194"/>
      <c r="V100" s="194"/>
      <c r="W100" s="194"/>
    </row>
    <row r="101" ht="14.25" customHeight="1">
      <c r="A101" s="186"/>
      <c r="B101" s="13"/>
      <c r="C101" s="14"/>
      <c r="D101" s="187"/>
      <c r="E101" s="188"/>
      <c r="F101" s="189"/>
      <c r="G101" s="187"/>
      <c r="H101" s="204"/>
      <c r="I101" s="204"/>
      <c r="J101" s="196"/>
      <c r="K101" s="196"/>
      <c r="L101" s="192" t="str">
        <f>IFERROR(__xludf.DUMMYFUNCTION("IF(
  AND(D101=""Saída"", J101=""Sangria""),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198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94" t="str">
        <f>IFERROR(__xludf.DUMMYFUNCTION("ifna(VALUE(REGEXEXTRACT(E101,""[0-9.]+[,]+[0-9]+"")))"),"")</f>
        <v/>
      </c>
      <c r="O101" s="231"/>
      <c r="P101" s="232"/>
      <c r="Q101" s="233"/>
      <c r="R101" s="234"/>
      <c r="S101" s="230"/>
      <c r="T101" s="227" t="str">
        <f t="shared" si="1"/>
        <v/>
      </c>
      <c r="U101" s="194"/>
      <c r="V101" s="194"/>
      <c r="W101" s="194"/>
    </row>
    <row r="102" ht="14.25" customHeight="1">
      <c r="A102" s="186"/>
      <c r="B102" s="13"/>
      <c r="C102" s="14"/>
      <c r="D102" s="187"/>
      <c r="E102" s="188"/>
      <c r="F102" s="189"/>
      <c r="G102" s="187"/>
      <c r="H102" s="204"/>
      <c r="I102" s="204"/>
      <c r="J102" s="196"/>
      <c r="K102" s="196"/>
      <c r="L102" s="192" t="str">
        <f>IFERROR(__xludf.DUMMYFUNCTION("IF(
  AND(D102=""Saída"", J102=""Sangria""),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197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94" t="str">
        <f>IFERROR(__xludf.DUMMYFUNCTION("ifna(VALUE(REGEXEXTRACT(E102,""[0-9.]+[,]+[0-9]+"")))"),"")</f>
        <v/>
      </c>
      <c r="O102" s="235"/>
      <c r="P102" s="236"/>
      <c r="Q102" s="229"/>
      <c r="R102" s="237" t="str">
        <f t="shared" ref="R102:R138" si="2">IFERROR(VLOOKUP(Q102, $B$4:$C$18, 2, FALSE), "")</f>
        <v/>
      </c>
      <c r="S102" s="229" t="str">
        <f t="shared" ref="S102:S138" si="3">IFERROR(VLOOKUP(Q102, $A$4:$B$18, 2, FALSE), "")</f>
        <v/>
      </c>
      <c r="T102" s="227" t="str">
        <f t="shared" si="1"/>
        <v/>
      </c>
      <c r="U102" s="194"/>
      <c r="V102" s="194"/>
      <c r="W102" s="194"/>
    </row>
    <row r="103" ht="14.25" customHeight="1">
      <c r="A103" s="186"/>
      <c r="B103" s="13"/>
      <c r="C103" s="14"/>
      <c r="D103" s="187"/>
      <c r="E103" s="188"/>
      <c r="F103" s="189"/>
      <c r="G103" s="187"/>
      <c r="H103" s="204"/>
      <c r="I103" s="204"/>
      <c r="J103" s="196"/>
      <c r="K103" s="196"/>
      <c r="L103" s="192" t="str">
        <f>IFERROR(__xludf.DUMMYFUNCTION("IF(
  AND(D103=""Saída"", J103=""Sangria""),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198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94" t="str">
        <f>IFERROR(__xludf.DUMMYFUNCTION("ifna(VALUE(REGEXEXTRACT(E103,""[0-9.]+[,]+[0-9]+"")))"),"")</f>
        <v/>
      </c>
      <c r="O103" s="238"/>
      <c r="P103" s="239"/>
      <c r="Q103" s="230"/>
      <c r="R103" s="240" t="str">
        <f t="shared" si="2"/>
        <v/>
      </c>
      <c r="S103" s="230" t="str">
        <f t="shared" si="3"/>
        <v/>
      </c>
      <c r="T103" s="227" t="str">
        <f t="shared" si="1"/>
        <v/>
      </c>
      <c r="U103" s="194"/>
      <c r="V103" s="194"/>
      <c r="W103" s="194"/>
    </row>
    <row r="104" ht="14.25" customHeight="1">
      <c r="A104" s="186"/>
      <c r="B104" s="13"/>
      <c r="C104" s="14"/>
      <c r="D104" s="187"/>
      <c r="E104" s="188"/>
      <c r="F104" s="189"/>
      <c r="G104" s="187"/>
      <c r="H104" s="204"/>
      <c r="I104" s="204"/>
      <c r="J104" s="196"/>
      <c r="K104" s="196"/>
      <c r="L104" s="192" t="str">
        <f>IFERROR(__xludf.DUMMYFUNCTION("IF(
  AND(D104=""Saída"", J104=""Sangria""),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197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94" t="str">
        <f>IFERROR(__xludf.DUMMYFUNCTION("ifna(VALUE(REGEXEXTRACT(E104,""[0-9.]+[,]+[0-9]+"")))"),"")</f>
        <v/>
      </c>
      <c r="O104" s="235"/>
      <c r="P104" s="236"/>
      <c r="Q104" s="229"/>
      <c r="R104" s="237" t="str">
        <f t="shared" si="2"/>
        <v/>
      </c>
      <c r="S104" s="229" t="str">
        <f t="shared" si="3"/>
        <v/>
      </c>
      <c r="T104" s="227" t="str">
        <f t="shared" si="1"/>
        <v/>
      </c>
      <c r="U104" s="194"/>
      <c r="V104" s="194"/>
      <c r="W104" s="194"/>
    </row>
    <row r="105" ht="14.25" customHeight="1">
      <c r="A105" s="186"/>
      <c r="B105" s="13"/>
      <c r="C105" s="14"/>
      <c r="D105" s="187"/>
      <c r="E105" s="188"/>
      <c r="F105" s="189"/>
      <c r="G105" s="187"/>
      <c r="H105" s="204"/>
      <c r="I105" s="204"/>
      <c r="J105" s="196"/>
      <c r="K105" s="196"/>
      <c r="L105" s="192" t="str">
        <f>IFERROR(__xludf.DUMMYFUNCTION("IF(
  AND(D105=""Saída"", J105=""Sangria""),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198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94" t="str">
        <f>IFERROR(__xludf.DUMMYFUNCTION("ifna(VALUE(REGEXEXTRACT(E105,""[0-9.]+[,]+[0-9]+"")))"),"")</f>
        <v/>
      </c>
      <c r="O105" s="238"/>
      <c r="P105" s="239"/>
      <c r="Q105" s="230"/>
      <c r="R105" s="240" t="str">
        <f t="shared" si="2"/>
        <v/>
      </c>
      <c r="S105" s="230" t="str">
        <f t="shared" si="3"/>
        <v/>
      </c>
      <c r="T105" s="227" t="str">
        <f t="shared" si="1"/>
        <v/>
      </c>
      <c r="U105" s="194"/>
      <c r="V105" s="194"/>
      <c r="W105" s="194"/>
    </row>
    <row r="106" ht="14.25" customHeight="1">
      <c r="A106" s="186"/>
      <c r="B106" s="13"/>
      <c r="C106" s="14"/>
      <c r="D106" s="187"/>
      <c r="E106" s="188"/>
      <c r="F106" s="189"/>
      <c r="G106" s="187"/>
      <c r="H106" s="204"/>
      <c r="I106" s="204"/>
      <c r="J106" s="196"/>
      <c r="K106" s="196"/>
      <c r="L106" s="192" t="str">
        <f>IFERROR(__xludf.DUMMYFUNCTION("IF(
  AND(D106=""Saída"", J106=""Sangria""),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197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94" t="str">
        <f>IFERROR(__xludf.DUMMYFUNCTION("ifna(VALUE(REGEXEXTRACT(E106,""[0-9.]+[,]+[0-9]+"")))"),"")</f>
        <v/>
      </c>
      <c r="O106" s="235"/>
      <c r="P106" s="236"/>
      <c r="Q106" s="229"/>
      <c r="R106" s="237" t="str">
        <f t="shared" si="2"/>
        <v/>
      </c>
      <c r="S106" s="229" t="str">
        <f t="shared" si="3"/>
        <v/>
      </c>
      <c r="T106" s="227" t="str">
        <f t="shared" si="1"/>
        <v/>
      </c>
      <c r="U106" s="194"/>
      <c r="V106" s="194"/>
      <c r="W106" s="194"/>
    </row>
    <row r="107" ht="14.25" customHeight="1">
      <c r="A107" s="186"/>
      <c r="B107" s="13"/>
      <c r="C107" s="14"/>
      <c r="D107" s="187"/>
      <c r="E107" s="188"/>
      <c r="F107" s="189"/>
      <c r="G107" s="187"/>
      <c r="H107" s="204"/>
      <c r="I107" s="204"/>
      <c r="J107" s="196"/>
      <c r="K107" s="196"/>
      <c r="L107" s="192" t="str">
        <f>IFERROR(__xludf.DUMMYFUNCTION("IF(
  AND(D107=""Saída"", J107=""Sangria""),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198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94" t="str">
        <f>IFERROR(__xludf.DUMMYFUNCTION("ifna(VALUE(REGEXEXTRACT(E107,""[0-9.]+[,]+[0-9]+"")))"),"")</f>
        <v/>
      </c>
      <c r="O107" s="238"/>
      <c r="P107" s="230"/>
      <c r="Q107" s="230"/>
      <c r="R107" s="240" t="str">
        <f t="shared" si="2"/>
        <v/>
      </c>
      <c r="S107" s="230" t="str">
        <f t="shared" si="3"/>
        <v/>
      </c>
      <c r="T107" s="227" t="str">
        <f t="shared" si="1"/>
        <v/>
      </c>
      <c r="U107" s="194"/>
      <c r="V107" s="194"/>
      <c r="W107" s="194"/>
    </row>
    <row r="108" ht="14.25" customHeight="1">
      <c r="A108" s="186"/>
      <c r="B108" s="13"/>
      <c r="C108" s="14"/>
      <c r="D108" s="187"/>
      <c r="E108" s="188"/>
      <c r="F108" s="189"/>
      <c r="G108" s="187"/>
      <c r="H108" s="204"/>
      <c r="I108" s="204"/>
      <c r="J108" s="196"/>
      <c r="K108" s="196"/>
      <c r="L108" s="192" t="str">
        <f>IFERROR(__xludf.DUMMYFUNCTION("IF(
  AND(D108=""Saída"", J108=""Sangria""),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197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94" t="str">
        <f>IFERROR(__xludf.DUMMYFUNCTION("ifna(VALUE(REGEXEXTRACT(E108,""[0-9.]+[,]+[0-9]+"")))"),"")</f>
        <v/>
      </c>
      <c r="O108" s="235"/>
      <c r="P108" s="229"/>
      <c r="Q108" s="229"/>
      <c r="R108" s="237" t="str">
        <f t="shared" si="2"/>
        <v/>
      </c>
      <c r="S108" s="229" t="str">
        <f t="shared" si="3"/>
        <v/>
      </c>
      <c r="T108" s="227" t="str">
        <f t="shared" si="1"/>
        <v/>
      </c>
      <c r="U108" s="194"/>
      <c r="V108" s="194"/>
      <c r="W108" s="194"/>
    </row>
    <row r="109" ht="14.25" customHeight="1">
      <c r="A109" s="186"/>
      <c r="B109" s="13"/>
      <c r="C109" s="14"/>
      <c r="D109" s="187"/>
      <c r="E109" s="188"/>
      <c r="F109" s="189"/>
      <c r="G109" s="187"/>
      <c r="H109" s="204"/>
      <c r="I109" s="204"/>
      <c r="J109" s="196"/>
      <c r="K109" s="196"/>
      <c r="L109" s="192" t="str">
        <f>IFERROR(__xludf.DUMMYFUNCTION("IF(
  AND(D109=""Saída"", J109=""Sangria""),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198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94" t="str">
        <f>IFERROR(__xludf.DUMMYFUNCTION("ifna(VALUE(REGEXEXTRACT(E109,""[0-9.]+[,]+[0-9]+"")))"),"")</f>
        <v/>
      </c>
      <c r="O109" s="238"/>
      <c r="P109" s="230"/>
      <c r="Q109" s="230"/>
      <c r="R109" s="240" t="str">
        <f t="shared" si="2"/>
        <v/>
      </c>
      <c r="S109" s="230" t="str">
        <f t="shared" si="3"/>
        <v/>
      </c>
      <c r="T109" s="227" t="str">
        <f t="shared" si="1"/>
        <v/>
      </c>
      <c r="U109" s="194"/>
      <c r="V109" s="194"/>
      <c r="W109" s="194"/>
    </row>
    <row r="110" ht="14.25" customHeight="1">
      <c r="A110" s="186"/>
      <c r="B110" s="13"/>
      <c r="C110" s="14"/>
      <c r="D110" s="187"/>
      <c r="E110" s="188"/>
      <c r="F110" s="189"/>
      <c r="G110" s="187"/>
      <c r="H110" s="204"/>
      <c r="I110" s="204"/>
      <c r="J110" s="196"/>
      <c r="K110" s="196"/>
      <c r="L110" s="192" t="str">
        <f>IFERROR(__xludf.DUMMYFUNCTION("IF(
  AND(D110=""Saída"", J110=""Sangria""),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197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94" t="str">
        <f>IFERROR(__xludf.DUMMYFUNCTION("ifna(VALUE(REGEXEXTRACT(E110,""[0-9.]+[,]+[0-9]+"")))"),"")</f>
        <v/>
      </c>
      <c r="O110" s="235"/>
      <c r="P110" s="229"/>
      <c r="Q110" s="229"/>
      <c r="R110" s="237" t="str">
        <f t="shared" si="2"/>
        <v/>
      </c>
      <c r="S110" s="229" t="str">
        <f t="shared" si="3"/>
        <v/>
      </c>
      <c r="T110" s="227" t="str">
        <f t="shared" si="1"/>
        <v/>
      </c>
      <c r="U110" s="194"/>
      <c r="V110" s="194"/>
      <c r="W110" s="194"/>
    </row>
    <row r="111" ht="14.25" customHeight="1">
      <c r="A111" s="186"/>
      <c r="B111" s="13"/>
      <c r="C111" s="14"/>
      <c r="D111" s="187"/>
      <c r="E111" s="188"/>
      <c r="F111" s="189"/>
      <c r="G111" s="187"/>
      <c r="H111" s="204"/>
      <c r="I111" s="204"/>
      <c r="J111" s="196"/>
      <c r="K111" s="196"/>
      <c r="L111" s="192" t="str">
        <f>IFERROR(__xludf.DUMMYFUNCTION("IF(
  AND(D111=""Saída"", J111=""Sangria""),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198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94" t="str">
        <f>IFERROR(__xludf.DUMMYFUNCTION("ifna(VALUE(REGEXEXTRACT(E111,""[0-9.]+[,]+[0-9]+"")))"),"")</f>
        <v/>
      </c>
      <c r="O111" s="238"/>
      <c r="P111" s="230"/>
      <c r="Q111" s="230"/>
      <c r="R111" s="240" t="str">
        <f t="shared" si="2"/>
        <v/>
      </c>
      <c r="S111" s="230" t="str">
        <f t="shared" si="3"/>
        <v/>
      </c>
      <c r="T111" s="227" t="str">
        <f t="shared" si="1"/>
        <v/>
      </c>
      <c r="U111" s="194"/>
      <c r="V111" s="194"/>
      <c r="W111" s="194"/>
    </row>
    <row r="112" ht="14.25" customHeight="1">
      <c r="A112" s="186"/>
      <c r="B112" s="13"/>
      <c r="C112" s="14"/>
      <c r="D112" s="187"/>
      <c r="E112" s="188"/>
      <c r="F112" s="200"/>
      <c r="G112" s="187"/>
      <c r="H112" s="204"/>
      <c r="I112" s="204"/>
      <c r="J112" s="196"/>
      <c r="K112" s="196"/>
      <c r="L112" s="192" t="str">
        <f>IFERROR(__xludf.DUMMYFUNCTION("IF(
  AND(D112=""Saída"", J112=""Sangria""),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197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94" t="str">
        <f>IFERROR(__xludf.DUMMYFUNCTION("ifna(VALUE(REGEXEXTRACT(E112,""[0-9.]+[,]+[0-9]+"")))"),"")</f>
        <v/>
      </c>
      <c r="O112" s="235"/>
      <c r="P112" s="229"/>
      <c r="Q112" s="229"/>
      <c r="R112" s="237" t="str">
        <f t="shared" si="2"/>
        <v/>
      </c>
      <c r="S112" s="229" t="str">
        <f t="shared" si="3"/>
        <v/>
      </c>
      <c r="T112" s="227" t="str">
        <f t="shared" si="1"/>
        <v/>
      </c>
      <c r="U112" s="194"/>
      <c r="V112" s="194"/>
      <c r="W112" s="194"/>
    </row>
    <row r="113" ht="14.25" customHeight="1">
      <c r="A113" s="186"/>
      <c r="B113" s="13"/>
      <c r="C113" s="14"/>
      <c r="D113" s="187"/>
      <c r="E113" s="188"/>
      <c r="F113" s="189"/>
      <c r="G113" s="187"/>
      <c r="H113" s="204"/>
      <c r="I113" s="204"/>
      <c r="J113" s="196"/>
      <c r="K113" s="196"/>
      <c r="L113" s="192" t="str">
        <f>IFERROR(__xludf.DUMMYFUNCTION("IF(
  AND(D113=""Saída"", J113=""Sangria""),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198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94" t="str">
        <f>IFERROR(__xludf.DUMMYFUNCTION("ifna(VALUE(REGEXEXTRACT(E113,""[0-9.]+[,]+[0-9]+"")))"),"")</f>
        <v/>
      </c>
      <c r="O113" s="238"/>
      <c r="P113" s="230"/>
      <c r="Q113" s="230"/>
      <c r="R113" s="240" t="str">
        <f t="shared" si="2"/>
        <v/>
      </c>
      <c r="S113" s="230" t="str">
        <f t="shared" si="3"/>
        <v/>
      </c>
      <c r="T113" s="227" t="str">
        <f t="shared" si="1"/>
        <v/>
      </c>
      <c r="U113" s="194"/>
      <c r="V113" s="194"/>
      <c r="W113" s="194"/>
    </row>
    <row r="114" ht="14.25" customHeight="1">
      <c r="A114" s="186"/>
      <c r="B114" s="13"/>
      <c r="C114" s="14"/>
      <c r="D114" s="187"/>
      <c r="E114" s="188"/>
      <c r="F114" s="189"/>
      <c r="G114" s="187"/>
      <c r="H114" s="204"/>
      <c r="I114" s="204"/>
      <c r="J114" s="196"/>
      <c r="K114" s="196"/>
      <c r="L114" s="192" t="str">
        <f>IFERROR(__xludf.DUMMYFUNCTION("IF(
  AND(D114=""Saída"", J114=""Sangria""),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197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94" t="str">
        <f>IFERROR(__xludf.DUMMYFUNCTION("ifna(VALUE(REGEXEXTRACT(E114,""[0-9.]+[,]+[0-9]+"")))"),"")</f>
        <v/>
      </c>
      <c r="O114" s="235"/>
      <c r="P114" s="229"/>
      <c r="Q114" s="229"/>
      <c r="R114" s="237" t="str">
        <f t="shared" si="2"/>
        <v/>
      </c>
      <c r="S114" s="229" t="str">
        <f t="shared" si="3"/>
        <v/>
      </c>
      <c r="T114" s="227" t="str">
        <f t="shared" si="1"/>
        <v/>
      </c>
      <c r="U114" s="194"/>
      <c r="V114" s="194"/>
      <c r="W114" s="194"/>
    </row>
    <row r="115" ht="14.25" customHeight="1">
      <c r="A115" s="186"/>
      <c r="B115" s="13"/>
      <c r="C115" s="14"/>
      <c r="D115" s="187"/>
      <c r="E115" s="188"/>
      <c r="F115" s="189"/>
      <c r="G115" s="187"/>
      <c r="H115" s="204"/>
      <c r="I115" s="204"/>
      <c r="J115" s="196"/>
      <c r="K115" s="196"/>
      <c r="L115" s="192" t="str">
        <f>IFERROR(__xludf.DUMMYFUNCTION("IF(
  AND(D115=""Saída"", J115=""Sangria""),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198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94" t="str">
        <f>IFERROR(__xludf.DUMMYFUNCTION("ifna(VALUE(REGEXEXTRACT(E115,""[0-9.]+[,]+[0-9]+"")))"),"")</f>
        <v/>
      </c>
      <c r="O115" s="238"/>
      <c r="P115" s="230"/>
      <c r="Q115" s="230"/>
      <c r="R115" s="240" t="str">
        <f t="shared" si="2"/>
        <v/>
      </c>
      <c r="S115" s="230" t="str">
        <f t="shared" si="3"/>
        <v/>
      </c>
      <c r="T115" s="227" t="str">
        <f t="shared" si="1"/>
        <v/>
      </c>
      <c r="U115" s="194"/>
      <c r="V115" s="194"/>
      <c r="W115" s="194"/>
    </row>
    <row r="116" ht="14.25" customHeight="1">
      <c r="A116" s="186"/>
      <c r="B116" s="13"/>
      <c r="C116" s="14"/>
      <c r="D116" s="187"/>
      <c r="E116" s="188"/>
      <c r="F116" s="189"/>
      <c r="G116" s="187"/>
      <c r="H116" s="204"/>
      <c r="I116" s="204"/>
      <c r="J116" s="196"/>
      <c r="K116" s="196"/>
      <c r="L116" s="192" t="str">
        <f>IFERROR(__xludf.DUMMYFUNCTION("IF(
  AND(D116=""Saída"", J116=""Sangria""),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197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94" t="str">
        <f>IFERROR(__xludf.DUMMYFUNCTION("ifna(VALUE(REGEXEXTRACT(E116,""[0-9.]+[,]+[0-9]+"")))"),"")</f>
        <v/>
      </c>
      <c r="O116" s="235"/>
      <c r="P116" s="229"/>
      <c r="Q116" s="229"/>
      <c r="R116" s="237" t="str">
        <f t="shared" si="2"/>
        <v/>
      </c>
      <c r="S116" s="229" t="str">
        <f t="shared" si="3"/>
        <v/>
      </c>
      <c r="T116" s="227" t="str">
        <f t="shared" si="1"/>
        <v/>
      </c>
      <c r="U116" s="194"/>
      <c r="V116" s="194"/>
      <c r="W116" s="194"/>
    </row>
    <row r="117" ht="14.25" customHeight="1">
      <c r="A117" s="186"/>
      <c r="B117" s="13"/>
      <c r="C117" s="14"/>
      <c r="D117" s="187"/>
      <c r="E117" s="188"/>
      <c r="F117" s="189"/>
      <c r="G117" s="187"/>
      <c r="H117" s="204"/>
      <c r="I117" s="204"/>
      <c r="J117" s="196"/>
      <c r="K117" s="196"/>
      <c r="L117" s="192" t="str">
        <f>IFERROR(__xludf.DUMMYFUNCTION("IF(
  AND(D117=""Saída"", J117=""Sangria""),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198" t="str">
        <f>IFERROR(__xludf.DUMMYFUNCTION("IF(J117=""Compra de Mercadorias"",
   IF(
      COUNTIF(ARRAYFORMULA(TRIM(CLEAN(TO_TEXT(Notas!BS:BS)))), TRIM(CLEAN(TO_TEXT(#REF!)))) &gt; 0,
      ""Encontrada"",
      ""Não Encontrada""
   ),
"""")"),"")</f>
        <v/>
      </c>
      <c r="N117" s="194" t="str">
        <f>IFERROR(__xludf.DUMMYFUNCTION("ifna(VALUE(REGEXEXTRACT(E117,""[0-9.]+[,]+[0-9]+"")))"),"")</f>
        <v/>
      </c>
      <c r="O117" s="238"/>
      <c r="P117" s="230"/>
      <c r="Q117" s="230"/>
      <c r="R117" s="240" t="str">
        <f t="shared" si="2"/>
        <v/>
      </c>
      <c r="S117" s="230" t="str">
        <f t="shared" si="3"/>
        <v/>
      </c>
      <c r="T117" s="242" t="str">
        <f t="shared" ref="T117:T138" si="4">IFERROR(VLOOKUP(Q117, $A$4:$B$18, 2, FALSE), "")</f>
        <v/>
      </c>
      <c r="U117" s="194"/>
      <c r="V117" s="194"/>
      <c r="W117" s="194"/>
    </row>
    <row r="118" ht="14.25" customHeight="1">
      <c r="A118" s="186"/>
      <c r="B118" s="13"/>
      <c r="C118" s="14"/>
      <c r="D118" s="187"/>
      <c r="E118" s="188"/>
      <c r="F118" s="189"/>
      <c r="G118" s="187"/>
      <c r="H118" s="204"/>
      <c r="I118" s="204"/>
      <c r="J118" s="196"/>
      <c r="K118" s="196"/>
      <c r="L118" s="192" t="str">
        <f>IFERROR(__xludf.DUMMYFUNCTION("IF(
  AND(D118=""Saída"", J118=""Sangria""),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197" t="str">
        <f>IFERROR(__xludf.DUMMYFUNCTION("IF(J118=""Compra de Mercadorias"",
   IF(
      COUNTIF(ARRAYFORMULA(TRIM(CLEAN(TO_TEXT(Notas!BS:BS)))), TRIM(CLEAN(TO_TEXT(B117)))) &gt; 0,
      ""Encontrada"",
      ""Não Encontrada""
   ),
"""")"),"")</f>
        <v/>
      </c>
      <c r="N118" s="194" t="str">
        <f>IFERROR(__xludf.DUMMYFUNCTION("ifna(VALUE(REGEXEXTRACT(E118,""[0-9.]+[,]+[0-9]+"")))"),"")</f>
        <v/>
      </c>
      <c r="O118" s="235"/>
      <c r="P118" s="229"/>
      <c r="Q118" s="229"/>
      <c r="R118" s="237" t="str">
        <f t="shared" si="2"/>
        <v/>
      </c>
      <c r="S118" s="229" t="str">
        <f t="shared" si="3"/>
        <v/>
      </c>
      <c r="T118" s="242" t="str">
        <f t="shared" si="4"/>
        <v/>
      </c>
      <c r="U118" s="194"/>
      <c r="V118" s="194"/>
      <c r="W118" s="194"/>
    </row>
    <row r="119" ht="14.25" customHeight="1">
      <c r="A119" s="186"/>
      <c r="B119" s="13"/>
      <c r="C119" s="14"/>
      <c r="D119" s="187"/>
      <c r="E119" s="188"/>
      <c r="F119" s="189"/>
      <c r="G119" s="187"/>
      <c r="H119" s="204"/>
      <c r="I119" s="204"/>
      <c r="J119" s="196"/>
      <c r="K119" s="196"/>
      <c r="L119" s="192" t="str">
        <f>IFERROR(__xludf.DUMMYFUNCTION("IF(
  AND(D119=""Saída"", J119=""Sangria""),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198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94" t="str">
        <f>IFERROR(__xludf.DUMMYFUNCTION("ifna(VALUE(REGEXEXTRACT(E119,""[0-9.]+[,]+[0-9]+"")))"),"")</f>
        <v/>
      </c>
      <c r="O119" s="238"/>
      <c r="P119" s="230"/>
      <c r="Q119" s="230"/>
      <c r="R119" s="240" t="str">
        <f t="shared" si="2"/>
        <v/>
      </c>
      <c r="S119" s="230" t="str">
        <f t="shared" si="3"/>
        <v/>
      </c>
      <c r="T119" s="242" t="str">
        <f t="shared" si="4"/>
        <v/>
      </c>
      <c r="U119" s="194"/>
      <c r="V119" s="194"/>
      <c r="W119" s="194"/>
    </row>
    <row r="120" ht="14.25" customHeight="1">
      <c r="A120" s="186"/>
      <c r="B120" s="13"/>
      <c r="C120" s="14"/>
      <c r="D120" s="187"/>
      <c r="E120" s="188"/>
      <c r="F120" s="189"/>
      <c r="G120" s="187"/>
      <c r="H120" s="204"/>
      <c r="I120" s="204"/>
      <c r="J120" s="196"/>
      <c r="K120" s="196"/>
      <c r="L120" s="192" t="str">
        <f>IFERROR(__xludf.DUMMYFUNCTION("IF(
  AND(D120=""Saída"", J120=""Sangria""),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197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94" t="str">
        <f>IFERROR(__xludf.DUMMYFUNCTION("ifna(VALUE(REGEXEXTRACT(E120,""[0-9.]+[,]+[0-9]+"")))"),"")</f>
        <v/>
      </c>
      <c r="O120" s="235"/>
      <c r="P120" s="229"/>
      <c r="Q120" s="229"/>
      <c r="R120" s="237" t="str">
        <f t="shared" si="2"/>
        <v/>
      </c>
      <c r="S120" s="229" t="str">
        <f t="shared" si="3"/>
        <v/>
      </c>
      <c r="T120" s="242" t="str">
        <f t="shared" si="4"/>
        <v/>
      </c>
      <c r="U120" s="194"/>
      <c r="V120" s="194"/>
      <c r="W120" s="194"/>
    </row>
    <row r="121" ht="14.25" customHeight="1">
      <c r="A121" s="186"/>
      <c r="B121" s="13"/>
      <c r="C121" s="14"/>
      <c r="D121" s="187"/>
      <c r="E121" s="188"/>
      <c r="F121" s="200"/>
      <c r="G121" s="187"/>
      <c r="H121" s="204"/>
      <c r="I121" s="204"/>
      <c r="J121" s="196"/>
      <c r="K121" s="196"/>
      <c r="L121" s="192" t="str">
        <f>IFERROR(__xludf.DUMMYFUNCTION("IF(
  AND(D121=""Saída"", J121=""Sangria""),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198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94" t="str">
        <f>IFERROR(__xludf.DUMMYFUNCTION("ifna(VALUE(REGEXEXTRACT(E121,""[0-9.]+[,]+[0-9]+"")))"),"")</f>
        <v/>
      </c>
      <c r="O121" s="238"/>
      <c r="P121" s="230"/>
      <c r="Q121" s="230"/>
      <c r="R121" s="240" t="str">
        <f t="shared" si="2"/>
        <v/>
      </c>
      <c r="S121" s="230" t="str">
        <f t="shared" si="3"/>
        <v/>
      </c>
      <c r="T121" s="242" t="str">
        <f t="shared" si="4"/>
        <v/>
      </c>
      <c r="U121" s="194"/>
      <c r="V121" s="194"/>
      <c r="W121" s="194"/>
    </row>
    <row r="122" ht="14.25" customHeight="1">
      <c r="A122" s="186"/>
      <c r="B122" s="13"/>
      <c r="C122" s="14"/>
      <c r="D122" s="187"/>
      <c r="E122" s="188"/>
      <c r="F122" s="189"/>
      <c r="G122" s="187"/>
      <c r="H122" s="204"/>
      <c r="I122" s="204"/>
      <c r="J122" s="196"/>
      <c r="K122" s="196"/>
      <c r="L122" s="192" t="str">
        <f>IFERROR(__xludf.DUMMYFUNCTION("IF(
  AND(D122=""Saída"", J122=""Sangria""),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197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94" t="str">
        <f>IFERROR(__xludf.DUMMYFUNCTION("ifna(VALUE(REGEXEXTRACT(E122,""[0-9.]+[,]+[0-9]+"")))"),"")</f>
        <v/>
      </c>
      <c r="O122" s="235"/>
      <c r="P122" s="229"/>
      <c r="Q122" s="229"/>
      <c r="R122" s="237" t="str">
        <f t="shared" si="2"/>
        <v/>
      </c>
      <c r="S122" s="229" t="str">
        <f t="shared" si="3"/>
        <v/>
      </c>
      <c r="T122" s="242" t="str">
        <f t="shared" si="4"/>
        <v/>
      </c>
      <c r="U122" s="194"/>
      <c r="V122" s="194"/>
      <c r="W122" s="194"/>
    </row>
    <row r="123" ht="14.25" customHeight="1">
      <c r="A123" s="186"/>
      <c r="B123" s="13"/>
      <c r="C123" s="14"/>
      <c r="D123" s="187"/>
      <c r="E123" s="188"/>
      <c r="F123" s="189"/>
      <c r="G123" s="187"/>
      <c r="H123" s="204"/>
      <c r="I123" s="204"/>
      <c r="J123" s="196"/>
      <c r="K123" s="196"/>
      <c r="L123" s="192" t="str">
        <f>IFERROR(__xludf.DUMMYFUNCTION("IF(
  AND(D123=""Saída"", J123=""Sangria""),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198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94" t="str">
        <f>IFERROR(__xludf.DUMMYFUNCTION("ifna(VALUE(REGEXEXTRACT(E123,""[0-9.]+[,]+[0-9]+"")))"),"")</f>
        <v/>
      </c>
      <c r="O123" s="238"/>
      <c r="P123" s="230"/>
      <c r="Q123" s="230"/>
      <c r="R123" s="240" t="str">
        <f t="shared" si="2"/>
        <v/>
      </c>
      <c r="S123" s="230" t="str">
        <f t="shared" si="3"/>
        <v/>
      </c>
      <c r="T123" s="242" t="str">
        <f t="shared" si="4"/>
        <v/>
      </c>
      <c r="U123" s="194"/>
      <c r="V123" s="194"/>
      <c r="W123" s="194"/>
    </row>
    <row r="124" ht="14.25" customHeight="1">
      <c r="A124" s="186"/>
      <c r="B124" s="13"/>
      <c r="C124" s="14"/>
      <c r="D124" s="187"/>
      <c r="E124" s="188"/>
      <c r="F124" s="189"/>
      <c r="G124" s="187"/>
      <c r="H124" s="204"/>
      <c r="I124" s="204"/>
      <c r="J124" s="196"/>
      <c r="K124" s="196"/>
      <c r="L124" s="192" t="str">
        <f>IFERROR(__xludf.DUMMYFUNCTION("IF(
  AND(D124=""Saída"", J124=""Sangria""),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197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94" t="str">
        <f>IFERROR(__xludf.DUMMYFUNCTION("ifna(VALUE(REGEXEXTRACT(E124,""[0-9.]+[,]+[0-9]+"")))"),"")</f>
        <v/>
      </c>
      <c r="O124" s="235"/>
      <c r="P124" s="229"/>
      <c r="Q124" s="229"/>
      <c r="R124" s="237" t="str">
        <f t="shared" si="2"/>
        <v/>
      </c>
      <c r="S124" s="229" t="str">
        <f t="shared" si="3"/>
        <v/>
      </c>
      <c r="T124" s="242" t="str">
        <f t="shared" si="4"/>
        <v/>
      </c>
      <c r="U124" s="194"/>
      <c r="V124" s="194"/>
      <c r="W124" s="194"/>
    </row>
    <row r="125" ht="14.25" customHeight="1">
      <c r="A125" s="186"/>
      <c r="B125" s="13"/>
      <c r="C125" s="14"/>
      <c r="D125" s="187"/>
      <c r="E125" s="188"/>
      <c r="F125" s="189"/>
      <c r="G125" s="187"/>
      <c r="H125" s="204"/>
      <c r="I125" s="204"/>
      <c r="J125" s="196"/>
      <c r="K125" s="196"/>
      <c r="L125" s="192" t="str">
        <f>IFERROR(__xludf.DUMMYFUNCTION("IF(
  AND(D125=""Saída"", J125=""Sangria""),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198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94" t="str">
        <f>IFERROR(__xludf.DUMMYFUNCTION("ifna(VALUE(REGEXEXTRACT(E125,""[0-9.]+[,]+[0-9]+"")))"),"")</f>
        <v/>
      </c>
      <c r="O125" s="238"/>
      <c r="P125" s="230"/>
      <c r="Q125" s="230"/>
      <c r="R125" s="240" t="str">
        <f t="shared" si="2"/>
        <v/>
      </c>
      <c r="S125" s="230" t="str">
        <f t="shared" si="3"/>
        <v/>
      </c>
      <c r="T125" s="242" t="str">
        <f t="shared" si="4"/>
        <v/>
      </c>
      <c r="U125" s="194"/>
      <c r="V125" s="194"/>
      <c r="W125" s="194"/>
    </row>
    <row r="126" ht="14.25" customHeight="1">
      <c r="A126" s="186"/>
      <c r="B126" s="13"/>
      <c r="C126" s="14"/>
      <c r="D126" s="187"/>
      <c r="E126" s="188"/>
      <c r="F126" s="189"/>
      <c r="G126" s="187"/>
      <c r="H126" s="204"/>
      <c r="I126" s="204"/>
      <c r="J126" s="196"/>
      <c r="K126" s="196"/>
      <c r="L126" s="192" t="str">
        <f>IFERROR(__xludf.DUMMYFUNCTION("IF(
  AND(D126=""Saída"", J126=""Sangria""),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197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94" t="str">
        <f>IFERROR(__xludf.DUMMYFUNCTION("ifna(VALUE(REGEXEXTRACT(E126,""[0-9.]+[,]+[0-9]+"")))"),"")</f>
        <v/>
      </c>
      <c r="O126" s="235"/>
      <c r="P126" s="229"/>
      <c r="Q126" s="229"/>
      <c r="R126" s="237" t="str">
        <f t="shared" si="2"/>
        <v/>
      </c>
      <c r="S126" s="229" t="str">
        <f t="shared" si="3"/>
        <v/>
      </c>
      <c r="T126" s="242" t="str">
        <f t="shared" si="4"/>
        <v/>
      </c>
      <c r="U126" s="194"/>
      <c r="V126" s="194"/>
      <c r="W126" s="194"/>
    </row>
    <row r="127" ht="14.25" customHeight="1">
      <c r="A127" s="186"/>
      <c r="B127" s="13"/>
      <c r="C127" s="14"/>
      <c r="D127" s="187"/>
      <c r="E127" s="188"/>
      <c r="F127" s="189"/>
      <c r="G127" s="187"/>
      <c r="H127" s="204"/>
      <c r="I127" s="204"/>
      <c r="J127" s="196"/>
      <c r="K127" s="196"/>
      <c r="L127" s="192" t="str">
        <f>IFERROR(__xludf.DUMMYFUNCTION("IF(
  AND(D127=""Saída"", J127=""Sangria""),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198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94" t="str">
        <f>IFERROR(__xludf.DUMMYFUNCTION("ifna(VALUE(REGEXEXTRACT(E127,""[0-9.]+[,]+[0-9]+"")))"),"")</f>
        <v/>
      </c>
      <c r="O127" s="238"/>
      <c r="P127" s="230"/>
      <c r="Q127" s="230"/>
      <c r="R127" s="240" t="str">
        <f t="shared" si="2"/>
        <v/>
      </c>
      <c r="S127" s="230" t="str">
        <f t="shared" si="3"/>
        <v/>
      </c>
      <c r="T127" s="242" t="str">
        <f t="shared" si="4"/>
        <v/>
      </c>
      <c r="U127" s="194"/>
      <c r="V127" s="194"/>
      <c r="W127" s="194"/>
    </row>
    <row r="128" ht="14.25" customHeight="1">
      <c r="A128" s="186"/>
      <c r="B128" s="13"/>
      <c r="C128" s="14"/>
      <c r="D128" s="187"/>
      <c r="E128" s="188"/>
      <c r="F128" s="189"/>
      <c r="G128" s="187"/>
      <c r="H128" s="204"/>
      <c r="I128" s="204"/>
      <c r="J128" s="196"/>
      <c r="K128" s="196"/>
      <c r="L128" s="192" t="str">
        <f>IFERROR(__xludf.DUMMYFUNCTION("IF(
  AND(D128=""Saída"", J128=""Sangria""),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197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94" t="str">
        <f>IFERROR(__xludf.DUMMYFUNCTION("ifna(VALUE(REGEXEXTRACT(E128,""[0-9.]+[,]+[0-9]+"")))"),"")</f>
        <v/>
      </c>
      <c r="O128" s="235"/>
      <c r="P128" s="229"/>
      <c r="Q128" s="229"/>
      <c r="R128" s="237" t="str">
        <f t="shared" si="2"/>
        <v/>
      </c>
      <c r="S128" s="229" t="str">
        <f t="shared" si="3"/>
        <v/>
      </c>
      <c r="T128" s="242" t="str">
        <f t="shared" si="4"/>
        <v/>
      </c>
      <c r="U128" s="194"/>
      <c r="V128" s="194"/>
      <c r="W128" s="194"/>
    </row>
    <row r="129" ht="14.25" customHeight="1">
      <c r="A129" s="186"/>
      <c r="B129" s="13"/>
      <c r="C129" s="14"/>
      <c r="D129" s="187"/>
      <c r="E129" s="188"/>
      <c r="F129" s="189"/>
      <c r="G129" s="187"/>
      <c r="H129" s="204"/>
      <c r="I129" s="204"/>
      <c r="J129" s="196"/>
      <c r="K129" s="196"/>
      <c r="L129" s="192" t="str">
        <f>IFERROR(__xludf.DUMMYFUNCTION("IF(
  AND(D129=""Saída"", J129=""Sangria""),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198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94" t="str">
        <f>IFERROR(__xludf.DUMMYFUNCTION("ifna(VALUE(REGEXEXTRACT(E129,""[0-9.]+[,]+[0-9]+"")))"),"")</f>
        <v/>
      </c>
      <c r="O129" s="238"/>
      <c r="P129" s="230"/>
      <c r="Q129" s="230"/>
      <c r="R129" s="240" t="str">
        <f t="shared" si="2"/>
        <v/>
      </c>
      <c r="S129" s="230" t="str">
        <f t="shared" si="3"/>
        <v/>
      </c>
      <c r="T129" s="242" t="str">
        <f t="shared" si="4"/>
        <v/>
      </c>
      <c r="U129" s="194"/>
      <c r="V129" s="194"/>
      <c r="W129" s="194"/>
    </row>
    <row r="130" ht="14.25" customHeight="1">
      <c r="A130" s="186"/>
      <c r="B130" s="13"/>
      <c r="C130" s="14"/>
      <c r="D130" s="187"/>
      <c r="E130" s="188"/>
      <c r="F130" s="189"/>
      <c r="G130" s="187"/>
      <c r="H130" s="204"/>
      <c r="I130" s="204"/>
      <c r="J130" s="196"/>
      <c r="K130" s="196"/>
      <c r="L130" s="192" t="str">
        <f>IFERROR(__xludf.DUMMYFUNCTION("IF(
  AND(D130=""Saída"", J130=""Sangria""),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197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94" t="str">
        <f>IFERROR(__xludf.DUMMYFUNCTION("ifna(VALUE(REGEXEXTRACT(E130,""[0-9.]+[,]+[0-9]+"")))"),"")</f>
        <v/>
      </c>
      <c r="O130" s="235"/>
      <c r="P130" s="229"/>
      <c r="Q130" s="229"/>
      <c r="R130" s="237" t="str">
        <f t="shared" si="2"/>
        <v/>
      </c>
      <c r="S130" s="229" t="str">
        <f t="shared" si="3"/>
        <v/>
      </c>
      <c r="T130" s="242" t="str">
        <f t="shared" si="4"/>
        <v/>
      </c>
      <c r="U130" s="194"/>
      <c r="V130" s="194"/>
      <c r="W130" s="194"/>
    </row>
    <row r="131" ht="14.25" customHeight="1">
      <c r="A131" s="186"/>
      <c r="B131" s="13"/>
      <c r="C131" s="14"/>
      <c r="D131" s="187"/>
      <c r="E131" s="188"/>
      <c r="F131" s="189"/>
      <c r="G131" s="187"/>
      <c r="H131" s="204"/>
      <c r="I131" s="204"/>
      <c r="J131" s="196"/>
      <c r="K131" s="196"/>
      <c r="L131" s="192" t="str">
        <f>IFERROR(__xludf.DUMMYFUNCTION("IF(
  AND(D131=""Saída"", J131=""Sangria""),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198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94" t="str">
        <f>IFERROR(__xludf.DUMMYFUNCTION("ifna(VALUE(REGEXEXTRACT(E131,""[0-9.]+[,]+[0-9]+"")))"),"")</f>
        <v/>
      </c>
      <c r="O131" s="238"/>
      <c r="P131" s="230"/>
      <c r="Q131" s="230"/>
      <c r="R131" s="240" t="str">
        <f t="shared" si="2"/>
        <v/>
      </c>
      <c r="S131" s="230" t="str">
        <f t="shared" si="3"/>
        <v/>
      </c>
      <c r="T131" s="242" t="str">
        <f t="shared" si="4"/>
        <v/>
      </c>
      <c r="U131" s="194"/>
      <c r="V131" s="194"/>
      <c r="W131" s="194"/>
    </row>
    <row r="132" ht="14.25" customHeight="1">
      <c r="A132" s="186"/>
      <c r="B132" s="13"/>
      <c r="C132" s="14"/>
      <c r="D132" s="187"/>
      <c r="E132" s="188"/>
      <c r="F132" s="189"/>
      <c r="G132" s="187"/>
      <c r="H132" s="204"/>
      <c r="I132" s="204"/>
      <c r="J132" s="196"/>
      <c r="K132" s="196"/>
      <c r="L132" s="192" t="str">
        <f>IFERROR(__xludf.DUMMYFUNCTION("IF(
  AND(D132=""Saída"", J132=""Sangria""),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197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94" t="str">
        <f>IFERROR(__xludf.DUMMYFUNCTION("ifna(VALUE(REGEXEXTRACT(E132,""[0-9.]+[,]+[0-9]+"")))"),"")</f>
        <v/>
      </c>
      <c r="O132" s="235"/>
      <c r="P132" s="229"/>
      <c r="Q132" s="229"/>
      <c r="R132" s="237" t="str">
        <f t="shared" si="2"/>
        <v/>
      </c>
      <c r="S132" s="229" t="str">
        <f t="shared" si="3"/>
        <v/>
      </c>
      <c r="T132" s="242" t="str">
        <f t="shared" si="4"/>
        <v/>
      </c>
      <c r="U132" s="194"/>
      <c r="V132" s="194"/>
      <c r="W132" s="194"/>
    </row>
    <row r="133" ht="14.25" customHeight="1">
      <c r="A133" s="186"/>
      <c r="B133" s="13"/>
      <c r="C133" s="14"/>
      <c r="D133" s="187"/>
      <c r="E133" s="188"/>
      <c r="F133" s="189"/>
      <c r="G133" s="187"/>
      <c r="H133" s="204"/>
      <c r="I133" s="204"/>
      <c r="J133" s="196"/>
      <c r="K133" s="196"/>
      <c r="L133" s="192" t="str">
        <f>IFERROR(__xludf.DUMMYFUNCTION("IF(
  AND(D133=""Saída"", J133=""Sangria""),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198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94" t="str">
        <f>IFERROR(__xludf.DUMMYFUNCTION("ifna(VALUE(REGEXEXTRACT(E133,""[0-9.]+[,]+[0-9]+"")))"),"")</f>
        <v/>
      </c>
      <c r="O133" s="243"/>
      <c r="P133" s="244"/>
      <c r="Q133" s="244"/>
      <c r="R133" s="245" t="str">
        <f t="shared" si="2"/>
        <v/>
      </c>
      <c r="S133" s="244" t="str">
        <f t="shared" si="3"/>
        <v/>
      </c>
      <c r="T133" s="242" t="str">
        <f t="shared" si="4"/>
        <v/>
      </c>
      <c r="U133" s="194"/>
      <c r="V133" s="194"/>
      <c r="W133" s="194"/>
    </row>
    <row r="134" ht="14.25" customHeight="1">
      <c r="A134" s="186"/>
      <c r="B134" s="13"/>
      <c r="C134" s="14"/>
      <c r="D134" s="187"/>
      <c r="E134" s="188"/>
      <c r="F134" s="189"/>
      <c r="G134" s="187"/>
      <c r="H134" s="204"/>
      <c r="I134" s="204"/>
      <c r="J134" s="196"/>
      <c r="K134" s="196"/>
      <c r="L134" s="192" t="str">
        <f>IFERROR(__xludf.DUMMYFUNCTION("IF(
  AND(D134=""Saída"", J134=""Sangria""),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197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94" t="str">
        <f>IFERROR(__xludf.DUMMYFUNCTION("ifna(VALUE(REGEXEXTRACT(E134,""[0-9.]+[,]+[0-9]+"")))"),"")</f>
        <v/>
      </c>
      <c r="O134" s="243"/>
      <c r="P134" s="244"/>
      <c r="Q134" s="244"/>
      <c r="R134" s="245" t="str">
        <f t="shared" si="2"/>
        <v/>
      </c>
      <c r="S134" s="244" t="str">
        <f t="shared" si="3"/>
        <v/>
      </c>
      <c r="T134" s="242" t="str">
        <f t="shared" si="4"/>
        <v/>
      </c>
      <c r="U134" s="194"/>
      <c r="V134" s="194"/>
      <c r="W134" s="194"/>
    </row>
    <row r="135" ht="14.25" customHeight="1">
      <c r="A135" s="186"/>
      <c r="B135" s="13"/>
      <c r="C135" s="14"/>
      <c r="D135" s="187"/>
      <c r="E135" s="188"/>
      <c r="F135" s="189"/>
      <c r="G135" s="187"/>
      <c r="H135" s="204"/>
      <c r="I135" s="204"/>
      <c r="J135" s="196"/>
      <c r="K135" s="196"/>
      <c r="L135" s="192" t="str">
        <f>IFERROR(__xludf.DUMMYFUNCTION("IF(
  AND(D135=""Saída"", J135=""Sangria""),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198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94" t="str">
        <f>IFERROR(__xludf.DUMMYFUNCTION("ifna(VALUE(REGEXEXTRACT(E135,""[0-9.]+[,]+[0-9]+"")))"),"")</f>
        <v/>
      </c>
      <c r="O135" s="243"/>
      <c r="P135" s="244"/>
      <c r="Q135" s="244"/>
      <c r="R135" s="245" t="str">
        <f t="shared" si="2"/>
        <v/>
      </c>
      <c r="S135" s="244" t="str">
        <f t="shared" si="3"/>
        <v/>
      </c>
      <c r="T135" s="242" t="str">
        <f t="shared" si="4"/>
        <v/>
      </c>
      <c r="U135" s="194"/>
      <c r="V135" s="194"/>
      <c r="W135" s="194"/>
    </row>
    <row r="136" ht="14.25" customHeight="1">
      <c r="A136" s="186"/>
      <c r="B136" s="13"/>
      <c r="C136" s="14"/>
      <c r="D136" s="187"/>
      <c r="E136" s="188"/>
      <c r="F136" s="189"/>
      <c r="G136" s="187"/>
      <c r="H136" s="204"/>
      <c r="I136" s="204"/>
      <c r="J136" s="196"/>
      <c r="K136" s="196"/>
      <c r="L136" s="192" t="str">
        <f>IFERROR(__xludf.DUMMYFUNCTION("IF(
  AND(D136=""Saída"", J136=""Sangria""),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197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94" t="str">
        <f>IFERROR(__xludf.DUMMYFUNCTION("ifna(VALUE(REGEXEXTRACT(E136,""[0-9.]+[,]+[0-9]+"")))"),"")</f>
        <v/>
      </c>
      <c r="O136" s="243"/>
      <c r="P136" s="244"/>
      <c r="Q136" s="244"/>
      <c r="R136" s="245" t="str">
        <f t="shared" si="2"/>
        <v/>
      </c>
      <c r="S136" s="244" t="str">
        <f t="shared" si="3"/>
        <v/>
      </c>
      <c r="T136" s="242" t="str">
        <f t="shared" si="4"/>
        <v/>
      </c>
      <c r="U136" s="194"/>
      <c r="V136" s="194"/>
      <c r="W136" s="194"/>
    </row>
    <row r="137" ht="14.25" customHeight="1">
      <c r="A137" s="186"/>
      <c r="B137" s="13"/>
      <c r="C137" s="14"/>
      <c r="D137" s="187"/>
      <c r="E137" s="188"/>
      <c r="F137" s="189"/>
      <c r="G137" s="187"/>
      <c r="H137" s="204"/>
      <c r="I137" s="204"/>
      <c r="J137" s="196"/>
      <c r="K137" s="196"/>
      <c r="L137" s="192" t="str">
        <f>IFERROR(__xludf.DUMMYFUNCTION("IF(
  AND(D137=""Saída"", J137=""Sangria""),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198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94" t="str">
        <f>IFERROR(__xludf.DUMMYFUNCTION("ifna(VALUE(REGEXEXTRACT(E137,""[0-9.]+[,]+[0-9]+"")))"),"")</f>
        <v/>
      </c>
      <c r="O137" s="243"/>
      <c r="P137" s="244"/>
      <c r="Q137" s="244"/>
      <c r="R137" s="245" t="str">
        <f t="shared" si="2"/>
        <v/>
      </c>
      <c r="S137" s="244" t="str">
        <f t="shared" si="3"/>
        <v/>
      </c>
      <c r="T137" s="242" t="str">
        <f t="shared" si="4"/>
        <v/>
      </c>
      <c r="U137" s="194"/>
      <c r="V137" s="194"/>
      <c r="W137" s="194"/>
    </row>
    <row r="138" ht="14.25" customHeight="1">
      <c r="A138" s="186"/>
      <c r="B138" s="13"/>
      <c r="C138" s="14"/>
      <c r="D138" s="187"/>
      <c r="E138" s="188"/>
      <c r="F138" s="189"/>
      <c r="G138" s="187"/>
      <c r="H138" s="204"/>
      <c r="I138" s="204"/>
      <c r="J138" s="196"/>
      <c r="K138" s="196"/>
      <c r="L138" s="192" t="str">
        <f>IFERROR(__xludf.DUMMYFUNCTION("IF(
  AND(D138=""Saída"", J138=""Sangria""),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197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94" t="str">
        <f>IFERROR(__xludf.DUMMYFUNCTION("ifna(VALUE(REGEXEXTRACT(E138,""[0-9.]+[,]+[0-9]+"")))"),"")</f>
        <v/>
      </c>
      <c r="O138" s="246"/>
      <c r="P138" s="247"/>
      <c r="Q138" s="247"/>
      <c r="R138" s="248" t="str">
        <f t="shared" si="2"/>
        <v/>
      </c>
      <c r="S138" s="247" t="str">
        <f t="shared" si="3"/>
        <v/>
      </c>
      <c r="T138" s="249" t="str">
        <f t="shared" si="4"/>
        <v/>
      </c>
      <c r="U138" s="194"/>
      <c r="V138" s="194"/>
      <c r="W138" s="194"/>
    </row>
    <row r="139" ht="14.25" customHeight="1">
      <c r="A139" s="186"/>
      <c r="B139" s="13"/>
      <c r="C139" s="14"/>
      <c r="D139" s="187"/>
      <c r="E139" s="188"/>
      <c r="F139" s="189"/>
      <c r="G139" s="187"/>
      <c r="H139" s="204"/>
      <c r="I139" s="204"/>
      <c r="J139" s="196"/>
      <c r="K139" s="196"/>
      <c r="L139" s="192" t="str">
        <f>IFERROR(__xludf.DUMMYFUNCTION("IF(
  AND(D139=""Saída"", J139=""Sangria""),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198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94" t="str">
        <f>IFERROR(__xludf.DUMMYFUNCTION("ifna(VALUE(REGEXEXTRACT(E139,""[0-9.]+[,]+[0-9]+"")))"),"")</f>
        <v/>
      </c>
      <c r="O139" s="194"/>
      <c r="P139" s="194"/>
      <c r="Q139" s="194"/>
      <c r="R139" s="194"/>
      <c r="S139" s="194"/>
      <c r="T139" s="194"/>
      <c r="U139" s="194"/>
      <c r="V139" s="194"/>
      <c r="W139" s="194"/>
    </row>
    <row r="140" ht="14.25" customHeight="1">
      <c r="A140" s="186"/>
      <c r="B140" s="13"/>
      <c r="C140" s="14"/>
      <c r="D140" s="187"/>
      <c r="E140" s="188"/>
      <c r="F140" s="189"/>
      <c r="G140" s="187"/>
      <c r="H140" s="204"/>
      <c r="I140" s="204"/>
      <c r="J140" s="196"/>
      <c r="K140" s="196"/>
      <c r="L140" s="192" t="str">
        <f>IFERROR(__xludf.DUMMYFUNCTION("IF(
  AND(D140=""Saída"", J140=""Sangria""),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197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94" t="str">
        <f>IFERROR(__xludf.DUMMYFUNCTION("ifna(VALUE(REGEXEXTRACT(E140,""[0-9.]+[,]+[0-9]+"")))"),"")</f>
        <v/>
      </c>
      <c r="O140" s="250" t="s">
        <v>7561</v>
      </c>
      <c r="W140" s="194"/>
    </row>
    <row r="141" ht="14.25" customHeight="1">
      <c r="A141" s="186"/>
      <c r="B141" s="13"/>
      <c r="C141" s="14"/>
      <c r="D141" s="187"/>
      <c r="E141" s="188"/>
      <c r="F141" s="189"/>
      <c r="G141" s="187"/>
      <c r="H141" s="204"/>
      <c r="I141" s="204"/>
      <c r="J141" s="196"/>
      <c r="K141" s="196"/>
      <c r="L141" s="192" t="str">
        <f>IFERROR(__xludf.DUMMYFUNCTION("IF(
  AND(D141=""Saída"", J141=""Sangria""),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198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94" t="str">
        <f>IFERROR(__xludf.DUMMYFUNCTION("ifna(VALUE(REGEXEXTRACT(E141,""[0-9.]+[,]+[0-9]+"")))"),"")</f>
        <v/>
      </c>
      <c r="O141" s="251" t="str">
        <f>IFERROR(__xludf.DUMMYFUNCTION("QUERY(B28:M507,""Select B,C,D,E,G,H,I,M where M = 'Não Encontrada'"",1)"),"ID")</f>
        <v>ID</v>
      </c>
      <c r="P141" s="251" t="str">
        <f>IFERROR(__xludf.DUMMYFUNCTION("""COMPUTED_VALUE"""),"Data")</f>
        <v>Data</v>
      </c>
      <c r="Q141" s="251" t="str">
        <f>IFERROR(__xludf.DUMMYFUNCTION("""COMPUTED_VALUE"""),"Entrada/Saída")</f>
        <v>Entrada/Saída</v>
      </c>
      <c r="R141" s="252" t="str">
        <f>IFERROR(__xludf.DUMMYFUNCTION("""COMPUTED_VALUE"""),"Valor ")</f>
        <v>Valor </v>
      </c>
      <c r="S141" s="251" t="str">
        <f>IFERROR(__xludf.DUMMYFUNCTION("""COMPUTED_VALUE"""),"Descrição")</f>
        <v>Descrição</v>
      </c>
      <c r="V141" s="253" t="str">
        <f>IFERROR(__xludf.DUMMYFUNCTION("""COMPUTED_VALUE"""),"Nota")</f>
        <v>Nota</v>
      </c>
      <c r="W141" s="194"/>
    </row>
    <row r="142" ht="14.25" customHeight="1">
      <c r="A142" s="186"/>
      <c r="B142" s="13"/>
      <c r="C142" s="14"/>
      <c r="D142" s="187"/>
      <c r="E142" s="188"/>
      <c r="F142" s="189"/>
      <c r="G142" s="187"/>
      <c r="H142" s="204"/>
      <c r="I142" s="204"/>
      <c r="J142" s="196"/>
      <c r="K142" s="196"/>
      <c r="L142" s="192" t="str">
        <f>IFERROR(__xludf.DUMMYFUNCTION("IF(
  AND(D142=""Saída"", J142=""Sangria""),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197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94" t="str">
        <f>IFERROR(__xludf.DUMMYFUNCTION("ifna(VALUE(REGEXEXTRACT(E142,""[0-9.]+[,]+[0-9]+"")))"),"")</f>
        <v/>
      </c>
      <c r="O142" s="254">
        <f>IFERROR(__xludf.DUMMYFUNCTION("""COMPUTED_VALUE"""),2202153.0)</f>
        <v>2202153</v>
      </c>
      <c r="P142" s="255">
        <f>IFERROR(__xludf.DUMMYFUNCTION("""COMPUTED_VALUE"""),46172.59386574074)</f>
        <v>46172.59387</v>
      </c>
      <c r="Q142" s="254" t="str">
        <f>IFERROR(__xludf.DUMMYFUNCTION("""COMPUTED_VALUE"""),"Saída")</f>
        <v>Saída</v>
      </c>
      <c r="R142" s="256" t="str">
        <f>IFERROR(__xludf.DUMMYFUNCTION("""COMPUTED_VALUE"""),"R$ 50,00")</f>
        <v>R$ 50,00</v>
      </c>
      <c r="S142" s="290" t="str">
        <f>IFERROR(__xludf.DUMMYFUNCTION("""COMPUTED_VALUE"""),"gasolina para o Daniel referente a reparo na loja")</f>
        <v>gasolina para o Daniel referente a reparo na loja</v>
      </c>
      <c r="V142" s="254" t="str">
        <f>IFERROR(__xludf.DUMMYFUNCTION("""COMPUTED_VALUE"""),"Não Encontrada")</f>
        <v>Não Encontrada</v>
      </c>
      <c r="W142" s="194"/>
    </row>
    <row r="143" ht="14.25" customHeight="1">
      <c r="A143" s="186"/>
      <c r="B143" s="13"/>
      <c r="C143" s="14"/>
      <c r="D143" s="187"/>
      <c r="E143" s="188"/>
      <c r="F143" s="189"/>
      <c r="G143" s="187"/>
      <c r="H143" s="204"/>
      <c r="I143" s="204"/>
      <c r="J143" s="196"/>
      <c r="K143" s="196"/>
      <c r="L143" s="192" t="str">
        <f>IFERROR(__xludf.DUMMYFUNCTION("IF(
  AND(D143=""Saída"", J143=""Sangria""),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198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94" t="str">
        <f>IFERROR(__xludf.DUMMYFUNCTION("ifna(VALUE(REGEXEXTRACT(E143,""[0-9.]+[,]+[0-9]+"")))"),"")</f>
        <v/>
      </c>
      <c r="O143" s="258">
        <f>IFERROR(__xludf.DUMMYFUNCTION("""COMPUTED_VALUE"""),2202178.0)</f>
        <v>2202178</v>
      </c>
      <c r="P143" s="259">
        <f>IFERROR(__xludf.DUMMYFUNCTION("""COMPUTED_VALUE"""),46172.602800925924)</f>
        <v>46172.6028</v>
      </c>
      <c r="Q143" s="258" t="str">
        <f>IFERROR(__xludf.DUMMYFUNCTION("""COMPUTED_VALUE"""),"Saída")</f>
        <v>Saída</v>
      </c>
      <c r="R143" s="260" t="str">
        <f>IFERROR(__xludf.DUMMYFUNCTION("""COMPUTED_VALUE"""),"R$ 15,25")</f>
        <v>R$ 15,25</v>
      </c>
      <c r="S143" s="291" t="str">
        <f>IFERROR(__xludf.DUMMYFUNCTION("""COMPUTED_VALUE"""),"compra de sifâo engate")</f>
        <v>compra de sifâo engate</v>
      </c>
      <c r="V143" s="258" t="str">
        <f>IFERROR(__xludf.DUMMYFUNCTION("""COMPUTED_VALUE"""),"Não Encontrada")</f>
        <v>Não Encontrada</v>
      </c>
      <c r="W143" s="194"/>
    </row>
    <row r="144" ht="14.25" customHeight="1">
      <c r="A144" s="186"/>
      <c r="B144" s="13"/>
      <c r="C144" s="14"/>
      <c r="D144" s="187"/>
      <c r="E144" s="188"/>
      <c r="F144" s="189"/>
      <c r="G144" s="187"/>
      <c r="H144" s="204"/>
      <c r="I144" s="204"/>
      <c r="J144" s="196"/>
      <c r="K144" s="196"/>
      <c r="L144" s="192" t="str">
        <f>IFERROR(__xludf.DUMMYFUNCTION("IF(
  AND(D144=""Saída"", J144=""Sangria""),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197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94" t="str">
        <f>IFERROR(__xludf.DUMMYFUNCTION("ifna(VALUE(REGEXEXTRACT(E144,""[0-9.]+[,]+[0-9]+"")))"),"")</f>
        <v/>
      </c>
      <c r="O144" s="254"/>
      <c r="P144" s="255"/>
      <c r="Q144" s="254"/>
      <c r="R144" s="256"/>
      <c r="S144" s="292"/>
      <c r="V144" s="254"/>
      <c r="W144" s="194"/>
    </row>
    <row r="145" ht="14.25" customHeight="1">
      <c r="A145" s="186"/>
      <c r="B145" s="13"/>
      <c r="C145" s="14"/>
      <c r="D145" s="187"/>
      <c r="E145" s="188"/>
      <c r="F145" s="189"/>
      <c r="G145" s="187"/>
      <c r="H145" s="204"/>
      <c r="I145" s="204"/>
      <c r="J145" s="196"/>
      <c r="K145" s="196"/>
      <c r="L145" s="192" t="str">
        <f>IFERROR(__xludf.DUMMYFUNCTION("IF(
  AND(D145=""Saída"", J145=""Sangria""),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198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94" t="str">
        <f>IFERROR(__xludf.DUMMYFUNCTION("ifna(VALUE(REGEXEXTRACT(E145,""[0-9.]+[,]+[0-9]+"")))"),"")</f>
        <v/>
      </c>
      <c r="O145" s="258"/>
      <c r="P145" s="259"/>
      <c r="Q145" s="258"/>
      <c r="R145" s="260"/>
      <c r="S145" s="291"/>
      <c r="V145" s="258"/>
      <c r="W145" s="194"/>
    </row>
    <row r="146" ht="14.25" customHeight="1">
      <c r="A146" s="186"/>
      <c r="B146" s="13"/>
      <c r="C146" s="14"/>
      <c r="D146" s="187"/>
      <c r="E146" s="188"/>
      <c r="F146" s="189"/>
      <c r="G146" s="187"/>
      <c r="H146" s="204"/>
      <c r="I146" s="204"/>
      <c r="J146" s="196"/>
      <c r="K146" s="196"/>
      <c r="L146" s="192" t="str">
        <f>IFERROR(__xludf.DUMMYFUNCTION("IF(
  AND(D146=""Saída"", J146=""Sangria""),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197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94" t="str">
        <f>IFERROR(__xludf.DUMMYFUNCTION("ifna(VALUE(REGEXEXTRACT(E146,""[0-9.]+[,]+[0-9]+"")))"),"")</f>
        <v/>
      </c>
      <c r="O146" s="254"/>
      <c r="P146" s="255"/>
      <c r="Q146" s="254"/>
      <c r="R146" s="256"/>
      <c r="S146" s="292"/>
      <c r="V146" s="254"/>
      <c r="W146" s="194"/>
    </row>
    <row r="147" ht="14.25" customHeight="1">
      <c r="A147" s="186"/>
      <c r="B147" s="13"/>
      <c r="C147" s="14"/>
      <c r="D147" s="187"/>
      <c r="E147" s="188"/>
      <c r="F147" s="189"/>
      <c r="G147" s="187"/>
      <c r="H147" s="204"/>
      <c r="I147" s="204"/>
      <c r="J147" s="196"/>
      <c r="K147" s="196"/>
      <c r="L147" s="192" t="str">
        <f>IFERROR(__xludf.DUMMYFUNCTION("IF(
  AND(D147=""Saída"", J147=""Sangria""),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198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94" t="str">
        <f>IFERROR(__xludf.DUMMYFUNCTION("ifna(VALUE(REGEXEXTRACT(E147,""[0-9.]+[,]+[0-9]+"")))"),"")</f>
        <v/>
      </c>
      <c r="O147" s="258"/>
      <c r="P147" s="259"/>
      <c r="Q147" s="258"/>
      <c r="R147" s="260"/>
      <c r="S147" s="291"/>
      <c r="V147" s="258"/>
      <c r="W147" s="194"/>
    </row>
    <row r="148" ht="14.25" customHeight="1">
      <c r="A148" s="186"/>
      <c r="B148" s="13"/>
      <c r="C148" s="14"/>
      <c r="D148" s="187"/>
      <c r="E148" s="188"/>
      <c r="F148" s="189"/>
      <c r="G148" s="187"/>
      <c r="H148" s="204"/>
      <c r="I148" s="204"/>
      <c r="J148" s="196"/>
      <c r="K148" s="196"/>
      <c r="L148" s="192" t="str">
        <f>IFERROR(__xludf.DUMMYFUNCTION("IF(
  AND(D148=""Saída"", J148=""Sangria""),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197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94" t="str">
        <f>IFERROR(__xludf.DUMMYFUNCTION("ifna(VALUE(REGEXEXTRACT(E148,""[0-9.]+[,]+[0-9]+"")))"),"")</f>
        <v/>
      </c>
      <c r="O148" s="254"/>
      <c r="P148" s="255"/>
      <c r="Q148" s="254"/>
      <c r="R148" s="256"/>
      <c r="S148" s="292"/>
      <c r="V148" s="254"/>
      <c r="W148" s="194"/>
    </row>
    <row r="149" ht="14.25" customHeight="1">
      <c r="A149" s="186"/>
      <c r="B149" s="13"/>
      <c r="C149" s="14"/>
      <c r="D149" s="187"/>
      <c r="E149" s="188"/>
      <c r="F149" s="189"/>
      <c r="G149" s="187"/>
      <c r="H149" s="204"/>
      <c r="I149" s="204"/>
      <c r="J149" s="196"/>
      <c r="K149" s="196"/>
      <c r="L149" s="192" t="str">
        <f>IFERROR(__xludf.DUMMYFUNCTION("IF(
  AND(D149=""Saída"", J149=""Sangria""),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198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94" t="str">
        <f>IFERROR(__xludf.DUMMYFUNCTION("ifna(VALUE(REGEXEXTRACT(E149,""[0-9.]+[,]+[0-9]+"")))"),"")</f>
        <v/>
      </c>
      <c r="O149" s="258"/>
      <c r="P149" s="259"/>
      <c r="Q149" s="258"/>
      <c r="R149" s="260"/>
      <c r="S149" s="291"/>
      <c r="V149" s="258"/>
      <c r="W149" s="194"/>
    </row>
    <row r="150" ht="14.25" customHeight="1">
      <c r="A150" s="186"/>
      <c r="B150" s="13"/>
      <c r="C150" s="14"/>
      <c r="D150" s="187"/>
      <c r="E150" s="188"/>
      <c r="F150" s="189"/>
      <c r="G150" s="187"/>
      <c r="H150" s="204"/>
      <c r="I150" s="204"/>
      <c r="J150" s="196"/>
      <c r="K150" s="196"/>
      <c r="L150" s="192" t="str">
        <f>IFERROR(__xludf.DUMMYFUNCTION("IF(
  AND(D150=""Saída"", J150=""Sangria""),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197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94" t="str">
        <f>IFERROR(__xludf.DUMMYFUNCTION("ifna(VALUE(REGEXEXTRACT(E150,""[0-9.]+[,]+[0-9]+"")))"),"")</f>
        <v/>
      </c>
      <c r="O150" s="254"/>
      <c r="P150" s="255"/>
      <c r="Q150" s="254"/>
      <c r="R150" s="256"/>
      <c r="S150" s="292"/>
      <c r="V150" s="254"/>
      <c r="W150" s="194"/>
    </row>
    <row r="151" ht="14.25" customHeight="1">
      <c r="A151" s="186"/>
      <c r="B151" s="13"/>
      <c r="C151" s="14"/>
      <c r="D151" s="187"/>
      <c r="E151" s="188"/>
      <c r="F151" s="189"/>
      <c r="G151" s="187"/>
      <c r="H151" s="204"/>
      <c r="I151" s="204"/>
      <c r="J151" s="196"/>
      <c r="K151" s="196"/>
      <c r="L151" s="192" t="str">
        <f>IFERROR(__xludf.DUMMYFUNCTION("IF(
  AND(D151=""Saída"", J151=""Sangria""),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198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94" t="str">
        <f>IFERROR(__xludf.DUMMYFUNCTION("ifna(VALUE(REGEXEXTRACT(E151,""[0-9.]+[,]+[0-9]+"")))"),"")</f>
        <v/>
      </c>
      <c r="O151" s="258"/>
      <c r="P151" s="259"/>
      <c r="Q151" s="258"/>
      <c r="R151" s="260"/>
      <c r="S151" s="258"/>
      <c r="V151" s="258"/>
      <c r="W151" s="194"/>
    </row>
    <row r="152" ht="14.25" customHeight="1">
      <c r="A152" s="186"/>
      <c r="B152" s="13"/>
      <c r="C152" s="14"/>
      <c r="D152" s="187"/>
      <c r="E152" s="188"/>
      <c r="F152" s="189"/>
      <c r="G152" s="187"/>
      <c r="H152" s="204"/>
      <c r="I152" s="204"/>
      <c r="J152" s="196"/>
      <c r="K152" s="196"/>
      <c r="L152" s="192" t="str">
        <f>IFERROR(__xludf.DUMMYFUNCTION("IF(
  AND(D152=""Saída"", J152=""Sangria""),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197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94" t="str">
        <f>IFERROR(__xludf.DUMMYFUNCTION("ifna(VALUE(REGEXEXTRACT(E152,""[0-9.]+[,]+[0-9]+"")))"),"")</f>
        <v/>
      </c>
      <c r="O152" s="254"/>
      <c r="P152" s="255"/>
      <c r="Q152" s="254"/>
      <c r="R152" s="256"/>
      <c r="S152" s="254"/>
      <c r="V152" s="254"/>
      <c r="W152" s="194"/>
    </row>
    <row r="153" ht="14.25" customHeight="1">
      <c r="A153" s="186"/>
      <c r="B153" s="13"/>
      <c r="C153" s="14"/>
      <c r="D153" s="187"/>
      <c r="E153" s="188"/>
      <c r="F153" s="200"/>
      <c r="G153" s="187"/>
      <c r="H153" s="204"/>
      <c r="I153" s="204"/>
      <c r="J153" s="196"/>
      <c r="K153" s="196"/>
      <c r="L153" s="192" t="str">
        <f>IFERROR(__xludf.DUMMYFUNCTION("IF(
  AND(D153=""Saída"", J153=""Sangria""),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198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94" t="str">
        <f>IFERROR(__xludf.DUMMYFUNCTION("ifna(VALUE(REGEXEXTRACT(E153,""[0-9.]+[,]+[0-9]+"")))"),"")</f>
        <v/>
      </c>
      <c r="O153" s="258"/>
      <c r="P153" s="259"/>
      <c r="Q153" s="258"/>
      <c r="R153" s="260"/>
      <c r="S153" s="258"/>
      <c r="V153" s="258"/>
      <c r="W153" s="194"/>
    </row>
    <row r="154" ht="14.25" customHeight="1">
      <c r="A154" s="186"/>
      <c r="B154" s="13"/>
      <c r="C154" s="14"/>
      <c r="D154" s="187"/>
      <c r="E154" s="188"/>
      <c r="F154" s="189"/>
      <c r="G154" s="187"/>
      <c r="H154" s="204"/>
      <c r="I154" s="204"/>
      <c r="J154" s="196"/>
      <c r="K154" s="196"/>
      <c r="L154" s="192" t="str">
        <f>IFERROR(__xludf.DUMMYFUNCTION("IF(
  AND(D154=""Saída"", J154=""Sangria""),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197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94" t="str">
        <f>IFERROR(__xludf.DUMMYFUNCTION("ifna(VALUE(REGEXEXTRACT(E154,""[0-9.]+[,]+[0-9]+"")))"),"")</f>
        <v/>
      </c>
      <c r="O154" s="254"/>
      <c r="P154" s="255"/>
      <c r="Q154" s="254"/>
      <c r="R154" s="256"/>
      <c r="S154" s="254"/>
      <c r="V154" s="254"/>
      <c r="W154" s="194"/>
    </row>
    <row r="155" ht="14.25" customHeight="1">
      <c r="A155" s="186"/>
      <c r="B155" s="13"/>
      <c r="C155" s="14"/>
      <c r="D155" s="187"/>
      <c r="E155" s="188"/>
      <c r="F155" s="189"/>
      <c r="G155" s="187"/>
      <c r="H155" s="204"/>
      <c r="I155" s="204"/>
      <c r="J155" s="196"/>
      <c r="K155" s="196"/>
      <c r="L155" s="192" t="str">
        <f>IFERROR(__xludf.DUMMYFUNCTION("IF(
  AND(D155=""Saída"", J155=""Sangria""),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198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94" t="str">
        <f>IFERROR(__xludf.DUMMYFUNCTION("ifna(VALUE(REGEXEXTRACT(E155,""[0-9.]+[,]+[0-9]+"")))"),"")</f>
        <v/>
      </c>
      <c r="O155" s="258"/>
      <c r="P155" s="259"/>
      <c r="Q155" s="258"/>
      <c r="R155" s="260"/>
      <c r="S155" s="258"/>
      <c r="V155" s="258"/>
      <c r="W155" s="194"/>
    </row>
    <row r="156" ht="14.25" customHeight="1">
      <c r="A156" s="186"/>
      <c r="B156" s="13"/>
      <c r="C156" s="14"/>
      <c r="D156" s="187"/>
      <c r="E156" s="188"/>
      <c r="F156" s="189"/>
      <c r="G156" s="187"/>
      <c r="H156" s="204"/>
      <c r="I156" s="204"/>
      <c r="J156" s="196"/>
      <c r="K156" s="196"/>
      <c r="L156" s="192" t="str">
        <f>IFERROR(__xludf.DUMMYFUNCTION("IF(
  AND(D156=""Saída"", J156=""Sangria""),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197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94" t="str">
        <f>IFERROR(__xludf.DUMMYFUNCTION("ifna(VALUE(REGEXEXTRACT(E156,""[0-9.]+[,]+[0-9]+"")))"),"")</f>
        <v/>
      </c>
      <c r="O156" s="254"/>
      <c r="P156" s="255"/>
      <c r="Q156" s="254"/>
      <c r="R156" s="256"/>
      <c r="S156" s="254"/>
      <c r="V156" s="254"/>
      <c r="W156" s="194"/>
    </row>
    <row r="157" ht="14.25" customHeight="1">
      <c r="A157" s="186"/>
      <c r="B157" s="13"/>
      <c r="C157" s="14"/>
      <c r="D157" s="187"/>
      <c r="E157" s="188"/>
      <c r="F157" s="189"/>
      <c r="G157" s="187"/>
      <c r="H157" s="204"/>
      <c r="I157" s="204"/>
      <c r="J157" s="196"/>
      <c r="K157" s="196"/>
      <c r="L157" s="192" t="str">
        <f>IFERROR(__xludf.DUMMYFUNCTION("IF(
  AND(D157=""Saída"", J157=""Sangria""),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198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94" t="str">
        <f>IFERROR(__xludf.DUMMYFUNCTION("ifna(VALUE(REGEXEXTRACT(E157,""[0-9.]+[,]+[0-9]+"")))"),"")</f>
        <v/>
      </c>
      <c r="O157" s="258"/>
      <c r="P157" s="259"/>
      <c r="Q157" s="258"/>
      <c r="R157" s="260"/>
      <c r="S157" s="258"/>
      <c r="V157" s="258"/>
      <c r="W157" s="194"/>
    </row>
    <row r="158" ht="14.25" customHeight="1">
      <c r="A158" s="186"/>
      <c r="B158" s="13"/>
      <c r="C158" s="14"/>
      <c r="D158" s="187"/>
      <c r="E158" s="188"/>
      <c r="F158" s="189"/>
      <c r="G158" s="187"/>
      <c r="H158" s="204"/>
      <c r="I158" s="204"/>
      <c r="J158" s="196"/>
      <c r="K158" s="196"/>
      <c r="L158" s="192" t="str">
        <f>IFERROR(__xludf.DUMMYFUNCTION("IF(
  AND(D158=""Saída"", J158=""Sangria""),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197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94" t="str">
        <f>IFERROR(__xludf.DUMMYFUNCTION("ifna(VALUE(REGEXEXTRACT(E158,""[0-9.]+[,]+[0-9]+"")))"),"")</f>
        <v/>
      </c>
      <c r="O158" s="254"/>
      <c r="P158" s="255"/>
      <c r="Q158" s="254"/>
      <c r="R158" s="256"/>
      <c r="S158" s="254"/>
      <c r="V158" s="254"/>
      <c r="W158" s="194"/>
    </row>
    <row r="159" ht="14.25" customHeight="1">
      <c r="A159" s="186"/>
      <c r="B159" s="13"/>
      <c r="C159" s="14"/>
      <c r="D159" s="187"/>
      <c r="E159" s="188"/>
      <c r="F159" s="189"/>
      <c r="G159" s="187"/>
      <c r="H159" s="204"/>
      <c r="I159" s="204"/>
      <c r="J159" s="196"/>
      <c r="K159" s="196"/>
      <c r="L159" s="192" t="str">
        <f>IFERROR(__xludf.DUMMYFUNCTION("IF(
  AND(D159=""Saída"", J159=""Sangria""),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198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94" t="str">
        <f>IFERROR(__xludf.DUMMYFUNCTION("ifna(VALUE(REGEXEXTRACT(E159,""[0-9.]+[,]+[0-9]+"")))"),"")</f>
        <v/>
      </c>
      <c r="O159" s="258"/>
      <c r="P159" s="259"/>
      <c r="Q159" s="258"/>
      <c r="R159" s="260"/>
      <c r="S159" s="258"/>
      <c r="V159" s="258"/>
      <c r="W159" s="194"/>
    </row>
    <row r="160" ht="14.25" customHeight="1">
      <c r="A160" s="186"/>
      <c r="B160" s="13"/>
      <c r="C160" s="14"/>
      <c r="D160" s="187"/>
      <c r="E160" s="188"/>
      <c r="F160" s="189"/>
      <c r="G160" s="187"/>
      <c r="H160" s="204"/>
      <c r="I160" s="204"/>
      <c r="J160" s="196"/>
      <c r="K160" s="196"/>
      <c r="L160" s="192" t="str">
        <f>IFERROR(__xludf.DUMMYFUNCTION("IF(
  AND(D160=""Saída"", J160=""Sangria""),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197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94" t="str">
        <f>IFERROR(__xludf.DUMMYFUNCTION("ifna(VALUE(REGEXEXTRACT(E160,""[0-9.]+[,]+[0-9]+"")))"),"")</f>
        <v/>
      </c>
      <c r="O160" s="254"/>
      <c r="P160" s="255"/>
      <c r="Q160" s="254"/>
      <c r="R160" s="256"/>
      <c r="S160" s="254"/>
      <c r="V160" s="254"/>
      <c r="W160" s="194"/>
    </row>
    <row r="161" ht="14.25" customHeight="1">
      <c r="A161" s="186"/>
      <c r="B161" s="13"/>
      <c r="C161" s="14"/>
      <c r="D161" s="187"/>
      <c r="E161" s="188"/>
      <c r="F161" s="189"/>
      <c r="G161" s="187"/>
      <c r="H161" s="204"/>
      <c r="I161" s="204"/>
      <c r="J161" s="196"/>
      <c r="K161" s="196"/>
      <c r="L161" s="192" t="str">
        <f>IFERROR(__xludf.DUMMYFUNCTION("IF(
  AND(D161=""Saída"", J161=""Sangria""),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198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94" t="str">
        <f>IFERROR(__xludf.DUMMYFUNCTION("ifna(VALUE(REGEXEXTRACT(E161,""[0-9.]+[,]+[0-9]+"")))"),"")</f>
        <v/>
      </c>
      <c r="O161" s="258"/>
      <c r="P161" s="262"/>
      <c r="Q161" s="258"/>
      <c r="R161" s="260"/>
      <c r="S161" s="258"/>
      <c r="V161" s="258"/>
      <c r="W161" s="194"/>
    </row>
    <row r="162" ht="14.25" customHeight="1">
      <c r="A162" s="186"/>
      <c r="B162" s="13"/>
      <c r="C162" s="14"/>
      <c r="D162" s="187"/>
      <c r="E162" s="188"/>
      <c r="F162" s="189"/>
      <c r="G162" s="187"/>
      <c r="H162" s="204"/>
      <c r="I162" s="204"/>
      <c r="J162" s="196"/>
      <c r="K162" s="196"/>
      <c r="L162" s="192" t="str">
        <f>IFERROR(__xludf.DUMMYFUNCTION("IF(
  AND(D162=""Saída"", J162=""Sangria""),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197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94" t="str">
        <f>IFERROR(__xludf.DUMMYFUNCTION("ifna(VALUE(REGEXEXTRACT(E162,""[0-9.]+[,]+[0-9]+"")))"),"")</f>
        <v/>
      </c>
      <c r="O162" s="254"/>
      <c r="P162" s="263"/>
      <c r="Q162" s="254"/>
      <c r="R162" s="256"/>
      <c r="S162" s="254"/>
      <c r="V162" s="254"/>
      <c r="W162" s="194"/>
    </row>
    <row r="163" ht="14.25" customHeight="1">
      <c r="A163" s="186"/>
      <c r="B163" s="13"/>
      <c r="C163" s="14"/>
      <c r="D163" s="187"/>
      <c r="E163" s="188"/>
      <c r="F163" s="189"/>
      <c r="G163" s="187"/>
      <c r="H163" s="204"/>
      <c r="I163" s="204"/>
      <c r="J163" s="196"/>
      <c r="K163" s="196"/>
      <c r="L163" s="192" t="str">
        <f>IFERROR(__xludf.DUMMYFUNCTION("IF(
  AND(D163=""Saída"", J163=""Sangria""),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198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94" t="str">
        <f>IFERROR(__xludf.DUMMYFUNCTION("ifna(VALUE(REGEXEXTRACT(E163,""[0-9.]+[,]+[0-9]+"")))"),"")</f>
        <v/>
      </c>
      <c r="O163" s="258"/>
      <c r="P163" s="262"/>
      <c r="Q163" s="258"/>
      <c r="R163" s="260"/>
      <c r="S163" s="258"/>
      <c r="V163" s="258"/>
      <c r="W163" s="194"/>
    </row>
    <row r="164" ht="14.25" customHeight="1">
      <c r="A164" s="186"/>
      <c r="B164" s="13"/>
      <c r="C164" s="14"/>
      <c r="D164" s="187"/>
      <c r="E164" s="188"/>
      <c r="F164" s="189"/>
      <c r="G164" s="187"/>
      <c r="H164" s="204"/>
      <c r="I164" s="204"/>
      <c r="J164" s="196"/>
      <c r="K164" s="196"/>
      <c r="L164" s="192" t="str">
        <f>IFERROR(__xludf.DUMMYFUNCTION("IF(
  AND(D164=""Saída"", J164=""Sangria""),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197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94" t="str">
        <f>IFERROR(__xludf.DUMMYFUNCTION("ifna(VALUE(REGEXEXTRACT(E164,""[0-9.]+[,]+[0-9]+"")))"),"")</f>
        <v/>
      </c>
      <c r="O164" s="254"/>
      <c r="P164" s="263"/>
      <c r="Q164" s="254"/>
      <c r="R164" s="256"/>
      <c r="S164" s="254"/>
      <c r="V164" s="254"/>
      <c r="W164" s="194"/>
    </row>
    <row r="165" ht="14.25" customHeight="1">
      <c r="A165" s="186"/>
      <c r="B165" s="13"/>
      <c r="C165" s="14"/>
      <c r="D165" s="187"/>
      <c r="E165" s="188"/>
      <c r="F165" s="189"/>
      <c r="G165" s="187"/>
      <c r="H165" s="204"/>
      <c r="I165" s="204"/>
      <c r="J165" s="196"/>
      <c r="K165" s="196"/>
      <c r="L165" s="192" t="str">
        <f>IFERROR(__xludf.DUMMYFUNCTION("IF(
  AND(D165=""Saída"", J165=""Sangria""),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198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94" t="str">
        <f>IFERROR(__xludf.DUMMYFUNCTION("ifna(VALUE(REGEXEXTRACT(E165,""[0-9.]+[,]+[0-9]+"")))"),"")</f>
        <v/>
      </c>
      <c r="O165" s="264"/>
      <c r="P165" s="262"/>
      <c r="Q165" s="258"/>
      <c r="R165" s="260"/>
      <c r="S165" s="258"/>
      <c r="V165" s="258"/>
      <c r="W165" s="194"/>
    </row>
    <row r="166" ht="14.25" customHeight="1">
      <c r="A166" s="186"/>
      <c r="B166" s="13"/>
      <c r="C166" s="14"/>
      <c r="D166" s="187"/>
      <c r="E166" s="188"/>
      <c r="F166" s="189"/>
      <c r="G166" s="187"/>
      <c r="H166" s="204"/>
      <c r="I166" s="204"/>
      <c r="J166" s="196"/>
      <c r="K166" s="196"/>
      <c r="L166" s="192" t="str">
        <f>IFERROR(__xludf.DUMMYFUNCTION("IF(
  AND(D166=""Saída"", J166=""Sangria""),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197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94" t="str">
        <f>IFERROR(__xludf.DUMMYFUNCTION("ifna(VALUE(REGEXEXTRACT(E166,""[0-9.]+[,]+[0-9]+"")))"),"")</f>
        <v/>
      </c>
      <c r="O166" s="254"/>
      <c r="P166" s="263"/>
      <c r="Q166" s="254"/>
      <c r="R166" s="256"/>
      <c r="S166" s="254"/>
      <c r="V166" s="254"/>
      <c r="W166" s="194"/>
    </row>
    <row r="167" ht="14.25" customHeight="1">
      <c r="A167" s="186"/>
      <c r="B167" s="13"/>
      <c r="C167" s="14"/>
      <c r="D167" s="187"/>
      <c r="E167" s="188"/>
      <c r="F167" s="189"/>
      <c r="G167" s="187"/>
      <c r="H167" s="204"/>
      <c r="I167" s="204"/>
      <c r="J167" s="196"/>
      <c r="K167" s="196"/>
      <c r="L167" s="192" t="str">
        <f>IFERROR(__xludf.DUMMYFUNCTION("IF(
  AND(D167=""Saída"", J167=""Sangria""),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198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94" t="str">
        <f>IFERROR(__xludf.DUMMYFUNCTION("ifna(VALUE(REGEXEXTRACT(E167,""[0-9.]+[,]+[0-9]+"")))"),"")</f>
        <v/>
      </c>
      <c r="O167" s="258"/>
      <c r="P167" s="262"/>
      <c r="Q167" s="258"/>
      <c r="R167" s="260"/>
      <c r="S167" s="258"/>
      <c r="V167" s="258"/>
      <c r="W167" s="194"/>
    </row>
    <row r="168" ht="14.25" customHeight="1">
      <c r="A168" s="186"/>
      <c r="B168" s="13"/>
      <c r="C168" s="14"/>
      <c r="D168" s="187"/>
      <c r="E168" s="188"/>
      <c r="F168" s="189"/>
      <c r="G168" s="187"/>
      <c r="H168" s="204"/>
      <c r="I168" s="204"/>
      <c r="J168" s="196"/>
      <c r="K168" s="196"/>
      <c r="L168" s="192" t="str">
        <f>IFERROR(__xludf.DUMMYFUNCTION("IF(
  AND(D168=""Saída"", J168=""Sangria""),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197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94" t="str">
        <f>IFERROR(__xludf.DUMMYFUNCTION("ifna(VALUE(REGEXEXTRACT(E168,""[0-9.]+[,]+[0-9]+"")))"),"")</f>
        <v/>
      </c>
      <c r="O168" s="254"/>
      <c r="P168" s="263"/>
      <c r="Q168" s="254"/>
      <c r="R168" s="256"/>
      <c r="S168" s="254"/>
      <c r="V168" s="254"/>
      <c r="W168" s="194"/>
    </row>
    <row r="169" ht="14.25" customHeight="1">
      <c r="A169" s="186"/>
      <c r="B169" s="13"/>
      <c r="C169" s="14"/>
      <c r="D169" s="187"/>
      <c r="E169" s="188"/>
      <c r="F169" s="200"/>
      <c r="G169" s="187"/>
      <c r="H169" s="204"/>
      <c r="I169" s="204"/>
      <c r="J169" s="196"/>
      <c r="K169" s="196"/>
      <c r="L169" s="192" t="str">
        <f>IFERROR(__xludf.DUMMYFUNCTION("IF(
  AND(D169=""Saída"", J169=""Sangria""),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198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94" t="str">
        <f>IFERROR(__xludf.DUMMYFUNCTION("ifna(VALUE(REGEXEXTRACT(E169,""[0-9.]+[,]+[0-9]+"")))"),"")</f>
        <v/>
      </c>
      <c r="O169" s="258"/>
      <c r="P169" s="262"/>
      <c r="Q169" s="258"/>
      <c r="R169" s="258"/>
      <c r="S169" s="258"/>
      <c r="V169" s="258"/>
      <c r="W169" s="194"/>
    </row>
    <row r="170" ht="14.25" customHeight="1">
      <c r="A170" s="186"/>
      <c r="B170" s="13"/>
      <c r="C170" s="14"/>
      <c r="D170" s="187"/>
      <c r="E170" s="188"/>
      <c r="F170" s="189"/>
      <c r="G170" s="187"/>
      <c r="H170" s="204"/>
      <c r="I170" s="204"/>
      <c r="J170" s="196"/>
      <c r="K170" s="196"/>
      <c r="L170" s="192" t="str">
        <f>IFERROR(__xludf.DUMMYFUNCTION("IF(
  AND(D170=""Saída"", J170=""Sangria""),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197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94" t="str">
        <f>IFERROR(__xludf.DUMMYFUNCTION("ifna(VALUE(REGEXEXTRACT(E170,""[0-9.]+[,]+[0-9]+"")))"),"")</f>
        <v/>
      </c>
      <c r="O170" s="254"/>
      <c r="P170" s="263"/>
      <c r="Q170" s="254"/>
      <c r="R170" s="254"/>
      <c r="S170" s="254"/>
      <c r="V170" s="254"/>
      <c r="W170" s="194"/>
    </row>
    <row r="171" ht="14.25" customHeight="1">
      <c r="A171" s="186"/>
      <c r="B171" s="13"/>
      <c r="C171" s="14"/>
      <c r="D171" s="187"/>
      <c r="E171" s="188"/>
      <c r="F171" s="189"/>
      <c r="G171" s="187"/>
      <c r="H171" s="204"/>
      <c r="I171" s="204"/>
      <c r="J171" s="196"/>
      <c r="K171" s="196"/>
      <c r="L171" s="192" t="str">
        <f>IFERROR(__xludf.DUMMYFUNCTION("IF(
  AND(D171=""Saída"", J171=""Sangria""),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198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94" t="str">
        <f>IFERROR(__xludf.DUMMYFUNCTION("ifna(VALUE(REGEXEXTRACT(E171,""[0-9.]+[,]+[0-9]+"")))"),"")</f>
        <v/>
      </c>
      <c r="O171" s="258"/>
      <c r="P171" s="262"/>
      <c r="Q171" s="258"/>
      <c r="R171" s="258"/>
      <c r="S171" s="258"/>
      <c r="V171" s="258"/>
      <c r="W171" s="194"/>
    </row>
    <row r="172" ht="14.25" customHeight="1">
      <c r="A172" s="186"/>
      <c r="B172" s="13"/>
      <c r="C172" s="14"/>
      <c r="D172" s="187"/>
      <c r="E172" s="188"/>
      <c r="F172" s="200"/>
      <c r="G172" s="187"/>
      <c r="H172" s="204"/>
      <c r="I172" s="204"/>
      <c r="J172" s="196"/>
      <c r="K172" s="196"/>
      <c r="L172" s="192" t="str">
        <f>IFERROR(__xludf.DUMMYFUNCTION("IF(
  AND(D172=""Saída"", J172=""Sangria""),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197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94" t="str">
        <f>IFERROR(__xludf.DUMMYFUNCTION("ifna(VALUE(REGEXEXTRACT(E172,""[0-9.]+[,]+[0-9]+"")))"),"")</f>
        <v/>
      </c>
      <c r="O172" s="254"/>
      <c r="P172" s="263"/>
      <c r="Q172" s="254"/>
      <c r="R172" s="254"/>
      <c r="S172" s="254"/>
      <c r="V172" s="254"/>
      <c r="W172" s="194"/>
    </row>
    <row r="173" ht="14.25" customHeight="1">
      <c r="A173" s="186"/>
      <c r="B173" s="13"/>
      <c r="C173" s="14"/>
      <c r="D173" s="187"/>
      <c r="E173" s="188"/>
      <c r="F173" s="189"/>
      <c r="G173" s="187"/>
      <c r="H173" s="204"/>
      <c r="I173" s="204"/>
      <c r="J173" s="196"/>
      <c r="K173" s="196"/>
      <c r="L173" s="192" t="str">
        <f>IFERROR(__xludf.DUMMYFUNCTION("IF(
  AND(D173=""Saída"", J173=""Sangria""),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198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94" t="str">
        <f>IFERROR(__xludf.DUMMYFUNCTION("ifna(VALUE(REGEXEXTRACT(E173,""[0-9.]+[,]+[0-9]+"")))"),"")</f>
        <v/>
      </c>
      <c r="O173" s="258"/>
      <c r="P173" s="265"/>
      <c r="Q173" s="258"/>
      <c r="R173" s="258"/>
      <c r="S173" s="258"/>
      <c r="V173" s="258"/>
      <c r="W173" s="194"/>
    </row>
    <row r="174" ht="14.25" customHeight="1">
      <c r="A174" s="186"/>
      <c r="B174" s="13"/>
      <c r="C174" s="14"/>
      <c r="D174" s="187"/>
      <c r="E174" s="188"/>
      <c r="F174" s="189"/>
      <c r="G174" s="187"/>
      <c r="H174" s="204"/>
      <c r="I174" s="204"/>
      <c r="J174" s="196"/>
      <c r="K174" s="196"/>
      <c r="L174" s="192" t="str">
        <f>IFERROR(__xludf.DUMMYFUNCTION("IF(
  AND(D174=""Saída"", J174=""Sangria""),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197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94" t="str">
        <f>IFERROR(__xludf.DUMMYFUNCTION("ifna(VALUE(REGEXEXTRACT(E174,""[0-9.]+[,]+[0-9]+"")))"),"")</f>
        <v/>
      </c>
      <c r="O174" s="254"/>
      <c r="P174" s="263"/>
      <c r="Q174" s="254"/>
      <c r="R174" s="254"/>
      <c r="S174" s="254"/>
      <c r="V174" s="254"/>
      <c r="W174" s="194"/>
    </row>
    <row r="175" ht="14.25" customHeight="1">
      <c r="A175" s="186"/>
      <c r="B175" s="13"/>
      <c r="C175" s="14"/>
      <c r="D175" s="187"/>
      <c r="E175" s="188"/>
      <c r="F175" s="200"/>
      <c r="G175" s="187"/>
      <c r="H175" s="204"/>
      <c r="I175" s="204"/>
      <c r="J175" s="196"/>
      <c r="K175" s="196"/>
      <c r="L175" s="192" t="str">
        <f>IFERROR(__xludf.DUMMYFUNCTION("IF(
  AND(D175=""Saída"", J175=""Sangria""),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198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94" t="str">
        <f>IFERROR(__xludf.DUMMYFUNCTION("ifna(VALUE(REGEXEXTRACT(E175,""[0-9.]+[,]+[0-9]+"")))"),"")</f>
        <v/>
      </c>
      <c r="O175" s="258"/>
      <c r="P175" s="262"/>
      <c r="Q175" s="258"/>
      <c r="R175" s="258"/>
      <c r="S175" s="258"/>
      <c r="V175" s="258"/>
      <c r="W175" s="194"/>
    </row>
    <row r="176" ht="14.25" customHeight="1">
      <c r="A176" s="186"/>
      <c r="B176" s="13"/>
      <c r="C176" s="14"/>
      <c r="D176" s="187"/>
      <c r="E176" s="188"/>
      <c r="F176" s="189"/>
      <c r="G176" s="187"/>
      <c r="H176" s="204"/>
      <c r="I176" s="204"/>
      <c r="J176" s="196"/>
      <c r="K176" s="196"/>
      <c r="L176" s="192" t="str">
        <f>IFERROR(__xludf.DUMMYFUNCTION("IF(
  AND(D176=""Saída"", J176=""Sangria""),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197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94" t="str">
        <f>IFERROR(__xludf.DUMMYFUNCTION("ifna(VALUE(REGEXEXTRACT(E176,""[0-9.]+[,]+[0-9]+"")))"),"")</f>
        <v/>
      </c>
      <c r="O176" s="254"/>
      <c r="P176" s="263"/>
      <c r="Q176" s="254"/>
      <c r="R176" s="254"/>
      <c r="S176" s="254"/>
      <c r="V176" s="254"/>
      <c r="W176" s="194"/>
    </row>
    <row r="177" ht="14.25" customHeight="1">
      <c r="A177" s="186"/>
      <c r="B177" s="13"/>
      <c r="C177" s="14"/>
      <c r="D177" s="187"/>
      <c r="E177" s="188"/>
      <c r="F177" s="189"/>
      <c r="G177" s="187"/>
      <c r="H177" s="204"/>
      <c r="I177" s="204"/>
      <c r="K177" s="196"/>
      <c r="L177" s="192" t="str">
        <f>IFERROR(__xludf.DUMMYFUNCTION("IF(
  AND(D177=""Saída"", J177=""Sangria""),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198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94" t="str">
        <f>IFERROR(__xludf.DUMMYFUNCTION("ifna(VALUE(REGEXEXTRACT(E177,""[0-9.]+[,]+[0-9]+"")))"),"")</f>
        <v/>
      </c>
      <c r="O177" s="258"/>
      <c r="P177" s="262"/>
      <c r="Q177" s="258"/>
      <c r="R177" s="258"/>
      <c r="S177" s="258"/>
      <c r="V177" s="258"/>
      <c r="W177" s="194"/>
    </row>
    <row r="178" ht="14.25" customHeight="1">
      <c r="A178" s="186"/>
      <c r="B178" s="13"/>
      <c r="C178" s="14"/>
      <c r="D178" s="187"/>
      <c r="E178" s="188"/>
      <c r="F178" s="189"/>
      <c r="G178" s="187"/>
      <c r="H178" s="204"/>
      <c r="I178" s="204"/>
      <c r="J178" s="196"/>
      <c r="K178" s="196"/>
      <c r="L178" s="192" t="str">
        <f>IFERROR(__xludf.DUMMYFUNCTION("IF(
  AND(D178=""Saída"", J178=""Sangria""),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197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94" t="str">
        <f>IFERROR(__xludf.DUMMYFUNCTION("ifna(VALUE(REGEXEXTRACT(E178,""[0-9.]+[,]+[0-9]+"")))"),"")</f>
        <v/>
      </c>
      <c r="O178" s="254"/>
      <c r="P178" s="263"/>
      <c r="Q178" s="254"/>
      <c r="R178" s="254"/>
      <c r="S178" s="254"/>
      <c r="V178" s="254"/>
      <c r="W178" s="194"/>
    </row>
    <row r="179" ht="14.25" customHeight="1">
      <c r="A179" s="186"/>
      <c r="B179" s="13"/>
      <c r="C179" s="14"/>
      <c r="D179" s="187"/>
      <c r="E179" s="188"/>
      <c r="F179" s="200"/>
      <c r="G179" s="187"/>
      <c r="H179" s="204"/>
      <c r="I179" s="204"/>
      <c r="J179" s="196"/>
      <c r="K179" s="196"/>
      <c r="L179" s="192" t="str">
        <f>IFERROR(__xludf.DUMMYFUNCTION("IF(
  AND(D179=""Saída"", J179=""Sangria""),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198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94" t="str">
        <f>IFERROR(__xludf.DUMMYFUNCTION("ifna(VALUE(REGEXEXTRACT(E179,""[0-9.]+[,]+[0-9]+"")))"),"")</f>
        <v/>
      </c>
      <c r="O179" s="258"/>
      <c r="P179" s="262"/>
      <c r="Q179" s="258"/>
      <c r="R179" s="258"/>
      <c r="S179" s="258"/>
      <c r="V179" s="258"/>
      <c r="W179" s="194"/>
    </row>
    <row r="180" ht="14.25" customHeight="1">
      <c r="A180" s="186"/>
      <c r="B180" s="13"/>
      <c r="C180" s="14"/>
      <c r="D180" s="187"/>
      <c r="E180" s="188"/>
      <c r="F180" s="189"/>
      <c r="G180" s="187"/>
      <c r="H180" s="204"/>
      <c r="I180" s="204"/>
      <c r="K180" s="196"/>
      <c r="L180" s="192" t="str">
        <f>IFERROR(__xludf.DUMMYFUNCTION("IF(
  AND(D180=""Saída"", J180=""Sangria""),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197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94" t="str">
        <f>IFERROR(__xludf.DUMMYFUNCTION("ifna(VALUE(REGEXEXTRACT(E180,""[0-9.]+[,]+[0-9]+"")))"),"")</f>
        <v/>
      </c>
      <c r="O180" s="254"/>
      <c r="P180" s="263"/>
      <c r="Q180" s="254"/>
      <c r="R180" s="254"/>
      <c r="S180" s="254"/>
      <c r="V180" s="254"/>
      <c r="W180" s="194"/>
    </row>
    <row r="181" ht="14.25" customHeight="1">
      <c r="A181" s="186"/>
      <c r="B181" s="13"/>
      <c r="C181" s="14"/>
      <c r="D181" s="187"/>
      <c r="E181" s="188"/>
      <c r="F181" s="189"/>
      <c r="G181" s="187"/>
      <c r="H181" s="204"/>
      <c r="I181" s="204"/>
      <c r="J181" s="196"/>
      <c r="K181" s="196"/>
      <c r="L181" s="192" t="str">
        <f>IFERROR(__xludf.DUMMYFUNCTION("IF(
  AND(D181=""Saída"", J181=""Sangria""),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198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94" t="str">
        <f>IFERROR(__xludf.DUMMYFUNCTION("ifna(VALUE(REGEXEXTRACT(E181,""[0-9.]+[,]+[0-9]+"")))"),"")</f>
        <v/>
      </c>
      <c r="O181" s="258"/>
      <c r="P181" s="262"/>
      <c r="Q181" s="258"/>
      <c r="R181" s="258"/>
      <c r="S181" s="258"/>
      <c r="V181" s="258"/>
      <c r="W181" s="194"/>
    </row>
    <row r="182" ht="14.25" customHeight="1">
      <c r="A182" s="186"/>
      <c r="B182" s="13"/>
      <c r="C182" s="14"/>
      <c r="D182" s="187"/>
      <c r="E182" s="188"/>
      <c r="F182" s="189"/>
      <c r="G182" s="187"/>
      <c r="H182" s="204"/>
      <c r="I182" s="204"/>
      <c r="J182" s="196"/>
      <c r="K182" s="196"/>
      <c r="L182" s="192" t="str">
        <f>IFERROR(__xludf.DUMMYFUNCTION("IF(
  AND(D182=""Saída"", J182=""Sangria""),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197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94" t="str">
        <f>IFERROR(__xludf.DUMMYFUNCTION("ifna(VALUE(REGEXEXTRACT(E182,""[0-9.]+[,]+[0-9]+"")))"),"")</f>
        <v/>
      </c>
      <c r="O182" s="254"/>
      <c r="P182" s="263"/>
      <c r="Q182" s="254"/>
      <c r="R182" s="254"/>
      <c r="S182" s="254"/>
      <c r="V182" s="254"/>
      <c r="W182" s="194"/>
    </row>
    <row r="183" ht="14.25" customHeight="1">
      <c r="A183" s="186"/>
      <c r="B183" s="13"/>
      <c r="C183" s="14"/>
      <c r="D183" s="187"/>
      <c r="E183" s="188"/>
      <c r="F183" s="200"/>
      <c r="G183" s="187"/>
      <c r="H183" s="204"/>
      <c r="I183" s="204"/>
      <c r="J183" s="196"/>
      <c r="K183" s="196"/>
      <c r="L183" s="192" t="str">
        <f>IFERROR(__xludf.DUMMYFUNCTION("IF(
  AND(D183=""Saída"", J183=""Sangria""),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198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94" t="str">
        <f>IFERROR(__xludf.DUMMYFUNCTION("ifna(VALUE(REGEXEXTRACT(E183,""[0-9.]+[,]+[0-9]+"")))"),"")</f>
        <v/>
      </c>
      <c r="O183" s="258"/>
      <c r="P183" s="262"/>
      <c r="Q183" s="258"/>
      <c r="R183" s="258"/>
      <c r="S183" s="258"/>
      <c r="V183" s="258"/>
      <c r="W183" s="194"/>
    </row>
    <row r="184" ht="14.25" customHeight="1">
      <c r="A184" s="186"/>
      <c r="B184" s="13"/>
      <c r="C184" s="14"/>
      <c r="D184" s="187"/>
      <c r="E184" s="188"/>
      <c r="F184" s="200"/>
      <c r="G184" s="187"/>
      <c r="H184" s="204"/>
      <c r="I184" s="204"/>
      <c r="J184" s="196"/>
      <c r="K184" s="196"/>
      <c r="L184" s="192" t="str">
        <f>IFERROR(__xludf.DUMMYFUNCTION("IF(
  AND(D184=""Saída"", J184=""Sangria""),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197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94" t="str">
        <f>IFERROR(__xludf.DUMMYFUNCTION("ifna(VALUE(REGEXEXTRACT(E184,""[0-9.]+[,]+[0-9]+"")))"),"")</f>
        <v/>
      </c>
      <c r="O184" s="254"/>
      <c r="P184" s="263"/>
      <c r="Q184" s="254"/>
      <c r="R184" s="254"/>
      <c r="S184" s="254"/>
      <c r="V184" s="254"/>
      <c r="W184" s="194"/>
    </row>
    <row r="185" ht="14.25" customHeight="1">
      <c r="A185" s="186"/>
      <c r="B185" s="13"/>
      <c r="C185" s="14"/>
      <c r="D185" s="187"/>
      <c r="E185" s="188"/>
      <c r="F185" s="189"/>
      <c r="G185" s="187"/>
      <c r="H185" s="204"/>
      <c r="I185" s="204"/>
      <c r="J185" s="196"/>
      <c r="K185" s="196"/>
      <c r="L185" s="192" t="str">
        <f>IFERROR(__xludf.DUMMYFUNCTION("IF(
  AND(D185=""Saída"", J185=""Sangria""),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198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94" t="str">
        <f>IFERROR(__xludf.DUMMYFUNCTION("ifna(VALUE(REGEXEXTRACT(E185,""[0-9.]+[,]+[0-9]+"")))"),"")</f>
        <v/>
      </c>
      <c r="O185" s="258"/>
      <c r="P185" s="262"/>
      <c r="Q185" s="258"/>
      <c r="R185" s="258"/>
      <c r="S185" s="258"/>
      <c r="V185" s="258"/>
      <c r="W185" s="194"/>
    </row>
    <row r="186" ht="14.25" customHeight="1">
      <c r="A186" s="186"/>
      <c r="B186" s="13"/>
      <c r="C186" s="14"/>
      <c r="D186" s="187"/>
      <c r="E186" s="188"/>
      <c r="F186" s="200"/>
      <c r="G186" s="187"/>
      <c r="H186" s="204"/>
      <c r="I186" s="204"/>
      <c r="J186" s="196"/>
      <c r="K186" s="196"/>
      <c r="L186" s="192" t="str">
        <f>IFERROR(__xludf.DUMMYFUNCTION("IF(
  AND(D186=""Saída"", J186=""Sangria""),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197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94" t="str">
        <f>IFERROR(__xludf.DUMMYFUNCTION("ifna(VALUE(REGEXEXTRACT(E186,""[0-9.]+[,]+[0-9]+"")))"),"")</f>
        <v/>
      </c>
      <c r="O186" s="254"/>
      <c r="P186" s="263"/>
      <c r="Q186" s="254"/>
      <c r="R186" s="254"/>
      <c r="S186" s="254"/>
      <c r="V186" s="254"/>
      <c r="W186" s="194"/>
    </row>
    <row r="187" ht="14.25" customHeight="1">
      <c r="A187" s="186"/>
      <c r="B187" s="13"/>
      <c r="C187" s="14"/>
      <c r="D187" s="187"/>
      <c r="E187" s="188"/>
      <c r="F187" s="189"/>
      <c r="G187" s="187"/>
      <c r="H187" s="204"/>
      <c r="I187" s="204"/>
      <c r="J187" s="196"/>
      <c r="K187" s="196"/>
      <c r="L187" s="192" t="str">
        <f>IFERROR(__xludf.DUMMYFUNCTION("IF(
  AND(D187=""Saída"", J187=""Sangria""),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198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94" t="str">
        <f>IFERROR(__xludf.DUMMYFUNCTION("ifna(VALUE(REGEXEXTRACT(E187,""[0-9.]+[,]+[0-9]+"")))"),"")</f>
        <v/>
      </c>
      <c r="O187" s="258"/>
      <c r="P187" s="262"/>
      <c r="Q187" s="258"/>
      <c r="R187" s="258"/>
      <c r="S187" s="258"/>
      <c r="V187" s="258"/>
      <c r="W187" s="194"/>
    </row>
    <row r="188" ht="14.25" customHeight="1">
      <c r="A188" s="186"/>
      <c r="B188" s="13"/>
      <c r="C188" s="14"/>
      <c r="D188" s="187"/>
      <c r="E188" s="188"/>
      <c r="F188" s="189"/>
      <c r="G188" s="187"/>
      <c r="H188" s="204"/>
      <c r="I188" s="204"/>
      <c r="J188" s="196"/>
      <c r="K188" s="196"/>
      <c r="L188" s="192" t="str">
        <f>IFERROR(__xludf.DUMMYFUNCTION("IF(
  AND(D188=""Saída"", J188=""Sangria""),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197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94" t="str">
        <f>IFERROR(__xludf.DUMMYFUNCTION("ifna(VALUE(REGEXEXTRACT(E188,""[0-9.]+[,]+[0-9]+"")))"),"")</f>
        <v/>
      </c>
      <c r="O188" s="254"/>
      <c r="P188" s="263"/>
      <c r="Q188" s="254"/>
      <c r="R188" s="254"/>
      <c r="S188" s="254"/>
      <c r="V188" s="254"/>
      <c r="W188" s="194"/>
    </row>
    <row r="189" ht="14.25" customHeight="1">
      <c r="A189" s="186"/>
      <c r="B189" s="13"/>
      <c r="C189" s="14"/>
      <c r="D189" s="187"/>
      <c r="E189" s="188"/>
      <c r="F189" s="189"/>
      <c r="G189" s="187"/>
      <c r="H189" s="204"/>
      <c r="I189" s="204"/>
      <c r="J189" s="196"/>
      <c r="K189" s="196"/>
      <c r="L189" s="192" t="str">
        <f>IFERROR(__xludf.DUMMYFUNCTION("IF(
  AND(D189=""Saída"", J189=""Sangria""),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198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94" t="str">
        <f>IFERROR(__xludf.DUMMYFUNCTION("ifna(VALUE(REGEXEXTRACT(E189,""[0-9.]+[,]+[0-9]+"")))"),"")</f>
        <v/>
      </c>
      <c r="O189" s="258"/>
      <c r="P189" s="262"/>
      <c r="Q189" s="258"/>
      <c r="R189" s="258"/>
      <c r="S189" s="258"/>
      <c r="V189" s="258"/>
      <c r="W189" s="194"/>
    </row>
    <row r="190" ht="14.25" customHeight="1">
      <c r="A190" s="186"/>
      <c r="B190" s="13"/>
      <c r="C190" s="14"/>
      <c r="D190" s="187"/>
      <c r="E190" s="188"/>
      <c r="F190" s="189"/>
      <c r="G190" s="187"/>
      <c r="H190" s="204"/>
      <c r="I190" s="204"/>
      <c r="J190" s="196"/>
      <c r="K190" s="196"/>
      <c r="L190" s="192" t="str">
        <f>IFERROR(__xludf.DUMMYFUNCTION("IF(
  AND(D190=""Saída"", J190=""Sangria""),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197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94" t="str">
        <f>IFERROR(__xludf.DUMMYFUNCTION("ifna(VALUE(REGEXEXTRACT(E190,""[0-9.]+[,]+[0-9]+"")))"),"")</f>
        <v/>
      </c>
      <c r="O190" s="254"/>
      <c r="P190" s="263"/>
      <c r="Q190" s="254"/>
      <c r="R190" s="254"/>
      <c r="S190" s="254"/>
      <c r="V190" s="254"/>
      <c r="W190" s="194"/>
    </row>
    <row r="191" ht="14.25" customHeight="1">
      <c r="A191" s="186"/>
      <c r="B191" s="13"/>
      <c r="C191" s="14"/>
      <c r="D191" s="187"/>
      <c r="E191" s="188"/>
      <c r="F191" s="189"/>
      <c r="G191" s="187"/>
      <c r="H191" s="204"/>
      <c r="I191" s="204"/>
      <c r="J191" s="266"/>
      <c r="K191" s="196"/>
      <c r="L191" s="192" t="str">
        <f>IFERROR(__xludf.DUMMYFUNCTION("IF(
  AND(D191=""Saída"", J191=""Sangria""),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198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94" t="str">
        <f>IFERROR(__xludf.DUMMYFUNCTION("ifna(VALUE(REGEXEXTRACT(E191,""[0-9.]+[,]+[0-9]+"")))"),"")</f>
        <v/>
      </c>
      <c r="O191" s="258"/>
      <c r="P191" s="262"/>
      <c r="Q191" s="258"/>
      <c r="R191" s="258"/>
      <c r="S191" s="258"/>
      <c r="V191" s="258"/>
      <c r="W191" s="194"/>
    </row>
    <row r="192" ht="14.25" customHeight="1">
      <c r="A192" s="186"/>
      <c r="B192" s="13"/>
      <c r="C192" s="14"/>
      <c r="D192" s="187"/>
      <c r="E192" s="188"/>
      <c r="F192" s="200"/>
      <c r="G192" s="187"/>
      <c r="H192" s="204"/>
      <c r="I192" s="204"/>
      <c r="J192" s="196"/>
      <c r="K192" s="196"/>
      <c r="L192" s="192" t="str">
        <f>IFERROR(__xludf.DUMMYFUNCTION("IF(
  AND(D192=""Saída"", J192=""Sangria""),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197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94" t="str">
        <f>IFERROR(__xludf.DUMMYFUNCTION("ifna(VALUE(REGEXEXTRACT(E192,""[0-9.]+[,]+[0-9]+"")))"),"")</f>
        <v/>
      </c>
      <c r="O192" s="254"/>
      <c r="P192" s="263"/>
      <c r="Q192" s="254"/>
      <c r="R192" s="254"/>
      <c r="S192" s="254"/>
      <c r="V192" s="254"/>
      <c r="W192" s="194"/>
    </row>
    <row r="193" ht="14.25" customHeight="1">
      <c r="A193" s="186"/>
      <c r="B193" s="13"/>
      <c r="C193" s="14"/>
      <c r="D193" s="187"/>
      <c r="E193" s="188"/>
      <c r="F193" s="189"/>
      <c r="G193" s="187"/>
      <c r="H193" s="204"/>
      <c r="I193" s="204"/>
      <c r="J193" s="196"/>
      <c r="K193" s="196"/>
      <c r="L193" s="192" t="str">
        <f>IFERROR(__xludf.DUMMYFUNCTION("IF(
  AND(D193=""Saída"", J193=""Sangria""),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198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94" t="str">
        <f>IFERROR(__xludf.DUMMYFUNCTION("ifna(VALUE(REGEXEXTRACT(E193,""[0-9.]+[,]+[0-9]+"")))"),"")</f>
        <v/>
      </c>
      <c r="O193" s="194"/>
      <c r="P193" s="194"/>
      <c r="Q193" s="194"/>
      <c r="R193" s="194"/>
      <c r="S193" s="194"/>
      <c r="T193" s="194"/>
      <c r="U193" s="194"/>
      <c r="V193" s="194"/>
      <c r="W193" s="194"/>
    </row>
    <row r="194" ht="14.25" customHeight="1">
      <c r="A194" s="186"/>
      <c r="B194" s="13"/>
      <c r="C194" s="14"/>
      <c r="D194" s="187"/>
      <c r="E194" s="188"/>
      <c r="F194" s="189"/>
      <c r="G194" s="187"/>
      <c r="H194" s="204"/>
      <c r="I194" s="204"/>
      <c r="J194" s="196"/>
      <c r="K194" s="196"/>
      <c r="L194" s="192" t="str">
        <f>IFERROR(__xludf.DUMMYFUNCTION("IF(
  AND(D194=""Saída"", J194=""Sangria""),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197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94" t="str">
        <f>IFERROR(__xludf.DUMMYFUNCTION("ifna(VALUE(REGEXEXTRACT(E194,""[0-9.]+[,]+[0-9]+"")))"),"")</f>
        <v/>
      </c>
      <c r="O194" s="194"/>
      <c r="P194" s="194"/>
      <c r="Q194" s="194"/>
      <c r="R194" s="194"/>
      <c r="S194" s="194"/>
      <c r="T194" s="194"/>
      <c r="U194" s="194"/>
      <c r="V194" s="194"/>
      <c r="W194" s="194"/>
    </row>
    <row r="195" ht="14.25" customHeight="1">
      <c r="A195" s="186"/>
      <c r="B195" s="13"/>
      <c r="C195" s="14"/>
      <c r="D195" s="187"/>
      <c r="E195" s="188"/>
      <c r="F195" s="200"/>
      <c r="G195" s="187"/>
      <c r="H195" s="204"/>
      <c r="I195" s="204"/>
      <c r="J195" s="196"/>
      <c r="K195" s="196"/>
      <c r="L195" s="192" t="str">
        <f>IFERROR(__xludf.DUMMYFUNCTION("IF(
  AND(D195=""Saída"", J195=""Sangria""),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198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94" t="str">
        <f>IFERROR(__xludf.DUMMYFUNCTION("ifna(VALUE(REGEXEXTRACT(E195,""[0-9.]+[,]+[0-9]+"")))"),"")</f>
        <v/>
      </c>
      <c r="O195" s="194"/>
      <c r="P195" s="194"/>
      <c r="Q195" s="194"/>
      <c r="R195" s="194"/>
      <c r="S195" s="194"/>
      <c r="T195" s="194"/>
      <c r="U195" s="194"/>
      <c r="V195" s="194"/>
      <c r="W195" s="194"/>
    </row>
    <row r="196" ht="14.25" customHeight="1">
      <c r="A196" s="186"/>
      <c r="B196" s="13"/>
      <c r="C196" s="14"/>
      <c r="D196" s="187"/>
      <c r="E196" s="188"/>
      <c r="F196" s="189"/>
      <c r="G196" s="187"/>
      <c r="H196" s="204"/>
      <c r="I196" s="204"/>
      <c r="K196" s="196"/>
      <c r="L196" s="192" t="str">
        <f>IFERROR(__xludf.DUMMYFUNCTION("IF(
  AND(D196=""Saída"", J196=""Sangria""),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197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94" t="str">
        <f>IFERROR(__xludf.DUMMYFUNCTION("ifna(VALUE(REGEXEXTRACT(E196,""[0-9.]+[,]+[0-9]+"")))"),"")</f>
        <v/>
      </c>
      <c r="O196" s="194"/>
      <c r="P196" s="194"/>
      <c r="Q196" s="194"/>
      <c r="R196" s="194"/>
      <c r="S196" s="194"/>
      <c r="T196" s="194"/>
      <c r="U196" s="194"/>
      <c r="V196" s="194"/>
      <c r="W196" s="194"/>
    </row>
    <row r="197" ht="14.25" customHeight="1">
      <c r="A197" s="186"/>
      <c r="B197" s="13"/>
      <c r="C197" s="14"/>
      <c r="D197" s="187"/>
      <c r="E197" s="188"/>
      <c r="F197" s="189"/>
      <c r="G197" s="187"/>
      <c r="H197" s="204"/>
      <c r="I197" s="204"/>
      <c r="J197" s="196"/>
      <c r="K197" s="196"/>
      <c r="L197" s="192" t="str">
        <f>IFERROR(__xludf.DUMMYFUNCTION("IF(
  AND(D197=""Saída"", J197=""Sangria""),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198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94" t="str">
        <f>IFERROR(__xludf.DUMMYFUNCTION("ifna(VALUE(REGEXEXTRACT(E197,""[0-9.]+[,]+[0-9]+"")))"),"")</f>
        <v/>
      </c>
      <c r="O197" s="194"/>
      <c r="P197" s="194"/>
      <c r="Q197" s="194"/>
      <c r="R197" s="194"/>
      <c r="S197" s="194"/>
      <c r="T197" s="194"/>
      <c r="U197" s="194"/>
      <c r="V197" s="194"/>
      <c r="W197" s="194"/>
    </row>
    <row r="198" ht="14.25" customHeight="1">
      <c r="A198" s="186"/>
      <c r="B198" s="13"/>
      <c r="C198" s="14"/>
      <c r="D198" s="187"/>
      <c r="E198" s="188"/>
      <c r="F198" s="189"/>
      <c r="G198" s="187"/>
      <c r="H198" s="204"/>
      <c r="I198" s="204"/>
      <c r="J198" s="196"/>
      <c r="K198" s="196"/>
      <c r="L198" s="192" t="str">
        <f>IFERROR(__xludf.DUMMYFUNCTION("IF(
  AND(D198=""Saída"", J198=""Sangria""),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197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94" t="str">
        <f>IFERROR(__xludf.DUMMYFUNCTION("ifna(VALUE(REGEXEXTRACT(E198,""[0-9.]+[,]+[0-9]+"")))"),"")</f>
        <v/>
      </c>
      <c r="O198" s="194"/>
      <c r="P198" s="194"/>
      <c r="Q198" s="194"/>
      <c r="R198" s="194"/>
      <c r="S198" s="194"/>
      <c r="T198" s="194"/>
      <c r="U198" s="194"/>
      <c r="V198" s="194"/>
      <c r="W198" s="194"/>
    </row>
    <row r="199" ht="14.25" customHeight="1">
      <c r="A199" s="186"/>
      <c r="B199" s="13"/>
      <c r="C199" s="14"/>
      <c r="D199" s="187"/>
      <c r="E199" s="188"/>
      <c r="F199" s="189"/>
      <c r="G199" s="187"/>
      <c r="H199" s="204"/>
      <c r="I199" s="204"/>
      <c r="J199" s="196"/>
      <c r="K199" s="196"/>
      <c r="L199" s="192" t="str">
        <f>IFERROR(__xludf.DUMMYFUNCTION("IF(
  AND(D199=""Saída"", J199=""Sangria""),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198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94" t="str">
        <f>IFERROR(__xludf.DUMMYFUNCTION("ifna(VALUE(REGEXEXTRACT(E199,""[0-9.]+[,]+[0-9]+"")))"),"")</f>
        <v/>
      </c>
      <c r="O199" s="194"/>
      <c r="P199" s="194"/>
      <c r="Q199" s="194"/>
      <c r="R199" s="194"/>
      <c r="S199" s="194"/>
      <c r="T199" s="194"/>
      <c r="U199" s="194"/>
      <c r="V199" s="194"/>
      <c r="W199" s="194"/>
    </row>
    <row r="200" ht="14.25" customHeight="1">
      <c r="A200" s="186"/>
      <c r="B200" s="13"/>
      <c r="C200" s="14"/>
      <c r="D200" s="187"/>
      <c r="E200" s="188"/>
      <c r="F200" s="189"/>
      <c r="G200" s="187"/>
      <c r="H200" s="204"/>
      <c r="I200" s="204"/>
      <c r="J200" s="196"/>
      <c r="K200" s="196"/>
      <c r="L200" s="192" t="str">
        <f>IFERROR(__xludf.DUMMYFUNCTION("IF(
  AND(D200=""Saída"", J200=""Sangria""),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197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94" t="str">
        <f>IFERROR(__xludf.DUMMYFUNCTION("ifna(VALUE(REGEXEXTRACT(E200,""[0-9.]+[,]+[0-9]+"")))"),"")</f>
        <v/>
      </c>
      <c r="O200" s="194"/>
      <c r="P200" s="194"/>
      <c r="Q200" s="194"/>
      <c r="R200" s="194"/>
      <c r="S200" s="194"/>
      <c r="T200" s="194"/>
      <c r="U200" s="194"/>
      <c r="V200" s="194"/>
      <c r="W200" s="194"/>
    </row>
    <row r="201" ht="14.25" customHeight="1">
      <c r="A201" s="186"/>
      <c r="B201" s="13"/>
      <c r="C201" s="14"/>
      <c r="D201" s="187"/>
      <c r="E201" s="188"/>
      <c r="F201" s="189"/>
      <c r="G201" s="187"/>
      <c r="H201" s="204"/>
      <c r="I201" s="204"/>
      <c r="J201" s="196"/>
      <c r="K201" s="196"/>
      <c r="L201" s="192" t="str">
        <f>IFERROR(__xludf.DUMMYFUNCTION("IF(
  AND(D201=""Saída"", J201=""Sangria""),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198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94" t="str">
        <f>IFERROR(__xludf.DUMMYFUNCTION("ifna(VALUE(REGEXEXTRACT(E201,""[0-9.]+[,]+[0-9]+"")))"),"")</f>
        <v/>
      </c>
      <c r="O201" s="194"/>
      <c r="P201" s="194"/>
      <c r="Q201" s="194"/>
      <c r="R201" s="194"/>
      <c r="S201" s="194"/>
      <c r="T201" s="194"/>
      <c r="U201" s="194"/>
      <c r="V201" s="194"/>
      <c r="W201" s="194"/>
    </row>
    <row r="202" ht="14.25" customHeight="1">
      <c r="A202" s="186"/>
      <c r="B202" s="13"/>
      <c r="C202" s="14"/>
      <c r="D202" s="187"/>
      <c r="E202" s="188"/>
      <c r="F202" s="189"/>
      <c r="G202" s="187"/>
      <c r="H202" s="204"/>
      <c r="I202" s="204"/>
      <c r="J202" s="196"/>
      <c r="K202" s="196"/>
      <c r="L202" s="192" t="str">
        <f>IFERROR(__xludf.DUMMYFUNCTION("IF(
  AND(D202=""Saída"", J202=""Sangria""),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197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94" t="str">
        <f>IFERROR(__xludf.DUMMYFUNCTION("ifna(VALUE(REGEXEXTRACT(E202,""[0-9.]+[,]+[0-9]+"")))"),"")</f>
        <v/>
      </c>
      <c r="O202" s="194"/>
      <c r="P202" s="194"/>
      <c r="Q202" s="194"/>
      <c r="R202" s="194"/>
      <c r="S202" s="194"/>
      <c r="T202" s="194"/>
      <c r="U202" s="194"/>
      <c r="V202" s="194"/>
      <c r="W202" s="194"/>
    </row>
    <row r="203" ht="14.25" customHeight="1">
      <c r="A203" s="186"/>
      <c r="B203" s="13"/>
      <c r="C203" s="14"/>
      <c r="D203" s="187"/>
      <c r="E203" s="188"/>
      <c r="F203" s="189"/>
      <c r="G203" s="187"/>
      <c r="H203" s="204"/>
      <c r="I203" s="204"/>
      <c r="J203" s="196"/>
      <c r="K203" s="196"/>
      <c r="L203" s="192" t="str">
        <f>IFERROR(__xludf.DUMMYFUNCTION("IF(
  AND(D203=""Saída"", J203=""Sangria""),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198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94" t="str">
        <f>IFERROR(__xludf.DUMMYFUNCTION("ifna(VALUE(REGEXEXTRACT(E203,""[0-9.]+[,]+[0-9]+"")))"),"")</f>
        <v/>
      </c>
      <c r="O203" s="194"/>
      <c r="P203" s="194"/>
      <c r="Q203" s="194"/>
      <c r="R203" s="194"/>
      <c r="S203" s="194"/>
      <c r="T203" s="194"/>
      <c r="U203" s="194"/>
      <c r="V203" s="194"/>
      <c r="W203" s="194"/>
    </row>
    <row r="204" ht="14.25" customHeight="1">
      <c r="A204" s="186"/>
      <c r="B204" s="13"/>
      <c r="C204" s="14"/>
      <c r="D204" s="187"/>
      <c r="E204" s="188"/>
      <c r="F204" s="189"/>
      <c r="G204" s="187"/>
      <c r="H204" s="204"/>
      <c r="I204" s="204"/>
      <c r="J204" s="196"/>
      <c r="K204" s="196"/>
      <c r="L204" s="192" t="str">
        <f>IFERROR(__xludf.DUMMYFUNCTION("IF(
  AND(D204=""Saída"", J204=""Sangria""),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197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94" t="str">
        <f>IFERROR(__xludf.DUMMYFUNCTION("ifna(VALUE(REGEXEXTRACT(E204,""[0-9.]+[,]+[0-9]+"")))"),"")</f>
        <v/>
      </c>
      <c r="O204" s="194"/>
      <c r="P204" s="194"/>
      <c r="Q204" s="194"/>
      <c r="R204" s="194"/>
      <c r="S204" s="194"/>
      <c r="T204" s="194"/>
      <c r="U204" s="194"/>
      <c r="V204" s="194"/>
      <c r="W204" s="194"/>
    </row>
    <row r="205" ht="14.25" customHeight="1">
      <c r="A205" s="186"/>
      <c r="B205" s="13"/>
      <c r="C205" s="14"/>
      <c r="D205" s="187"/>
      <c r="E205" s="188"/>
      <c r="F205" s="200"/>
      <c r="G205" s="187"/>
      <c r="H205" s="204"/>
      <c r="I205" s="204"/>
      <c r="J205" s="196"/>
      <c r="K205" s="196"/>
      <c r="L205" s="192" t="str">
        <f>IFERROR(__xludf.DUMMYFUNCTION("IF(
  AND(D205=""Saída"", J205=""Sangria""),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198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94" t="str">
        <f>IFERROR(__xludf.DUMMYFUNCTION("ifna(VALUE(REGEXEXTRACT(E205,""[0-9.]+[,]+[0-9]+"")))"),"")</f>
        <v/>
      </c>
      <c r="O205" s="194"/>
      <c r="P205" s="194"/>
      <c r="Q205" s="194"/>
      <c r="R205" s="194"/>
      <c r="S205" s="194"/>
      <c r="T205" s="194"/>
      <c r="U205" s="194"/>
      <c r="V205" s="194"/>
      <c r="W205" s="194"/>
    </row>
    <row r="206" ht="14.25" customHeight="1">
      <c r="A206" s="186"/>
      <c r="B206" s="13"/>
      <c r="C206" s="14"/>
      <c r="D206" s="187"/>
      <c r="E206" s="188"/>
      <c r="F206" s="189"/>
      <c r="G206" s="187"/>
      <c r="H206" s="204"/>
      <c r="I206" s="204"/>
      <c r="J206" s="196"/>
      <c r="K206" s="196"/>
      <c r="L206" s="192" t="str">
        <f>IFERROR(__xludf.DUMMYFUNCTION("IF(
  AND(D206=""Saída"", J206=""Sangria""),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197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94" t="str">
        <f>IFERROR(__xludf.DUMMYFUNCTION("ifna(VALUE(REGEXEXTRACT(E206,""[0-9.]+[,]+[0-9]+"")))"),"")</f>
        <v/>
      </c>
      <c r="O206" s="194"/>
      <c r="P206" s="194"/>
      <c r="Q206" s="194"/>
      <c r="R206" s="194"/>
      <c r="S206" s="194"/>
      <c r="T206" s="194"/>
      <c r="U206" s="194"/>
      <c r="V206" s="194"/>
      <c r="W206" s="194"/>
    </row>
    <row r="207" ht="14.25" customHeight="1">
      <c r="A207" s="186"/>
      <c r="B207" s="13"/>
      <c r="C207" s="14"/>
      <c r="D207" s="187"/>
      <c r="E207" s="188"/>
      <c r="F207" s="189"/>
      <c r="G207" s="187"/>
      <c r="H207" s="204"/>
      <c r="I207" s="204"/>
      <c r="J207" s="196"/>
      <c r="K207" s="196"/>
      <c r="L207" s="192" t="str">
        <f>IFERROR(__xludf.DUMMYFUNCTION("IF(
  AND(D207=""Saída"", J207=""Sangria""),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198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94" t="str">
        <f>IFERROR(__xludf.DUMMYFUNCTION("ifna(VALUE(REGEXEXTRACT(E207,""[0-9.]+[,]+[0-9]+"")))"),"")</f>
        <v/>
      </c>
      <c r="O207" s="194"/>
      <c r="P207" s="194"/>
      <c r="Q207" s="194"/>
      <c r="R207" s="194"/>
      <c r="S207" s="194"/>
      <c r="T207" s="194"/>
      <c r="U207" s="194"/>
      <c r="V207" s="194"/>
      <c r="W207" s="194"/>
    </row>
    <row r="208" ht="14.25" customHeight="1">
      <c r="A208" s="186"/>
      <c r="B208" s="13"/>
      <c r="C208" s="14"/>
      <c r="D208" s="187"/>
      <c r="E208" s="188"/>
      <c r="F208" s="189"/>
      <c r="G208" s="187"/>
      <c r="H208" s="204"/>
      <c r="I208" s="204"/>
      <c r="J208" s="196"/>
      <c r="K208" s="196"/>
      <c r="L208" s="192" t="str">
        <f>IFERROR(__xludf.DUMMYFUNCTION("IF(
  AND(D208=""Saída"", J208=""Sangria""),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197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94" t="str">
        <f>IFERROR(__xludf.DUMMYFUNCTION("ifna(VALUE(REGEXEXTRACT(E208,""[0-9.]+[,]+[0-9]+"")))"),"")</f>
        <v/>
      </c>
      <c r="O208" s="194"/>
      <c r="P208" s="194"/>
      <c r="Q208" s="194"/>
      <c r="R208" s="194"/>
      <c r="S208" s="194"/>
      <c r="T208" s="194"/>
      <c r="U208" s="194"/>
      <c r="V208" s="194"/>
      <c r="W208" s="194"/>
    </row>
    <row r="209" ht="14.25" customHeight="1">
      <c r="A209" s="186"/>
      <c r="B209" s="13"/>
      <c r="C209" s="14"/>
      <c r="D209" s="187"/>
      <c r="E209" s="188"/>
      <c r="F209" s="189"/>
      <c r="G209" s="187"/>
      <c r="H209" s="204"/>
      <c r="I209" s="204"/>
      <c r="K209" s="196"/>
      <c r="L209" s="192" t="str">
        <f>IFERROR(__xludf.DUMMYFUNCTION("IF(
  AND(D209=""Saída"", J209=""Sangria""),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198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94" t="str">
        <f>IFERROR(__xludf.DUMMYFUNCTION("ifna(VALUE(REGEXEXTRACT(E209,""[0-9.]+[,]+[0-9]+"")))"),"")</f>
        <v/>
      </c>
      <c r="O209" s="194"/>
      <c r="P209" s="194"/>
      <c r="Q209" s="194"/>
      <c r="R209" s="194"/>
      <c r="S209" s="194"/>
      <c r="T209" s="194"/>
      <c r="U209" s="194"/>
      <c r="V209" s="194"/>
      <c r="W209" s="194"/>
    </row>
    <row r="210" ht="14.25" customHeight="1">
      <c r="A210" s="186"/>
      <c r="B210" s="13"/>
      <c r="C210" s="14"/>
      <c r="D210" s="187"/>
      <c r="E210" s="188"/>
      <c r="F210" s="200"/>
      <c r="G210" s="187"/>
      <c r="H210" s="204"/>
      <c r="I210" s="204"/>
      <c r="J210" s="196"/>
      <c r="K210" s="196"/>
      <c r="L210" s="192" t="str">
        <f>IFERROR(__xludf.DUMMYFUNCTION("IF(
  AND(D210=""Saída"", J210=""Sangria""),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197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94" t="str">
        <f>IFERROR(__xludf.DUMMYFUNCTION("ifna(VALUE(REGEXEXTRACT(E210,""[0-9.]+[,]+[0-9]+"")))"),"")</f>
        <v/>
      </c>
      <c r="O210" s="194"/>
      <c r="P210" s="194"/>
      <c r="Q210" s="194"/>
      <c r="R210" s="194"/>
      <c r="S210" s="194"/>
      <c r="T210" s="194"/>
      <c r="U210" s="194"/>
      <c r="V210" s="194"/>
      <c r="W210" s="194"/>
    </row>
    <row r="211" ht="14.25" customHeight="1">
      <c r="A211" s="186"/>
      <c r="B211" s="13"/>
      <c r="C211" s="14"/>
      <c r="D211" s="187"/>
      <c r="E211" s="188"/>
      <c r="F211" s="189"/>
      <c r="G211" s="187"/>
      <c r="H211" s="204"/>
      <c r="I211" s="204"/>
      <c r="J211" s="196"/>
      <c r="K211" s="196"/>
      <c r="L211" s="192" t="str">
        <f>IFERROR(__xludf.DUMMYFUNCTION("IF(
  AND(D211=""Saída"", J211=""Sangria""),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198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94" t="str">
        <f>IFERROR(__xludf.DUMMYFUNCTION("ifna(VALUE(REGEXEXTRACT(E211,""[0-9.]+[,]+[0-9]+"")))"),"")</f>
        <v/>
      </c>
      <c r="O211" s="194"/>
      <c r="P211" s="194"/>
      <c r="Q211" s="194"/>
      <c r="R211" s="194"/>
      <c r="S211" s="194"/>
      <c r="T211" s="194"/>
      <c r="U211" s="194"/>
      <c r="V211" s="194"/>
      <c r="W211" s="194"/>
    </row>
    <row r="212" ht="14.25" customHeight="1">
      <c r="A212" s="186"/>
      <c r="B212" s="13"/>
      <c r="C212" s="14"/>
      <c r="D212" s="187"/>
      <c r="E212" s="188"/>
      <c r="F212" s="200"/>
      <c r="G212" s="187"/>
      <c r="H212" s="204"/>
      <c r="I212" s="204"/>
      <c r="J212" s="196"/>
      <c r="K212" s="196"/>
      <c r="L212" s="192" t="str">
        <f>IFERROR(__xludf.DUMMYFUNCTION("IF(
  AND(D212=""Saída"", J212=""Sangria""),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197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94" t="str">
        <f>IFERROR(__xludf.DUMMYFUNCTION("ifna(VALUE(REGEXEXTRACT(E212,""[0-9.]+[,]+[0-9]+"")))"),"")</f>
        <v/>
      </c>
      <c r="O212" s="194"/>
      <c r="P212" s="194"/>
      <c r="Q212" s="194"/>
      <c r="R212" s="194"/>
      <c r="S212" s="194"/>
      <c r="T212" s="194"/>
      <c r="U212" s="194"/>
      <c r="V212" s="194"/>
      <c r="W212" s="194"/>
    </row>
    <row r="213" ht="14.25" customHeight="1">
      <c r="A213" s="186"/>
      <c r="B213" s="13"/>
      <c r="C213" s="14"/>
      <c r="D213" s="187"/>
      <c r="E213" s="188"/>
      <c r="F213" s="189"/>
      <c r="G213" s="187"/>
      <c r="H213" s="204"/>
      <c r="I213" s="204"/>
      <c r="J213" s="196"/>
      <c r="K213" s="196"/>
      <c r="L213" s="192" t="str">
        <f>IFERROR(__xludf.DUMMYFUNCTION("IF(
  AND(D213=""Saída"", J213=""Sangria""),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198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94" t="str">
        <f>IFERROR(__xludf.DUMMYFUNCTION("ifna(VALUE(REGEXEXTRACT(E213,""[0-9.]+[,]+[0-9]+"")))"),"")</f>
        <v/>
      </c>
      <c r="O213" s="194"/>
      <c r="P213" s="194"/>
      <c r="Q213" s="194"/>
      <c r="R213" s="194"/>
      <c r="S213" s="194"/>
      <c r="T213" s="194"/>
      <c r="U213" s="194"/>
      <c r="V213" s="194"/>
      <c r="W213" s="194"/>
    </row>
    <row r="214" ht="14.25" customHeight="1">
      <c r="A214" s="186"/>
      <c r="B214" s="13"/>
      <c r="C214" s="14"/>
      <c r="D214" s="187"/>
      <c r="E214" s="188"/>
      <c r="F214" s="189"/>
      <c r="G214" s="187"/>
      <c r="H214" s="204"/>
      <c r="I214" s="204"/>
      <c r="J214" s="196"/>
      <c r="K214" s="196"/>
      <c r="L214" s="192" t="str">
        <f>IFERROR(__xludf.DUMMYFUNCTION("IF(
  AND(D214=""Saída"", J214=""Sangria""),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197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94" t="str">
        <f>IFERROR(__xludf.DUMMYFUNCTION("ifna(VALUE(REGEXEXTRACT(E214,""[0-9.]+[,]+[0-9]+"")))"),"")</f>
        <v/>
      </c>
      <c r="O214" s="194"/>
      <c r="P214" s="194"/>
      <c r="Q214" s="194"/>
      <c r="R214" s="194"/>
      <c r="S214" s="194"/>
      <c r="T214" s="194"/>
      <c r="U214" s="194"/>
      <c r="V214" s="194"/>
      <c r="W214" s="194"/>
    </row>
    <row r="215" ht="14.25" customHeight="1">
      <c r="A215" s="186"/>
      <c r="B215" s="13"/>
      <c r="C215" s="14"/>
      <c r="D215" s="187"/>
      <c r="E215" s="188"/>
      <c r="F215" s="189"/>
      <c r="G215" s="187"/>
      <c r="H215" s="204"/>
      <c r="I215" s="204"/>
      <c r="J215" s="196"/>
      <c r="K215" s="196"/>
      <c r="L215" s="192" t="str">
        <f>IFERROR(__xludf.DUMMYFUNCTION("IF(
  AND(D215=""Saída"", J215=""Sangria""),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198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94" t="str">
        <f>IFERROR(__xludf.DUMMYFUNCTION("ifna(VALUE(REGEXEXTRACT(E215,""[0-9.]+[,]+[0-9]+"")))"),"")</f>
        <v/>
      </c>
      <c r="O215" s="194"/>
      <c r="P215" s="194"/>
      <c r="Q215" s="194"/>
      <c r="R215" s="194"/>
      <c r="S215" s="194"/>
      <c r="T215" s="194"/>
      <c r="U215" s="194"/>
      <c r="V215" s="194"/>
      <c r="W215" s="194"/>
    </row>
    <row r="216" ht="14.25" customHeight="1">
      <c r="A216" s="186"/>
      <c r="B216" s="13"/>
      <c r="C216" s="14"/>
      <c r="D216" s="187"/>
      <c r="E216" s="188"/>
      <c r="F216" s="200"/>
      <c r="G216" s="187"/>
      <c r="H216" s="204"/>
      <c r="I216" s="204"/>
      <c r="J216" s="196"/>
      <c r="K216" s="196"/>
      <c r="L216" s="192" t="str">
        <f>IFERROR(__xludf.DUMMYFUNCTION("IF(
  AND(D216=""Saída"", J216=""Sangria""),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197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94" t="str">
        <f>IFERROR(__xludf.DUMMYFUNCTION("ifna(VALUE(REGEXEXTRACT(E216,""[0-9.]+[,]+[0-9]+"")))"),"")</f>
        <v/>
      </c>
      <c r="O216" s="194"/>
      <c r="P216" s="194"/>
      <c r="Q216" s="194"/>
      <c r="R216" s="194"/>
      <c r="S216" s="194"/>
      <c r="T216" s="194"/>
      <c r="U216" s="194"/>
      <c r="V216" s="194"/>
      <c r="W216" s="194"/>
    </row>
    <row r="217" ht="14.25" customHeight="1">
      <c r="A217" s="186"/>
      <c r="B217" s="13"/>
      <c r="C217" s="14"/>
      <c r="D217" s="187"/>
      <c r="E217" s="188"/>
      <c r="F217" s="189"/>
      <c r="G217" s="187"/>
      <c r="H217" s="204"/>
      <c r="I217" s="204"/>
      <c r="J217" s="196"/>
      <c r="K217" s="196"/>
      <c r="L217" s="192" t="str">
        <f>IFERROR(__xludf.DUMMYFUNCTION("IF(
  AND(D217=""Saída"", J217=""Sangria""),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198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94" t="str">
        <f>IFERROR(__xludf.DUMMYFUNCTION("ifna(VALUE(REGEXEXTRACT(E217,""[0-9.]+[,]+[0-9]+"")))"),"")</f>
        <v/>
      </c>
      <c r="O217" s="194"/>
      <c r="P217" s="194"/>
      <c r="Q217" s="194"/>
      <c r="R217" s="194"/>
      <c r="S217" s="194"/>
      <c r="T217" s="194"/>
      <c r="U217" s="194"/>
      <c r="V217" s="194"/>
      <c r="W217" s="194"/>
    </row>
    <row r="218" ht="14.25" customHeight="1">
      <c r="A218" s="186"/>
      <c r="B218" s="13"/>
      <c r="C218" s="14"/>
      <c r="D218" s="187"/>
      <c r="E218" s="188"/>
      <c r="F218" s="189"/>
      <c r="G218" s="187"/>
      <c r="H218" s="204"/>
      <c r="I218" s="204"/>
      <c r="J218" s="196"/>
      <c r="K218" s="196"/>
      <c r="L218" s="192" t="str">
        <f>IFERROR(__xludf.DUMMYFUNCTION("IF(
  AND(D218=""Saída"", J218=""Sangria""),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197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94" t="str">
        <f>IFERROR(__xludf.DUMMYFUNCTION("ifna(VALUE(REGEXEXTRACT(E218,""[0-9.]+[,]+[0-9]+"")))"),"")</f>
        <v/>
      </c>
      <c r="O218" s="194"/>
      <c r="P218" s="194"/>
      <c r="Q218" s="194"/>
      <c r="R218" s="194"/>
      <c r="S218" s="194"/>
      <c r="T218" s="194"/>
      <c r="U218" s="194"/>
      <c r="V218" s="194"/>
      <c r="W218" s="194"/>
    </row>
    <row r="219" ht="14.25" customHeight="1">
      <c r="A219" s="186"/>
      <c r="B219" s="13"/>
      <c r="C219" s="14"/>
      <c r="D219" s="187"/>
      <c r="E219" s="188"/>
      <c r="F219" s="189"/>
      <c r="G219" s="187"/>
      <c r="H219" s="204"/>
      <c r="I219" s="204"/>
      <c r="J219" s="196"/>
      <c r="K219" s="196"/>
      <c r="L219" s="192" t="str">
        <f>IFERROR(__xludf.DUMMYFUNCTION("IF(
  AND(D219=""Saída"", J219=""Sangria""),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198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94" t="str">
        <f>IFERROR(__xludf.DUMMYFUNCTION("ifna(VALUE(REGEXEXTRACT(E219,""[0-9.]+[,]+[0-9]+"")))"),"")</f>
        <v/>
      </c>
      <c r="O219" s="194"/>
      <c r="P219" s="194"/>
      <c r="Q219" s="194"/>
      <c r="R219" s="194"/>
      <c r="S219" s="194"/>
      <c r="T219" s="194"/>
      <c r="U219" s="194"/>
      <c r="V219" s="194"/>
      <c r="W219" s="194"/>
    </row>
    <row r="220" ht="14.25" customHeight="1">
      <c r="A220" s="186"/>
      <c r="B220" s="13"/>
      <c r="C220" s="14"/>
      <c r="D220" s="187"/>
      <c r="E220" s="188"/>
      <c r="F220" s="189"/>
      <c r="G220" s="187"/>
      <c r="H220" s="204"/>
      <c r="I220" s="204"/>
      <c r="J220" s="196"/>
      <c r="K220" s="196"/>
      <c r="L220" s="192" t="str">
        <f>IFERROR(__xludf.DUMMYFUNCTION("IF(
  AND(D220=""Saída"", J220=""Sangria""),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197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94" t="str">
        <f>IFERROR(__xludf.DUMMYFUNCTION("ifna(VALUE(REGEXEXTRACT(E220,""[0-9.]+[,]+[0-9]+"")))"),"")</f>
        <v/>
      </c>
      <c r="O220" s="194"/>
      <c r="P220" s="194"/>
      <c r="Q220" s="194"/>
      <c r="R220" s="194"/>
      <c r="S220" s="194"/>
      <c r="T220" s="194"/>
      <c r="U220" s="194"/>
      <c r="V220" s="194"/>
      <c r="W220" s="194"/>
    </row>
    <row r="221" ht="14.25" customHeight="1">
      <c r="A221" s="186"/>
      <c r="B221" s="13"/>
      <c r="C221" s="14"/>
      <c r="D221" s="187"/>
      <c r="E221" s="188"/>
      <c r="F221" s="189"/>
      <c r="G221" s="187"/>
      <c r="H221" s="204"/>
      <c r="I221" s="204"/>
      <c r="J221" s="196"/>
      <c r="K221" s="196"/>
      <c r="L221" s="192" t="str">
        <f>IFERROR(__xludf.DUMMYFUNCTION("IF(
  AND(D221=""Saída"", J221=""Sangria""),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198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94" t="str">
        <f>IFERROR(__xludf.DUMMYFUNCTION("ifna(VALUE(REGEXEXTRACT(E221,""[0-9.]+[,]+[0-9]+"")))"),"")</f>
        <v/>
      </c>
      <c r="O221" s="194"/>
      <c r="P221" s="194"/>
      <c r="Q221" s="194"/>
      <c r="R221" s="194"/>
      <c r="S221" s="194"/>
      <c r="T221" s="194"/>
      <c r="U221" s="194"/>
      <c r="V221" s="194"/>
      <c r="W221" s="194"/>
    </row>
    <row r="222" ht="14.25" customHeight="1">
      <c r="A222" s="186"/>
      <c r="B222" s="13"/>
      <c r="C222" s="14"/>
      <c r="D222" s="187"/>
      <c r="E222" s="188"/>
      <c r="F222" s="189"/>
      <c r="G222" s="187"/>
      <c r="H222" s="204"/>
      <c r="I222" s="204"/>
      <c r="J222" s="196"/>
      <c r="K222" s="196"/>
      <c r="L222" s="192" t="str">
        <f>IFERROR(__xludf.DUMMYFUNCTION("IF(
  AND(D222=""Saída"", J222=""Sangria""),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197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94" t="str">
        <f>IFERROR(__xludf.DUMMYFUNCTION("ifna(VALUE(REGEXEXTRACT(E222,""[0-9.]+[,]+[0-9]+"")))"),"")</f>
        <v/>
      </c>
      <c r="O222" s="194"/>
      <c r="P222" s="194"/>
      <c r="Q222" s="194"/>
      <c r="R222" s="194"/>
      <c r="S222" s="194"/>
      <c r="T222" s="194"/>
      <c r="U222" s="194"/>
      <c r="V222" s="194"/>
      <c r="W222" s="194"/>
    </row>
    <row r="223" ht="14.25" customHeight="1">
      <c r="A223" s="186"/>
      <c r="B223" s="13"/>
      <c r="C223" s="14"/>
      <c r="D223" s="187"/>
      <c r="E223" s="188"/>
      <c r="F223" s="189"/>
      <c r="G223" s="187"/>
      <c r="H223" s="204"/>
      <c r="I223" s="204"/>
      <c r="J223" s="196"/>
      <c r="K223" s="196"/>
      <c r="L223" s="192" t="str">
        <f>IFERROR(__xludf.DUMMYFUNCTION("IF(
  AND(D223=""Saída"", J223=""Sangria""),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198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94" t="str">
        <f>IFERROR(__xludf.DUMMYFUNCTION("ifna(VALUE(REGEXEXTRACT(E223,""[0-9.]+[,]+[0-9]+"")))"),"")</f>
        <v/>
      </c>
      <c r="O223" s="194"/>
      <c r="P223" s="194"/>
      <c r="Q223" s="194"/>
      <c r="R223" s="194"/>
      <c r="S223" s="194"/>
      <c r="T223" s="194"/>
      <c r="U223" s="194"/>
      <c r="V223" s="194"/>
      <c r="W223" s="194"/>
    </row>
    <row r="224" ht="14.25" customHeight="1">
      <c r="A224" s="186"/>
      <c r="B224" s="13"/>
      <c r="C224" s="14"/>
      <c r="D224" s="187"/>
      <c r="E224" s="188"/>
      <c r="F224" s="189"/>
      <c r="G224" s="187"/>
      <c r="H224" s="204"/>
      <c r="I224" s="204"/>
      <c r="J224" s="196"/>
      <c r="K224" s="196"/>
      <c r="L224" s="192" t="str">
        <f>IFERROR(__xludf.DUMMYFUNCTION("IF(
  AND(D224=""Saída"", J224=""Sangria""),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197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94" t="str">
        <f>IFERROR(__xludf.DUMMYFUNCTION("ifna(VALUE(REGEXEXTRACT(E224,""[0-9.]+[,]+[0-9]+"")))"),"")</f>
        <v/>
      </c>
      <c r="O224" s="194"/>
      <c r="P224" s="194"/>
      <c r="Q224" s="194"/>
      <c r="R224" s="194"/>
      <c r="S224" s="194"/>
      <c r="T224" s="194"/>
      <c r="U224" s="194"/>
      <c r="V224" s="194"/>
      <c r="W224" s="194"/>
    </row>
    <row r="225" ht="14.25" customHeight="1">
      <c r="A225" s="186"/>
      <c r="B225" s="13"/>
      <c r="C225" s="14"/>
      <c r="D225" s="187"/>
      <c r="E225" s="188"/>
      <c r="F225" s="189"/>
      <c r="G225" s="187"/>
      <c r="H225" s="204"/>
      <c r="I225" s="204"/>
      <c r="J225" s="196"/>
      <c r="K225" s="202"/>
      <c r="L225" s="192" t="str">
        <f>IFERROR(__xludf.DUMMYFUNCTION("IF(
  AND(D225=""Saída"", J225=""Sangria""),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198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94" t="str">
        <f>IFERROR(__xludf.DUMMYFUNCTION("ifna(VALUE(REGEXEXTRACT(E225,""[0-9.]+[,]+[0-9]+"")))"),"")</f>
        <v/>
      </c>
      <c r="O225" s="194"/>
      <c r="P225" s="194"/>
      <c r="Q225" s="194"/>
      <c r="R225" s="194"/>
      <c r="S225" s="194"/>
      <c r="T225" s="194"/>
      <c r="U225" s="194"/>
      <c r="V225" s="194"/>
      <c r="W225" s="194"/>
    </row>
    <row r="226" ht="14.25" customHeight="1">
      <c r="A226" s="186"/>
      <c r="B226" s="13"/>
      <c r="C226" s="14"/>
      <c r="D226" s="187"/>
      <c r="E226" s="188"/>
      <c r="F226" s="200"/>
      <c r="G226" s="187"/>
      <c r="H226" s="204"/>
      <c r="I226" s="204"/>
      <c r="J226" s="196"/>
      <c r="K226" s="196"/>
      <c r="L226" s="192" t="str">
        <f>IFERROR(__xludf.DUMMYFUNCTION("IF(
  AND(D226=""Saída"", J226=""Sangria""),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197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94" t="str">
        <f>IFERROR(__xludf.DUMMYFUNCTION("ifna(VALUE(REGEXEXTRACT(E226,""[0-9.]+[,]+[0-9]+"")))"),"")</f>
        <v/>
      </c>
      <c r="O226" s="194"/>
      <c r="P226" s="194"/>
      <c r="Q226" s="194"/>
      <c r="R226" s="194"/>
      <c r="S226" s="194"/>
      <c r="T226" s="194"/>
      <c r="U226" s="194"/>
      <c r="V226" s="194"/>
      <c r="W226" s="194"/>
    </row>
    <row r="227" ht="14.25" customHeight="1">
      <c r="A227" s="186"/>
      <c r="B227" s="13"/>
      <c r="C227" s="14"/>
      <c r="D227" s="187"/>
      <c r="E227" s="188"/>
      <c r="F227" s="189"/>
      <c r="G227" s="187"/>
      <c r="H227" s="204"/>
      <c r="I227" s="204"/>
      <c r="J227" s="196"/>
      <c r="K227" s="196"/>
      <c r="L227" s="192" t="str">
        <f>IFERROR(__xludf.DUMMYFUNCTION("IF(
  AND(D227=""Saída"", J227=""Sangria""),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198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94" t="str">
        <f>IFERROR(__xludf.DUMMYFUNCTION("ifna(VALUE(REGEXEXTRACT(E227,""[0-9.]+[,]+[0-9]+"")))"),"")</f>
        <v/>
      </c>
      <c r="O227" s="194"/>
      <c r="P227" s="194"/>
      <c r="Q227" s="194"/>
      <c r="R227" s="194"/>
      <c r="S227" s="194"/>
      <c r="T227" s="194"/>
      <c r="U227" s="194"/>
      <c r="V227" s="194"/>
      <c r="W227" s="194"/>
    </row>
    <row r="228" ht="14.25" customHeight="1">
      <c r="A228" s="186"/>
      <c r="B228" s="13"/>
      <c r="C228" s="14"/>
      <c r="D228" s="187"/>
      <c r="E228" s="188"/>
      <c r="F228" s="189"/>
      <c r="G228" s="187"/>
      <c r="H228" s="204"/>
      <c r="I228" s="204"/>
      <c r="J228" s="196"/>
      <c r="K228" s="196"/>
      <c r="L228" s="192" t="str">
        <f>IFERROR(__xludf.DUMMYFUNCTION("IF(
  AND(D228=""Saída"", J228=""Sangria""),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197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94" t="str">
        <f>IFERROR(__xludf.DUMMYFUNCTION("ifna(VALUE(REGEXEXTRACT(E228,""[0-9.]+[,]+[0-9]+"")))"),"")</f>
        <v/>
      </c>
      <c r="O228" s="194"/>
      <c r="P228" s="194"/>
      <c r="Q228" s="194"/>
      <c r="R228" s="194"/>
      <c r="S228" s="194"/>
      <c r="T228" s="194"/>
      <c r="U228" s="194"/>
      <c r="V228" s="194"/>
      <c r="W228" s="194"/>
    </row>
    <row r="229" ht="14.25" customHeight="1">
      <c r="A229" s="186"/>
      <c r="B229" s="13"/>
      <c r="C229" s="14"/>
      <c r="D229" s="187"/>
      <c r="E229" s="188"/>
      <c r="F229" s="189"/>
      <c r="G229" s="187"/>
      <c r="H229" s="204"/>
      <c r="I229" s="204"/>
      <c r="J229" s="196"/>
      <c r="K229" s="196"/>
      <c r="L229" s="192" t="str">
        <f>IFERROR(__xludf.DUMMYFUNCTION("IF(
  AND(D229=""Saída"", J229=""Sangria""),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198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94" t="str">
        <f>IFERROR(__xludf.DUMMYFUNCTION("ifna(VALUE(REGEXEXTRACT(E229,""[0-9.]+[,]+[0-9]+"")))"),"")</f>
        <v/>
      </c>
      <c r="O229" s="194"/>
      <c r="P229" s="194"/>
      <c r="Q229" s="194"/>
      <c r="R229" s="194"/>
      <c r="S229" s="194"/>
      <c r="T229" s="194"/>
      <c r="U229" s="194"/>
      <c r="V229" s="194"/>
      <c r="W229" s="194"/>
    </row>
    <row r="230" ht="14.25" customHeight="1">
      <c r="A230" s="186"/>
      <c r="B230" s="13"/>
      <c r="C230" s="14"/>
      <c r="D230" s="187"/>
      <c r="E230" s="188"/>
      <c r="F230" s="189"/>
      <c r="G230" s="187"/>
      <c r="H230" s="204"/>
      <c r="I230" s="204"/>
      <c r="J230" s="196"/>
      <c r="K230" s="196"/>
      <c r="L230" s="192" t="str">
        <f>IFERROR(__xludf.DUMMYFUNCTION("IF(
  AND(D230=""Saída"", J230=""Sangria""),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197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94" t="str">
        <f>IFERROR(__xludf.DUMMYFUNCTION("ifna(VALUE(REGEXEXTRACT(E230,""[0-9.]+[,]+[0-9]+"")))"),"")</f>
        <v/>
      </c>
      <c r="O230" s="194"/>
      <c r="P230" s="194"/>
      <c r="Q230" s="194"/>
      <c r="R230" s="194"/>
      <c r="S230" s="194"/>
      <c r="T230" s="194"/>
      <c r="U230" s="194"/>
      <c r="V230" s="194"/>
      <c r="W230" s="194"/>
    </row>
    <row r="231" ht="14.25" customHeight="1">
      <c r="A231" s="186"/>
      <c r="B231" s="13"/>
      <c r="C231" s="14"/>
      <c r="D231" s="187"/>
      <c r="E231" s="188"/>
      <c r="F231" s="189"/>
      <c r="G231" s="13"/>
      <c r="H231" s="204"/>
      <c r="I231" s="204"/>
      <c r="J231" s="196"/>
      <c r="K231" s="196"/>
      <c r="L231" s="192" t="str">
        <f>IFERROR(__xludf.DUMMYFUNCTION("IF(
  AND(D231=""Saída"", J231=""Sangria""),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198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94" t="str">
        <f>IFERROR(__xludf.DUMMYFUNCTION("ifna(VALUE(REGEXEXTRACT(E231,""[0-9.]+[,]+[0-9]+"")))"),"")</f>
        <v/>
      </c>
      <c r="O231" s="194"/>
      <c r="P231" s="194"/>
      <c r="Q231" s="194"/>
      <c r="R231" s="194"/>
      <c r="S231" s="194"/>
      <c r="T231" s="194"/>
      <c r="U231" s="194"/>
      <c r="V231" s="194"/>
      <c r="W231" s="194"/>
    </row>
    <row r="232" ht="14.25" customHeight="1">
      <c r="A232" s="186"/>
      <c r="B232" s="13"/>
      <c r="C232" s="14"/>
      <c r="D232" s="187"/>
      <c r="E232" s="188"/>
      <c r="F232" s="200"/>
      <c r="G232" s="187"/>
      <c r="H232" s="204"/>
      <c r="I232" s="204"/>
      <c r="J232" s="196"/>
      <c r="K232" s="196"/>
      <c r="L232" s="192" t="str">
        <f>IFERROR(__xludf.DUMMYFUNCTION("IF(
  AND(D232=""Saída"", J232=""Sangria""),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197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94" t="str">
        <f>IFERROR(__xludf.DUMMYFUNCTION("ifna(VALUE(REGEXEXTRACT(E232,""[0-9.]+[,]+[0-9]+"")))"),"")</f>
        <v/>
      </c>
      <c r="O232" s="194"/>
      <c r="P232" s="194"/>
      <c r="Q232" s="194"/>
      <c r="R232" s="194"/>
      <c r="S232" s="194"/>
      <c r="T232" s="194"/>
      <c r="U232" s="194"/>
      <c r="V232" s="194"/>
      <c r="W232" s="194"/>
    </row>
    <row r="233" ht="14.25" customHeight="1">
      <c r="A233" s="186"/>
      <c r="B233" s="13"/>
      <c r="C233" s="14"/>
      <c r="D233" s="187"/>
      <c r="E233" s="188"/>
      <c r="F233" s="189"/>
      <c r="G233" s="187"/>
      <c r="H233" s="204"/>
      <c r="I233" s="204"/>
      <c r="J233" s="196"/>
      <c r="K233" s="196"/>
      <c r="L233" s="192" t="str">
        <f>IFERROR(__xludf.DUMMYFUNCTION("IF(
  AND(D233=""Saída"", J233=""Sangria""),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198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94" t="str">
        <f>IFERROR(__xludf.DUMMYFUNCTION("ifna(VALUE(REGEXEXTRACT(E233,""[0-9.]+[,]+[0-9]+"")))"),"")</f>
        <v/>
      </c>
      <c r="O233" s="194"/>
      <c r="P233" s="194"/>
      <c r="Q233" s="194"/>
      <c r="R233" s="194"/>
      <c r="S233" s="194"/>
      <c r="T233" s="194"/>
      <c r="U233" s="194"/>
      <c r="V233" s="194"/>
      <c r="W233" s="194"/>
    </row>
    <row r="234" ht="14.25" customHeight="1">
      <c r="A234" s="186"/>
      <c r="B234" s="13"/>
      <c r="C234" s="14"/>
      <c r="D234" s="187"/>
      <c r="E234" s="188"/>
      <c r="F234" s="189"/>
      <c r="G234" s="187"/>
      <c r="H234" s="204"/>
      <c r="I234" s="204"/>
      <c r="J234" s="196"/>
      <c r="K234" s="196"/>
      <c r="L234" s="192" t="str">
        <f>IFERROR(__xludf.DUMMYFUNCTION("IF(
  AND(D234=""Saída"", J234=""Sangria""),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197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94" t="str">
        <f>IFERROR(__xludf.DUMMYFUNCTION("ifna(VALUE(REGEXEXTRACT(E234,""[0-9.]+[,]+[0-9]+"")))"),"")</f>
        <v/>
      </c>
      <c r="O234" s="194"/>
      <c r="P234" s="194"/>
      <c r="Q234" s="194"/>
      <c r="R234" s="194"/>
      <c r="S234" s="194"/>
      <c r="T234" s="194"/>
      <c r="U234" s="194"/>
      <c r="V234" s="194"/>
      <c r="W234" s="194"/>
    </row>
    <row r="235" ht="14.25" customHeight="1">
      <c r="A235" s="186"/>
      <c r="C235" s="14"/>
      <c r="D235" s="187"/>
      <c r="E235" s="188"/>
      <c r="F235" s="189"/>
      <c r="G235" s="187"/>
      <c r="H235" s="204"/>
      <c r="I235" s="204"/>
      <c r="J235" s="196"/>
      <c r="K235" s="196"/>
      <c r="L235" s="192" t="str">
        <f>IFERROR(__xludf.DUMMYFUNCTION("IF(
  AND(D235=""Saída"", J235=""Sangria""),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198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94" t="str">
        <f>IFERROR(__xludf.DUMMYFUNCTION("ifna(VALUE(REGEXEXTRACT(E235,""[0-9.]+[,]+[0-9]+"")))"),"")</f>
        <v/>
      </c>
      <c r="O235" s="194"/>
      <c r="P235" s="194"/>
      <c r="Q235" s="194"/>
      <c r="R235" s="194"/>
      <c r="S235" s="194"/>
      <c r="T235" s="194"/>
      <c r="U235" s="194"/>
      <c r="V235" s="194"/>
      <c r="W235" s="194"/>
    </row>
    <row r="236" ht="14.25" customHeight="1">
      <c r="A236" s="186"/>
      <c r="B236" s="13"/>
      <c r="C236" s="14"/>
      <c r="D236" s="187"/>
      <c r="E236" s="188"/>
      <c r="F236" s="200"/>
      <c r="G236" s="187"/>
      <c r="H236" s="204"/>
      <c r="I236" s="204"/>
      <c r="J236" s="196"/>
      <c r="K236" s="196"/>
      <c r="L236" s="192" t="str">
        <f>IFERROR(__xludf.DUMMYFUNCTION("IF(
  AND(D236=""Saída"", J236=""Sangria""),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197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94" t="str">
        <f>IFERROR(__xludf.DUMMYFUNCTION("ifna(VALUE(REGEXEXTRACT(E236,""[0-9.]+[,]+[0-9]+"")))"),"")</f>
        <v/>
      </c>
      <c r="O236" s="194"/>
      <c r="P236" s="194"/>
      <c r="Q236" s="194"/>
      <c r="R236" s="194"/>
      <c r="S236" s="194"/>
      <c r="T236" s="194"/>
      <c r="U236" s="194"/>
      <c r="V236" s="194"/>
      <c r="W236" s="194"/>
    </row>
    <row r="237" ht="14.25" customHeight="1">
      <c r="A237" s="186"/>
      <c r="B237" s="13"/>
      <c r="C237" s="267"/>
      <c r="D237" s="187"/>
      <c r="E237" s="188"/>
      <c r="F237" s="189"/>
      <c r="G237" s="187"/>
      <c r="H237" s="204"/>
      <c r="I237" s="204"/>
      <c r="J237" s="196"/>
      <c r="K237" s="196"/>
      <c r="L237" s="192" t="str">
        <f>IFERROR(__xludf.DUMMYFUNCTION("IF(
  AND(D237=""Saída"", J237=""Sangria""),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198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94" t="str">
        <f>IFERROR(__xludf.DUMMYFUNCTION("ifna(VALUE(REGEXEXTRACT(E237,""[0-9.]+[,]+[0-9]+"")))"),"")</f>
        <v/>
      </c>
      <c r="O237" s="194"/>
      <c r="P237" s="194"/>
      <c r="Q237" s="194"/>
      <c r="R237" s="194"/>
      <c r="S237" s="194"/>
      <c r="T237" s="194"/>
      <c r="U237" s="194"/>
      <c r="V237" s="194"/>
      <c r="W237" s="194"/>
    </row>
    <row r="238" ht="14.25" customHeight="1">
      <c r="A238" s="186"/>
      <c r="B238" s="13"/>
      <c r="C238" s="14"/>
      <c r="D238" s="187"/>
      <c r="E238" s="188"/>
      <c r="F238" s="189"/>
      <c r="G238" s="187"/>
      <c r="H238" s="204"/>
      <c r="I238" s="204"/>
      <c r="J238" s="196"/>
      <c r="K238" s="196"/>
      <c r="L238" s="192" t="str">
        <f>IFERROR(__xludf.DUMMYFUNCTION("IF(
  AND(D238=""Saída"", J238=""Sangria""),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197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94" t="str">
        <f>IFERROR(__xludf.DUMMYFUNCTION("ifna(VALUE(REGEXEXTRACT(E238,""[0-9.]+[,]+[0-9]+"")))"),"")</f>
        <v/>
      </c>
      <c r="O238" s="194"/>
      <c r="P238" s="194"/>
      <c r="Q238" s="194"/>
      <c r="R238" s="194"/>
      <c r="S238" s="194"/>
      <c r="T238" s="194"/>
      <c r="U238" s="194"/>
      <c r="V238" s="194"/>
      <c r="W238" s="194"/>
    </row>
    <row r="239" ht="14.25" customHeight="1">
      <c r="A239" s="186"/>
      <c r="B239" s="13"/>
      <c r="C239" s="14"/>
      <c r="D239" s="187"/>
      <c r="E239" s="188"/>
      <c r="F239" s="189"/>
      <c r="G239" s="187"/>
      <c r="H239" s="204"/>
      <c r="I239" s="204"/>
      <c r="J239" s="196"/>
      <c r="K239" s="196"/>
      <c r="L239" s="192" t="str">
        <f>IFERROR(__xludf.DUMMYFUNCTION("IF(
  AND(D239=""Saída"", J239=""Sangria""),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198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94" t="str">
        <f>IFERROR(__xludf.DUMMYFUNCTION("ifna(VALUE(REGEXEXTRACT(E239,""[0-9.]+[,]+[0-9]+"")))"),"")</f>
        <v/>
      </c>
      <c r="O239" s="194"/>
      <c r="P239" s="194"/>
      <c r="Q239" s="194"/>
      <c r="R239" s="194"/>
      <c r="S239" s="194"/>
      <c r="T239" s="194"/>
      <c r="U239" s="194"/>
      <c r="V239" s="194"/>
      <c r="W239" s="194"/>
    </row>
    <row r="240" ht="14.25" customHeight="1">
      <c r="A240" s="186"/>
      <c r="B240" s="13"/>
      <c r="C240" s="14"/>
      <c r="D240" s="187"/>
      <c r="E240" s="188"/>
      <c r="F240" s="189"/>
      <c r="G240" s="187"/>
      <c r="H240" s="204"/>
      <c r="I240" s="204"/>
      <c r="J240" s="196"/>
      <c r="K240" s="196"/>
      <c r="L240" s="192" t="str">
        <f>IFERROR(__xludf.DUMMYFUNCTION("IF(
  AND(D240=""Saída"", J240=""Sangria""),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197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94" t="str">
        <f>IFERROR(__xludf.DUMMYFUNCTION("ifna(VALUE(REGEXEXTRACT(E240,""[0-9.]+[,]+[0-9]+"")))"),"")</f>
        <v/>
      </c>
      <c r="O240" s="194"/>
      <c r="P240" s="194"/>
      <c r="Q240" s="194"/>
      <c r="R240" s="194"/>
      <c r="S240" s="194"/>
      <c r="T240" s="194"/>
      <c r="U240" s="194"/>
      <c r="V240" s="194"/>
      <c r="W240" s="194"/>
    </row>
    <row r="241" ht="14.25" customHeight="1">
      <c r="A241" s="186"/>
      <c r="B241" s="13"/>
      <c r="C241" s="14"/>
      <c r="D241" s="187"/>
      <c r="E241" s="188"/>
      <c r="F241" s="189"/>
      <c r="G241" s="187"/>
      <c r="H241" s="204"/>
      <c r="I241" s="204"/>
      <c r="J241" s="196"/>
      <c r="K241" s="196"/>
      <c r="L241" s="192" t="str">
        <f>IFERROR(__xludf.DUMMYFUNCTION("IF(
  AND(D241=""Saída"", J241=""Sangria""),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198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94" t="str">
        <f>IFERROR(__xludf.DUMMYFUNCTION("ifna(VALUE(REGEXEXTRACT(E241,""[0-9.]+[,]+[0-9]+"")))"),"")</f>
        <v/>
      </c>
      <c r="O241" s="194"/>
      <c r="P241" s="194"/>
      <c r="Q241" s="194"/>
      <c r="R241" s="194"/>
      <c r="S241" s="194"/>
      <c r="T241" s="194"/>
      <c r="U241" s="194"/>
      <c r="V241" s="194"/>
      <c r="W241" s="194"/>
    </row>
    <row r="242" ht="14.25" customHeight="1">
      <c r="A242" s="186"/>
      <c r="B242" s="13"/>
      <c r="C242" s="14"/>
      <c r="D242" s="187"/>
      <c r="E242" s="188"/>
      <c r="F242" s="189"/>
      <c r="G242" s="187"/>
      <c r="H242" s="204"/>
      <c r="I242" s="204"/>
      <c r="J242" s="196"/>
      <c r="K242" s="196"/>
      <c r="L242" s="192" t="str">
        <f>IFERROR(__xludf.DUMMYFUNCTION("IF(
  AND(D242=""Saída"", J242=""Sangria""),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197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94" t="str">
        <f>IFERROR(__xludf.DUMMYFUNCTION("ifna(VALUE(REGEXEXTRACT(E242,""[0-9.]+[,]+[0-9]+"")))"),"")</f>
        <v/>
      </c>
      <c r="O242" s="194"/>
      <c r="P242" s="194"/>
      <c r="Q242" s="194"/>
      <c r="R242" s="194"/>
      <c r="S242" s="194"/>
      <c r="T242" s="194"/>
      <c r="U242" s="194"/>
      <c r="V242" s="194"/>
      <c r="W242" s="194"/>
    </row>
    <row r="243" ht="14.25" customHeight="1">
      <c r="A243" s="186"/>
      <c r="B243" s="13"/>
      <c r="C243" s="14"/>
      <c r="D243" s="187"/>
      <c r="E243" s="188"/>
      <c r="F243" s="189"/>
      <c r="G243" s="187"/>
      <c r="H243" s="204"/>
      <c r="I243" s="204"/>
      <c r="J243" s="196"/>
      <c r="K243" s="196"/>
      <c r="L243" s="192" t="str">
        <f>IFERROR(__xludf.DUMMYFUNCTION("IF(
  AND(D243=""Saída"", J243=""Sangria""),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198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94" t="str">
        <f>IFERROR(__xludf.DUMMYFUNCTION("ifna(VALUE(REGEXEXTRACT(E243,""[0-9.]+[,]+[0-9]+"")))"),"")</f>
        <v/>
      </c>
      <c r="O243" s="194"/>
      <c r="P243" s="194"/>
      <c r="Q243" s="194"/>
      <c r="R243" s="194"/>
      <c r="S243" s="194"/>
      <c r="T243" s="194"/>
      <c r="U243" s="194"/>
      <c r="V243" s="194"/>
      <c r="W243" s="194"/>
    </row>
    <row r="244" ht="14.25" customHeight="1">
      <c r="A244" s="186"/>
      <c r="B244" s="13"/>
      <c r="C244" s="14"/>
      <c r="D244" s="187"/>
      <c r="E244" s="188"/>
      <c r="F244" s="189"/>
      <c r="G244" s="187"/>
      <c r="H244" s="204"/>
      <c r="I244" s="204"/>
      <c r="J244" s="196"/>
      <c r="K244" s="196"/>
      <c r="L244" s="192" t="str">
        <f>IFERROR(__xludf.DUMMYFUNCTION("IF(
  AND(D244=""Saída"", J244=""Sangria""),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197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94" t="str">
        <f>IFERROR(__xludf.DUMMYFUNCTION("ifna(VALUE(REGEXEXTRACT(E244,""[0-9.]+[,]+[0-9]+"")))"),"")</f>
        <v/>
      </c>
      <c r="O244" s="194"/>
      <c r="P244" s="194"/>
      <c r="Q244" s="194"/>
      <c r="R244" s="194"/>
      <c r="S244" s="194"/>
      <c r="T244" s="194"/>
      <c r="U244" s="194"/>
      <c r="V244" s="194"/>
      <c r="W244" s="194"/>
    </row>
    <row r="245" ht="14.25" customHeight="1">
      <c r="A245" s="186"/>
      <c r="B245" s="13"/>
      <c r="C245" s="14"/>
      <c r="D245" s="187"/>
      <c r="E245" s="188"/>
      <c r="F245" s="189"/>
      <c r="G245" s="187"/>
      <c r="H245" s="204"/>
      <c r="I245" s="204"/>
      <c r="J245" s="196"/>
      <c r="K245" s="196"/>
      <c r="L245" s="192" t="str">
        <f>IFERROR(__xludf.DUMMYFUNCTION("IF(
  AND(D245=""Saída"", J245=""Sangria""),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198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94" t="str">
        <f>IFERROR(__xludf.DUMMYFUNCTION("ifna(VALUE(REGEXEXTRACT(E245,""[0-9.]+[,]+[0-9]+"")))"),"")</f>
        <v/>
      </c>
      <c r="O245" s="194"/>
      <c r="P245" s="194"/>
      <c r="Q245" s="194"/>
      <c r="R245" s="194"/>
      <c r="S245" s="194"/>
      <c r="T245" s="194"/>
      <c r="U245" s="194"/>
      <c r="V245" s="194"/>
      <c r="W245" s="194"/>
    </row>
    <row r="246" ht="14.25" customHeight="1">
      <c r="A246" s="186"/>
      <c r="C246" s="14"/>
      <c r="D246" s="187"/>
      <c r="E246" s="188"/>
      <c r="F246" s="189"/>
      <c r="G246" s="187"/>
      <c r="H246" s="204"/>
      <c r="I246" s="204"/>
      <c r="J246" s="196"/>
      <c r="K246" s="196"/>
      <c r="L246" s="192" t="str">
        <f>IFERROR(__xludf.DUMMYFUNCTION("IF(
  AND(D246=""Saída"", J246=""Sangria""),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197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94" t="str">
        <f>IFERROR(__xludf.DUMMYFUNCTION("ifna(VALUE(REGEXEXTRACT(E246,""[0-9.]+[,]+[0-9]+"")))"),"")</f>
        <v/>
      </c>
      <c r="O246" s="194"/>
      <c r="P246" s="194"/>
      <c r="Q246" s="194"/>
      <c r="R246" s="194"/>
      <c r="S246" s="194"/>
      <c r="T246" s="194"/>
      <c r="U246" s="194"/>
      <c r="V246" s="194"/>
      <c r="W246" s="194"/>
    </row>
    <row r="247" ht="14.25" customHeight="1">
      <c r="A247" s="186"/>
      <c r="B247" s="13"/>
      <c r="C247" s="14"/>
      <c r="D247" s="187"/>
      <c r="E247" s="188"/>
      <c r="F247" s="200"/>
      <c r="G247" s="187"/>
      <c r="H247" s="204"/>
      <c r="I247" s="204"/>
      <c r="J247" s="196"/>
      <c r="K247" s="196"/>
      <c r="L247" s="192" t="str">
        <f>IFERROR(__xludf.DUMMYFUNCTION("IF(
  AND(D247=""Saída"", J247=""Sangria""),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198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94" t="str">
        <f>IFERROR(__xludf.DUMMYFUNCTION("ifna(VALUE(REGEXEXTRACT(E247,""[0-9.]+[,]+[0-9]+"")))"),"")</f>
        <v/>
      </c>
      <c r="O247" s="194"/>
      <c r="P247" s="194"/>
      <c r="Q247" s="194"/>
      <c r="R247" s="194"/>
      <c r="S247" s="194"/>
      <c r="T247" s="194"/>
      <c r="U247" s="194"/>
      <c r="V247" s="194"/>
      <c r="W247" s="194"/>
    </row>
    <row r="248" ht="14.25" customHeight="1">
      <c r="A248" s="186"/>
      <c r="B248" s="13"/>
      <c r="C248" s="14"/>
      <c r="D248" s="187"/>
      <c r="E248" s="188"/>
      <c r="F248" s="189"/>
      <c r="G248" s="187"/>
      <c r="H248" s="204"/>
      <c r="I248" s="204"/>
      <c r="J248" s="196"/>
      <c r="K248" s="196"/>
      <c r="L248" s="192" t="str">
        <f>IFERROR(__xludf.DUMMYFUNCTION("IF(
  AND(D248=""Saída"", J248=""Sangria""),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197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94" t="str">
        <f>IFERROR(__xludf.DUMMYFUNCTION("ifna(VALUE(REGEXEXTRACT(E248,""[0-9.]+[,]+[0-9]+"")))"),"")</f>
        <v/>
      </c>
      <c r="O248" s="194"/>
      <c r="P248" s="194"/>
      <c r="Q248" s="194"/>
      <c r="R248" s="194"/>
      <c r="S248" s="194"/>
      <c r="T248" s="194"/>
      <c r="U248" s="194"/>
      <c r="V248" s="194"/>
      <c r="W248" s="194"/>
    </row>
    <row r="249" ht="14.25" customHeight="1">
      <c r="A249" s="186"/>
      <c r="B249" s="13"/>
      <c r="C249" s="14"/>
      <c r="D249" s="187"/>
      <c r="E249" s="188"/>
      <c r="F249" s="189"/>
      <c r="G249" s="13"/>
      <c r="H249" s="204"/>
      <c r="I249" s="204"/>
      <c r="J249" s="196"/>
      <c r="K249" s="196"/>
      <c r="L249" s="192" t="str">
        <f>IFERROR(__xludf.DUMMYFUNCTION("IF(
  AND(D249=""Saída"", J249=""Sangria""),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198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94" t="str">
        <f>IFERROR(__xludf.DUMMYFUNCTION("ifna(VALUE(REGEXEXTRACT(E249,""[0-9.]+[,]+[0-9]+"")))"),"")</f>
        <v/>
      </c>
      <c r="O249" s="194"/>
      <c r="P249" s="194"/>
      <c r="Q249" s="194"/>
      <c r="R249" s="194"/>
      <c r="S249" s="194"/>
      <c r="T249" s="194"/>
      <c r="U249" s="194"/>
      <c r="V249" s="194"/>
      <c r="W249" s="194"/>
    </row>
    <row r="250" ht="14.25" customHeight="1">
      <c r="A250" s="186"/>
      <c r="B250" s="13"/>
      <c r="C250" s="14"/>
      <c r="D250" s="187"/>
      <c r="E250" s="188"/>
      <c r="F250" s="200"/>
      <c r="G250" s="187"/>
      <c r="H250" s="204"/>
      <c r="I250" s="204"/>
      <c r="J250" s="196"/>
      <c r="K250" s="196"/>
      <c r="L250" s="192" t="str">
        <f>IFERROR(__xludf.DUMMYFUNCTION("IF(
  AND(D250=""Saída"", J250=""Sangria""),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197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94" t="str">
        <f>IFERROR(__xludf.DUMMYFUNCTION("ifna(VALUE(REGEXEXTRACT(E250,""[0-9.]+[,]+[0-9]+"")))"),"")</f>
        <v/>
      </c>
      <c r="O250" s="194"/>
      <c r="P250" s="194"/>
      <c r="Q250" s="194"/>
      <c r="R250" s="194"/>
      <c r="S250" s="194"/>
      <c r="T250" s="194"/>
      <c r="U250" s="194"/>
      <c r="V250" s="194"/>
      <c r="W250" s="194"/>
    </row>
    <row r="251" ht="14.25" customHeight="1">
      <c r="A251" s="186"/>
      <c r="B251" s="13"/>
      <c r="C251" s="14"/>
      <c r="D251" s="187"/>
      <c r="E251" s="188"/>
      <c r="F251" s="200"/>
      <c r="G251" s="187"/>
      <c r="H251" s="204"/>
      <c r="I251" s="204"/>
      <c r="J251" s="196"/>
      <c r="K251" s="196"/>
      <c r="L251" s="192" t="str">
        <f>IFERROR(__xludf.DUMMYFUNCTION("IF(
  AND(D251=""Saída"", J251=""Sangria""),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198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94" t="str">
        <f>IFERROR(__xludf.DUMMYFUNCTION("ifna(VALUE(REGEXEXTRACT(E251,""[0-9.]+[,]+[0-9]+"")))"),"")</f>
        <v/>
      </c>
      <c r="O251" s="194"/>
      <c r="P251" s="194"/>
      <c r="Q251" s="194"/>
      <c r="R251" s="194"/>
      <c r="S251" s="194"/>
      <c r="T251" s="194"/>
      <c r="U251" s="194"/>
      <c r="V251" s="194"/>
      <c r="W251" s="194"/>
    </row>
    <row r="252" ht="14.25" customHeight="1">
      <c r="A252" s="186"/>
      <c r="B252" s="13"/>
      <c r="C252" s="14"/>
      <c r="D252" s="13"/>
      <c r="E252" s="188"/>
      <c r="F252" s="189"/>
      <c r="G252" s="187"/>
      <c r="H252" s="204"/>
      <c r="I252" s="204"/>
      <c r="J252" s="196"/>
      <c r="K252" s="196"/>
      <c r="L252" s="192" t="str">
        <f>IFERROR(__xludf.DUMMYFUNCTION("IF(
  AND(D252=""Saída"", J252=""Sangria""),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197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94" t="str">
        <f>IFERROR(__xludf.DUMMYFUNCTION("ifna(VALUE(REGEXEXTRACT(E252,""[0-9.]+[,]+[0-9]+"")))"),"")</f>
        <v/>
      </c>
      <c r="O252" s="194"/>
      <c r="P252" s="194"/>
      <c r="Q252" s="194"/>
      <c r="R252" s="194"/>
      <c r="S252" s="194"/>
      <c r="T252" s="194"/>
      <c r="U252" s="194"/>
      <c r="V252" s="194"/>
      <c r="W252" s="194"/>
    </row>
    <row r="253" ht="14.25" customHeight="1">
      <c r="A253" s="186"/>
      <c r="B253" s="13"/>
      <c r="C253" s="14"/>
      <c r="D253" s="187"/>
      <c r="E253" s="188"/>
      <c r="F253" s="189"/>
      <c r="G253" s="187"/>
      <c r="H253" s="204"/>
      <c r="I253" s="204"/>
      <c r="J253" s="196"/>
      <c r="K253" s="196"/>
      <c r="L253" s="192" t="str">
        <f>IFERROR(__xludf.DUMMYFUNCTION("IF(
  AND(D253=""Saída"", J253=""Sangria""),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198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94" t="str">
        <f>IFERROR(__xludf.DUMMYFUNCTION("ifna(VALUE(REGEXEXTRACT(E253,""[0-9.]+[,]+[0-9]+"")))"),"")</f>
        <v/>
      </c>
      <c r="O253" s="194"/>
      <c r="P253" s="194"/>
      <c r="Q253" s="194"/>
      <c r="R253" s="194"/>
      <c r="S253" s="194"/>
      <c r="T253" s="194"/>
      <c r="U253" s="194"/>
      <c r="V253" s="194"/>
      <c r="W253" s="194"/>
    </row>
    <row r="254" ht="14.25" customHeight="1">
      <c r="A254" s="186"/>
      <c r="B254" s="13"/>
      <c r="C254" s="14"/>
      <c r="D254" s="187"/>
      <c r="E254" s="188"/>
      <c r="F254" s="189"/>
      <c r="G254" s="187"/>
      <c r="H254" s="204"/>
      <c r="I254" s="204"/>
      <c r="J254" s="196"/>
      <c r="K254" s="196"/>
      <c r="L254" s="192" t="str">
        <f>IFERROR(__xludf.DUMMYFUNCTION("IF(
  AND(D254=""Saída"", J254=""Sangria""),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197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94" t="str">
        <f>IFERROR(__xludf.DUMMYFUNCTION("ifna(VALUE(REGEXEXTRACT(E254,""[0-9.]+[,]+[0-9]+"")))"),"")</f>
        <v/>
      </c>
      <c r="O254" s="194"/>
      <c r="P254" s="194"/>
      <c r="Q254" s="194"/>
      <c r="R254" s="194"/>
      <c r="S254" s="194"/>
      <c r="T254" s="194"/>
      <c r="U254" s="194"/>
      <c r="V254" s="194"/>
      <c r="W254" s="194"/>
    </row>
    <row r="255" ht="14.25" customHeight="1">
      <c r="A255" s="186"/>
      <c r="B255" s="13"/>
      <c r="C255" s="14"/>
      <c r="D255" s="187"/>
      <c r="E255" s="188"/>
      <c r="F255" s="189"/>
      <c r="G255" s="187"/>
      <c r="H255" s="204"/>
      <c r="I255" s="204"/>
      <c r="J255" s="196"/>
      <c r="K255" s="196"/>
      <c r="L255" s="192" t="str">
        <f>IFERROR(__xludf.DUMMYFUNCTION("IF(
  AND(D255=""Saída"", J255=""Sangria""),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198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94" t="str">
        <f>IFERROR(__xludf.DUMMYFUNCTION("ifna(VALUE(REGEXEXTRACT(E255,""[0-9.]+[,]+[0-9]+"")))"),"")</f>
        <v/>
      </c>
      <c r="O255" s="194"/>
      <c r="P255" s="194"/>
      <c r="Q255" s="194"/>
      <c r="R255" s="194"/>
      <c r="S255" s="194"/>
      <c r="T255" s="194"/>
      <c r="U255" s="194"/>
      <c r="V255" s="194"/>
      <c r="W255" s="194"/>
    </row>
    <row r="256" ht="14.25" customHeight="1">
      <c r="A256" s="186"/>
      <c r="B256" s="13"/>
      <c r="C256" s="14"/>
      <c r="D256" s="187"/>
      <c r="E256" s="188"/>
      <c r="F256" s="189"/>
      <c r="G256" s="187"/>
      <c r="H256" s="204"/>
      <c r="I256" s="204"/>
      <c r="J256" s="196"/>
      <c r="K256" s="196"/>
      <c r="L256" s="192" t="str">
        <f>IFERROR(__xludf.DUMMYFUNCTION("IF(
  AND(D256=""Saída"", J256=""Sangria""),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197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94" t="str">
        <f>IFERROR(__xludf.DUMMYFUNCTION("ifna(VALUE(REGEXEXTRACT(E256,""[0-9.]+[,]+[0-9]+"")))"),"")</f>
        <v/>
      </c>
      <c r="O256" s="194"/>
      <c r="P256" s="194"/>
      <c r="Q256" s="194"/>
      <c r="R256" s="194"/>
      <c r="S256" s="194"/>
      <c r="T256" s="194"/>
      <c r="U256" s="194"/>
      <c r="V256" s="194"/>
      <c r="W256" s="194"/>
    </row>
    <row r="257" ht="14.25" customHeight="1">
      <c r="A257" s="186"/>
      <c r="B257" s="13"/>
      <c r="C257" s="14"/>
      <c r="D257" s="187"/>
      <c r="E257" s="188"/>
      <c r="F257" s="189"/>
      <c r="G257" s="187"/>
      <c r="H257" s="204"/>
      <c r="I257" s="204"/>
      <c r="J257" s="196"/>
      <c r="K257" s="196"/>
      <c r="L257" s="192" t="str">
        <f>IFERROR(__xludf.DUMMYFUNCTION("IF(
  AND(D257=""Saída"", J257=""Sangria""),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198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94" t="str">
        <f>IFERROR(__xludf.DUMMYFUNCTION("ifna(VALUE(REGEXEXTRACT(E257,""[0-9.]+[,]+[0-9]+"")))"),"")</f>
        <v/>
      </c>
      <c r="O257" s="194"/>
      <c r="P257" s="194"/>
      <c r="Q257" s="194"/>
      <c r="R257" s="194"/>
      <c r="S257" s="194"/>
      <c r="T257" s="194"/>
      <c r="U257" s="194"/>
      <c r="V257" s="194"/>
      <c r="W257" s="194"/>
    </row>
    <row r="258" ht="14.25" customHeight="1">
      <c r="A258" s="186"/>
      <c r="B258" s="13"/>
      <c r="C258" s="14"/>
      <c r="D258" s="187"/>
      <c r="E258" s="188"/>
      <c r="F258" s="189"/>
      <c r="G258" s="187"/>
      <c r="H258" s="204"/>
      <c r="I258" s="204"/>
      <c r="J258" s="196"/>
      <c r="K258" s="196"/>
      <c r="L258" s="192" t="str">
        <f>IFERROR(__xludf.DUMMYFUNCTION("IF(
  AND(D258=""Saída"", J258=""Sangria""),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197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94" t="str">
        <f>IFERROR(__xludf.DUMMYFUNCTION("ifna(VALUE(REGEXEXTRACT(E258,""[0-9.]+[,]+[0-9]+"")))"),"")</f>
        <v/>
      </c>
      <c r="O258" s="194"/>
      <c r="P258" s="194"/>
      <c r="Q258" s="194"/>
      <c r="R258" s="194"/>
      <c r="S258" s="194"/>
      <c r="T258" s="194"/>
      <c r="U258" s="194"/>
      <c r="V258" s="194"/>
      <c r="W258" s="194"/>
    </row>
    <row r="259" ht="14.25" customHeight="1">
      <c r="A259" s="186"/>
      <c r="B259" s="13"/>
      <c r="C259" s="14"/>
      <c r="D259" s="187"/>
      <c r="E259" s="188"/>
      <c r="F259" s="189"/>
      <c r="G259" s="187"/>
      <c r="H259" s="204"/>
      <c r="I259" s="204"/>
      <c r="J259" s="196"/>
      <c r="K259" s="196"/>
      <c r="L259" s="192" t="str">
        <f>IFERROR(__xludf.DUMMYFUNCTION("IF(
  AND(D259=""Saída"", J259=""Sangria""),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198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94" t="str">
        <f>IFERROR(__xludf.DUMMYFUNCTION("ifna(VALUE(REGEXEXTRACT(E259,""[0-9.]+[,]+[0-9]+"")))"),"")</f>
        <v/>
      </c>
      <c r="O259" s="194"/>
      <c r="P259" s="194"/>
      <c r="Q259" s="194"/>
      <c r="R259" s="194"/>
      <c r="S259" s="194"/>
      <c r="T259" s="194"/>
      <c r="U259" s="194"/>
      <c r="V259" s="194"/>
      <c r="W259" s="194"/>
    </row>
    <row r="260" ht="14.25" customHeight="1">
      <c r="A260" s="186"/>
      <c r="B260" s="13"/>
      <c r="C260" s="14"/>
      <c r="D260" s="187"/>
      <c r="E260" s="188"/>
      <c r="F260" s="200"/>
      <c r="G260" s="187"/>
      <c r="H260" s="204"/>
      <c r="I260" s="204"/>
      <c r="J260" s="196"/>
      <c r="K260" s="196"/>
      <c r="L260" s="192" t="str">
        <f>IFERROR(__xludf.DUMMYFUNCTION("IF(
  AND(D260=""Saída"", J260=""Sangria""),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197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94" t="str">
        <f>IFERROR(__xludf.DUMMYFUNCTION("ifna(VALUE(REGEXEXTRACT(E260,""[0-9.]+[,]+[0-9]+"")))"),"")</f>
        <v/>
      </c>
      <c r="O260" s="194"/>
      <c r="P260" s="194"/>
      <c r="Q260" s="194"/>
      <c r="R260" s="194"/>
      <c r="S260" s="194"/>
      <c r="T260" s="194"/>
      <c r="U260" s="194"/>
      <c r="V260" s="194"/>
      <c r="W260" s="194"/>
    </row>
    <row r="261" ht="14.25" customHeight="1">
      <c r="A261" s="186"/>
      <c r="B261" s="13"/>
      <c r="C261" s="14"/>
      <c r="D261" s="187"/>
      <c r="E261" s="188"/>
      <c r="F261" s="189"/>
      <c r="G261" s="13"/>
      <c r="H261" s="204"/>
      <c r="I261" s="204"/>
      <c r="J261" s="196"/>
      <c r="K261" s="196"/>
      <c r="L261" s="192" t="str">
        <f>IFERROR(__xludf.DUMMYFUNCTION("IF(
  AND(D261=""Saída"", J261=""Sangria""),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198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94" t="str">
        <f>IFERROR(__xludf.DUMMYFUNCTION("ifna(VALUE(REGEXEXTRACT(E261,""[0-9.]+[,]+[0-9]+"")))"),"")</f>
        <v/>
      </c>
      <c r="O261" s="194"/>
      <c r="P261" s="194"/>
      <c r="Q261" s="194"/>
      <c r="R261" s="194"/>
      <c r="S261" s="194"/>
      <c r="T261" s="194"/>
      <c r="U261" s="194"/>
      <c r="V261" s="194"/>
      <c r="W261" s="194"/>
    </row>
    <row r="262" ht="14.25" customHeight="1">
      <c r="A262" s="186"/>
      <c r="B262" s="13"/>
      <c r="C262" s="14"/>
      <c r="D262" s="187"/>
      <c r="E262" s="188"/>
      <c r="F262" s="189"/>
      <c r="G262" s="13"/>
      <c r="H262" s="204"/>
      <c r="I262" s="204"/>
      <c r="J262" s="196"/>
      <c r="K262" s="196"/>
      <c r="L262" s="192" t="str">
        <f>IFERROR(__xludf.DUMMYFUNCTION("IF(
  AND(D262=""Saída"", J262=""Sangria""),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197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94" t="str">
        <f>IFERROR(__xludf.DUMMYFUNCTION("ifna(VALUE(REGEXEXTRACT(E262,""[0-9.]+[,]+[0-9]+"")))"),"")</f>
        <v/>
      </c>
      <c r="O262" s="194"/>
      <c r="P262" s="194"/>
      <c r="Q262" s="194"/>
      <c r="R262" s="194"/>
      <c r="S262" s="194"/>
      <c r="T262" s="194"/>
      <c r="U262" s="194"/>
      <c r="V262" s="194"/>
      <c r="W262" s="194"/>
    </row>
    <row r="263" ht="14.25" customHeight="1">
      <c r="A263" s="186"/>
      <c r="B263" s="13"/>
      <c r="C263" s="14"/>
      <c r="D263" s="187"/>
      <c r="E263" s="188"/>
      <c r="F263" s="189"/>
      <c r="G263" s="187"/>
      <c r="H263" s="204"/>
      <c r="I263" s="204"/>
      <c r="J263" s="196"/>
      <c r="K263" s="196"/>
      <c r="L263" s="192" t="str">
        <f>IFERROR(__xludf.DUMMYFUNCTION("IF(
  AND(D263=""Saída"", J263=""Sangria""),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198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94" t="str">
        <f>IFERROR(__xludf.DUMMYFUNCTION("ifna(VALUE(REGEXEXTRACT(E263,""[0-9.]+[,]+[0-9]+"")))"),"")</f>
        <v/>
      </c>
      <c r="O263" s="194"/>
      <c r="P263" s="194"/>
      <c r="Q263" s="194"/>
      <c r="R263" s="194"/>
      <c r="S263" s="194"/>
      <c r="T263" s="194"/>
      <c r="U263" s="194"/>
      <c r="V263" s="194"/>
      <c r="W263" s="194"/>
    </row>
    <row r="264" ht="14.25" customHeight="1">
      <c r="A264" s="186"/>
      <c r="B264" s="13"/>
      <c r="C264" s="14"/>
      <c r="D264" s="187"/>
      <c r="E264" s="188"/>
      <c r="F264" s="189"/>
      <c r="G264" s="187"/>
      <c r="H264" s="204"/>
      <c r="I264" s="204"/>
      <c r="J264" s="196"/>
      <c r="K264" s="196"/>
      <c r="L264" s="192" t="str">
        <f>IFERROR(__xludf.DUMMYFUNCTION("IF(
  AND(D264=""Saída"", J264=""Sangria""),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197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94" t="str">
        <f>IFERROR(__xludf.DUMMYFUNCTION("ifna(VALUE(REGEXEXTRACT(E264,""[0-9.]+[,]+[0-9]+"")))"),"")</f>
        <v/>
      </c>
      <c r="O264" s="194"/>
      <c r="P264" s="194"/>
      <c r="Q264" s="194"/>
      <c r="R264" s="194"/>
      <c r="S264" s="194"/>
      <c r="T264" s="194"/>
      <c r="U264" s="194"/>
      <c r="V264" s="194"/>
      <c r="W264" s="194"/>
    </row>
    <row r="265" ht="14.25" customHeight="1">
      <c r="A265" s="186"/>
      <c r="B265" s="13"/>
      <c r="C265" s="14"/>
      <c r="D265" s="187"/>
      <c r="E265" s="188"/>
      <c r="F265" s="200"/>
      <c r="G265" s="187"/>
      <c r="H265" s="204"/>
      <c r="I265" s="204"/>
      <c r="J265" s="196"/>
      <c r="K265" s="196"/>
      <c r="L265" s="192" t="str">
        <f>IFERROR(__xludf.DUMMYFUNCTION("IF(
  AND(D265=""Saída"", J265=""Sangria""),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198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94" t="str">
        <f>IFERROR(__xludf.DUMMYFUNCTION("ifna(VALUE(REGEXEXTRACT(E265,""[0-9.]+[,]+[0-9]+"")))"),"")</f>
        <v/>
      </c>
      <c r="O265" s="194"/>
      <c r="P265" s="194"/>
      <c r="Q265" s="194"/>
      <c r="R265" s="194"/>
      <c r="S265" s="194"/>
      <c r="T265" s="194"/>
      <c r="U265" s="194"/>
      <c r="V265" s="194"/>
      <c r="W265" s="194"/>
    </row>
    <row r="266" ht="14.25" customHeight="1">
      <c r="A266" s="186"/>
      <c r="B266" s="268"/>
      <c r="C266" s="269"/>
      <c r="D266" s="270"/>
      <c r="E266" s="271"/>
      <c r="F266" s="272"/>
      <c r="G266" s="273"/>
      <c r="H266" s="204"/>
      <c r="I266" s="204"/>
      <c r="J266" s="196"/>
      <c r="K266" s="196"/>
      <c r="L266" s="192" t="str">
        <f>IFERROR(__xludf.DUMMYFUNCTION("IF(
  AND(D266=""Saída"", J266=""Sangria""),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197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94" t="str">
        <f>IFERROR(__xludf.DUMMYFUNCTION("ifna(VALUE(REGEXEXTRACT(E266,""[0-9.]+[,]+[0-9]+"")))"),"")</f>
        <v/>
      </c>
      <c r="O266" s="194"/>
      <c r="P266" s="194"/>
      <c r="Q266" s="194"/>
      <c r="R266" s="194"/>
      <c r="S266" s="194"/>
      <c r="T266" s="194"/>
      <c r="U266" s="194"/>
      <c r="V266" s="194"/>
      <c r="W266" s="194"/>
    </row>
    <row r="267" ht="14.25" customHeight="1">
      <c r="A267" s="186"/>
      <c r="B267" s="268"/>
      <c r="C267" s="269"/>
      <c r="D267" s="270"/>
      <c r="E267" s="271"/>
      <c r="F267" s="272"/>
      <c r="G267" s="274"/>
      <c r="H267" s="204"/>
      <c r="I267" s="204"/>
      <c r="J267" s="196"/>
      <c r="K267" s="196"/>
      <c r="L267" s="192" t="str">
        <f>IFERROR(__xludf.DUMMYFUNCTION("IF(
  AND(D267=""Saída"", J267=""Sangria""),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198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94" t="str">
        <f>IFERROR(__xludf.DUMMYFUNCTION("ifna(VALUE(REGEXEXTRACT(E267,""[0-9.]+[,]+[0-9]+"")))"),"")</f>
        <v/>
      </c>
      <c r="O267" s="194"/>
      <c r="P267" s="194"/>
      <c r="Q267" s="194"/>
      <c r="R267" s="194"/>
      <c r="S267" s="194"/>
      <c r="T267" s="194"/>
      <c r="U267" s="194"/>
      <c r="V267" s="194"/>
      <c r="W267" s="194"/>
    </row>
    <row r="268" ht="14.25" customHeight="1">
      <c r="A268" s="186"/>
      <c r="B268" s="268"/>
      <c r="C268" s="269"/>
      <c r="D268" s="270"/>
      <c r="E268" s="271"/>
      <c r="F268" s="272"/>
      <c r="G268" s="273"/>
      <c r="H268" s="204"/>
      <c r="I268" s="204"/>
      <c r="J268" s="212"/>
      <c r="K268" s="196"/>
      <c r="L268" s="192" t="str">
        <f>IFERROR(__xludf.DUMMYFUNCTION("IF(
  AND(D268=""Saída"", J268=""Sangria""),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197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94" t="str">
        <f>IFERROR(__xludf.DUMMYFUNCTION("ifna(VALUE(REGEXEXTRACT(E268,""[0-9.]+[,]+[0-9]+"")))"),"")</f>
        <v/>
      </c>
      <c r="O268" s="194"/>
      <c r="P268" s="194"/>
      <c r="Q268" s="194"/>
      <c r="R268" s="194"/>
      <c r="S268" s="194"/>
      <c r="T268" s="194"/>
      <c r="U268" s="194"/>
      <c r="V268" s="194"/>
      <c r="W268" s="194"/>
    </row>
    <row r="269" ht="14.25" customHeight="1">
      <c r="A269" s="186"/>
      <c r="B269" s="268"/>
      <c r="C269" s="269"/>
      <c r="D269" s="270"/>
      <c r="E269" s="271"/>
      <c r="F269" s="272"/>
      <c r="G269" s="273"/>
      <c r="H269" s="204"/>
      <c r="I269" s="204"/>
      <c r="J269" s="196"/>
      <c r="K269" s="196"/>
      <c r="L269" s="192" t="str">
        <f>IFERROR(__xludf.DUMMYFUNCTION("IF(
  AND(D269=""Saída"", J269=""Sangria""),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198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94" t="str">
        <f>IFERROR(__xludf.DUMMYFUNCTION("ifna(VALUE(REGEXEXTRACT(E269,""[0-9.]+[,]+[0-9]+"")))"),"")</f>
        <v/>
      </c>
      <c r="O269" s="194"/>
      <c r="P269" s="194"/>
      <c r="Q269" s="194"/>
      <c r="R269" s="194"/>
      <c r="S269" s="194"/>
      <c r="T269" s="194"/>
      <c r="U269" s="194"/>
      <c r="V269" s="194"/>
      <c r="W269" s="194"/>
    </row>
    <row r="270" ht="14.25" customHeight="1">
      <c r="A270" s="186"/>
      <c r="B270" s="268"/>
      <c r="C270" s="269"/>
      <c r="D270" s="270"/>
      <c r="E270" s="271"/>
      <c r="F270" s="272"/>
      <c r="G270" s="273"/>
      <c r="H270" s="204"/>
      <c r="I270" s="204"/>
      <c r="J270" s="196"/>
      <c r="K270" s="196"/>
      <c r="L270" s="192" t="str">
        <f>IFERROR(__xludf.DUMMYFUNCTION("IF(
  AND(D270=""Saída"", J270=""Sangria""),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197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94" t="str">
        <f>IFERROR(__xludf.DUMMYFUNCTION("ifna(VALUE(REGEXEXTRACT(E270,""[0-9.]+[,]+[0-9]+"")))"),"")</f>
        <v/>
      </c>
      <c r="O270" s="194"/>
      <c r="P270" s="194"/>
      <c r="Q270" s="194"/>
      <c r="R270" s="194"/>
      <c r="S270" s="194"/>
      <c r="T270" s="194"/>
      <c r="U270" s="194"/>
      <c r="V270" s="194"/>
      <c r="W270" s="194"/>
    </row>
    <row r="271" ht="14.25" customHeight="1">
      <c r="A271" s="186"/>
      <c r="B271" s="268"/>
      <c r="C271" s="269"/>
      <c r="D271" s="270"/>
      <c r="E271" s="275"/>
      <c r="F271" s="276"/>
      <c r="G271" s="273"/>
      <c r="H271" s="204"/>
      <c r="I271" s="204"/>
      <c r="J271" s="196"/>
      <c r="K271" s="196"/>
      <c r="L271" s="192" t="str">
        <f>IFERROR(__xludf.DUMMYFUNCTION("IF(
  AND(D271=""Saída"", J271=""Sangria""),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198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94" t="str">
        <f>IFERROR(__xludf.DUMMYFUNCTION("ifna(VALUE(REGEXEXTRACT(E271,""[0-9.]+[,]+[0-9]+"")))"),"")</f>
        <v/>
      </c>
      <c r="O271" s="194"/>
      <c r="P271" s="194"/>
      <c r="Q271" s="194"/>
      <c r="R271" s="194"/>
      <c r="S271" s="194"/>
      <c r="T271" s="194"/>
      <c r="U271" s="194"/>
      <c r="V271" s="194"/>
      <c r="W271" s="194"/>
    </row>
    <row r="272" ht="14.25" customHeight="1">
      <c r="A272" s="186"/>
      <c r="B272" s="268"/>
      <c r="C272" s="269"/>
      <c r="D272" s="270"/>
      <c r="E272" s="271"/>
      <c r="F272" s="276"/>
      <c r="G272" s="273"/>
      <c r="H272" s="204"/>
      <c r="I272" s="204"/>
      <c r="J272" s="196"/>
      <c r="K272" s="196"/>
      <c r="L272" s="192" t="str">
        <f>IFERROR(__xludf.DUMMYFUNCTION("IF(
  AND(D272=""Saída"", J272=""Sangria""),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197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94" t="str">
        <f>IFERROR(__xludf.DUMMYFUNCTION("ifna(VALUE(REGEXEXTRACT(E272,""[0-9.]+[,]+[0-9]+"")))"),"")</f>
        <v/>
      </c>
      <c r="O272" s="194"/>
      <c r="P272" s="194"/>
      <c r="Q272" s="194"/>
      <c r="R272" s="194"/>
      <c r="S272" s="194"/>
      <c r="T272" s="194"/>
      <c r="U272" s="194"/>
      <c r="V272" s="194"/>
      <c r="W272" s="194"/>
    </row>
    <row r="273" ht="14.25" customHeight="1">
      <c r="A273" s="186"/>
      <c r="B273" s="268"/>
      <c r="C273" s="269"/>
      <c r="D273" s="270"/>
      <c r="E273" s="271"/>
      <c r="F273" s="272"/>
      <c r="G273" s="273"/>
      <c r="H273" s="204"/>
      <c r="I273" s="204"/>
      <c r="J273" s="196"/>
      <c r="K273" s="196"/>
      <c r="L273" s="192" t="str">
        <f>IFERROR(__xludf.DUMMYFUNCTION("IF(
  AND(D273=""Saída"", J273=""Sangria""),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198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94" t="str">
        <f>IFERROR(__xludf.DUMMYFUNCTION("ifna(VALUE(REGEXEXTRACT(E273,""[0-9.]+[,]+[0-9]+"")))"),"")</f>
        <v/>
      </c>
      <c r="O273" s="194"/>
      <c r="P273" s="194"/>
      <c r="Q273" s="194"/>
      <c r="R273" s="194"/>
      <c r="S273" s="194"/>
      <c r="T273" s="194"/>
      <c r="U273" s="194"/>
      <c r="V273" s="194"/>
      <c r="W273" s="194"/>
    </row>
    <row r="274" ht="14.25" customHeight="1">
      <c r="A274" s="186"/>
      <c r="B274" s="268"/>
      <c r="C274" s="269"/>
      <c r="D274" s="270"/>
      <c r="E274" s="271"/>
      <c r="F274" s="272"/>
      <c r="G274" s="273"/>
      <c r="H274" s="204"/>
      <c r="I274" s="204"/>
      <c r="J274" s="196"/>
      <c r="K274" s="196"/>
      <c r="L274" s="192" t="str">
        <f>IFERROR(__xludf.DUMMYFUNCTION("IF(
  AND(D274=""Saída"", J274=""Sangria""),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197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94" t="str">
        <f>IFERROR(__xludf.DUMMYFUNCTION("ifna(VALUE(REGEXEXTRACT(E274,""[0-9.]+[,]+[0-9]+"")))"),"")</f>
        <v/>
      </c>
      <c r="O274" s="194"/>
      <c r="P274" s="194"/>
      <c r="Q274" s="194"/>
      <c r="R274" s="194"/>
      <c r="S274" s="194"/>
      <c r="T274" s="194"/>
      <c r="U274" s="194"/>
      <c r="V274" s="194"/>
      <c r="W274" s="194"/>
    </row>
    <row r="275" ht="14.25" customHeight="1">
      <c r="A275" s="186"/>
      <c r="B275" s="268"/>
      <c r="C275" s="269"/>
      <c r="D275" s="270"/>
      <c r="E275" s="271"/>
      <c r="F275" s="276"/>
      <c r="G275" s="273"/>
      <c r="H275" s="204"/>
      <c r="I275" s="204"/>
      <c r="J275" s="196"/>
      <c r="K275" s="196"/>
      <c r="L275" s="192" t="str">
        <f>IFERROR(__xludf.DUMMYFUNCTION("IF(
  AND(D275=""Saída"", J275=""Sangria""),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198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94" t="str">
        <f>IFERROR(__xludf.DUMMYFUNCTION("ifna(VALUE(REGEXEXTRACT(E275,""[0-9.]+[,]+[0-9]+"")))"),"")</f>
        <v/>
      </c>
      <c r="O275" s="194"/>
      <c r="P275" s="194"/>
      <c r="Q275" s="194"/>
      <c r="R275" s="194"/>
      <c r="S275" s="194"/>
      <c r="T275" s="194"/>
      <c r="U275" s="194"/>
      <c r="V275" s="194"/>
      <c r="W275" s="194"/>
    </row>
    <row r="276" ht="14.25" customHeight="1">
      <c r="A276" s="186"/>
      <c r="B276" s="268"/>
      <c r="C276" s="269"/>
      <c r="D276" s="270"/>
      <c r="E276" s="271"/>
      <c r="F276" s="272"/>
      <c r="G276" s="273"/>
      <c r="H276" s="204"/>
      <c r="I276" s="204"/>
      <c r="J276" s="196"/>
      <c r="K276" s="196"/>
      <c r="L276" s="192" t="str">
        <f>IFERROR(__xludf.DUMMYFUNCTION("IF(
  AND(D276=""Saída"", J276=""Sangria""),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197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94" t="str">
        <f>IFERROR(__xludf.DUMMYFUNCTION("ifna(VALUE(REGEXEXTRACT(E276,""[0-9.]+[,]+[0-9]+"")))"),"")</f>
        <v/>
      </c>
      <c r="O276" s="194"/>
      <c r="P276" s="194"/>
      <c r="Q276" s="194"/>
      <c r="R276" s="194"/>
      <c r="S276" s="194"/>
      <c r="T276" s="194"/>
      <c r="U276" s="194"/>
      <c r="V276" s="194"/>
      <c r="W276" s="194"/>
    </row>
    <row r="277" ht="14.25" customHeight="1">
      <c r="A277" s="186"/>
      <c r="B277" s="268"/>
      <c r="C277" s="269"/>
      <c r="D277" s="270"/>
      <c r="E277" s="271"/>
      <c r="F277" s="272"/>
      <c r="G277" s="273"/>
      <c r="H277" s="204"/>
      <c r="I277" s="204"/>
      <c r="J277" s="196"/>
      <c r="K277" s="196"/>
      <c r="L277" s="192" t="str">
        <f>IFERROR(__xludf.DUMMYFUNCTION("IF(
  AND(D277=""Saída"", J277=""Sangria""),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198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94" t="str">
        <f>IFERROR(__xludf.DUMMYFUNCTION("ifna(VALUE(REGEXEXTRACT(E277,""[0-9.]+[,]+[0-9]+"")))"),"")</f>
        <v/>
      </c>
      <c r="O277" s="194"/>
      <c r="P277" s="194"/>
      <c r="Q277" s="194"/>
      <c r="R277" s="194"/>
      <c r="S277" s="194"/>
      <c r="T277" s="194"/>
      <c r="U277" s="194"/>
      <c r="V277" s="194"/>
      <c r="W277" s="194"/>
    </row>
    <row r="278" ht="14.25" customHeight="1">
      <c r="A278" s="186"/>
      <c r="B278" s="268"/>
      <c r="C278" s="269"/>
      <c r="D278" s="270"/>
      <c r="E278" s="271"/>
      <c r="F278" s="272"/>
      <c r="G278" s="273"/>
      <c r="H278" s="204"/>
      <c r="I278" s="204"/>
      <c r="J278" s="196"/>
      <c r="K278" s="196"/>
      <c r="L278" s="192" t="str">
        <f>IFERROR(__xludf.DUMMYFUNCTION("IF(
  AND(D278=""Saída"", J278=""Sangria""),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197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94" t="str">
        <f>IFERROR(__xludf.DUMMYFUNCTION("ifna(VALUE(REGEXEXTRACT(E278,""[0-9.]+[,]+[0-9]+"")))"),"")</f>
        <v/>
      </c>
      <c r="O278" s="194"/>
      <c r="P278" s="194"/>
      <c r="Q278" s="194"/>
      <c r="R278" s="194"/>
      <c r="S278" s="194"/>
      <c r="T278" s="194"/>
      <c r="U278" s="194"/>
      <c r="V278" s="194"/>
      <c r="W278" s="194"/>
    </row>
    <row r="279" ht="14.25" customHeight="1">
      <c r="A279" s="186"/>
      <c r="B279" s="268"/>
      <c r="C279" s="269"/>
      <c r="D279" s="270"/>
      <c r="E279" s="271"/>
      <c r="F279" s="272"/>
      <c r="G279" s="273"/>
      <c r="H279" s="204"/>
      <c r="I279" s="204"/>
      <c r="J279" s="196"/>
      <c r="K279" s="196"/>
      <c r="L279" s="192" t="str">
        <f>IFERROR(__xludf.DUMMYFUNCTION("IF(
  AND(D279=""Saída"", J279=""Sangria""),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198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94" t="str">
        <f>IFERROR(__xludf.DUMMYFUNCTION("ifna(VALUE(REGEXEXTRACT(E279,""[0-9.]+[,]+[0-9]+"")))"),"")</f>
        <v/>
      </c>
      <c r="O279" s="194"/>
      <c r="P279" s="194"/>
      <c r="Q279" s="194"/>
      <c r="R279" s="194"/>
      <c r="S279" s="194"/>
      <c r="T279" s="194"/>
      <c r="U279" s="194"/>
      <c r="V279" s="194"/>
      <c r="W279" s="194"/>
    </row>
    <row r="280" ht="14.25" customHeight="1">
      <c r="A280" s="186"/>
      <c r="B280" s="268"/>
      <c r="C280" s="269"/>
      <c r="D280" s="270"/>
      <c r="E280" s="271"/>
      <c r="F280" s="272"/>
      <c r="G280" s="273"/>
      <c r="H280" s="204"/>
      <c r="I280" s="204"/>
      <c r="J280" s="196"/>
      <c r="K280" s="202"/>
      <c r="L280" s="192" t="str">
        <f>IFERROR(__xludf.DUMMYFUNCTION("IF(
  AND(D280=""Saída"", J280=""Sangria""),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197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94" t="str">
        <f>IFERROR(__xludf.DUMMYFUNCTION("ifna(VALUE(REGEXEXTRACT(E280,""[0-9.]+[,]+[0-9]+"")))"),"")</f>
        <v/>
      </c>
      <c r="O280" s="194"/>
      <c r="P280" s="194"/>
      <c r="Q280" s="194"/>
      <c r="R280" s="194"/>
      <c r="S280" s="194"/>
      <c r="T280" s="194"/>
      <c r="U280" s="194"/>
      <c r="V280" s="194"/>
      <c r="W280" s="194"/>
    </row>
    <row r="281" ht="14.25" customHeight="1">
      <c r="A281" s="186"/>
      <c r="B281" s="268"/>
      <c r="C281" s="269"/>
      <c r="D281" s="270"/>
      <c r="E281" s="271"/>
      <c r="F281" s="272"/>
      <c r="G281" s="273"/>
      <c r="H281" s="204"/>
      <c r="I281" s="204"/>
      <c r="J281" s="196"/>
      <c r="K281" s="196"/>
      <c r="L281" s="192" t="str">
        <f>IFERROR(__xludf.DUMMYFUNCTION("IF(
  AND(D281=""Saída"", J281=""Sangria""),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198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94" t="str">
        <f>IFERROR(__xludf.DUMMYFUNCTION("ifna(VALUE(REGEXEXTRACT(E281,""[0-9.]+[,]+[0-9]+"")))"),"")</f>
        <v/>
      </c>
      <c r="O281" s="194"/>
      <c r="P281" s="194"/>
      <c r="Q281" s="194"/>
      <c r="R281" s="194"/>
      <c r="S281" s="194"/>
      <c r="T281" s="194"/>
      <c r="U281" s="194"/>
      <c r="V281" s="194"/>
      <c r="W281" s="194"/>
    </row>
    <row r="282" ht="14.25" customHeight="1">
      <c r="A282" s="186"/>
      <c r="B282" s="268"/>
      <c r="C282" s="269"/>
      <c r="D282" s="270"/>
      <c r="E282" s="275"/>
      <c r="F282" s="272"/>
      <c r="G282" s="273"/>
      <c r="H282" s="204"/>
      <c r="I282" s="204"/>
      <c r="J282" s="196"/>
      <c r="K282" s="196"/>
      <c r="L282" s="192" t="str">
        <f>IFERROR(__xludf.DUMMYFUNCTION("IF(
  AND(D282=""Saída"", J282=""Sangria""),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197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94" t="str">
        <f>IFERROR(__xludf.DUMMYFUNCTION("ifna(VALUE(REGEXEXTRACT(E282,""[0-9.]+[,]+[0-9]+"")))"),"")</f>
        <v/>
      </c>
      <c r="O282" s="194"/>
      <c r="P282" s="194"/>
      <c r="Q282" s="194"/>
      <c r="R282" s="194"/>
      <c r="S282" s="194"/>
      <c r="T282" s="194"/>
      <c r="U282" s="194"/>
      <c r="V282" s="194"/>
      <c r="W282" s="194"/>
    </row>
    <row r="283" ht="14.25" customHeight="1">
      <c r="A283" s="186"/>
      <c r="B283" s="268"/>
      <c r="C283" s="269"/>
      <c r="D283" s="270"/>
      <c r="E283" s="271"/>
      <c r="F283" s="272"/>
      <c r="G283" s="273"/>
      <c r="H283" s="204"/>
      <c r="I283" s="204"/>
      <c r="J283" s="196"/>
      <c r="K283" s="196"/>
      <c r="L283" s="192" t="str">
        <f>IFERROR(__xludf.DUMMYFUNCTION("IF(
  AND(D283=""Saída"", J283=""Sangria""),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198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94" t="str">
        <f>IFERROR(__xludf.DUMMYFUNCTION("ifna(VALUE(REGEXEXTRACT(E283,""[0-9.]+[,]+[0-9]+"")))"),"")</f>
        <v/>
      </c>
      <c r="O283" s="194"/>
      <c r="P283" s="194"/>
      <c r="Q283" s="194"/>
      <c r="R283" s="194"/>
      <c r="S283" s="194"/>
      <c r="T283" s="194"/>
      <c r="U283" s="194"/>
      <c r="V283" s="194"/>
      <c r="W283" s="194"/>
    </row>
    <row r="284" ht="14.25" customHeight="1">
      <c r="A284" s="186"/>
      <c r="B284" s="268"/>
      <c r="C284" s="269"/>
      <c r="D284" s="270"/>
      <c r="E284" s="271"/>
      <c r="F284" s="272"/>
      <c r="G284" s="273"/>
      <c r="H284" s="204"/>
      <c r="I284" s="204"/>
      <c r="J284" s="196"/>
      <c r="K284" s="202"/>
      <c r="L284" s="192" t="str">
        <f>IFERROR(__xludf.DUMMYFUNCTION("IF(
  AND(D284=""Saída"", J284=""Sangria""),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197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94" t="str">
        <f>IFERROR(__xludf.DUMMYFUNCTION("ifna(VALUE(REGEXEXTRACT(E284,""[0-9.]+[,]+[0-9]+"")))"),"")</f>
        <v/>
      </c>
      <c r="O284" s="194"/>
      <c r="P284" s="194"/>
      <c r="Q284" s="194"/>
      <c r="R284" s="194"/>
      <c r="S284" s="194"/>
      <c r="T284" s="194"/>
      <c r="U284" s="194"/>
      <c r="V284" s="194"/>
      <c r="W284" s="194"/>
    </row>
    <row r="285" ht="14.25" customHeight="1">
      <c r="A285" s="186"/>
      <c r="B285" s="268"/>
      <c r="C285" s="269"/>
      <c r="D285" s="270"/>
      <c r="E285" s="271"/>
      <c r="F285" s="276"/>
      <c r="G285" s="273"/>
      <c r="H285" s="204"/>
      <c r="I285" s="204"/>
      <c r="J285" s="196"/>
      <c r="K285" s="196"/>
      <c r="L285" s="192" t="str">
        <f>IFERROR(__xludf.DUMMYFUNCTION("IF(
  AND(D285=""Saída"", J285=""Sangria""),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198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94" t="str">
        <f>IFERROR(__xludf.DUMMYFUNCTION("ifna(VALUE(REGEXEXTRACT(E285,""[0-9.]+[,]+[0-9]+"")))"),"")</f>
        <v/>
      </c>
      <c r="O285" s="194"/>
      <c r="P285" s="194"/>
      <c r="Q285" s="194"/>
      <c r="R285" s="194"/>
      <c r="S285" s="194"/>
      <c r="T285" s="194"/>
      <c r="U285" s="194"/>
      <c r="V285" s="194"/>
      <c r="W285" s="194"/>
    </row>
    <row r="286" ht="14.25" customHeight="1">
      <c r="A286" s="186"/>
      <c r="B286" s="268"/>
      <c r="C286" s="269"/>
      <c r="D286" s="270"/>
      <c r="E286" s="271"/>
      <c r="F286" s="276"/>
      <c r="G286" s="273"/>
      <c r="H286" s="204"/>
      <c r="I286" s="204"/>
      <c r="J286" s="196"/>
      <c r="K286" s="196"/>
      <c r="L286" s="192" t="str">
        <f>IFERROR(__xludf.DUMMYFUNCTION("IF(
  AND(D286=""Saída"", J286=""Sangria""),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197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94" t="str">
        <f>IFERROR(__xludf.DUMMYFUNCTION("ifna(VALUE(REGEXEXTRACT(E286,""[0-9.]+[,]+[0-9]+"")))"),"")</f>
        <v/>
      </c>
      <c r="O286" s="194"/>
      <c r="P286" s="194"/>
      <c r="Q286" s="194"/>
      <c r="R286" s="194"/>
      <c r="S286" s="194"/>
      <c r="T286" s="194"/>
      <c r="U286" s="194"/>
      <c r="V286" s="194"/>
      <c r="W286" s="194"/>
    </row>
    <row r="287" ht="14.25" customHeight="1">
      <c r="A287" s="186"/>
      <c r="B287" s="268"/>
      <c r="C287" s="269"/>
      <c r="D287" s="270"/>
      <c r="E287" s="271"/>
      <c r="F287" s="272"/>
      <c r="G287" s="273"/>
      <c r="H287" s="204"/>
      <c r="I287" s="204"/>
      <c r="J287" s="212"/>
      <c r="K287" s="202"/>
      <c r="L287" s="192" t="str">
        <f>IFERROR(__xludf.DUMMYFUNCTION("IF(
  AND(D287=""Saída"", J287=""Sangria""),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198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94" t="str">
        <f>IFERROR(__xludf.DUMMYFUNCTION("ifna(VALUE(REGEXEXTRACT(E287,""[0-9.]+[,]+[0-9]+"")))"),"")</f>
        <v/>
      </c>
      <c r="O287" s="194"/>
      <c r="P287" s="194"/>
      <c r="Q287" s="194"/>
      <c r="R287" s="194"/>
      <c r="S287" s="194"/>
      <c r="T287" s="194"/>
      <c r="U287" s="194"/>
      <c r="V287" s="194"/>
      <c r="W287" s="194"/>
    </row>
    <row r="288" ht="14.25" customHeight="1">
      <c r="A288" s="186"/>
      <c r="B288" s="268"/>
      <c r="C288" s="269"/>
      <c r="D288" s="270"/>
      <c r="E288" s="271"/>
      <c r="F288" s="272"/>
      <c r="G288" s="273"/>
      <c r="H288" s="204"/>
      <c r="I288" s="204"/>
      <c r="J288" s="196"/>
      <c r="K288" s="202"/>
      <c r="L288" s="192" t="str">
        <f>IFERROR(__xludf.DUMMYFUNCTION("IF(
  AND(D288=""Saída"", J288=""Sangria""),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197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94" t="str">
        <f>IFERROR(__xludf.DUMMYFUNCTION("ifna(VALUE(REGEXEXTRACT(E288,""[0-9.]+[,]+[0-9]+"")))"),"")</f>
        <v/>
      </c>
      <c r="O288" s="194"/>
      <c r="P288" s="194"/>
      <c r="Q288" s="194"/>
      <c r="R288" s="194"/>
      <c r="S288" s="194"/>
      <c r="T288" s="194"/>
      <c r="U288" s="194"/>
      <c r="V288" s="194"/>
      <c r="W288" s="194"/>
    </row>
    <row r="289" ht="14.25" customHeight="1">
      <c r="A289" s="186"/>
      <c r="B289" s="268"/>
      <c r="C289" s="269"/>
      <c r="D289" s="270"/>
      <c r="E289" s="271"/>
      <c r="F289" s="272"/>
      <c r="G289" s="273"/>
      <c r="H289" s="204"/>
      <c r="I289" s="204"/>
      <c r="J289" s="196"/>
      <c r="K289" s="196"/>
      <c r="L289" s="192" t="str">
        <f>IFERROR(__xludf.DUMMYFUNCTION("IF(
  AND(D289=""Saída"", J289=""Sangria""),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198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94" t="str">
        <f>IFERROR(__xludf.DUMMYFUNCTION("ifna(VALUE(REGEXEXTRACT(E289,""[0-9.]+[,]+[0-9]+"")))"),"")</f>
        <v/>
      </c>
      <c r="O289" s="194"/>
      <c r="P289" s="194"/>
      <c r="Q289" s="194"/>
      <c r="R289" s="194"/>
      <c r="S289" s="194"/>
      <c r="T289" s="194"/>
      <c r="U289" s="194"/>
      <c r="V289" s="194"/>
      <c r="W289" s="194"/>
    </row>
    <row r="290" ht="14.25" customHeight="1">
      <c r="A290" s="186"/>
      <c r="B290" s="268"/>
      <c r="C290" s="269"/>
      <c r="D290" s="270"/>
      <c r="E290" s="271"/>
      <c r="F290" s="272"/>
      <c r="G290" s="273"/>
      <c r="H290" s="204"/>
      <c r="I290" s="204"/>
      <c r="J290" s="196"/>
      <c r="K290" s="196"/>
      <c r="L290" s="192" t="str">
        <f>IFERROR(__xludf.DUMMYFUNCTION("IF(
  AND(D290=""Saída"", J290=""Sangria""),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197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94" t="str">
        <f>IFERROR(__xludf.DUMMYFUNCTION("ifna(VALUE(REGEXEXTRACT(E290,""[0-9.]+[,]+[0-9]+"")))"),"")</f>
        <v/>
      </c>
      <c r="O290" s="194"/>
      <c r="P290" s="194"/>
      <c r="Q290" s="194"/>
      <c r="R290" s="194"/>
      <c r="S290" s="194"/>
      <c r="T290" s="194"/>
      <c r="U290" s="194"/>
      <c r="V290" s="194"/>
      <c r="W290" s="194"/>
    </row>
    <row r="291" ht="14.25" customHeight="1">
      <c r="A291" s="186"/>
      <c r="B291" s="268"/>
      <c r="C291" s="269"/>
      <c r="D291" s="270"/>
      <c r="E291" s="271"/>
      <c r="F291" s="272"/>
      <c r="G291" s="273"/>
      <c r="H291" s="204"/>
      <c r="I291" s="204"/>
      <c r="J291" s="196"/>
      <c r="K291" s="196"/>
      <c r="L291" s="192" t="str">
        <f>IFERROR(__xludf.DUMMYFUNCTION("IF(
  AND(D291=""Saída"", J291=""Sangria""),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198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94" t="str">
        <f>IFERROR(__xludf.DUMMYFUNCTION("ifna(VALUE(REGEXEXTRACT(E291,""[0-9.]+[,]+[0-9]+"")))"),"")</f>
        <v/>
      </c>
      <c r="O291" s="194"/>
      <c r="P291" s="194"/>
      <c r="Q291" s="194"/>
      <c r="R291" s="194"/>
      <c r="S291" s="194"/>
      <c r="T291" s="194"/>
      <c r="U291" s="194"/>
      <c r="V291" s="194"/>
      <c r="W291" s="194"/>
    </row>
    <row r="292" ht="14.25" customHeight="1">
      <c r="A292" s="31"/>
      <c r="B292" s="268"/>
      <c r="C292" s="269"/>
      <c r="D292" s="270"/>
      <c r="E292" s="271"/>
      <c r="F292" s="272"/>
      <c r="G292" s="273"/>
      <c r="H292" s="204"/>
      <c r="I292" s="204"/>
      <c r="J292" s="196"/>
      <c r="K292" s="196"/>
      <c r="L292" s="192" t="str">
        <f>IFERROR(__xludf.DUMMYFUNCTION("IF(
  AND(D292=""Saída"", J292=""Sangria""),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197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94" t="str">
        <f>IFERROR(__xludf.DUMMYFUNCTION("ifna(VALUE(REGEXEXTRACT(E292,""[0-9.]+[,]+[0-9]+"")))"),"")</f>
        <v/>
      </c>
      <c r="O292" s="194"/>
      <c r="P292" s="194"/>
      <c r="Q292" s="194"/>
      <c r="R292" s="194"/>
      <c r="S292" s="194"/>
      <c r="T292" s="194"/>
      <c r="U292" s="194"/>
      <c r="V292" s="194"/>
      <c r="W292" s="194"/>
    </row>
    <row r="293" ht="14.25" customHeight="1">
      <c r="A293" s="31"/>
      <c r="B293" s="268"/>
      <c r="C293" s="269"/>
      <c r="D293" s="270"/>
      <c r="E293" s="271"/>
      <c r="F293" s="272"/>
      <c r="G293" s="273"/>
      <c r="H293" s="204"/>
      <c r="I293" s="204"/>
      <c r="J293" s="196"/>
      <c r="K293" s="202"/>
      <c r="L293" s="192" t="str">
        <f>IFERROR(__xludf.DUMMYFUNCTION("IF(
  AND(D293=""Saída"", J293=""Sangria""),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198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94" t="str">
        <f>IFERROR(__xludf.DUMMYFUNCTION("ifna(VALUE(REGEXEXTRACT(E293,""[0-9.]+[,]+[0-9]+"")))"),"")</f>
        <v/>
      </c>
      <c r="O293" s="194"/>
      <c r="P293" s="194"/>
      <c r="Q293" s="194"/>
      <c r="R293" s="194"/>
      <c r="S293" s="194"/>
      <c r="T293" s="194"/>
      <c r="U293" s="194"/>
      <c r="V293" s="194"/>
      <c r="W293" s="194"/>
    </row>
    <row r="294" ht="14.25" customHeight="1">
      <c r="A294" s="31"/>
      <c r="B294" s="268"/>
      <c r="C294" s="269"/>
      <c r="D294" s="270"/>
      <c r="E294" s="275"/>
      <c r="F294" s="272"/>
      <c r="G294" s="273"/>
      <c r="H294" s="204"/>
      <c r="I294" s="204"/>
      <c r="J294" s="196"/>
      <c r="K294" s="196"/>
      <c r="L294" s="192" t="str">
        <f>IFERROR(__xludf.DUMMYFUNCTION("IF(
  AND(D294=""Saída"", J294=""Sangria""),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197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94" t="str">
        <f>IFERROR(__xludf.DUMMYFUNCTION("ifna(VALUE(REGEXEXTRACT(E294,""[0-9.]+[,]+[0-9]+"")))"),"")</f>
        <v/>
      </c>
      <c r="O294" s="194"/>
      <c r="P294" s="194"/>
      <c r="Q294" s="194"/>
      <c r="R294" s="194"/>
      <c r="S294" s="194"/>
      <c r="T294" s="194"/>
      <c r="U294" s="194"/>
      <c r="V294" s="194"/>
      <c r="W294" s="194"/>
    </row>
    <row r="295" ht="14.25" customHeight="1">
      <c r="A295" s="31"/>
      <c r="B295" s="268"/>
      <c r="C295" s="269"/>
      <c r="D295" s="270"/>
      <c r="E295" s="271"/>
      <c r="F295" s="272"/>
      <c r="G295" s="273"/>
      <c r="H295" s="204"/>
      <c r="I295" s="204"/>
      <c r="J295" s="196"/>
      <c r="K295" s="196"/>
      <c r="L295" s="192" t="str">
        <f>IFERROR(__xludf.DUMMYFUNCTION("IF(
  AND(D295=""Saída"", J295=""Sangria""),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198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94" t="str">
        <f>IFERROR(__xludf.DUMMYFUNCTION("ifna(VALUE(REGEXEXTRACT(E295,""[0-9.]+[,]+[0-9]+"")))"),"")</f>
        <v/>
      </c>
      <c r="O295" s="194"/>
      <c r="P295" s="194"/>
      <c r="Q295" s="194"/>
      <c r="R295" s="194"/>
      <c r="S295" s="194"/>
      <c r="T295" s="194"/>
      <c r="U295" s="194"/>
      <c r="V295" s="194"/>
      <c r="W295" s="194"/>
    </row>
    <row r="296" ht="14.25" customHeight="1">
      <c r="A296" s="31"/>
      <c r="B296" s="268"/>
      <c r="C296" s="269"/>
      <c r="D296" s="270"/>
      <c r="E296" s="271"/>
      <c r="F296" s="276"/>
      <c r="G296" s="273"/>
      <c r="H296" s="204"/>
      <c r="I296" s="204"/>
      <c r="J296" s="196"/>
      <c r="K296" s="196"/>
      <c r="L296" s="192" t="str">
        <f>IFERROR(__xludf.DUMMYFUNCTION("IF(
  AND(D296=""Saída"", J296=""Sangria""),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197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94" t="str">
        <f>IFERROR(__xludf.DUMMYFUNCTION("ifna(VALUE(REGEXEXTRACT(E296,""[0-9.]+[,]+[0-9]+"")))"),"")</f>
        <v/>
      </c>
      <c r="O296" s="194"/>
      <c r="P296" s="194"/>
      <c r="Q296" s="194"/>
      <c r="R296" s="194"/>
      <c r="S296" s="194"/>
      <c r="T296" s="194"/>
      <c r="U296" s="194"/>
      <c r="V296" s="194"/>
      <c r="W296" s="194"/>
    </row>
    <row r="297" ht="14.25" customHeight="1">
      <c r="A297" s="31"/>
      <c r="B297" s="268"/>
      <c r="C297" s="269"/>
      <c r="D297" s="270"/>
      <c r="E297" s="271"/>
      <c r="F297" s="272"/>
      <c r="G297" s="273"/>
      <c r="H297" s="204"/>
      <c r="I297" s="204"/>
      <c r="J297" s="196"/>
      <c r="K297" s="196"/>
      <c r="L297" s="192" t="str">
        <f>IFERROR(__xludf.DUMMYFUNCTION("IF(
  AND(D297=""Saída"", J297=""Sangria""),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198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94" t="str">
        <f>IFERROR(__xludf.DUMMYFUNCTION("ifna(VALUE(REGEXEXTRACT(E297,""[0-9.]+[,]+[0-9]+"")))"),"")</f>
        <v/>
      </c>
      <c r="O297" s="194"/>
      <c r="P297" s="194"/>
      <c r="Q297" s="194"/>
      <c r="R297" s="194"/>
      <c r="S297" s="194"/>
      <c r="T297" s="194"/>
      <c r="U297" s="194"/>
      <c r="V297" s="194"/>
      <c r="W297" s="194"/>
    </row>
    <row r="298" ht="14.25" customHeight="1">
      <c r="A298" s="31"/>
      <c r="B298" s="268"/>
      <c r="C298" s="269"/>
      <c r="D298" s="270"/>
      <c r="E298" s="271"/>
      <c r="F298" s="272"/>
      <c r="G298" s="273"/>
      <c r="H298" s="204"/>
      <c r="I298" s="204"/>
      <c r="J298" s="196"/>
      <c r="K298" s="196"/>
      <c r="L298" s="192" t="str">
        <f>IFERROR(__xludf.DUMMYFUNCTION("IF(
  AND(D298=""Saída"", J298=""Sangria""),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197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94" t="str">
        <f>IFERROR(__xludf.DUMMYFUNCTION("ifna(VALUE(REGEXEXTRACT(E298,""[0-9.]+[,]+[0-9]+"")))"),"")</f>
        <v/>
      </c>
      <c r="O298" s="194"/>
      <c r="P298" s="194"/>
      <c r="Q298" s="194"/>
      <c r="R298" s="194"/>
      <c r="S298" s="194"/>
      <c r="T298" s="194"/>
      <c r="U298" s="194"/>
      <c r="V298" s="194"/>
      <c r="W298" s="194"/>
    </row>
    <row r="299" ht="14.25" customHeight="1">
      <c r="A299" s="31"/>
      <c r="B299" s="268"/>
      <c r="C299" s="269"/>
      <c r="D299" s="270"/>
      <c r="E299" s="271"/>
      <c r="F299" s="272"/>
      <c r="G299" s="273"/>
      <c r="H299" s="204"/>
      <c r="I299" s="204"/>
      <c r="J299" s="196"/>
      <c r="K299" s="196"/>
      <c r="L299" s="192" t="str">
        <f>IFERROR(__xludf.DUMMYFUNCTION("IF(
  AND(D299=""Saída"", J299=""Sangria""),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198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94" t="str">
        <f>IFERROR(__xludf.DUMMYFUNCTION("ifna(VALUE(REGEXEXTRACT(E299,""[0-9.]+[,]+[0-9]+"")))"),"")</f>
        <v/>
      </c>
      <c r="O299" s="194"/>
      <c r="P299" s="194"/>
      <c r="Q299" s="194"/>
      <c r="R299" s="194"/>
      <c r="S299" s="194"/>
      <c r="T299" s="194"/>
      <c r="U299" s="194"/>
      <c r="V299" s="194"/>
      <c r="W299" s="194"/>
    </row>
    <row r="300" ht="14.25" customHeight="1">
      <c r="A300" s="31"/>
      <c r="B300" s="268"/>
      <c r="C300" s="269"/>
      <c r="D300" s="270"/>
      <c r="E300" s="271"/>
      <c r="F300" s="272"/>
      <c r="G300" s="273"/>
      <c r="H300" s="204"/>
      <c r="I300" s="204"/>
      <c r="J300" s="196"/>
      <c r="K300" s="196"/>
      <c r="L300" s="192" t="str">
        <f>IFERROR(__xludf.DUMMYFUNCTION("IF(
  AND(D300=""Saída"", J300=""Sangria""),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197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94" t="str">
        <f>IFERROR(__xludf.DUMMYFUNCTION("ifna(VALUE(REGEXEXTRACT(E300,""[0-9.]+[,]+[0-9]+"")))"),"")</f>
        <v/>
      </c>
      <c r="O300" s="194"/>
      <c r="P300" s="194"/>
      <c r="Q300" s="194"/>
      <c r="R300" s="194"/>
      <c r="S300" s="194"/>
      <c r="T300" s="194"/>
      <c r="U300" s="194"/>
      <c r="V300" s="194"/>
      <c r="W300" s="194"/>
    </row>
    <row r="301" ht="14.25" customHeight="1">
      <c r="A301" s="31"/>
      <c r="B301" s="268"/>
      <c r="C301" s="269"/>
      <c r="D301" s="270"/>
      <c r="E301" s="271"/>
      <c r="F301" s="276"/>
      <c r="G301" s="273"/>
      <c r="H301" s="204"/>
      <c r="I301" s="204"/>
      <c r="J301" s="196"/>
      <c r="K301" s="196"/>
      <c r="L301" s="192" t="str">
        <f>IFERROR(__xludf.DUMMYFUNCTION("IF(
  AND(D301=""Saída"", J301=""Sangria""),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198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94" t="str">
        <f>IFERROR(__xludf.DUMMYFUNCTION("ifna(VALUE(REGEXEXTRACT(E301,""[0-9.]+[,]+[0-9]+"")))"),"")</f>
        <v/>
      </c>
      <c r="O301" s="194"/>
      <c r="P301" s="194"/>
      <c r="Q301" s="194"/>
      <c r="R301" s="194"/>
      <c r="S301" s="194"/>
      <c r="T301" s="194"/>
      <c r="U301" s="194"/>
      <c r="V301" s="194"/>
      <c r="W301" s="194"/>
    </row>
    <row r="302" ht="14.25" customHeight="1">
      <c r="A302" s="31"/>
      <c r="B302" s="268"/>
      <c r="C302" s="269"/>
      <c r="D302" s="270"/>
      <c r="E302" s="271"/>
      <c r="F302" s="272"/>
      <c r="G302" s="273"/>
      <c r="H302" s="204"/>
      <c r="I302" s="204"/>
      <c r="J302" s="196"/>
      <c r="K302" s="202"/>
      <c r="L302" s="192" t="str">
        <f>IFERROR(__xludf.DUMMYFUNCTION("IF(
  AND(D302=""Saída"", J302=""Sangria""),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197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94" t="str">
        <f>IFERROR(__xludf.DUMMYFUNCTION("ifna(VALUE(REGEXEXTRACT(E302,""[0-9.]+[,]+[0-9]+"")))"),"")</f>
        <v/>
      </c>
      <c r="O302" s="194"/>
      <c r="P302" s="194"/>
      <c r="Q302" s="194"/>
      <c r="R302" s="194"/>
      <c r="S302" s="194"/>
      <c r="T302" s="194"/>
      <c r="U302" s="194"/>
      <c r="V302" s="194"/>
      <c r="W302" s="194"/>
    </row>
    <row r="303" ht="14.25" customHeight="1">
      <c r="A303" s="31"/>
      <c r="B303" s="268"/>
      <c r="C303" s="269"/>
      <c r="D303" s="270"/>
      <c r="E303" s="271"/>
      <c r="F303" s="276"/>
      <c r="G303" s="273"/>
      <c r="H303" s="204"/>
      <c r="I303" s="204"/>
      <c r="J303" s="196"/>
      <c r="K303" s="196"/>
      <c r="L303" s="192" t="str">
        <f>IFERROR(__xludf.DUMMYFUNCTION("IF(
  AND(D303=""Saída"", J303=""Sangria""),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198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94" t="str">
        <f>IFERROR(__xludf.DUMMYFUNCTION("ifna(VALUE(REGEXEXTRACT(E303,""[0-9.]+[,]+[0-9]+"")))"),"")</f>
        <v/>
      </c>
      <c r="O303" s="194"/>
      <c r="P303" s="194"/>
      <c r="Q303" s="194"/>
      <c r="R303" s="194"/>
      <c r="S303" s="194"/>
      <c r="T303" s="194"/>
      <c r="U303" s="194"/>
      <c r="V303" s="194"/>
      <c r="W303" s="194"/>
    </row>
    <row r="304" ht="14.25" customHeight="1">
      <c r="A304" s="31"/>
      <c r="B304" s="268"/>
      <c r="C304" s="269"/>
      <c r="D304" s="270"/>
      <c r="E304" s="271"/>
      <c r="F304" s="272"/>
      <c r="G304" s="273"/>
      <c r="H304" s="204"/>
      <c r="I304" s="204"/>
      <c r="J304" s="212"/>
      <c r="K304" s="196"/>
      <c r="L304" s="192" t="str">
        <f>IFERROR(__xludf.DUMMYFUNCTION("IF(
  AND(D304=""Saída"", J304=""Sangria""),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197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94" t="str">
        <f>IFERROR(__xludf.DUMMYFUNCTION("ifna(VALUE(REGEXEXTRACT(E304,""[0-9.]+[,]+[0-9]+"")))"),"")</f>
        <v/>
      </c>
      <c r="O304" s="194"/>
      <c r="P304" s="194"/>
      <c r="Q304" s="194"/>
      <c r="R304" s="194"/>
      <c r="S304" s="194"/>
      <c r="T304" s="194"/>
      <c r="U304" s="194"/>
      <c r="V304" s="194"/>
      <c r="W304" s="194"/>
    </row>
    <row r="305" ht="14.25" customHeight="1">
      <c r="A305" s="31"/>
      <c r="B305" s="268"/>
      <c r="C305" s="269"/>
      <c r="D305" s="270"/>
      <c r="E305" s="271"/>
      <c r="F305" s="272"/>
      <c r="G305" s="273"/>
      <c r="H305" s="204"/>
      <c r="I305" s="204"/>
      <c r="J305" s="212"/>
      <c r="K305" s="196"/>
      <c r="L305" s="192" t="str">
        <f>IFERROR(__xludf.DUMMYFUNCTION("IF(
  AND(D305=""Saída"", J305=""Sangria""),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198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94" t="str">
        <f>IFERROR(__xludf.DUMMYFUNCTION("ifna(VALUE(REGEXEXTRACT(E305,""[0-9.]+[,]+[0-9]+"")))"),"")</f>
        <v/>
      </c>
      <c r="O305" s="194"/>
      <c r="P305" s="194"/>
      <c r="Q305" s="194"/>
      <c r="R305" s="194"/>
      <c r="S305" s="194"/>
      <c r="T305" s="194"/>
      <c r="U305" s="194"/>
      <c r="V305" s="194"/>
      <c r="W305" s="194"/>
    </row>
    <row r="306" ht="14.25" customHeight="1">
      <c r="A306" s="31"/>
      <c r="B306" s="268"/>
      <c r="C306" s="269"/>
      <c r="D306" s="270"/>
      <c r="E306" s="271"/>
      <c r="F306" s="272"/>
      <c r="G306" s="273"/>
      <c r="H306" s="204"/>
      <c r="I306" s="204"/>
      <c r="J306" s="196"/>
      <c r="K306" s="196"/>
      <c r="L306" s="192" t="str">
        <f>IFERROR(__xludf.DUMMYFUNCTION("IF(
  AND(D306=""Saída"", J306=""Sangria""),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197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94" t="str">
        <f>IFERROR(__xludf.DUMMYFUNCTION("ifna(VALUE(REGEXEXTRACT(E306,""[0-9.]+[,]+[0-9]+"")))"),"")</f>
        <v/>
      </c>
      <c r="O306" s="194"/>
      <c r="P306" s="194"/>
      <c r="Q306" s="194"/>
      <c r="R306" s="194"/>
      <c r="S306" s="194"/>
      <c r="T306" s="194"/>
      <c r="U306" s="194"/>
      <c r="V306" s="194"/>
      <c r="W306" s="194"/>
    </row>
    <row r="307" ht="14.25" customHeight="1">
      <c r="A307" s="31"/>
      <c r="B307" s="268"/>
      <c r="C307" s="269"/>
      <c r="D307" s="270"/>
      <c r="E307" s="271"/>
      <c r="F307" s="272"/>
      <c r="G307" s="273"/>
      <c r="H307" s="204"/>
      <c r="I307" s="204"/>
      <c r="J307" s="196"/>
      <c r="K307" s="202"/>
      <c r="L307" s="192" t="str">
        <f>IFERROR(__xludf.DUMMYFUNCTION("IF(
  AND(D307=""Saída"", J307=""Sangria""),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198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94" t="str">
        <f>IFERROR(__xludf.DUMMYFUNCTION("ifna(VALUE(REGEXEXTRACT(E307,""[0-9.]+[,]+[0-9]+"")))"),"")</f>
        <v/>
      </c>
      <c r="O307" s="194"/>
      <c r="P307" s="194"/>
      <c r="Q307" s="194"/>
      <c r="R307" s="194"/>
      <c r="S307" s="194"/>
      <c r="T307" s="194"/>
      <c r="U307" s="194"/>
      <c r="V307" s="194"/>
      <c r="W307" s="194"/>
    </row>
    <row r="308" ht="14.25" customHeight="1">
      <c r="A308" s="31"/>
      <c r="B308" s="268"/>
      <c r="C308" s="269"/>
      <c r="D308" s="270"/>
      <c r="E308" s="271"/>
      <c r="F308" s="276"/>
      <c r="G308" s="273"/>
      <c r="H308" s="204"/>
      <c r="I308" s="204"/>
      <c r="J308" s="196"/>
      <c r="K308" s="196"/>
      <c r="L308" s="192" t="str">
        <f>IFERROR(__xludf.DUMMYFUNCTION("IF(
  AND(D308=""Saída"", J308=""Sangria""),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197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94" t="str">
        <f>IFERROR(__xludf.DUMMYFUNCTION("ifna(VALUE(REGEXEXTRACT(E308,""[0-9.]+[,]+[0-9]+"")))"),"")</f>
        <v/>
      </c>
      <c r="O308" s="194"/>
      <c r="P308" s="194"/>
      <c r="Q308" s="194"/>
      <c r="R308" s="194"/>
      <c r="S308" s="194"/>
      <c r="T308" s="194"/>
      <c r="U308" s="194"/>
      <c r="V308" s="194"/>
      <c r="W308" s="194"/>
    </row>
    <row r="309" ht="14.25" customHeight="1">
      <c r="A309" s="31"/>
      <c r="B309" s="268"/>
      <c r="C309" s="269"/>
      <c r="D309" s="270"/>
      <c r="E309" s="271"/>
      <c r="F309" s="272"/>
      <c r="G309" s="273"/>
      <c r="H309" s="204"/>
      <c r="I309" s="204"/>
      <c r="J309" s="212"/>
      <c r="K309" s="196"/>
      <c r="L309" s="192" t="str">
        <f>IFERROR(__xludf.DUMMYFUNCTION("IF(
  AND(D309=""Saída"", J309=""Sangria""),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198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94" t="str">
        <f>IFERROR(__xludf.DUMMYFUNCTION("ifna(VALUE(REGEXEXTRACT(E309,""[0-9.]+[,]+[0-9]+"")))"),"")</f>
        <v/>
      </c>
      <c r="O309" s="194"/>
      <c r="P309" s="194"/>
      <c r="Q309" s="194"/>
      <c r="R309" s="194"/>
      <c r="S309" s="194"/>
      <c r="T309" s="194"/>
      <c r="U309" s="194"/>
      <c r="V309" s="194"/>
      <c r="W309" s="194"/>
    </row>
    <row r="310" ht="14.25" customHeight="1">
      <c r="A310" s="31"/>
      <c r="B310" s="268"/>
      <c r="C310" s="269"/>
      <c r="D310" s="270"/>
      <c r="E310" s="271"/>
      <c r="F310" s="272"/>
      <c r="G310" s="273"/>
      <c r="H310" s="204"/>
      <c r="I310" s="204"/>
      <c r="J310" s="196"/>
      <c r="K310" s="196"/>
      <c r="L310" s="192" t="str">
        <f>IFERROR(__xludf.DUMMYFUNCTION("IF(
  AND(D310=""Saída"", J310=""Sangria""),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197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94" t="str">
        <f>IFERROR(__xludf.DUMMYFUNCTION("ifna(VALUE(REGEXEXTRACT(E310,""[0-9.]+[,]+[0-9]+"")))"),"")</f>
        <v/>
      </c>
      <c r="O310" s="194"/>
      <c r="P310" s="194"/>
      <c r="Q310" s="194"/>
      <c r="R310" s="194"/>
      <c r="S310" s="194"/>
      <c r="T310" s="194"/>
      <c r="U310" s="194"/>
      <c r="V310" s="194"/>
      <c r="W310" s="194"/>
    </row>
    <row r="311" ht="14.25" customHeight="1">
      <c r="A311" s="31"/>
      <c r="B311" s="268"/>
      <c r="C311" s="269"/>
      <c r="D311" s="270"/>
      <c r="E311" s="271"/>
      <c r="F311" s="272"/>
      <c r="G311" s="273"/>
      <c r="H311" s="204"/>
      <c r="I311" s="204"/>
      <c r="J311" s="196"/>
      <c r="K311" s="196"/>
      <c r="L311" s="192" t="str">
        <f>IFERROR(__xludf.DUMMYFUNCTION("IF(
  AND(D311=""Saída"", J311=""Sangria""),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198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94" t="str">
        <f>IFERROR(__xludf.DUMMYFUNCTION("ifna(VALUE(REGEXEXTRACT(E311,""[0-9.]+[,]+[0-9]+"")))"),"")</f>
        <v/>
      </c>
      <c r="O311" s="194"/>
      <c r="P311" s="194"/>
      <c r="Q311" s="194"/>
      <c r="R311" s="194"/>
      <c r="S311" s="194"/>
      <c r="T311" s="194"/>
      <c r="U311" s="194"/>
      <c r="V311" s="194"/>
      <c r="W311" s="194"/>
    </row>
    <row r="312" ht="14.25" customHeight="1">
      <c r="A312" s="31"/>
      <c r="B312" s="268"/>
      <c r="C312" s="269"/>
      <c r="D312" s="270"/>
      <c r="E312" s="271"/>
      <c r="F312" s="272"/>
      <c r="G312" s="273"/>
      <c r="H312" s="204"/>
      <c r="I312" s="204"/>
      <c r="J312" s="196"/>
      <c r="K312" s="196"/>
      <c r="L312" s="192" t="str">
        <f>IFERROR(__xludf.DUMMYFUNCTION("IF(
  AND(D312=""Saída"", J312=""Sangria""),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197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94" t="str">
        <f>IFERROR(__xludf.DUMMYFUNCTION("ifna(VALUE(REGEXEXTRACT(E312,""[0-9.]+[,]+[0-9]+"")))"),"")</f>
        <v/>
      </c>
      <c r="O312" s="194"/>
      <c r="P312" s="194"/>
      <c r="Q312" s="194"/>
      <c r="R312" s="194"/>
      <c r="S312" s="194"/>
      <c r="T312" s="194"/>
      <c r="U312" s="194"/>
      <c r="V312" s="194"/>
      <c r="W312" s="194"/>
    </row>
    <row r="313" ht="14.25" customHeight="1">
      <c r="A313" s="31"/>
      <c r="B313" s="268"/>
      <c r="C313" s="269"/>
      <c r="D313" s="270"/>
      <c r="E313" s="271"/>
      <c r="F313" s="272"/>
      <c r="G313" s="273"/>
      <c r="H313" s="204"/>
      <c r="I313" s="204"/>
      <c r="J313" s="196"/>
      <c r="K313" s="196"/>
      <c r="L313" s="192" t="str">
        <f>IFERROR(__xludf.DUMMYFUNCTION("IF(
  AND(D313=""Saída"", J313=""Sangria""),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198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94" t="str">
        <f>IFERROR(__xludf.DUMMYFUNCTION("ifna(VALUE(REGEXEXTRACT(E313,""[0-9.]+[,]+[0-9]+"")))"),"")</f>
        <v/>
      </c>
      <c r="O313" s="194"/>
      <c r="P313" s="194"/>
      <c r="Q313" s="194"/>
      <c r="R313" s="194"/>
      <c r="S313" s="194"/>
      <c r="T313" s="194"/>
      <c r="U313" s="194"/>
      <c r="V313" s="194"/>
      <c r="W313" s="194"/>
    </row>
    <row r="314" ht="14.25" customHeight="1">
      <c r="A314" s="31"/>
      <c r="B314" s="268"/>
      <c r="C314" s="269"/>
      <c r="D314" s="270"/>
      <c r="E314" s="271"/>
      <c r="F314" s="276"/>
      <c r="G314" s="273"/>
      <c r="H314" s="204"/>
      <c r="I314" s="204"/>
      <c r="J314" s="196"/>
      <c r="K314" s="196"/>
      <c r="L314" s="192" t="str">
        <f>IFERROR(__xludf.DUMMYFUNCTION("IF(
  AND(D314=""Saída"", J314=""Sangria""),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197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94" t="str">
        <f>IFERROR(__xludf.DUMMYFUNCTION("ifna(VALUE(REGEXEXTRACT(E314,""[0-9.]+[,]+[0-9]+"")))"),"")</f>
        <v/>
      </c>
      <c r="O314" s="194"/>
      <c r="P314" s="194"/>
      <c r="Q314" s="194"/>
      <c r="R314" s="194"/>
      <c r="S314" s="194"/>
      <c r="T314" s="194"/>
      <c r="U314" s="194"/>
      <c r="V314" s="194"/>
      <c r="W314" s="194"/>
    </row>
    <row r="315" ht="14.25" customHeight="1">
      <c r="A315" s="31"/>
      <c r="B315" s="268"/>
      <c r="C315" s="269"/>
      <c r="D315" s="270"/>
      <c r="E315" s="271"/>
      <c r="F315" s="272"/>
      <c r="G315" s="273"/>
      <c r="H315" s="204"/>
      <c r="I315" s="204"/>
      <c r="J315" s="196"/>
      <c r="K315" s="196"/>
      <c r="L315" s="192" t="str">
        <f>IFERROR(__xludf.DUMMYFUNCTION("IF(
  AND(D315=""Saída"", J315=""Sangria""),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198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94" t="str">
        <f>IFERROR(__xludf.DUMMYFUNCTION("ifna(VALUE(REGEXEXTRACT(E315,""[0-9.]+[,]+[0-9]+"")))"),"")</f>
        <v/>
      </c>
      <c r="O315" s="194"/>
      <c r="P315" s="194"/>
      <c r="Q315" s="194"/>
      <c r="R315" s="194"/>
      <c r="S315" s="194"/>
      <c r="T315" s="194"/>
      <c r="U315" s="194"/>
      <c r="V315" s="194"/>
      <c r="W315" s="194"/>
    </row>
    <row r="316" ht="14.25" customHeight="1">
      <c r="A316" s="31"/>
      <c r="B316" s="268"/>
      <c r="C316" s="269"/>
      <c r="D316" s="270"/>
      <c r="E316" s="271"/>
      <c r="F316" s="276"/>
      <c r="G316" s="273"/>
      <c r="H316" s="204"/>
      <c r="I316" s="204"/>
      <c r="J316" s="196"/>
      <c r="K316" s="196"/>
      <c r="L316" s="192" t="str">
        <f>IFERROR(__xludf.DUMMYFUNCTION("IF(
  AND(D316=""Saída"", J316=""Sangria""),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197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94" t="str">
        <f>IFERROR(__xludf.DUMMYFUNCTION("ifna(VALUE(REGEXEXTRACT(E316,""[0-9.]+[,]+[0-9]+"")))"),"")</f>
        <v/>
      </c>
      <c r="O316" s="194"/>
      <c r="P316" s="194"/>
      <c r="Q316" s="194"/>
      <c r="R316" s="194"/>
      <c r="S316" s="194"/>
      <c r="T316" s="194"/>
      <c r="U316" s="194"/>
      <c r="V316" s="194"/>
      <c r="W316" s="194"/>
    </row>
    <row r="317" ht="14.25" customHeight="1">
      <c r="A317" s="31"/>
      <c r="B317" s="268"/>
      <c r="C317" s="269"/>
      <c r="D317" s="270"/>
      <c r="E317" s="271"/>
      <c r="F317" s="272"/>
      <c r="G317" s="273"/>
      <c r="H317" s="204"/>
      <c r="I317" s="204"/>
      <c r="J317" s="196"/>
      <c r="K317" s="196"/>
      <c r="L317" s="192" t="str">
        <f>IFERROR(__xludf.DUMMYFUNCTION("IF(
  AND(D317=""Saída"", J317=""Sangria""),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198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94" t="str">
        <f>IFERROR(__xludf.DUMMYFUNCTION("ifna(VALUE(REGEXEXTRACT(E317,""[0-9.]+[,]+[0-9]+"")))"),"")</f>
        <v/>
      </c>
      <c r="O317" s="194"/>
      <c r="P317" s="194"/>
      <c r="Q317" s="194"/>
      <c r="R317" s="194"/>
      <c r="S317" s="194"/>
      <c r="T317" s="194"/>
      <c r="U317" s="194"/>
      <c r="V317" s="194"/>
      <c r="W317" s="194"/>
    </row>
    <row r="318" ht="14.25" customHeight="1">
      <c r="A318" s="31"/>
      <c r="B318" s="268"/>
      <c r="C318" s="269"/>
      <c r="D318" s="270"/>
      <c r="E318" s="271"/>
      <c r="F318" s="272"/>
      <c r="G318" s="273"/>
      <c r="H318" s="204"/>
      <c r="I318" s="204"/>
      <c r="J318" s="196"/>
      <c r="K318" s="196"/>
      <c r="L318" s="192" t="str">
        <f>IFERROR(__xludf.DUMMYFUNCTION("IF(
  AND(D318=""Saída"", J318=""Sangria""),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197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94" t="str">
        <f>IFERROR(__xludf.DUMMYFUNCTION("ifna(VALUE(REGEXEXTRACT(E318,""[0-9.]+[,]+[0-9]+"")))"),"")</f>
        <v/>
      </c>
      <c r="O318" s="194"/>
      <c r="P318" s="194"/>
      <c r="Q318" s="194"/>
      <c r="R318" s="194"/>
      <c r="S318" s="194"/>
      <c r="T318" s="194"/>
      <c r="U318" s="194"/>
      <c r="V318" s="194"/>
      <c r="W318" s="194"/>
    </row>
    <row r="319" ht="14.25" customHeight="1">
      <c r="A319" s="31"/>
      <c r="B319" s="268"/>
      <c r="C319" s="269"/>
      <c r="D319" s="270"/>
      <c r="E319" s="271"/>
      <c r="F319" s="272"/>
      <c r="G319" s="273"/>
      <c r="H319" s="204"/>
      <c r="I319" s="204"/>
      <c r="J319" s="196"/>
      <c r="K319" s="196"/>
      <c r="L319" s="192" t="str">
        <f>IFERROR(__xludf.DUMMYFUNCTION("IF(
  AND(D319=""Saída"", J319=""Sangria""),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198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94" t="str">
        <f>IFERROR(__xludf.DUMMYFUNCTION("ifna(VALUE(REGEXEXTRACT(E319,""[0-9.]+[,]+[0-9]+"")))"),"")</f>
        <v/>
      </c>
      <c r="O319" s="194"/>
      <c r="P319" s="194"/>
      <c r="Q319" s="194"/>
      <c r="R319" s="194"/>
      <c r="S319" s="194"/>
      <c r="T319" s="194"/>
      <c r="U319" s="194"/>
      <c r="V319" s="194"/>
      <c r="W319" s="194"/>
    </row>
    <row r="320" ht="14.25" customHeight="1">
      <c r="A320" s="31"/>
      <c r="B320" s="268"/>
      <c r="C320" s="269"/>
      <c r="D320" s="270"/>
      <c r="E320" s="271"/>
      <c r="F320" s="272"/>
      <c r="G320" s="273"/>
      <c r="H320" s="204"/>
      <c r="I320" s="204"/>
      <c r="J320" s="196"/>
      <c r="K320" s="196"/>
      <c r="L320" s="192" t="str">
        <f>IFERROR(__xludf.DUMMYFUNCTION("IF(
  AND(D320=""Saída"", J320=""Sangria""),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197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94" t="str">
        <f>IFERROR(__xludf.DUMMYFUNCTION("ifna(VALUE(REGEXEXTRACT(E320,""[0-9.]+[,]+[0-9]+"")))"),"")</f>
        <v/>
      </c>
      <c r="O320" s="194"/>
      <c r="P320" s="194"/>
      <c r="Q320" s="194"/>
      <c r="R320" s="194"/>
      <c r="S320" s="194"/>
      <c r="T320" s="194"/>
      <c r="U320" s="194"/>
      <c r="V320" s="194"/>
      <c r="W320" s="194"/>
    </row>
    <row r="321" ht="14.25" customHeight="1">
      <c r="A321" s="31"/>
      <c r="B321" s="268"/>
      <c r="C321" s="269"/>
      <c r="D321" s="270"/>
      <c r="E321" s="271"/>
      <c r="F321" s="272"/>
      <c r="G321" s="273"/>
      <c r="H321" s="204"/>
      <c r="I321" s="204"/>
      <c r="J321" s="196"/>
      <c r="K321" s="196"/>
      <c r="L321" s="192" t="str">
        <f>IFERROR(__xludf.DUMMYFUNCTION("IF(
  AND(D321=""Saída"", J321=""Sangria""),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198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94" t="str">
        <f>IFERROR(__xludf.DUMMYFUNCTION("ifna(VALUE(REGEXEXTRACT(E321,""[0-9.]+[,]+[0-9]+"")))"),"")</f>
        <v/>
      </c>
      <c r="O321" s="194"/>
      <c r="P321" s="194"/>
      <c r="Q321" s="194"/>
      <c r="R321" s="194"/>
      <c r="S321" s="194"/>
      <c r="T321" s="194"/>
      <c r="U321" s="194"/>
      <c r="V321" s="194"/>
      <c r="W321" s="194"/>
    </row>
    <row r="322" ht="14.25" customHeight="1">
      <c r="A322" s="31"/>
      <c r="B322" s="268"/>
      <c r="C322" s="269"/>
      <c r="D322" s="270"/>
      <c r="E322" s="271"/>
      <c r="F322" s="272"/>
      <c r="G322" s="273"/>
      <c r="H322" s="204"/>
      <c r="I322" s="204"/>
      <c r="J322" s="196"/>
      <c r="K322" s="196"/>
      <c r="L322" s="192" t="str">
        <f>IFERROR(__xludf.DUMMYFUNCTION("IF(
  AND(D322=""Saída"", J322=""Sangria""),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197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94" t="str">
        <f>IFERROR(__xludf.DUMMYFUNCTION("ifna(VALUE(REGEXEXTRACT(E322,""[0-9.]+[,]+[0-9]+"")))"),"")</f>
        <v/>
      </c>
      <c r="O322" s="194"/>
      <c r="P322" s="194"/>
      <c r="Q322" s="194"/>
      <c r="R322" s="194"/>
      <c r="S322" s="194"/>
      <c r="T322" s="194"/>
      <c r="U322" s="194"/>
      <c r="V322" s="194"/>
      <c r="W322" s="194"/>
    </row>
    <row r="323" ht="14.25" customHeight="1">
      <c r="A323" s="31"/>
      <c r="B323" s="268"/>
      <c r="C323" s="269"/>
      <c r="D323" s="270"/>
      <c r="E323" s="271"/>
      <c r="F323" s="272"/>
      <c r="G323" s="273"/>
      <c r="H323" s="204"/>
      <c r="I323" s="204"/>
      <c r="J323" s="196"/>
      <c r="K323" s="196"/>
      <c r="L323" s="192" t="str">
        <f>IFERROR(__xludf.DUMMYFUNCTION("IF(
  AND(D323=""Saída"", J323=""Sangria""),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198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94" t="str">
        <f>IFERROR(__xludf.DUMMYFUNCTION("ifna(VALUE(REGEXEXTRACT(E323,""[0-9.]+[,]+[0-9]+"")))"),"")</f>
        <v/>
      </c>
      <c r="O323" s="194"/>
      <c r="P323" s="194"/>
      <c r="Q323" s="194"/>
      <c r="R323" s="194"/>
      <c r="S323" s="194"/>
      <c r="T323" s="194"/>
      <c r="U323" s="194"/>
      <c r="V323" s="194"/>
      <c r="W323" s="194"/>
    </row>
    <row r="324" ht="14.25" customHeight="1">
      <c r="A324" s="31"/>
      <c r="B324" s="268"/>
      <c r="C324" s="269"/>
      <c r="D324" s="270"/>
      <c r="E324" s="271"/>
      <c r="F324" s="272"/>
      <c r="G324" s="273"/>
      <c r="H324" s="204"/>
      <c r="I324" s="204"/>
      <c r="J324" s="196"/>
      <c r="K324" s="196"/>
      <c r="L324" s="192" t="str">
        <f>IFERROR(__xludf.DUMMYFUNCTION("IF(
  AND(D324=""Saída"", J324=""Sangria""),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197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94" t="str">
        <f>IFERROR(__xludf.DUMMYFUNCTION("ifna(VALUE(REGEXEXTRACT(E324,""[0-9.]+[,]+[0-9]+"")))"),"")</f>
        <v/>
      </c>
      <c r="O324" s="194"/>
      <c r="P324" s="194"/>
      <c r="Q324" s="194"/>
      <c r="R324" s="194"/>
      <c r="S324" s="194"/>
      <c r="T324" s="194"/>
      <c r="U324" s="194"/>
      <c r="V324" s="194"/>
      <c r="W324" s="194"/>
    </row>
    <row r="325" ht="14.25" customHeight="1">
      <c r="A325" s="31"/>
      <c r="B325" s="268"/>
      <c r="C325" s="269"/>
      <c r="D325" s="270"/>
      <c r="E325" s="271"/>
      <c r="F325" s="272"/>
      <c r="G325" s="273"/>
      <c r="H325" s="204"/>
      <c r="I325" s="204"/>
      <c r="J325" s="196"/>
      <c r="K325" s="196"/>
      <c r="L325" s="192" t="str">
        <f>IFERROR(__xludf.DUMMYFUNCTION("IF(
  AND(D325=""Saída"", J325=""Sangria""),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198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94" t="str">
        <f>IFERROR(__xludf.DUMMYFUNCTION("ifna(VALUE(REGEXEXTRACT(E325,""[0-9.]+[,]+[0-9]+"")))"),"")</f>
        <v/>
      </c>
      <c r="O325" s="194"/>
      <c r="P325" s="194"/>
      <c r="Q325" s="194"/>
      <c r="R325" s="194"/>
      <c r="S325" s="194"/>
      <c r="T325" s="194"/>
      <c r="U325" s="194"/>
      <c r="V325" s="194"/>
      <c r="W325" s="194"/>
    </row>
    <row r="326" ht="14.25" customHeight="1">
      <c r="A326" s="31"/>
      <c r="B326" s="268"/>
      <c r="C326" s="269"/>
      <c r="D326" s="270"/>
      <c r="E326" s="271"/>
      <c r="F326" s="276"/>
      <c r="G326" s="273"/>
      <c r="H326" s="204"/>
      <c r="I326" s="204"/>
      <c r="J326" s="196"/>
      <c r="K326" s="196"/>
      <c r="L326" s="192" t="str">
        <f>IFERROR(__xludf.DUMMYFUNCTION("IF(
  AND(D326=""Saída"", J326=""Sangria""),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197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94" t="str">
        <f>IFERROR(__xludf.DUMMYFUNCTION("ifna(VALUE(REGEXEXTRACT(E326,""[0-9.]+[,]+[0-9]+"")))"),"")</f>
        <v/>
      </c>
      <c r="O326" s="194"/>
      <c r="P326" s="194"/>
      <c r="Q326" s="194"/>
      <c r="R326" s="194"/>
      <c r="S326" s="194"/>
      <c r="T326" s="194"/>
      <c r="U326" s="194"/>
      <c r="V326" s="194"/>
      <c r="W326" s="194"/>
    </row>
    <row r="327" ht="14.25" customHeight="1">
      <c r="A327" s="31"/>
      <c r="B327" s="268"/>
      <c r="C327" s="269"/>
      <c r="D327" s="270"/>
      <c r="E327" s="271"/>
      <c r="F327" s="272"/>
      <c r="G327" s="273"/>
      <c r="H327" s="204"/>
      <c r="I327" s="204"/>
      <c r="J327" s="196"/>
      <c r="K327" s="196"/>
      <c r="L327" s="192" t="str">
        <f>IFERROR(__xludf.DUMMYFUNCTION("IF(
  AND(D327=""Saída"", J327=""Sangria""),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198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94" t="str">
        <f>IFERROR(__xludf.DUMMYFUNCTION("ifna(VALUE(REGEXEXTRACT(E327,""[0-9.]+[,]+[0-9]+"")))"),"")</f>
        <v/>
      </c>
      <c r="O327" s="194"/>
      <c r="P327" s="194"/>
      <c r="Q327" s="194"/>
      <c r="R327" s="194"/>
      <c r="S327" s="194"/>
      <c r="T327" s="194"/>
      <c r="U327" s="194"/>
      <c r="V327" s="194"/>
      <c r="W327" s="194"/>
    </row>
    <row r="328" ht="14.25" customHeight="1">
      <c r="A328" s="31"/>
      <c r="B328" s="268"/>
      <c r="C328" s="269"/>
      <c r="D328" s="270"/>
      <c r="E328" s="271"/>
      <c r="F328" s="272"/>
      <c r="G328" s="273"/>
      <c r="H328" s="204"/>
      <c r="I328" s="204"/>
      <c r="J328" s="196"/>
      <c r="K328" s="196"/>
      <c r="L328" s="192" t="str">
        <f>IFERROR(__xludf.DUMMYFUNCTION("IF(
  AND(D328=""Saída"", J328=""Sangria""),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197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94" t="str">
        <f>IFERROR(__xludf.DUMMYFUNCTION("ifna(VALUE(REGEXEXTRACT(E328,""[0-9.]+[,]+[0-9]+"")))"),"")</f>
        <v/>
      </c>
      <c r="O328" s="194"/>
      <c r="P328" s="194"/>
      <c r="Q328" s="194"/>
      <c r="R328" s="194"/>
      <c r="S328" s="194"/>
      <c r="T328" s="194"/>
      <c r="U328" s="194"/>
      <c r="V328" s="194"/>
      <c r="W328" s="194"/>
    </row>
    <row r="329" ht="14.25" customHeight="1">
      <c r="A329" s="31"/>
      <c r="B329" s="268"/>
      <c r="C329" s="269"/>
      <c r="D329" s="270"/>
      <c r="E329" s="271"/>
      <c r="F329" s="272"/>
      <c r="G329" s="273"/>
      <c r="H329" s="204"/>
      <c r="I329" s="204"/>
      <c r="J329" s="196"/>
      <c r="K329" s="196"/>
      <c r="L329" s="192" t="str">
        <f>IFERROR(__xludf.DUMMYFUNCTION("IF(
  AND(D329=""Saída"", J329=""Sangria""),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198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94" t="str">
        <f>IFERROR(__xludf.DUMMYFUNCTION("ifna(VALUE(REGEXEXTRACT(E329,""[0-9.]+[,]+[0-9]+"")))"),"")</f>
        <v/>
      </c>
      <c r="O329" s="194"/>
      <c r="P329" s="194"/>
      <c r="Q329" s="194"/>
      <c r="R329" s="194"/>
      <c r="S329" s="194"/>
      <c r="T329" s="194"/>
      <c r="U329" s="194"/>
      <c r="V329" s="194"/>
      <c r="W329" s="194"/>
    </row>
    <row r="330" ht="14.25" customHeight="1">
      <c r="A330" s="31"/>
      <c r="B330" s="268"/>
      <c r="C330" s="269"/>
      <c r="D330" s="270"/>
      <c r="E330" s="271"/>
      <c r="F330" s="272"/>
      <c r="G330" s="273"/>
      <c r="H330" s="204"/>
      <c r="I330" s="204"/>
      <c r="J330" s="196"/>
      <c r="K330" s="196"/>
      <c r="L330" s="192" t="str">
        <f>IFERROR(__xludf.DUMMYFUNCTION("IF(
  AND(D330=""Saída"", J330=""Sangria""),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197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94" t="str">
        <f>IFERROR(__xludf.DUMMYFUNCTION("ifna(VALUE(REGEXEXTRACT(E330,""[0-9.]+[,]+[0-9]+"")))"),"")</f>
        <v/>
      </c>
      <c r="O330" s="194"/>
      <c r="P330" s="194"/>
      <c r="Q330" s="194"/>
      <c r="R330" s="194"/>
      <c r="S330" s="194"/>
      <c r="T330" s="194"/>
      <c r="U330" s="194"/>
      <c r="V330" s="194"/>
      <c r="W330" s="194"/>
    </row>
    <row r="331" ht="14.25" customHeight="1">
      <c r="A331" s="31"/>
      <c r="B331" s="268"/>
      <c r="C331" s="269"/>
      <c r="D331" s="270"/>
      <c r="E331" s="271"/>
      <c r="F331" s="272"/>
      <c r="G331" s="273"/>
      <c r="H331" s="204"/>
      <c r="I331" s="204"/>
      <c r="J331" s="196"/>
      <c r="K331" s="196"/>
      <c r="L331" s="192" t="str">
        <f>IFERROR(__xludf.DUMMYFUNCTION("IF(
  AND(D331=""Saída"", J331=""Sangria""),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198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94" t="str">
        <f>IFERROR(__xludf.DUMMYFUNCTION("ifna(VALUE(REGEXEXTRACT(E331,""[0-9.]+[,]+[0-9]+"")))"),"")</f>
        <v/>
      </c>
      <c r="O331" s="194"/>
      <c r="P331" s="194"/>
      <c r="Q331" s="194"/>
      <c r="R331" s="194"/>
      <c r="S331" s="194"/>
      <c r="T331" s="194"/>
      <c r="U331" s="194"/>
      <c r="V331" s="194"/>
      <c r="W331" s="194"/>
    </row>
    <row r="332" ht="14.25" customHeight="1">
      <c r="A332" s="31"/>
      <c r="B332" s="268"/>
      <c r="C332" s="269"/>
      <c r="D332" s="270"/>
      <c r="E332" s="271"/>
      <c r="F332" s="272"/>
      <c r="G332" s="273"/>
      <c r="H332" s="204"/>
      <c r="I332" s="204"/>
      <c r="J332" s="196"/>
      <c r="K332" s="202"/>
      <c r="L332" s="192" t="str">
        <f>IFERROR(__xludf.DUMMYFUNCTION("IF(
  AND(D332=""Saída"", J332=""Sangria""),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197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94" t="str">
        <f>IFERROR(__xludf.DUMMYFUNCTION("ifna(VALUE(REGEXEXTRACT(E332,""[0-9.]+[,]+[0-9]+"")))"),"")</f>
        <v/>
      </c>
      <c r="O332" s="194"/>
      <c r="P332" s="194"/>
      <c r="Q332" s="194"/>
      <c r="R332" s="194"/>
      <c r="S332" s="194"/>
      <c r="T332" s="194"/>
      <c r="U332" s="194"/>
      <c r="V332" s="194"/>
      <c r="W332" s="194"/>
    </row>
    <row r="333" ht="14.25" customHeight="1">
      <c r="A333" s="31"/>
      <c r="B333" s="268"/>
      <c r="C333" s="269"/>
      <c r="D333" s="270"/>
      <c r="E333" s="271"/>
      <c r="F333" s="272"/>
      <c r="G333" s="273"/>
      <c r="H333" s="204"/>
      <c r="I333" s="204"/>
      <c r="J333" s="196"/>
      <c r="K333" s="196"/>
      <c r="L333" s="192" t="str">
        <f>IFERROR(__xludf.DUMMYFUNCTION("IF(
  AND(D333=""Saída"", J333=""Sangria""),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198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94" t="str">
        <f>IFERROR(__xludf.DUMMYFUNCTION("ifna(VALUE(REGEXEXTRACT(E333,""[0-9.]+[,]+[0-9]+"")))"),"")</f>
        <v/>
      </c>
      <c r="O333" s="194"/>
      <c r="P333" s="194"/>
      <c r="Q333" s="194"/>
      <c r="R333" s="194"/>
      <c r="S333" s="194"/>
      <c r="T333" s="194"/>
      <c r="U333" s="194"/>
      <c r="V333" s="194"/>
      <c r="W333" s="194"/>
    </row>
    <row r="334" ht="14.25" customHeight="1">
      <c r="A334" s="31"/>
      <c r="B334" s="268"/>
      <c r="C334" s="269"/>
      <c r="D334" s="270"/>
      <c r="E334" s="271"/>
      <c r="F334" s="272"/>
      <c r="G334" s="273"/>
      <c r="H334" s="204"/>
      <c r="I334" s="204"/>
      <c r="J334" s="196"/>
      <c r="K334" s="196"/>
      <c r="L334" s="192" t="str">
        <f>IFERROR(__xludf.DUMMYFUNCTION("IF(
  AND(D334=""Saída"", J334=""Sangria""),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197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94" t="str">
        <f>IFERROR(__xludf.DUMMYFUNCTION("ifna(VALUE(REGEXEXTRACT(E334,""[0-9.]+[,]+[0-9]+"")))"),"")</f>
        <v/>
      </c>
      <c r="O334" s="194"/>
      <c r="P334" s="194"/>
      <c r="Q334" s="194"/>
      <c r="R334" s="194"/>
      <c r="S334" s="194"/>
      <c r="T334" s="194"/>
      <c r="U334" s="194"/>
      <c r="V334" s="194"/>
      <c r="W334" s="194"/>
    </row>
    <row r="335" ht="14.25" customHeight="1">
      <c r="A335" s="31"/>
      <c r="B335" s="268"/>
      <c r="C335" s="269"/>
      <c r="D335" s="270"/>
      <c r="E335" s="271"/>
      <c r="F335" s="272"/>
      <c r="G335" s="273"/>
      <c r="H335" s="204"/>
      <c r="I335" s="204"/>
      <c r="J335" s="196"/>
      <c r="K335" s="196"/>
      <c r="L335" s="192" t="str">
        <f>IFERROR(__xludf.DUMMYFUNCTION("IF(
  AND(D335=""Saída"", J335=""Sangria""),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198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94" t="str">
        <f>IFERROR(__xludf.DUMMYFUNCTION("ifna(VALUE(REGEXEXTRACT(E335,""[0-9.]+[,]+[0-9]+"")))"),"")</f>
        <v/>
      </c>
      <c r="O335" s="194"/>
      <c r="P335" s="194"/>
      <c r="Q335" s="194"/>
      <c r="R335" s="194"/>
      <c r="S335" s="194"/>
      <c r="T335" s="194"/>
      <c r="U335" s="194"/>
      <c r="V335" s="194"/>
      <c r="W335" s="194"/>
    </row>
    <row r="336" ht="14.25" customHeight="1">
      <c r="A336" s="31"/>
      <c r="B336" s="268"/>
      <c r="C336" s="269"/>
      <c r="D336" s="270"/>
      <c r="E336" s="271"/>
      <c r="F336" s="276"/>
      <c r="G336" s="273"/>
      <c r="H336" s="204"/>
      <c r="I336" s="204"/>
      <c r="J336" s="196"/>
      <c r="K336" s="196"/>
      <c r="L336" s="192" t="str">
        <f>IFERROR(__xludf.DUMMYFUNCTION("IF(
  AND(D336=""Saída"", J336=""Sangria""),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197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94" t="str">
        <f>IFERROR(__xludf.DUMMYFUNCTION("ifna(VALUE(REGEXEXTRACT(E336,""[0-9.]+[,]+[0-9]+"")))"),"")</f>
        <v/>
      </c>
      <c r="O336" s="194"/>
      <c r="P336" s="194"/>
      <c r="Q336" s="194"/>
      <c r="R336" s="194"/>
      <c r="S336" s="194"/>
      <c r="T336" s="194"/>
      <c r="U336" s="194"/>
      <c r="V336" s="194"/>
      <c r="W336" s="194"/>
    </row>
    <row r="337" ht="14.25" customHeight="1">
      <c r="A337" s="31"/>
      <c r="B337" s="268"/>
      <c r="C337" s="269"/>
      <c r="D337" s="270"/>
      <c r="E337" s="275"/>
      <c r="F337" s="272"/>
      <c r="G337" s="273"/>
      <c r="H337" s="204"/>
      <c r="I337" s="204"/>
      <c r="J337" s="196"/>
      <c r="K337" s="196"/>
      <c r="L337" s="192" t="str">
        <f>IFERROR(__xludf.DUMMYFUNCTION("IF(
  AND(D337=""Saída"", J337=""Sangria""),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198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94" t="str">
        <f>IFERROR(__xludf.DUMMYFUNCTION("ifna(VALUE(REGEXEXTRACT(E337,""[0-9.]+[,]+[0-9]+"")))"),"")</f>
        <v/>
      </c>
      <c r="O337" s="194"/>
      <c r="P337" s="194"/>
      <c r="Q337" s="194"/>
      <c r="R337" s="194"/>
      <c r="S337" s="194"/>
      <c r="T337" s="194"/>
      <c r="U337" s="194"/>
      <c r="V337" s="194"/>
      <c r="W337" s="194"/>
    </row>
    <row r="338" ht="14.25" customHeight="1">
      <c r="A338" s="31"/>
      <c r="B338" s="268"/>
      <c r="C338" s="269"/>
      <c r="D338" s="270"/>
      <c r="E338" s="271"/>
      <c r="F338" s="272"/>
      <c r="G338" s="273"/>
      <c r="H338" s="204"/>
      <c r="I338" s="204"/>
      <c r="J338" s="196"/>
      <c r="K338" s="202"/>
      <c r="L338" s="192" t="str">
        <f>IFERROR(__xludf.DUMMYFUNCTION("IF(
  AND(D338=""Saída"", J338=""Sangria""),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197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94" t="str">
        <f>IFERROR(__xludf.DUMMYFUNCTION("ifna(VALUE(REGEXEXTRACT(E338,""[0-9.]+[,]+[0-9]+"")))"),"")</f>
        <v/>
      </c>
      <c r="O338" s="194"/>
      <c r="P338" s="194"/>
      <c r="Q338" s="194"/>
      <c r="R338" s="194"/>
      <c r="S338" s="194"/>
      <c r="T338" s="194"/>
      <c r="U338" s="194"/>
      <c r="V338" s="194"/>
      <c r="W338" s="194"/>
    </row>
    <row r="339" ht="14.25" customHeight="1">
      <c r="A339" s="31"/>
      <c r="B339" s="268"/>
      <c r="C339" s="269"/>
      <c r="D339" s="270"/>
      <c r="E339" s="271"/>
      <c r="F339" s="272"/>
      <c r="G339" s="273"/>
      <c r="H339" s="204"/>
      <c r="I339" s="204"/>
      <c r="J339" s="196"/>
      <c r="K339" s="196"/>
      <c r="L339" s="192" t="str">
        <f>IFERROR(__xludf.DUMMYFUNCTION("IF(
  AND(D339=""Saída"", J339=""Sangria""),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198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94" t="str">
        <f>IFERROR(__xludf.DUMMYFUNCTION("ifna(VALUE(REGEXEXTRACT(E339,""[0-9.]+[,]+[0-9]+"")))"),"")</f>
        <v/>
      </c>
      <c r="O339" s="194"/>
      <c r="P339" s="194"/>
      <c r="Q339" s="194"/>
      <c r="R339" s="194"/>
      <c r="S339" s="194"/>
      <c r="T339" s="194"/>
      <c r="U339" s="194"/>
      <c r="V339" s="194"/>
      <c r="W339" s="194"/>
    </row>
    <row r="340" ht="14.25" customHeight="1">
      <c r="A340" s="31"/>
      <c r="B340" s="268"/>
      <c r="C340" s="269"/>
      <c r="D340" s="270"/>
      <c r="E340" s="271"/>
      <c r="F340" s="272"/>
      <c r="G340" s="273"/>
      <c r="H340" s="204"/>
      <c r="I340" s="204"/>
      <c r="J340" s="196"/>
      <c r="K340" s="196"/>
      <c r="L340" s="192" t="str">
        <f>IFERROR(__xludf.DUMMYFUNCTION("IF(
  AND(D340=""Saída"", J340=""Sangria""),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197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94" t="str">
        <f>IFERROR(__xludf.DUMMYFUNCTION("ifna(VALUE(REGEXEXTRACT(E340,""[0-9.]+[,]+[0-9]+"")))"),"")</f>
        <v/>
      </c>
      <c r="O340" s="194"/>
      <c r="P340" s="194"/>
      <c r="Q340" s="194"/>
      <c r="R340" s="194"/>
      <c r="S340" s="194"/>
      <c r="T340" s="194"/>
      <c r="U340" s="194"/>
      <c r="V340" s="194"/>
      <c r="W340" s="194"/>
    </row>
    <row r="341" ht="14.25" customHeight="1">
      <c r="A341" s="31"/>
      <c r="B341" s="268"/>
      <c r="C341" s="269"/>
      <c r="D341" s="270"/>
      <c r="E341" s="271"/>
      <c r="F341" s="276"/>
      <c r="G341" s="273"/>
      <c r="H341" s="204"/>
      <c r="I341" s="204"/>
      <c r="J341" s="196"/>
      <c r="K341" s="196"/>
      <c r="L341" s="192" t="str">
        <f>IFERROR(__xludf.DUMMYFUNCTION("IF(
  AND(D341=""Saída"", J341=""Sangria""),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198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94" t="str">
        <f>IFERROR(__xludf.DUMMYFUNCTION("ifna(VALUE(REGEXEXTRACT(E341,""[0-9.]+[,]+[0-9]+"")))"),"")</f>
        <v/>
      </c>
      <c r="O341" s="194"/>
      <c r="P341" s="194"/>
      <c r="Q341" s="194"/>
      <c r="R341" s="194"/>
      <c r="S341" s="194"/>
      <c r="T341" s="194"/>
      <c r="U341" s="194"/>
      <c r="V341" s="194"/>
      <c r="W341" s="194"/>
    </row>
    <row r="342" ht="14.25" customHeight="1">
      <c r="A342" s="31"/>
      <c r="B342" s="268"/>
      <c r="C342" s="269"/>
      <c r="D342" s="270"/>
      <c r="E342" s="271"/>
      <c r="F342" s="272"/>
      <c r="G342" s="274"/>
      <c r="H342" s="204"/>
      <c r="I342" s="204"/>
      <c r="J342" s="196"/>
      <c r="K342" s="202"/>
      <c r="L342" s="192" t="str">
        <f>IFERROR(__xludf.DUMMYFUNCTION("IF(
  AND(D342=""Saída"", J342=""Sangria""),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197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94" t="str">
        <f>IFERROR(__xludf.DUMMYFUNCTION("ifna(VALUE(REGEXEXTRACT(E342,""[0-9.]+[,]+[0-9]+"")))"),"")</f>
        <v/>
      </c>
      <c r="O342" s="194"/>
      <c r="P342" s="194"/>
      <c r="Q342" s="194"/>
      <c r="R342" s="194"/>
      <c r="S342" s="194"/>
      <c r="T342" s="194"/>
      <c r="U342" s="194"/>
      <c r="V342" s="194"/>
      <c r="W342" s="194"/>
    </row>
    <row r="343" ht="14.25" customHeight="1">
      <c r="A343" s="31"/>
      <c r="B343" s="268"/>
      <c r="C343" s="269"/>
      <c r="D343" s="270"/>
      <c r="E343" s="271"/>
      <c r="F343" s="272"/>
      <c r="G343" s="273"/>
      <c r="H343" s="204"/>
      <c r="I343" s="204"/>
      <c r="J343" s="196"/>
      <c r="K343" s="196"/>
      <c r="L343" s="192" t="str">
        <f>IFERROR(__xludf.DUMMYFUNCTION("IF(
  AND(D343=""Saída"", J343=""Sangria""),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198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94" t="str">
        <f>IFERROR(__xludf.DUMMYFUNCTION("ifna(VALUE(REGEXEXTRACT(E343,""[0-9.]+[,]+[0-9]+"")))"),"")</f>
        <v/>
      </c>
      <c r="O343" s="194"/>
      <c r="P343" s="194"/>
      <c r="Q343" s="194"/>
      <c r="R343" s="194"/>
      <c r="S343" s="194"/>
      <c r="T343" s="194"/>
      <c r="U343" s="194"/>
      <c r="V343" s="194"/>
      <c r="W343" s="194"/>
    </row>
    <row r="344" ht="14.25" customHeight="1">
      <c r="A344" s="31"/>
      <c r="B344" s="268"/>
      <c r="C344" s="269"/>
      <c r="D344" s="270"/>
      <c r="E344" s="271"/>
      <c r="F344" s="272"/>
      <c r="G344" s="273"/>
      <c r="H344" s="204"/>
      <c r="I344" s="204"/>
      <c r="J344" s="196"/>
      <c r="K344" s="196"/>
      <c r="L344" s="192" t="str">
        <f>IFERROR(__xludf.DUMMYFUNCTION("IF(
  AND(D344=""Saída"", J344=""Sangria""),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197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94" t="str">
        <f>IFERROR(__xludf.DUMMYFUNCTION("ifna(VALUE(REGEXEXTRACT(E344,""[0-9.]+[,]+[0-9]+"")))"),"")</f>
        <v/>
      </c>
      <c r="O344" s="194"/>
      <c r="P344" s="194"/>
      <c r="Q344" s="194"/>
      <c r="R344" s="194"/>
      <c r="S344" s="194"/>
      <c r="T344" s="194"/>
      <c r="U344" s="194"/>
      <c r="V344" s="194"/>
      <c r="W344" s="194"/>
    </row>
    <row r="345" ht="14.25" customHeight="1">
      <c r="A345" s="31"/>
      <c r="B345" s="268"/>
      <c r="C345" s="269"/>
      <c r="D345" s="270"/>
      <c r="E345" s="271"/>
      <c r="F345" s="272"/>
      <c r="G345" s="273"/>
      <c r="H345" s="204"/>
      <c r="I345" s="204"/>
      <c r="J345" s="196"/>
      <c r="K345" s="196"/>
      <c r="L345" s="192" t="str">
        <f>IFERROR(__xludf.DUMMYFUNCTION("IF(
  AND(D345=""Saída"", J345=""Sangria""),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198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94" t="str">
        <f>IFERROR(__xludf.DUMMYFUNCTION("ifna(VALUE(REGEXEXTRACT(E345,""[0-9.]+[,]+[0-9]+"")))"),"")</f>
        <v/>
      </c>
      <c r="O345" s="194"/>
      <c r="P345" s="194"/>
      <c r="Q345" s="194"/>
      <c r="R345" s="194"/>
      <c r="S345" s="194"/>
      <c r="T345" s="194"/>
      <c r="U345" s="194"/>
      <c r="V345" s="194"/>
      <c r="W345" s="194"/>
    </row>
    <row r="346" ht="14.25" customHeight="1">
      <c r="A346" s="31"/>
      <c r="B346" s="268"/>
      <c r="C346" s="269"/>
      <c r="D346" s="270"/>
      <c r="E346" s="271"/>
      <c r="F346" s="272"/>
      <c r="G346" s="273"/>
      <c r="H346" s="204"/>
      <c r="I346" s="204"/>
      <c r="J346" s="196"/>
      <c r="K346" s="196"/>
      <c r="L346" s="192" t="str">
        <f>IFERROR(__xludf.DUMMYFUNCTION("IF(
  AND(D346=""Saída"", J346=""Sangria""),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197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94" t="str">
        <f>IFERROR(__xludf.DUMMYFUNCTION("ifna(VALUE(REGEXEXTRACT(E346,""[0-9.]+[,]+[0-9]+"")))"),"")</f>
        <v/>
      </c>
      <c r="O346" s="194"/>
      <c r="P346" s="194"/>
      <c r="Q346" s="194"/>
      <c r="R346" s="194"/>
      <c r="S346" s="194"/>
      <c r="T346" s="194"/>
      <c r="U346" s="194"/>
      <c r="V346" s="194"/>
      <c r="W346" s="194"/>
    </row>
    <row r="347" ht="14.25" customHeight="1">
      <c r="A347" s="31"/>
      <c r="B347" s="268"/>
      <c r="C347" s="269"/>
      <c r="D347" s="270"/>
      <c r="E347" s="271"/>
      <c r="F347" s="272"/>
      <c r="G347" s="273"/>
      <c r="H347" s="204"/>
      <c r="I347" s="204"/>
      <c r="J347" s="196"/>
      <c r="K347" s="202"/>
      <c r="L347" s="192" t="str">
        <f>IFERROR(__xludf.DUMMYFUNCTION("IF(
  AND(D347=""Saída"", J347=""Sangria""),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198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94" t="str">
        <f>IFERROR(__xludf.DUMMYFUNCTION("ifna(VALUE(REGEXEXTRACT(E347,""[0-9.]+[,]+[0-9]+"")))"),"")</f>
        <v/>
      </c>
      <c r="O347" s="194"/>
      <c r="P347" s="194"/>
      <c r="Q347" s="194"/>
      <c r="R347" s="194"/>
      <c r="S347" s="194"/>
      <c r="T347" s="194"/>
      <c r="U347" s="194"/>
      <c r="V347" s="194"/>
      <c r="W347" s="194"/>
    </row>
    <row r="348" ht="14.25" customHeight="1">
      <c r="A348" s="31"/>
      <c r="B348" s="268"/>
      <c r="C348" s="269"/>
      <c r="D348" s="270"/>
      <c r="E348" s="271"/>
      <c r="F348" s="272"/>
      <c r="G348" s="273"/>
      <c r="H348" s="204"/>
      <c r="I348" s="204"/>
      <c r="J348" s="196"/>
      <c r="K348" s="196"/>
      <c r="L348" s="192" t="str">
        <f>IFERROR(__xludf.DUMMYFUNCTION("IF(
  AND(D348=""Saída"", J348=""Sangria""),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197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94" t="str">
        <f>IFERROR(__xludf.DUMMYFUNCTION("ifna(VALUE(REGEXEXTRACT(E348,""[0-9.]+[,]+[0-9]+"")))"),"")</f>
        <v/>
      </c>
      <c r="O348" s="194"/>
      <c r="P348" s="194"/>
      <c r="Q348" s="194"/>
      <c r="R348" s="194"/>
      <c r="S348" s="194"/>
      <c r="T348" s="194"/>
      <c r="U348" s="194"/>
      <c r="V348" s="194"/>
      <c r="W348" s="194"/>
    </row>
    <row r="349" ht="14.25" customHeight="1">
      <c r="A349" s="31"/>
      <c r="B349" s="268"/>
      <c r="C349" s="269"/>
      <c r="D349" s="270"/>
      <c r="E349" s="275"/>
      <c r="F349" s="272"/>
      <c r="G349" s="273"/>
      <c r="H349" s="204"/>
      <c r="I349" s="204"/>
      <c r="J349" s="196"/>
      <c r="K349" s="196"/>
      <c r="L349" s="192" t="str">
        <f>IFERROR(__xludf.DUMMYFUNCTION("IF(
  AND(D349=""Saída"", J349=""Sangria""),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198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94" t="str">
        <f>IFERROR(__xludf.DUMMYFUNCTION("ifna(VALUE(REGEXEXTRACT(E349,""[0-9.]+[,]+[0-9]+"")))"),"")</f>
        <v/>
      </c>
      <c r="O349" s="194"/>
      <c r="P349" s="194"/>
      <c r="Q349" s="194"/>
      <c r="R349" s="194"/>
      <c r="S349" s="194"/>
      <c r="T349" s="194"/>
      <c r="U349" s="194"/>
      <c r="V349" s="194"/>
      <c r="W349" s="194"/>
    </row>
    <row r="350" ht="14.25" customHeight="1">
      <c r="A350" s="31"/>
      <c r="B350" s="268"/>
      <c r="C350" s="269"/>
      <c r="D350" s="270"/>
      <c r="E350" s="271"/>
      <c r="F350" s="272"/>
      <c r="G350" s="273"/>
      <c r="H350" s="204"/>
      <c r="I350" s="204"/>
      <c r="J350" s="196"/>
      <c r="K350" s="202"/>
      <c r="L350" s="192" t="str">
        <f>IFERROR(__xludf.DUMMYFUNCTION("IF(
  AND(D350=""Saída"", J350=""Sangria""),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197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94" t="str">
        <f>IFERROR(__xludf.DUMMYFUNCTION("ifna(VALUE(REGEXEXTRACT(E350,""[0-9.]+[,]+[0-9]+"")))"),"")</f>
        <v/>
      </c>
      <c r="O350" s="194"/>
      <c r="P350" s="194"/>
      <c r="Q350" s="194"/>
      <c r="R350" s="194"/>
      <c r="S350" s="194"/>
      <c r="T350" s="194"/>
      <c r="U350" s="194"/>
      <c r="V350" s="194"/>
      <c r="W350" s="194"/>
    </row>
    <row r="351" ht="14.25" customHeight="1">
      <c r="A351" s="31"/>
      <c r="B351" s="268"/>
      <c r="C351" s="269"/>
      <c r="D351" s="270"/>
      <c r="E351" s="271"/>
      <c r="F351" s="276"/>
      <c r="G351" s="273"/>
      <c r="H351" s="204"/>
      <c r="I351" s="204"/>
      <c r="J351" s="196"/>
      <c r="K351" s="202"/>
      <c r="L351" s="192" t="str">
        <f>IFERROR(__xludf.DUMMYFUNCTION("IF(
  AND(D351=""Saída"", J351=""Sangria""),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198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94" t="str">
        <f>IFERROR(__xludf.DUMMYFUNCTION("ifna(VALUE(REGEXEXTRACT(E351,""[0-9.]+[,]+[0-9]+"")))"),"")</f>
        <v/>
      </c>
      <c r="O351" s="194"/>
      <c r="P351" s="194"/>
      <c r="Q351" s="194"/>
      <c r="R351" s="194"/>
      <c r="S351" s="194"/>
      <c r="T351" s="194"/>
      <c r="U351" s="194"/>
      <c r="V351" s="194"/>
      <c r="W351" s="194"/>
    </row>
    <row r="352" ht="14.25" customHeight="1">
      <c r="A352" s="31"/>
      <c r="B352" s="268"/>
      <c r="C352" s="269"/>
      <c r="D352" s="270"/>
      <c r="E352" s="271"/>
      <c r="F352" s="272"/>
      <c r="G352" s="273"/>
      <c r="H352" s="204"/>
      <c r="I352" s="204"/>
      <c r="J352" s="196"/>
      <c r="K352" s="196"/>
      <c r="L352" s="192" t="str">
        <f>IFERROR(__xludf.DUMMYFUNCTION("IF(
  AND(D352=""Saída"", J352=""Sangria""),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197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94" t="str">
        <f>IFERROR(__xludf.DUMMYFUNCTION("ifna(VALUE(REGEXEXTRACT(E352,""[0-9.]+[,]+[0-9]+"")))"),"")</f>
        <v/>
      </c>
      <c r="O352" s="194"/>
      <c r="P352" s="194"/>
      <c r="Q352" s="194"/>
      <c r="R352" s="194"/>
      <c r="S352" s="194"/>
      <c r="T352" s="194"/>
      <c r="U352" s="194"/>
      <c r="V352" s="194"/>
      <c r="W352" s="194"/>
    </row>
    <row r="353" ht="14.25" customHeight="1">
      <c r="A353" s="31"/>
      <c r="B353" s="268"/>
      <c r="C353" s="269"/>
      <c r="D353" s="270"/>
      <c r="E353" s="271"/>
      <c r="F353" s="276"/>
      <c r="G353" s="273"/>
      <c r="H353" s="204"/>
      <c r="I353" s="204"/>
      <c r="J353" s="196"/>
      <c r="K353" s="196"/>
      <c r="L353" s="192" t="str">
        <f>IFERROR(__xludf.DUMMYFUNCTION("IF(
  AND(D353=""Saída"", J353=""Sangria""),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198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94" t="str">
        <f>IFERROR(__xludf.DUMMYFUNCTION("ifna(VALUE(REGEXEXTRACT(E353,""[0-9.]+[,]+[0-9]+"")))"),"")</f>
        <v/>
      </c>
      <c r="O353" s="194"/>
      <c r="P353" s="194"/>
      <c r="Q353" s="194"/>
      <c r="R353" s="194"/>
      <c r="S353" s="194"/>
      <c r="T353" s="194"/>
      <c r="U353" s="194"/>
      <c r="V353" s="194"/>
      <c r="W353" s="194"/>
    </row>
    <row r="354" ht="14.25" customHeight="1">
      <c r="A354" s="31"/>
      <c r="B354" s="268"/>
      <c r="C354" s="269"/>
      <c r="D354" s="270"/>
      <c r="E354" s="271"/>
      <c r="F354" s="272"/>
      <c r="G354" s="273"/>
      <c r="H354" s="204"/>
      <c r="I354" s="204"/>
      <c r="J354" s="196"/>
      <c r="K354" s="196"/>
      <c r="L354" s="192" t="str">
        <f>IFERROR(__xludf.DUMMYFUNCTION("IF(
  AND(D354=""Saída"", J354=""Sangria""),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197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94" t="str">
        <f>IFERROR(__xludf.DUMMYFUNCTION("ifna(VALUE(REGEXEXTRACT(E354,""[0-9.]+[,]+[0-9]+"")))"),"")</f>
        <v/>
      </c>
      <c r="O354" s="194"/>
      <c r="P354" s="194"/>
      <c r="Q354" s="194"/>
      <c r="R354" s="194"/>
      <c r="S354" s="194"/>
      <c r="T354" s="194"/>
      <c r="U354" s="194"/>
      <c r="V354" s="194"/>
      <c r="W354" s="194"/>
    </row>
    <row r="355" ht="14.25" customHeight="1">
      <c r="A355" s="31"/>
      <c r="B355" s="268"/>
      <c r="C355" s="269"/>
      <c r="D355" s="270"/>
      <c r="E355" s="271"/>
      <c r="F355" s="272"/>
      <c r="G355" s="273"/>
      <c r="H355" s="204"/>
      <c r="I355" s="204"/>
      <c r="J355" s="196"/>
      <c r="K355" s="196"/>
      <c r="L355" s="192" t="str">
        <f>IFERROR(__xludf.DUMMYFUNCTION("IF(
  AND(D355=""Saída"", J355=""Sangria""),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198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94" t="str">
        <f>IFERROR(__xludf.DUMMYFUNCTION("ifna(VALUE(REGEXEXTRACT(E355,""[0-9.]+[,]+[0-9]+"")))"),"")</f>
        <v/>
      </c>
      <c r="O355" s="194"/>
      <c r="P355" s="194"/>
      <c r="Q355" s="194"/>
      <c r="R355" s="194"/>
      <c r="S355" s="194"/>
      <c r="T355" s="194"/>
      <c r="U355" s="194"/>
      <c r="V355" s="194"/>
      <c r="W355" s="194"/>
    </row>
    <row r="356" ht="14.25" customHeight="1">
      <c r="A356" s="31"/>
      <c r="B356" s="268"/>
      <c r="C356" s="269"/>
      <c r="D356" s="270"/>
      <c r="E356" s="271"/>
      <c r="F356" s="272"/>
      <c r="G356" s="273"/>
      <c r="H356" s="204"/>
      <c r="I356" s="204"/>
      <c r="J356" s="196"/>
      <c r="K356" s="196"/>
      <c r="L356" s="192" t="str">
        <f>IFERROR(__xludf.DUMMYFUNCTION("IF(
  AND(D356=""Saída"", J356=""Sangria""),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197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94" t="str">
        <f>IFERROR(__xludf.DUMMYFUNCTION("ifna(VALUE(REGEXEXTRACT(E356,""[0-9.]+[,]+[0-9]+"")))"),"")</f>
        <v/>
      </c>
      <c r="O356" s="194"/>
      <c r="P356" s="194"/>
      <c r="Q356" s="194"/>
      <c r="R356" s="194"/>
      <c r="S356" s="194"/>
      <c r="T356" s="194"/>
      <c r="U356" s="194"/>
      <c r="V356" s="194"/>
      <c r="W356" s="194"/>
    </row>
    <row r="357" ht="14.25" customHeight="1">
      <c r="A357" s="31"/>
      <c r="B357" s="268"/>
      <c r="C357" s="269"/>
      <c r="D357" s="270"/>
      <c r="E357" s="275"/>
      <c r="F357" s="272"/>
      <c r="G357" s="273"/>
      <c r="H357" s="204"/>
      <c r="I357" s="204"/>
      <c r="J357" s="196"/>
      <c r="K357" s="196"/>
      <c r="L357" s="192" t="str">
        <f>IFERROR(__xludf.DUMMYFUNCTION("IF(
  AND(D357=""Saída"", J357=""Sangria""),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198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94" t="str">
        <f>IFERROR(__xludf.DUMMYFUNCTION("ifna(VALUE(REGEXEXTRACT(E357,""[0-9.]+[,]+[0-9]+"")))"),"")</f>
        <v/>
      </c>
      <c r="O357" s="194"/>
      <c r="P357" s="194"/>
      <c r="Q357" s="194"/>
      <c r="R357" s="194"/>
      <c r="S357" s="194"/>
      <c r="T357" s="194"/>
      <c r="U357" s="194"/>
      <c r="V357" s="194"/>
      <c r="W357" s="194"/>
    </row>
    <row r="358" ht="14.25" customHeight="1">
      <c r="A358" s="31"/>
      <c r="B358" s="268"/>
      <c r="C358" s="269"/>
      <c r="D358" s="270"/>
      <c r="E358" s="271"/>
      <c r="F358" s="272"/>
      <c r="G358" s="273"/>
      <c r="H358" s="204"/>
      <c r="I358" s="204"/>
      <c r="J358" s="196"/>
      <c r="K358" s="202"/>
      <c r="L358" s="192" t="str">
        <f>IFERROR(__xludf.DUMMYFUNCTION("IF(
  AND(D358=""Saída"", J358=""Sangria""),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197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94" t="str">
        <f>IFERROR(__xludf.DUMMYFUNCTION("ifna(VALUE(REGEXEXTRACT(E358,""[0-9.]+[,]+[0-9]+"")))"),"")</f>
        <v/>
      </c>
      <c r="O358" s="194"/>
      <c r="P358" s="194"/>
      <c r="Q358" s="194"/>
      <c r="R358" s="194"/>
      <c r="S358" s="194"/>
      <c r="T358" s="194"/>
      <c r="U358" s="194"/>
      <c r="V358" s="194"/>
      <c r="W358" s="194"/>
    </row>
    <row r="359" ht="14.25" customHeight="1">
      <c r="A359" s="31"/>
      <c r="B359" s="268"/>
      <c r="C359" s="269"/>
      <c r="D359" s="270"/>
      <c r="E359" s="271"/>
      <c r="F359" s="272"/>
      <c r="G359" s="273"/>
      <c r="H359" s="204"/>
      <c r="I359" s="204"/>
      <c r="J359" s="196"/>
      <c r="K359" s="202"/>
      <c r="L359" s="192" t="str">
        <f>IFERROR(__xludf.DUMMYFUNCTION("IF(
  AND(D359=""Saída"", J359=""Sangria""),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198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94" t="str">
        <f>IFERROR(__xludf.DUMMYFUNCTION("ifna(VALUE(REGEXEXTRACT(E359,""[0-9.]+[,]+[0-9]+"")))"),"")</f>
        <v/>
      </c>
      <c r="O359" s="194"/>
      <c r="P359" s="194"/>
      <c r="Q359" s="194"/>
      <c r="R359" s="194"/>
      <c r="S359" s="194"/>
      <c r="T359" s="194"/>
      <c r="U359" s="194"/>
      <c r="V359" s="194"/>
      <c r="W359" s="194"/>
    </row>
    <row r="360" ht="14.25" customHeight="1">
      <c r="A360" s="31"/>
      <c r="B360" s="268"/>
      <c r="C360" s="269"/>
      <c r="D360" s="270"/>
      <c r="E360" s="271"/>
      <c r="F360" s="272"/>
      <c r="G360" s="273"/>
      <c r="H360" s="204"/>
      <c r="I360" s="204"/>
      <c r="J360" s="196"/>
      <c r="K360" s="196"/>
      <c r="L360" s="192" t="str">
        <f>IFERROR(__xludf.DUMMYFUNCTION("IF(
  AND(D360=""Saída"", J360=""Sangria""),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197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94" t="str">
        <f>IFERROR(__xludf.DUMMYFUNCTION("ifna(VALUE(REGEXEXTRACT(E360,""[0-9.]+[,]+[0-9]+"")))"),"")</f>
        <v/>
      </c>
      <c r="O360" s="194"/>
      <c r="P360" s="194"/>
      <c r="Q360" s="194"/>
      <c r="R360" s="194"/>
      <c r="S360" s="194"/>
      <c r="T360" s="194"/>
      <c r="U360" s="194"/>
      <c r="V360" s="194"/>
      <c r="W360" s="194"/>
    </row>
    <row r="361" ht="14.25" customHeight="1">
      <c r="A361" s="31"/>
      <c r="B361" s="268"/>
      <c r="C361" s="269"/>
      <c r="D361" s="270"/>
      <c r="E361" s="271"/>
      <c r="F361" s="272"/>
      <c r="G361" s="273"/>
      <c r="H361" s="204"/>
      <c r="I361" s="204"/>
      <c r="J361" s="196"/>
      <c r="K361" s="196"/>
      <c r="L361" s="192" t="str">
        <f>IFERROR(__xludf.DUMMYFUNCTION("IF(
  AND(D361=""Saída"", J361=""Sangria""),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198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94" t="str">
        <f>IFERROR(__xludf.DUMMYFUNCTION("ifna(VALUE(REGEXEXTRACT(E361,""[0-9.]+[,]+[0-9]+"")))"),"")</f>
        <v/>
      </c>
      <c r="O361" s="194"/>
      <c r="P361" s="194"/>
      <c r="Q361" s="194"/>
      <c r="R361" s="194"/>
      <c r="S361" s="194"/>
      <c r="T361" s="194"/>
      <c r="U361" s="194"/>
      <c r="V361" s="194"/>
      <c r="W361" s="194"/>
    </row>
    <row r="362" ht="14.25" customHeight="1">
      <c r="A362" s="31"/>
      <c r="B362" s="268"/>
      <c r="C362" s="269"/>
      <c r="D362" s="270"/>
      <c r="E362" s="271"/>
      <c r="F362" s="272"/>
      <c r="G362" s="273"/>
      <c r="H362" s="204"/>
      <c r="I362" s="204"/>
      <c r="J362" s="196"/>
      <c r="K362" s="196"/>
      <c r="L362" s="192" t="str">
        <f>IFERROR(__xludf.DUMMYFUNCTION("IF(
  AND(D362=""Saída"", J362=""Sangria""),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197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94" t="str">
        <f>IFERROR(__xludf.DUMMYFUNCTION("ifna(VALUE(REGEXEXTRACT(E362,""[0-9.]+[,]+[0-9]+"")))"),"")</f>
        <v/>
      </c>
      <c r="O362" s="194"/>
      <c r="P362" s="194"/>
      <c r="Q362" s="194"/>
      <c r="R362" s="194"/>
      <c r="S362" s="194"/>
      <c r="T362" s="194"/>
      <c r="U362" s="194"/>
      <c r="V362" s="194"/>
      <c r="W362" s="194"/>
    </row>
    <row r="363" ht="14.25" customHeight="1">
      <c r="A363" s="31"/>
      <c r="B363" s="268"/>
      <c r="C363" s="269"/>
      <c r="D363" s="270"/>
      <c r="E363" s="271"/>
      <c r="F363" s="276"/>
      <c r="G363" s="273"/>
      <c r="H363" s="204"/>
      <c r="I363" s="204"/>
      <c r="J363" s="196"/>
      <c r="K363" s="196"/>
      <c r="L363" s="192" t="str">
        <f>IFERROR(__xludf.DUMMYFUNCTION("IF(
  AND(D363=""Saída"", J363=""Sangria""),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198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94" t="str">
        <f>IFERROR(__xludf.DUMMYFUNCTION("ifna(VALUE(REGEXEXTRACT(E363,""[0-9.]+[,]+[0-9]+"")))"),"")</f>
        <v/>
      </c>
      <c r="O363" s="194"/>
      <c r="P363" s="194"/>
      <c r="Q363" s="194"/>
      <c r="R363" s="194"/>
      <c r="S363" s="194"/>
      <c r="T363" s="194"/>
      <c r="U363" s="194"/>
      <c r="V363" s="194"/>
      <c r="W363" s="194"/>
    </row>
    <row r="364" ht="14.25" customHeight="1">
      <c r="A364" s="31"/>
      <c r="B364" s="268"/>
      <c r="C364" s="269"/>
      <c r="D364" s="270"/>
      <c r="E364" s="271"/>
      <c r="F364" s="272"/>
      <c r="G364" s="273"/>
      <c r="H364" s="204"/>
      <c r="I364" s="204"/>
      <c r="J364" s="196"/>
      <c r="K364" s="196"/>
      <c r="L364" s="192" t="str">
        <f>IFERROR(__xludf.DUMMYFUNCTION("IF(
  AND(D364=""Saída"", J364=""Sangria""),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197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94" t="str">
        <f>IFERROR(__xludf.DUMMYFUNCTION("ifna(VALUE(REGEXEXTRACT(E364,""[0-9.]+[,]+[0-9]+"")))"),"")</f>
        <v/>
      </c>
      <c r="O364" s="194"/>
      <c r="P364" s="194"/>
      <c r="Q364" s="194"/>
      <c r="R364" s="194"/>
      <c r="S364" s="194"/>
      <c r="T364" s="194"/>
      <c r="U364" s="194"/>
      <c r="V364" s="194"/>
      <c r="W364" s="194"/>
    </row>
    <row r="365" ht="14.25" customHeight="1">
      <c r="A365" s="31"/>
      <c r="B365" s="268"/>
      <c r="C365" s="269"/>
      <c r="D365" s="270"/>
      <c r="E365" s="271"/>
      <c r="F365" s="272"/>
      <c r="G365" s="273"/>
      <c r="H365" s="204"/>
      <c r="I365" s="204"/>
      <c r="J365" s="196"/>
      <c r="K365" s="196"/>
      <c r="L365" s="192" t="str">
        <f>IFERROR(__xludf.DUMMYFUNCTION("IF(
  AND(D365=""Saída"", J365=""Sangria""),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198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94" t="str">
        <f>IFERROR(__xludf.DUMMYFUNCTION("ifna(VALUE(REGEXEXTRACT(E365,""[0-9.]+[,]+[0-9]+"")))"),"")</f>
        <v/>
      </c>
      <c r="O365" s="194"/>
      <c r="P365" s="194"/>
      <c r="Q365" s="194"/>
      <c r="R365" s="194"/>
      <c r="S365" s="194"/>
      <c r="T365" s="194"/>
      <c r="U365" s="194"/>
      <c r="V365" s="194"/>
      <c r="W365" s="194"/>
    </row>
    <row r="366" ht="14.25" customHeight="1">
      <c r="A366" s="31"/>
      <c r="B366" s="268"/>
      <c r="C366" s="269"/>
      <c r="D366" s="270"/>
      <c r="E366" s="271"/>
      <c r="F366" s="272"/>
      <c r="G366" s="273"/>
      <c r="H366" s="204"/>
      <c r="I366" s="204"/>
      <c r="J366" s="196"/>
      <c r="K366" s="196"/>
      <c r="L366" s="192" t="str">
        <f>IFERROR(__xludf.DUMMYFUNCTION("IF(
  AND(D366=""Saída"", J366=""Sangria""),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197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94" t="str">
        <f>IFERROR(__xludf.DUMMYFUNCTION("ifna(VALUE(REGEXEXTRACT(E366,""[0-9.]+[,]+[0-9]+"")))"),"")</f>
        <v/>
      </c>
      <c r="O366" s="194"/>
      <c r="P366" s="194"/>
      <c r="Q366" s="194"/>
      <c r="R366" s="194"/>
      <c r="S366" s="194"/>
      <c r="T366" s="194"/>
      <c r="U366" s="194"/>
      <c r="V366" s="194"/>
      <c r="W366" s="194"/>
    </row>
    <row r="367" ht="14.25" customHeight="1">
      <c r="A367" s="31"/>
      <c r="B367" s="268"/>
      <c r="C367" s="269"/>
      <c r="D367" s="270"/>
      <c r="E367" s="271"/>
      <c r="F367" s="272"/>
      <c r="G367" s="273"/>
      <c r="H367" s="204"/>
      <c r="I367" s="204"/>
      <c r="J367" s="196"/>
      <c r="K367" s="202"/>
      <c r="L367" s="192" t="str">
        <f>IFERROR(__xludf.DUMMYFUNCTION("IF(
  AND(D367=""Saída"", J367=""Sangria""),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198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94" t="str">
        <f>IFERROR(__xludf.DUMMYFUNCTION("ifna(VALUE(REGEXEXTRACT(E367,""[0-9.]+[,]+[0-9]+"")))"),"")</f>
        <v/>
      </c>
      <c r="O367" s="194"/>
      <c r="P367" s="194"/>
      <c r="Q367" s="194"/>
      <c r="R367" s="194"/>
      <c r="S367" s="194"/>
      <c r="T367" s="194"/>
      <c r="U367" s="194"/>
      <c r="V367" s="194"/>
      <c r="W367" s="194"/>
    </row>
    <row r="368" ht="14.25" customHeight="1">
      <c r="A368" s="31"/>
      <c r="B368" s="268"/>
      <c r="C368" s="269"/>
      <c r="D368" s="270"/>
      <c r="E368" s="271"/>
      <c r="F368" s="272"/>
      <c r="G368" s="273"/>
      <c r="H368" s="204"/>
      <c r="I368" s="204"/>
      <c r="J368" s="196"/>
      <c r="K368" s="202"/>
      <c r="L368" s="192" t="str">
        <f>IFERROR(__xludf.DUMMYFUNCTION("IF(
  AND(D368=""Saída"", J368=""Sangria""),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197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94" t="str">
        <f>IFERROR(__xludf.DUMMYFUNCTION("ifna(VALUE(REGEXEXTRACT(E368,""[0-9.]+[,]+[0-9]+"")))"),"")</f>
        <v/>
      </c>
      <c r="O368" s="194"/>
      <c r="P368" s="194"/>
      <c r="Q368" s="194"/>
      <c r="R368" s="194"/>
      <c r="S368" s="194"/>
      <c r="T368" s="194"/>
      <c r="U368" s="194"/>
      <c r="V368" s="194"/>
      <c r="W368" s="194"/>
    </row>
    <row r="369" ht="14.25" customHeight="1">
      <c r="A369" s="31"/>
      <c r="B369" s="268"/>
      <c r="C369" s="269"/>
      <c r="D369" s="270"/>
      <c r="E369" s="271"/>
      <c r="F369" s="276"/>
      <c r="G369" s="273"/>
      <c r="H369" s="204"/>
      <c r="I369" s="204"/>
      <c r="J369" s="196"/>
      <c r="K369" s="196"/>
      <c r="L369" s="192" t="str">
        <f>IFERROR(__xludf.DUMMYFUNCTION("IF(
  AND(D369=""Saída"", J369=""Sangria""),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198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94" t="str">
        <f>IFERROR(__xludf.DUMMYFUNCTION("ifna(VALUE(REGEXEXTRACT(E369,""[0-9.]+[,]+[0-9]+"")))"),"")</f>
        <v/>
      </c>
      <c r="O369" s="194"/>
      <c r="P369" s="194"/>
      <c r="Q369" s="194"/>
      <c r="R369" s="194"/>
      <c r="S369" s="194"/>
      <c r="T369" s="194"/>
      <c r="U369" s="194"/>
      <c r="V369" s="194"/>
      <c r="W369" s="194"/>
    </row>
    <row r="370" ht="14.25" customHeight="1">
      <c r="A370" s="31"/>
      <c r="B370" s="268"/>
      <c r="C370" s="269"/>
      <c r="D370" s="270"/>
      <c r="E370" s="271"/>
      <c r="F370" s="272"/>
      <c r="G370" s="273"/>
      <c r="H370" s="204"/>
      <c r="I370" s="204"/>
      <c r="J370" s="196"/>
      <c r="K370" s="196"/>
      <c r="L370" s="192" t="str">
        <f>IFERROR(__xludf.DUMMYFUNCTION("IF(
  AND(D370=""Saída"", J370=""Sangria""),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197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94" t="str">
        <f>IFERROR(__xludf.DUMMYFUNCTION("ifna(VALUE(REGEXEXTRACT(E370,""[0-9.]+[,]+[0-9]+"")))"),"")</f>
        <v/>
      </c>
      <c r="O370" s="194"/>
      <c r="P370" s="194"/>
      <c r="Q370" s="194"/>
      <c r="R370" s="194"/>
      <c r="S370" s="194"/>
      <c r="T370" s="194"/>
      <c r="U370" s="194"/>
      <c r="V370" s="194"/>
      <c r="W370" s="194"/>
    </row>
    <row r="371" ht="14.25" customHeight="1">
      <c r="A371" s="31"/>
      <c r="B371" s="268"/>
      <c r="C371" s="269"/>
      <c r="D371" s="270"/>
      <c r="E371" s="271"/>
      <c r="F371" s="272"/>
      <c r="G371" s="273"/>
      <c r="H371" s="204"/>
      <c r="I371" s="204"/>
      <c r="J371" s="196"/>
      <c r="K371" s="196"/>
      <c r="L371" s="192" t="str">
        <f>IFERROR(__xludf.DUMMYFUNCTION("IF(
  AND(D371=""Saída"", J371=""Sangria""),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198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94" t="str">
        <f>IFERROR(__xludf.DUMMYFUNCTION("ifna(VALUE(REGEXEXTRACT(E371,""[0-9.]+[,]+[0-9]+"")))"),"")</f>
        <v/>
      </c>
      <c r="O371" s="194"/>
      <c r="P371" s="194"/>
      <c r="Q371" s="194"/>
      <c r="R371" s="194"/>
      <c r="S371" s="194"/>
      <c r="T371" s="194"/>
      <c r="U371" s="194"/>
      <c r="V371" s="194"/>
      <c r="W371" s="194"/>
    </row>
    <row r="372" ht="14.25" customHeight="1">
      <c r="A372" s="31"/>
      <c r="B372" s="268"/>
      <c r="C372" s="269"/>
      <c r="D372" s="270"/>
      <c r="E372" s="271"/>
      <c r="F372" s="276"/>
      <c r="G372" s="273"/>
      <c r="H372" s="204"/>
      <c r="I372" s="204"/>
      <c r="J372" s="196"/>
      <c r="K372" s="196"/>
      <c r="L372" s="192" t="str">
        <f>IFERROR(__xludf.DUMMYFUNCTION("IF(
  AND(D372=""Saída"", J372=""Sangria""),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197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94" t="str">
        <f>IFERROR(__xludf.DUMMYFUNCTION("ifna(VALUE(REGEXEXTRACT(E372,""[0-9.]+[,]+[0-9]+"")))"),"")</f>
        <v/>
      </c>
      <c r="O372" s="194"/>
      <c r="P372" s="194"/>
      <c r="Q372" s="194"/>
      <c r="R372" s="194"/>
      <c r="S372" s="194"/>
      <c r="T372" s="194"/>
      <c r="U372" s="194"/>
      <c r="V372" s="194"/>
      <c r="W372" s="194"/>
    </row>
    <row r="373" ht="14.25" customHeight="1">
      <c r="A373" s="31"/>
      <c r="B373" s="268"/>
      <c r="C373" s="269"/>
      <c r="D373" s="270"/>
      <c r="E373" s="271"/>
      <c r="F373" s="272"/>
      <c r="G373" s="273"/>
      <c r="H373" s="204"/>
      <c r="I373" s="204"/>
      <c r="J373" s="196"/>
      <c r="K373" s="196"/>
      <c r="L373" s="192" t="str">
        <f>IFERROR(__xludf.DUMMYFUNCTION("IF(
  AND(D373=""Saída"", J373=""Sangria""),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198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94" t="str">
        <f>IFERROR(__xludf.DUMMYFUNCTION("ifna(VALUE(REGEXEXTRACT(E373,""[0-9.]+[,]+[0-9]+"")))"),"")</f>
        <v/>
      </c>
      <c r="O373" s="194"/>
      <c r="P373" s="194"/>
      <c r="Q373" s="194"/>
      <c r="R373" s="194"/>
      <c r="S373" s="194"/>
      <c r="T373" s="194"/>
      <c r="U373" s="194"/>
      <c r="V373" s="194"/>
      <c r="W373" s="194"/>
    </row>
    <row r="374" ht="14.25" customHeight="1">
      <c r="A374" s="31"/>
      <c r="B374" s="268"/>
      <c r="C374" s="212"/>
      <c r="D374" s="270"/>
      <c r="E374" s="271"/>
      <c r="F374" s="272"/>
      <c r="G374" s="273"/>
      <c r="H374" s="204"/>
      <c r="I374" s="204"/>
      <c r="J374" s="196"/>
      <c r="K374" s="202"/>
      <c r="L374" s="192" t="str">
        <f>IFERROR(__xludf.DUMMYFUNCTION("IF(
  AND(D374=""Saída"", J374=""Sangria""),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197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94" t="str">
        <f>IFERROR(__xludf.DUMMYFUNCTION("ifna(VALUE(REGEXEXTRACT(E374,""[0-9.]+[,]+[0-9]+"")))"),"")</f>
        <v/>
      </c>
      <c r="O374" s="194"/>
      <c r="P374" s="194"/>
      <c r="Q374" s="194"/>
      <c r="R374" s="194"/>
      <c r="S374" s="194"/>
      <c r="T374" s="194"/>
      <c r="U374" s="194"/>
      <c r="V374" s="194"/>
      <c r="W374" s="194"/>
    </row>
    <row r="375" ht="14.25" customHeight="1">
      <c r="A375" s="31"/>
      <c r="B375" s="268"/>
      <c r="C375" s="212"/>
      <c r="D375" s="270"/>
      <c r="E375" s="271"/>
      <c r="F375" s="272"/>
      <c r="G375" s="284"/>
      <c r="H375" s="204"/>
      <c r="I375" s="204"/>
      <c r="J375" s="196"/>
      <c r="K375" s="196"/>
      <c r="L375" s="192" t="str">
        <f>IFERROR(__xludf.DUMMYFUNCTION("IF(
  AND(D375=""Saída"", J375=""Sangria""),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198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94" t="str">
        <f>IFERROR(__xludf.DUMMYFUNCTION("ifna(VALUE(REGEXEXTRACT(E375,""[0-9.]+[,]+[0-9]+"")))"),"")</f>
        <v/>
      </c>
      <c r="O375" s="194"/>
      <c r="P375" s="194"/>
      <c r="Q375" s="194"/>
      <c r="R375" s="194"/>
      <c r="S375" s="194"/>
      <c r="T375" s="194"/>
      <c r="U375" s="194"/>
      <c r="V375" s="194"/>
      <c r="W375" s="194"/>
    </row>
    <row r="376" ht="14.25" customHeight="1">
      <c r="A376" s="31"/>
      <c r="B376" s="268"/>
      <c r="C376" s="269"/>
      <c r="D376" s="270"/>
      <c r="E376" s="271"/>
      <c r="F376" s="272"/>
      <c r="G376" s="273"/>
      <c r="H376" s="204"/>
      <c r="I376" s="204"/>
      <c r="J376" s="196"/>
      <c r="K376" s="196"/>
      <c r="L376" s="192" t="str">
        <f>IFERROR(__xludf.DUMMYFUNCTION("IF(
  AND(D376=""Saída"", J376=""Sangria""),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197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94" t="str">
        <f>IFERROR(__xludf.DUMMYFUNCTION("ifna(VALUE(REGEXEXTRACT(E376,""[0-9.]+[,]+[0-9]+"")))"),"")</f>
        <v/>
      </c>
      <c r="O376" s="194"/>
      <c r="P376" s="194"/>
      <c r="Q376" s="194"/>
      <c r="R376" s="194"/>
      <c r="S376" s="194"/>
      <c r="T376" s="194"/>
      <c r="U376" s="194"/>
      <c r="V376" s="194"/>
      <c r="W376" s="194"/>
    </row>
    <row r="377" ht="14.25" customHeight="1">
      <c r="A377" s="31"/>
      <c r="B377" s="268"/>
      <c r="C377" s="269"/>
      <c r="D377" s="270"/>
      <c r="E377" s="271"/>
      <c r="F377" s="272"/>
      <c r="G377" s="273"/>
      <c r="H377" s="204"/>
      <c r="I377" s="204"/>
      <c r="J377" s="212"/>
      <c r="K377" s="196"/>
      <c r="L377" s="192" t="str">
        <f>IFERROR(__xludf.DUMMYFUNCTION("IF(
  AND(D377=""Saída"", J377=""Sangria""),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198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94" t="str">
        <f>IFERROR(__xludf.DUMMYFUNCTION("ifna(VALUE(REGEXEXTRACT(E377,""[0-9.]+[,]+[0-9]+"")))"),"")</f>
        <v/>
      </c>
      <c r="O377" s="194"/>
      <c r="P377" s="194"/>
      <c r="Q377" s="194"/>
      <c r="R377" s="194"/>
      <c r="S377" s="194"/>
      <c r="T377" s="194"/>
      <c r="U377" s="194"/>
      <c r="V377" s="194"/>
      <c r="W377" s="194"/>
    </row>
    <row r="378" ht="14.25" customHeight="1">
      <c r="A378" s="31"/>
      <c r="B378" s="268"/>
      <c r="C378" s="269"/>
      <c r="D378" s="270"/>
      <c r="E378" s="271"/>
      <c r="F378" s="272"/>
      <c r="G378" s="273"/>
      <c r="H378" s="204"/>
      <c r="I378" s="204"/>
      <c r="J378" s="196"/>
      <c r="K378" s="202"/>
      <c r="L378" s="192" t="str">
        <f>IFERROR(__xludf.DUMMYFUNCTION("IF(
  AND(D378=""Saída"", J378=""Sangria""),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197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94" t="str">
        <f>IFERROR(__xludf.DUMMYFUNCTION("ifna(VALUE(REGEXEXTRACT(E378,""[0-9.]+[,]+[0-9]+"")))"),"")</f>
        <v/>
      </c>
      <c r="O378" s="194"/>
      <c r="P378" s="194"/>
      <c r="Q378" s="194"/>
      <c r="R378" s="194"/>
      <c r="S378" s="194"/>
      <c r="T378" s="194"/>
      <c r="U378" s="194"/>
      <c r="V378" s="194"/>
      <c r="W378" s="194"/>
    </row>
    <row r="379" ht="14.25" customHeight="1">
      <c r="A379" s="31"/>
      <c r="B379" s="268"/>
      <c r="C379" s="269"/>
      <c r="D379" s="270"/>
      <c r="E379" s="271"/>
      <c r="F379" s="272"/>
      <c r="G379" s="273"/>
      <c r="H379" s="204"/>
      <c r="I379" s="204"/>
      <c r="J379" s="196"/>
      <c r="K379" s="202"/>
      <c r="L379" s="192" t="str">
        <f>IFERROR(__xludf.DUMMYFUNCTION("IF(
  AND(D379=""Saída"", J379=""Sangria""),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198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94" t="str">
        <f>IFERROR(__xludf.DUMMYFUNCTION("ifna(VALUE(REGEXEXTRACT(E379,""[0-9.]+[,]+[0-9]+"")))"),"")</f>
        <v/>
      </c>
      <c r="O379" s="194"/>
      <c r="P379" s="194"/>
      <c r="Q379" s="194"/>
      <c r="R379" s="194"/>
      <c r="S379" s="194"/>
      <c r="T379" s="194"/>
      <c r="U379" s="194"/>
      <c r="V379" s="194"/>
      <c r="W379" s="194"/>
    </row>
    <row r="380" ht="14.25" customHeight="1">
      <c r="A380" s="31"/>
      <c r="B380" s="285"/>
      <c r="C380" s="212"/>
      <c r="D380" s="270"/>
      <c r="E380" s="271"/>
      <c r="F380" s="272"/>
      <c r="G380" s="273"/>
      <c r="H380" s="204"/>
      <c r="I380" s="204"/>
      <c r="J380" s="196"/>
      <c r="K380" s="196"/>
      <c r="L380" s="192" t="str">
        <f>IFERROR(__xludf.DUMMYFUNCTION("IF(
  AND(D380=""Saída"", J380=""Sangria""),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197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94" t="str">
        <f>IFERROR(__xludf.DUMMYFUNCTION("ifna(VALUE(REGEXEXTRACT(E380,""[0-9.]+[,]+[0-9]+"")))"),"")</f>
        <v/>
      </c>
      <c r="O380" s="194"/>
      <c r="P380" s="194"/>
      <c r="Q380" s="194"/>
      <c r="R380" s="194"/>
      <c r="S380" s="194"/>
      <c r="T380" s="194"/>
      <c r="U380" s="194"/>
      <c r="V380" s="194"/>
      <c r="W380" s="194"/>
    </row>
    <row r="381" ht="14.25" customHeight="1">
      <c r="A381" s="31"/>
      <c r="B381" s="268"/>
      <c r="C381" s="212"/>
      <c r="D381" s="270"/>
      <c r="E381" s="271"/>
      <c r="F381" s="272"/>
      <c r="G381" s="273"/>
      <c r="H381" s="204"/>
      <c r="I381" s="204"/>
      <c r="J381" s="196"/>
      <c r="K381" s="202"/>
      <c r="L381" s="192" t="str">
        <f>IFERROR(__xludf.DUMMYFUNCTION("IF(
  AND(D381=""Saída"", J381=""Sangria""),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198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94" t="str">
        <f>IFERROR(__xludf.DUMMYFUNCTION("ifna(VALUE(REGEXEXTRACT(E381,""[0-9.]+[,]+[0-9]+"")))"),"")</f>
        <v/>
      </c>
      <c r="O381" s="194"/>
      <c r="P381" s="194"/>
      <c r="Q381" s="194"/>
      <c r="R381" s="194"/>
      <c r="S381" s="194"/>
      <c r="T381" s="194"/>
      <c r="U381" s="194"/>
      <c r="V381" s="194"/>
      <c r="W381" s="194"/>
    </row>
    <row r="382" ht="14.25" customHeight="1">
      <c r="A382" s="31"/>
      <c r="B382" s="268"/>
      <c r="C382" s="269"/>
      <c r="D382" s="270"/>
      <c r="E382" s="271"/>
      <c r="F382" s="276"/>
      <c r="G382" s="273"/>
      <c r="H382" s="204"/>
      <c r="I382" s="204"/>
      <c r="J382" s="196"/>
      <c r="K382" s="202"/>
      <c r="L382" s="192" t="str">
        <f>IFERROR(__xludf.DUMMYFUNCTION("IF(
  AND(D382=""Saída"", J382=""Sangria""),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197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94" t="str">
        <f>IFERROR(__xludf.DUMMYFUNCTION("ifna(VALUE(REGEXEXTRACT(E382,""[0-9.]+[,]+[0-9]+"")))"),"")</f>
        <v/>
      </c>
      <c r="O382" s="194"/>
      <c r="P382" s="194"/>
      <c r="Q382" s="194"/>
      <c r="R382" s="194"/>
      <c r="S382" s="194"/>
      <c r="T382" s="194"/>
      <c r="U382" s="194"/>
      <c r="V382" s="194"/>
      <c r="W382" s="194"/>
    </row>
    <row r="383" ht="14.25" customHeight="1">
      <c r="A383" s="31"/>
      <c r="B383" s="268"/>
      <c r="C383" s="212"/>
      <c r="D383" s="270"/>
      <c r="E383" s="271"/>
      <c r="F383" s="272"/>
      <c r="G383" s="273"/>
      <c r="H383" s="204"/>
      <c r="I383" s="204"/>
      <c r="J383" s="196"/>
      <c r="K383" s="196"/>
      <c r="L383" s="192" t="str">
        <f>IFERROR(__xludf.DUMMYFUNCTION("IF(
  AND(D383=""Saída"", J383=""Sangria""),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198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94" t="str">
        <f>IFERROR(__xludf.DUMMYFUNCTION("ifna(VALUE(REGEXEXTRACT(E383,""[0-9.]+[,]+[0-9]+"")))"),"")</f>
        <v/>
      </c>
      <c r="O383" s="194"/>
      <c r="P383" s="194"/>
      <c r="Q383" s="194"/>
      <c r="R383" s="194"/>
      <c r="S383" s="194"/>
      <c r="T383" s="194"/>
      <c r="U383" s="194"/>
      <c r="V383" s="194"/>
      <c r="W383" s="194"/>
    </row>
    <row r="384" ht="14.25" customHeight="1">
      <c r="A384" s="31"/>
      <c r="B384" s="268"/>
      <c r="C384" s="269"/>
      <c r="D384" s="270"/>
      <c r="E384" s="271"/>
      <c r="F384" s="276"/>
      <c r="G384" s="273"/>
      <c r="H384" s="204"/>
      <c r="I384" s="204"/>
      <c r="J384" s="196"/>
      <c r="K384" s="196"/>
      <c r="L384" s="192" t="str">
        <f>IFERROR(__xludf.DUMMYFUNCTION("IF(
  AND(D384=""Saída"", J384=""Sangria""),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197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94" t="str">
        <f>IFERROR(__xludf.DUMMYFUNCTION("ifna(VALUE(REGEXEXTRACT(E384,""[0-9.]+[,]+[0-9]+"")))"),"")</f>
        <v/>
      </c>
      <c r="O384" s="194"/>
      <c r="P384" s="194"/>
      <c r="Q384" s="194"/>
      <c r="R384" s="194"/>
      <c r="S384" s="194"/>
      <c r="T384" s="194"/>
      <c r="U384" s="194"/>
      <c r="V384" s="194"/>
      <c r="W384" s="194"/>
    </row>
    <row r="385" ht="14.25" customHeight="1">
      <c r="A385" s="31"/>
      <c r="B385" s="268"/>
      <c r="C385" s="269"/>
      <c r="D385" s="270"/>
      <c r="E385" s="271"/>
      <c r="F385" s="276"/>
      <c r="G385" s="273"/>
      <c r="H385" s="204"/>
      <c r="I385" s="204"/>
      <c r="J385" s="196"/>
      <c r="K385" s="202"/>
      <c r="L385" s="192" t="str">
        <f>IFERROR(__xludf.DUMMYFUNCTION("IF(
  AND(D385=""Saída"", J385=""Sangria""),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198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94" t="str">
        <f>IFERROR(__xludf.DUMMYFUNCTION("ifna(VALUE(REGEXEXTRACT(E385,""[0-9.]+[,]+[0-9]+"")))"),"")</f>
        <v/>
      </c>
      <c r="O385" s="194"/>
      <c r="P385" s="194"/>
      <c r="Q385" s="194"/>
      <c r="R385" s="194"/>
      <c r="S385" s="194"/>
      <c r="T385" s="194"/>
      <c r="U385" s="194"/>
      <c r="V385" s="194"/>
      <c r="W385" s="194"/>
    </row>
    <row r="386" ht="14.25" customHeight="1">
      <c r="A386" s="31"/>
      <c r="B386" s="268"/>
      <c r="C386" s="269"/>
      <c r="D386" s="270"/>
      <c r="E386" s="271"/>
      <c r="F386" s="276"/>
      <c r="G386" s="273"/>
      <c r="H386" s="204"/>
      <c r="I386" s="204"/>
      <c r="J386" s="196"/>
      <c r="K386" s="202"/>
      <c r="L386" s="192" t="str">
        <f>IFERROR(__xludf.DUMMYFUNCTION("IF(
  AND(D386=""Saída"", J386=""Sangria""),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197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94" t="str">
        <f>IFERROR(__xludf.DUMMYFUNCTION("ifna(VALUE(REGEXEXTRACT(E386,""[0-9.]+[,]+[0-9]+"")))"),"")</f>
        <v/>
      </c>
      <c r="O386" s="194"/>
      <c r="P386" s="194"/>
      <c r="Q386" s="194"/>
      <c r="R386" s="194"/>
      <c r="S386" s="194"/>
      <c r="T386" s="194"/>
      <c r="U386" s="194"/>
      <c r="V386" s="194"/>
      <c r="W386" s="194"/>
    </row>
    <row r="387" ht="14.25" customHeight="1">
      <c r="A387" s="31"/>
      <c r="B387" s="268"/>
      <c r="C387" s="269"/>
      <c r="D387" s="270"/>
      <c r="E387" s="271"/>
      <c r="F387" s="276"/>
      <c r="G387" s="273"/>
      <c r="H387" s="204"/>
      <c r="I387" s="204"/>
      <c r="J387" s="196"/>
      <c r="K387" s="202"/>
      <c r="L387" s="192" t="str">
        <f>IFERROR(__xludf.DUMMYFUNCTION("IF(
  AND(D387=""Saída"", J387=""Sangria""),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198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94" t="str">
        <f>IFERROR(__xludf.DUMMYFUNCTION("ifna(VALUE(REGEXEXTRACT(E387,""[0-9.]+[,]+[0-9]+"")))"),"")</f>
        <v/>
      </c>
      <c r="O387" s="194"/>
      <c r="P387" s="194"/>
      <c r="Q387" s="194"/>
      <c r="R387" s="194"/>
      <c r="S387" s="194"/>
      <c r="T387" s="194"/>
      <c r="U387" s="194"/>
      <c r="V387" s="194"/>
      <c r="W387" s="194"/>
    </row>
    <row r="388" ht="14.25" customHeight="1">
      <c r="A388" s="31"/>
      <c r="B388" s="268"/>
      <c r="C388" s="269"/>
      <c r="D388" s="270"/>
      <c r="E388" s="271"/>
      <c r="F388" s="276"/>
      <c r="G388" s="273"/>
      <c r="H388" s="204"/>
      <c r="I388" s="204"/>
      <c r="J388" s="196"/>
      <c r="K388" s="202"/>
      <c r="L388" s="192" t="str">
        <f>IFERROR(__xludf.DUMMYFUNCTION("IF(
  AND(D388=""Saída"", J388=""Sangria""),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197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94" t="str">
        <f>IFERROR(__xludf.DUMMYFUNCTION("ifna(VALUE(REGEXEXTRACT(E388,""[0-9.]+[,]+[0-9]+"")))"),"")</f>
        <v/>
      </c>
      <c r="O388" s="194"/>
      <c r="P388" s="194"/>
      <c r="Q388" s="194"/>
      <c r="R388" s="194"/>
      <c r="S388" s="194"/>
      <c r="T388" s="194"/>
      <c r="U388" s="194"/>
      <c r="V388" s="194"/>
      <c r="W388" s="194"/>
    </row>
    <row r="389" ht="14.25" customHeight="1">
      <c r="A389" s="31"/>
      <c r="B389" s="268"/>
      <c r="C389" s="269"/>
      <c r="D389" s="270"/>
      <c r="E389" s="271"/>
      <c r="F389" s="276"/>
      <c r="G389" s="273"/>
      <c r="H389" s="204"/>
      <c r="I389" s="204"/>
      <c r="J389" s="212"/>
      <c r="K389" s="202"/>
      <c r="L389" s="192" t="str">
        <f>IFERROR(__xludf.DUMMYFUNCTION("IF(
  AND(D389=""Saída"", J389=""Sangria""),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198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94" t="str">
        <f>IFERROR(__xludf.DUMMYFUNCTION("ifna(VALUE(REGEXEXTRACT(E389,""[0-9.]+[,]+[0-9]+"")))"),"")</f>
        <v/>
      </c>
      <c r="O389" s="194"/>
      <c r="P389" s="194"/>
      <c r="Q389" s="194"/>
      <c r="R389" s="194"/>
      <c r="S389" s="194"/>
      <c r="T389" s="194"/>
      <c r="U389" s="194"/>
      <c r="V389" s="194"/>
      <c r="W389" s="194"/>
    </row>
    <row r="390" ht="14.25" customHeight="1">
      <c r="A390" s="31"/>
      <c r="B390" s="268"/>
      <c r="C390" s="269"/>
      <c r="D390" s="270"/>
      <c r="E390" s="271"/>
      <c r="F390" s="276"/>
      <c r="G390" s="273"/>
      <c r="H390" s="204"/>
      <c r="I390" s="204"/>
      <c r="J390" s="196"/>
      <c r="K390" s="196"/>
      <c r="L390" s="192" t="str">
        <f>IFERROR(__xludf.DUMMYFUNCTION("IF(
  AND(D390=""Saída"", J390=""Sangria""),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197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94" t="str">
        <f>IFERROR(__xludf.DUMMYFUNCTION("ifna(VALUE(REGEXEXTRACT(E390,""[0-9.]+[,]+[0-9]+"")))"),"")</f>
        <v/>
      </c>
      <c r="O390" s="194"/>
      <c r="P390" s="194"/>
      <c r="Q390" s="194"/>
      <c r="R390" s="194"/>
      <c r="S390" s="194"/>
      <c r="T390" s="194"/>
      <c r="U390" s="194"/>
      <c r="V390" s="194"/>
      <c r="W390" s="194"/>
    </row>
    <row r="391" ht="14.25" customHeight="1">
      <c r="A391" s="31"/>
      <c r="B391" s="268"/>
      <c r="C391" s="269"/>
      <c r="D391" s="270"/>
      <c r="E391" s="271"/>
      <c r="F391" s="276"/>
      <c r="G391" s="273"/>
      <c r="H391" s="204"/>
      <c r="I391" s="204"/>
      <c r="J391" s="196"/>
      <c r="K391" s="202"/>
      <c r="L391" s="192" t="str">
        <f>IFERROR(__xludf.DUMMYFUNCTION("IF(
  AND(D391=""Saída"", J391=""Sangria""),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198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94" t="str">
        <f>IFERROR(__xludf.DUMMYFUNCTION("ifna(VALUE(REGEXEXTRACT(E391,""[0-9.]+[,]+[0-9]+"")))"),"")</f>
        <v/>
      </c>
      <c r="O391" s="194"/>
      <c r="P391" s="194"/>
      <c r="Q391" s="194"/>
      <c r="R391" s="194"/>
      <c r="S391" s="194"/>
      <c r="T391" s="194"/>
      <c r="U391" s="194"/>
      <c r="V391" s="194"/>
      <c r="W391" s="194"/>
    </row>
    <row r="392" ht="14.25" customHeight="1">
      <c r="A392" s="31"/>
      <c r="B392" s="268"/>
      <c r="C392" s="269"/>
      <c r="D392" s="270"/>
      <c r="E392" s="271"/>
      <c r="F392" s="276"/>
      <c r="G392" s="273"/>
      <c r="H392" s="204"/>
      <c r="I392" s="204"/>
      <c r="J392" s="196"/>
      <c r="K392" s="196"/>
      <c r="L392" s="192" t="str">
        <f>IFERROR(__xludf.DUMMYFUNCTION("IF(
  AND(D392=""Saída"", J392=""Sangria""),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197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94" t="str">
        <f>IFERROR(__xludf.DUMMYFUNCTION("ifna(VALUE(REGEXEXTRACT(E392,""[0-9.]+[,]+[0-9]+"")))"),"")</f>
        <v/>
      </c>
      <c r="O392" s="194"/>
      <c r="P392" s="194"/>
      <c r="Q392" s="194"/>
      <c r="R392" s="194"/>
      <c r="S392" s="194"/>
      <c r="T392" s="194"/>
      <c r="U392" s="194"/>
      <c r="V392" s="194"/>
      <c r="W392" s="194"/>
    </row>
    <row r="393" ht="14.25" customHeight="1">
      <c r="A393" s="31"/>
      <c r="B393" s="268"/>
      <c r="C393" s="269"/>
      <c r="D393" s="270"/>
      <c r="E393" s="271"/>
      <c r="F393" s="276"/>
      <c r="G393" s="273"/>
      <c r="H393" s="204"/>
      <c r="I393" s="204"/>
      <c r="J393" s="196"/>
      <c r="K393" s="196"/>
      <c r="L393" s="192" t="str">
        <f>IFERROR(__xludf.DUMMYFUNCTION("IF(
  AND(D393=""Saída"", J393=""Sangria""),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198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94" t="str">
        <f>IFERROR(__xludf.DUMMYFUNCTION("ifna(VALUE(REGEXEXTRACT(E393,""[0-9.]+[,]+[0-9]+"")))"),"")</f>
        <v/>
      </c>
      <c r="O393" s="194"/>
      <c r="P393" s="194"/>
      <c r="Q393" s="194"/>
      <c r="R393" s="194"/>
      <c r="S393" s="194"/>
      <c r="T393" s="194"/>
      <c r="U393" s="194"/>
      <c r="V393" s="194"/>
      <c r="W393" s="194"/>
    </row>
    <row r="394" ht="14.25" customHeight="1">
      <c r="A394" s="31"/>
      <c r="B394" s="268"/>
      <c r="C394" s="286"/>
      <c r="D394" s="270"/>
      <c r="E394" s="271"/>
      <c r="F394" s="204"/>
      <c r="G394" s="273"/>
      <c r="H394" s="204"/>
      <c r="I394" s="204"/>
      <c r="J394" s="202"/>
      <c r="K394" s="202"/>
      <c r="L394" s="192" t="str">
        <f>IFERROR(__xludf.DUMMYFUNCTION("IF(
  AND(D394=""Saída"", J394=""Sangria""),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197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94" t="str">
        <f>IFERROR(__xludf.DUMMYFUNCTION("ifna(VALUE(REGEXEXTRACT(E394,""[0-9.]+[,]+[0-9]+"")))"),"")</f>
        <v/>
      </c>
      <c r="O394" s="194"/>
      <c r="P394" s="194"/>
      <c r="Q394" s="194"/>
      <c r="R394" s="194"/>
      <c r="S394" s="194"/>
      <c r="T394" s="194"/>
      <c r="U394" s="194"/>
      <c r="V394" s="194"/>
      <c r="W394" s="194"/>
    </row>
    <row r="395" ht="14.25" customHeight="1">
      <c r="A395" s="31"/>
      <c r="B395" s="287"/>
      <c r="C395" s="286"/>
      <c r="D395" s="270"/>
      <c r="E395" s="271"/>
      <c r="F395" s="204"/>
      <c r="G395" s="273"/>
      <c r="H395" s="204"/>
      <c r="I395" s="204"/>
      <c r="J395" s="202"/>
      <c r="K395" s="202"/>
      <c r="L395" s="192" t="str">
        <f>IFERROR(__xludf.DUMMYFUNCTION("IF(
  AND(D395=""Saída"", J395=""Sangria""),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198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94" t="str">
        <f>IFERROR(__xludf.DUMMYFUNCTION("ifna(VALUE(REGEXEXTRACT(E395,""[0-9.]+[,]+[0-9]+"")))"),"")</f>
        <v/>
      </c>
      <c r="O395" s="194"/>
      <c r="P395" s="194"/>
      <c r="Q395" s="194"/>
      <c r="R395" s="194"/>
      <c r="S395" s="194"/>
      <c r="T395" s="194"/>
      <c r="U395" s="194"/>
      <c r="V395" s="194"/>
      <c r="W395" s="194"/>
    </row>
    <row r="396" ht="14.25" customHeight="1">
      <c r="A396" s="31"/>
      <c r="B396" s="287"/>
      <c r="C396" s="286"/>
      <c r="D396" s="270"/>
      <c r="E396" s="271"/>
      <c r="F396" s="204"/>
      <c r="G396" s="273"/>
      <c r="H396" s="204"/>
      <c r="I396" s="204"/>
      <c r="J396" s="202"/>
      <c r="K396" s="202"/>
      <c r="L396" s="192" t="str">
        <f>IFERROR(__xludf.DUMMYFUNCTION("IF(
  AND(D396=""Saída"", J396=""Sangria""),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197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94" t="str">
        <f>IFERROR(__xludf.DUMMYFUNCTION("ifna(VALUE(REGEXEXTRACT(E396,""[0-9.]+[,]+[0-9]+"")))"),"")</f>
        <v/>
      </c>
      <c r="O396" s="194"/>
      <c r="P396" s="194"/>
      <c r="Q396" s="194"/>
      <c r="R396" s="194"/>
      <c r="S396" s="194"/>
      <c r="T396" s="194"/>
      <c r="U396" s="194"/>
      <c r="V396" s="194"/>
      <c r="W396" s="194"/>
    </row>
    <row r="397" ht="14.25" customHeight="1">
      <c r="A397" s="31"/>
      <c r="B397" s="287"/>
      <c r="C397" s="286"/>
      <c r="D397" s="270"/>
      <c r="E397" s="271"/>
      <c r="F397" s="204"/>
      <c r="G397" s="273"/>
      <c r="H397" s="204"/>
      <c r="I397" s="204"/>
      <c r="J397" s="202"/>
      <c r="K397" s="202"/>
      <c r="L397" s="192" t="str">
        <f>IFERROR(__xludf.DUMMYFUNCTION("IF(
  AND(D397=""Saída"", J397=""Sangria""),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198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94" t="str">
        <f>IFERROR(__xludf.DUMMYFUNCTION("ifna(VALUE(REGEXEXTRACT(E397,""[0-9.]+[,]+[0-9]+"")))"),"")</f>
        <v/>
      </c>
      <c r="O397" s="194"/>
      <c r="P397" s="194"/>
      <c r="Q397" s="194"/>
      <c r="R397" s="194"/>
      <c r="S397" s="194"/>
      <c r="T397" s="194"/>
      <c r="U397" s="194"/>
      <c r="V397" s="194"/>
      <c r="W397" s="194"/>
    </row>
    <row r="398" ht="14.25" customHeight="1">
      <c r="A398" s="31"/>
      <c r="B398" s="287"/>
      <c r="C398" s="286"/>
      <c r="D398" s="270"/>
      <c r="E398" s="271"/>
      <c r="F398" s="204"/>
      <c r="G398" s="273"/>
      <c r="H398" s="204"/>
      <c r="I398" s="204"/>
      <c r="J398" s="202"/>
      <c r="K398" s="202"/>
      <c r="L398" s="192" t="str">
        <f>IFERROR(__xludf.DUMMYFUNCTION("IF(
  AND(D398=""Saída"", J398=""Sangria""),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197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94" t="str">
        <f>IFERROR(__xludf.DUMMYFUNCTION("ifna(VALUE(REGEXEXTRACT(E398,""[0-9.]+[,]+[0-9]+"")))"),"")</f>
        <v/>
      </c>
      <c r="O398" s="194"/>
      <c r="P398" s="194"/>
      <c r="Q398" s="194"/>
      <c r="R398" s="194"/>
      <c r="S398" s="194"/>
      <c r="T398" s="194"/>
      <c r="U398" s="194"/>
      <c r="V398" s="194"/>
      <c r="W398" s="194"/>
    </row>
    <row r="399" ht="14.25" customHeight="1">
      <c r="A399" s="31"/>
      <c r="B399" s="287"/>
      <c r="C399" s="286"/>
      <c r="D399" s="270"/>
      <c r="E399" s="271"/>
      <c r="F399" s="204"/>
      <c r="G399" s="273"/>
      <c r="H399" s="204"/>
      <c r="I399" s="204"/>
      <c r="J399" s="202"/>
      <c r="K399" s="202"/>
      <c r="L399" s="192" t="str">
        <f>IFERROR(__xludf.DUMMYFUNCTION("IF(
  AND(D399=""Saída"", J399=""Sangria""),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198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94" t="str">
        <f>IFERROR(__xludf.DUMMYFUNCTION("ifna(VALUE(REGEXEXTRACT(E399,""[0-9.]+[,]+[0-9]+"")))"),"")</f>
        <v/>
      </c>
      <c r="O399" s="194"/>
      <c r="P399" s="194"/>
      <c r="Q399" s="194"/>
      <c r="R399" s="194"/>
      <c r="S399" s="194"/>
      <c r="T399" s="194"/>
      <c r="U399" s="194"/>
      <c r="V399" s="194"/>
      <c r="W399" s="194"/>
    </row>
    <row r="400" ht="14.25" customHeight="1">
      <c r="A400" s="31"/>
      <c r="B400" s="287"/>
      <c r="C400" s="286"/>
      <c r="D400" s="270"/>
      <c r="E400" s="271"/>
      <c r="F400" s="204"/>
      <c r="G400" s="273"/>
      <c r="H400" s="204"/>
      <c r="I400" s="204"/>
      <c r="J400" s="202"/>
      <c r="K400" s="202"/>
      <c r="L400" s="192" t="str">
        <f>IFERROR(__xludf.DUMMYFUNCTION("IF(
  AND(D400=""Saída"", J400=""Sangria""),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197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94" t="str">
        <f>IFERROR(__xludf.DUMMYFUNCTION("ifna(VALUE(REGEXEXTRACT(E400,""[0-9.]+[,]+[0-9]+"")))"),"")</f>
        <v/>
      </c>
      <c r="O400" s="194"/>
      <c r="P400" s="194"/>
      <c r="Q400" s="194"/>
      <c r="R400" s="194"/>
      <c r="S400" s="194"/>
      <c r="T400" s="194"/>
      <c r="U400" s="194"/>
      <c r="V400" s="194"/>
      <c r="W400" s="194"/>
    </row>
    <row r="401" ht="14.25" customHeight="1">
      <c r="A401" s="31"/>
      <c r="B401" s="287"/>
      <c r="C401" s="286"/>
      <c r="D401" s="270"/>
      <c r="E401" s="271"/>
      <c r="F401" s="204"/>
      <c r="G401" s="273"/>
      <c r="H401" s="204"/>
      <c r="I401" s="204"/>
      <c r="J401" s="202"/>
      <c r="K401" s="202"/>
      <c r="L401" s="192" t="str">
        <f>IFERROR(__xludf.DUMMYFUNCTION("IF(
  AND(D401=""Saída"", J401=""Sangria""),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198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94" t="str">
        <f>IFERROR(__xludf.DUMMYFUNCTION("ifna(VALUE(REGEXEXTRACT(E401,""[0-9.]+[,]+[0-9]+"")))"),"")</f>
        <v/>
      </c>
      <c r="O401" s="194"/>
      <c r="P401" s="194"/>
      <c r="Q401" s="194"/>
      <c r="R401" s="194"/>
      <c r="S401" s="194"/>
      <c r="T401" s="194"/>
      <c r="U401" s="194"/>
      <c r="V401" s="194"/>
      <c r="W401" s="194"/>
    </row>
    <row r="402" ht="14.25" customHeight="1">
      <c r="A402" s="31"/>
      <c r="B402" s="287"/>
      <c r="C402" s="286"/>
      <c r="D402" s="270"/>
      <c r="E402" s="271"/>
      <c r="F402" s="204"/>
      <c r="G402" s="273"/>
      <c r="H402" s="204"/>
      <c r="I402" s="204"/>
      <c r="J402" s="202"/>
      <c r="K402" s="202"/>
      <c r="L402" s="192" t="str">
        <f>IFERROR(__xludf.DUMMYFUNCTION("IF(
  AND(D402=""Saída"", J402=""Sangria""),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197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94" t="str">
        <f>IFERROR(__xludf.DUMMYFUNCTION("ifna(VALUE(REGEXEXTRACT(E402,""[0-9.]+[,]+[0-9]+"")))"),"")</f>
        <v/>
      </c>
      <c r="O402" s="194"/>
      <c r="P402" s="194"/>
      <c r="Q402" s="194"/>
      <c r="R402" s="194"/>
      <c r="S402" s="194"/>
      <c r="T402" s="194"/>
      <c r="U402" s="194"/>
      <c r="V402" s="194"/>
      <c r="W402" s="194"/>
    </row>
    <row r="403" ht="14.25" customHeight="1">
      <c r="A403" s="31"/>
      <c r="B403" s="287"/>
      <c r="C403" s="286"/>
      <c r="D403" s="270"/>
      <c r="E403" s="271"/>
      <c r="F403" s="204"/>
      <c r="G403" s="273"/>
      <c r="H403" s="204"/>
      <c r="I403" s="204"/>
      <c r="J403" s="202"/>
      <c r="K403" s="202"/>
      <c r="L403" s="192" t="str">
        <f>IFERROR(__xludf.DUMMYFUNCTION("IF(
  AND(D403=""Saída"", J403=""Sangria""),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198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94" t="str">
        <f>IFERROR(__xludf.DUMMYFUNCTION("ifna(VALUE(REGEXEXTRACT(E403,""[0-9.]+[,]+[0-9]+"")))"),"")</f>
        <v/>
      </c>
      <c r="O403" s="194"/>
      <c r="P403" s="194"/>
      <c r="Q403" s="194"/>
      <c r="R403" s="194"/>
      <c r="S403" s="194"/>
      <c r="T403" s="194"/>
      <c r="U403" s="194"/>
      <c r="V403" s="194"/>
      <c r="W403" s="194"/>
    </row>
    <row r="404" ht="14.25" customHeight="1">
      <c r="A404" s="31"/>
      <c r="B404" s="287"/>
      <c r="C404" s="286"/>
      <c r="D404" s="270"/>
      <c r="E404" s="271"/>
      <c r="F404" s="204"/>
      <c r="G404" s="273"/>
      <c r="H404" s="204"/>
      <c r="I404" s="204"/>
      <c r="J404" s="202"/>
      <c r="K404" s="202"/>
      <c r="L404" s="192" t="str">
        <f>IFERROR(__xludf.DUMMYFUNCTION("IF(
  AND(D404=""Saída"", J404=""Sangria""),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197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94" t="str">
        <f>IFERROR(__xludf.DUMMYFUNCTION("ifna(VALUE(REGEXEXTRACT(E404,""[0-9.]+[,]+[0-9]+"")))"),"")</f>
        <v/>
      </c>
      <c r="O404" s="194"/>
      <c r="P404" s="194"/>
      <c r="Q404" s="194"/>
      <c r="R404" s="194"/>
      <c r="S404" s="194"/>
      <c r="T404" s="194"/>
      <c r="U404" s="194"/>
      <c r="V404" s="194"/>
      <c r="W404" s="194"/>
    </row>
    <row r="405" ht="14.25" customHeight="1">
      <c r="A405" s="31"/>
      <c r="B405" s="287"/>
      <c r="C405" s="286"/>
      <c r="D405" s="270"/>
      <c r="E405" s="271"/>
      <c r="F405" s="204"/>
      <c r="G405" s="273"/>
      <c r="H405" s="204"/>
      <c r="I405" s="204"/>
      <c r="J405" s="202"/>
      <c r="K405" s="202"/>
      <c r="L405" s="192" t="str">
        <f>IFERROR(__xludf.DUMMYFUNCTION("IF(
  AND(D405=""Saída"", J405=""Sangria""),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198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94" t="str">
        <f>IFERROR(__xludf.DUMMYFUNCTION("ifna(VALUE(REGEXEXTRACT(E405,""[0-9.]+[,]+[0-9]+"")))"),"")</f>
        <v/>
      </c>
      <c r="O405" s="194"/>
      <c r="P405" s="194"/>
      <c r="Q405" s="194"/>
      <c r="R405" s="194"/>
      <c r="S405" s="194"/>
      <c r="T405" s="194"/>
      <c r="U405" s="194"/>
      <c r="V405" s="194"/>
      <c r="W405" s="194"/>
    </row>
    <row r="406" ht="14.25" customHeight="1">
      <c r="A406" s="31"/>
      <c r="B406" s="287"/>
      <c r="C406" s="286"/>
      <c r="D406" s="270"/>
      <c r="E406" s="288"/>
      <c r="F406" s="204"/>
      <c r="G406" s="273"/>
      <c r="H406" s="204"/>
      <c r="I406" s="204"/>
      <c r="J406" s="202"/>
      <c r="K406" s="202"/>
      <c r="L406" s="192" t="str">
        <f>IFERROR(__xludf.DUMMYFUNCTION("IF(
  AND(D406=""Saída"", J406=""Sangria""),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197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94" t="str">
        <f>IFERROR(__xludf.DUMMYFUNCTION("ifna(VALUE(REGEXEXTRACT(E406,""[0-9.]+[,]+[0-9]+"")))"),"")</f>
        <v/>
      </c>
      <c r="O406" s="194"/>
      <c r="P406" s="194"/>
      <c r="Q406" s="194"/>
      <c r="R406" s="194"/>
      <c r="S406" s="194"/>
      <c r="T406" s="194"/>
      <c r="U406" s="194"/>
      <c r="V406" s="194"/>
      <c r="W406" s="194"/>
    </row>
    <row r="407" ht="14.25" customHeight="1">
      <c r="A407" s="31"/>
      <c r="B407" s="287"/>
      <c r="C407" s="286"/>
      <c r="D407" s="270"/>
      <c r="E407" s="288"/>
      <c r="F407" s="204"/>
      <c r="G407" s="289"/>
      <c r="H407" s="204"/>
      <c r="I407" s="204"/>
      <c r="J407" s="202"/>
      <c r="K407" s="202"/>
      <c r="L407" s="192" t="str">
        <f>IFERROR(__xludf.DUMMYFUNCTION("IF(
  AND(D407=""Saída"", J407=""Sangria""),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198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94" t="str">
        <f>IFERROR(__xludf.DUMMYFUNCTION("ifna(VALUE(REGEXEXTRACT(E407,""[0-9.]+[,]+[0-9]+"")))"),"")</f>
        <v/>
      </c>
      <c r="O407" s="194"/>
      <c r="P407" s="194"/>
      <c r="Q407" s="194"/>
      <c r="R407" s="194"/>
      <c r="S407" s="194"/>
      <c r="T407" s="194"/>
      <c r="U407" s="194"/>
      <c r="V407" s="194"/>
      <c r="W407" s="194"/>
    </row>
    <row r="408" ht="14.25" customHeight="1">
      <c r="A408" s="31"/>
      <c r="B408" s="287"/>
      <c r="C408" s="286"/>
      <c r="D408" s="270"/>
      <c r="E408" s="288"/>
      <c r="F408" s="204"/>
      <c r="G408" s="289"/>
      <c r="H408" s="204"/>
      <c r="I408" s="204"/>
      <c r="J408" s="202"/>
      <c r="K408" s="202"/>
      <c r="L408" s="192" t="str">
        <f>IFERROR(__xludf.DUMMYFUNCTION("IF(
  AND(D408=""Saída"", J408=""Sangria""),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197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94" t="str">
        <f>IFERROR(__xludf.DUMMYFUNCTION("ifna(VALUE(REGEXEXTRACT(E408,""[0-9.]+[,]+[0-9]+"")))"),"")</f>
        <v/>
      </c>
      <c r="O408" s="194"/>
      <c r="P408" s="194"/>
      <c r="Q408" s="194"/>
      <c r="R408" s="194"/>
      <c r="S408" s="194"/>
      <c r="T408" s="194"/>
      <c r="U408" s="194"/>
      <c r="V408" s="194"/>
      <c r="W408" s="194"/>
    </row>
    <row r="409" ht="14.25" customHeight="1">
      <c r="A409" s="31"/>
      <c r="B409" s="287"/>
      <c r="C409" s="286"/>
      <c r="D409" s="270"/>
      <c r="E409" s="288"/>
      <c r="F409" s="204"/>
      <c r="G409" s="289"/>
      <c r="H409" s="204"/>
      <c r="I409" s="204"/>
      <c r="J409" s="202"/>
      <c r="K409" s="202"/>
      <c r="L409" s="192" t="str">
        <f>IFERROR(__xludf.DUMMYFUNCTION("IF(
  AND(D409=""Saída"", J409=""Sangria""),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198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94" t="str">
        <f>IFERROR(__xludf.DUMMYFUNCTION("ifna(VALUE(REGEXEXTRACT(E409,""[0-9.]+[,]+[0-9]+"")))"),"")</f>
        <v/>
      </c>
      <c r="O409" s="194"/>
      <c r="P409" s="194"/>
      <c r="Q409" s="194"/>
      <c r="R409" s="194"/>
      <c r="S409" s="194"/>
      <c r="T409" s="194"/>
      <c r="U409" s="194"/>
      <c r="V409" s="194"/>
      <c r="W409" s="194"/>
    </row>
    <row r="410" ht="14.25" customHeight="1">
      <c r="A410" s="31"/>
      <c r="B410" s="287"/>
      <c r="C410" s="286"/>
      <c r="D410" s="270"/>
      <c r="E410" s="288"/>
      <c r="F410" s="204"/>
      <c r="G410" s="289"/>
      <c r="H410" s="204"/>
      <c r="I410" s="204"/>
      <c r="J410" s="202"/>
      <c r="K410" s="202"/>
      <c r="L410" s="192" t="str">
        <f>IFERROR(__xludf.DUMMYFUNCTION("IF(
  AND(D410=""Saída"", J410=""Sangria""),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197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94" t="str">
        <f>IFERROR(__xludf.DUMMYFUNCTION("ifna(VALUE(REGEXEXTRACT(E410,""[0-9.]+[,]+[0-9]+"")))"),"")</f>
        <v/>
      </c>
      <c r="O410" s="194"/>
      <c r="P410" s="194"/>
      <c r="Q410" s="194"/>
      <c r="R410" s="194"/>
      <c r="S410" s="194"/>
      <c r="T410" s="194"/>
      <c r="U410" s="194"/>
      <c r="V410" s="194"/>
      <c r="W410" s="194"/>
    </row>
    <row r="411" ht="14.25" customHeight="1">
      <c r="A411" s="31"/>
      <c r="B411" s="287"/>
      <c r="C411" s="286"/>
      <c r="D411" s="204"/>
      <c r="E411" s="288"/>
      <c r="F411" s="204"/>
      <c r="G411" s="289"/>
      <c r="H411" s="204"/>
      <c r="I411" s="204"/>
      <c r="J411" s="202"/>
      <c r="K411" s="202"/>
      <c r="L411" s="192" t="str">
        <f>IFERROR(__xludf.DUMMYFUNCTION("IF(
  AND(D411=""Saída"", J411=""Sangria""),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198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94" t="str">
        <f>IFERROR(__xludf.DUMMYFUNCTION("ifna(VALUE(REGEXEXTRACT(E411,""[0-9.]+[,]+[0-9]+"")))"),"")</f>
        <v/>
      </c>
      <c r="O411" s="194"/>
      <c r="P411" s="194"/>
      <c r="Q411" s="194"/>
      <c r="R411" s="194"/>
      <c r="S411" s="194"/>
      <c r="T411" s="194"/>
      <c r="U411" s="194"/>
      <c r="V411" s="194"/>
      <c r="W411" s="194"/>
    </row>
    <row r="412" ht="14.25" customHeight="1">
      <c r="A412" s="31"/>
      <c r="B412" s="287"/>
      <c r="C412" s="286"/>
      <c r="D412" s="204"/>
      <c r="E412" s="288"/>
      <c r="F412" s="204"/>
      <c r="G412" s="289"/>
      <c r="H412" s="204"/>
      <c r="I412" s="204"/>
      <c r="J412" s="202"/>
      <c r="K412" s="202"/>
      <c r="L412" s="192" t="str">
        <f>IFERROR(__xludf.DUMMYFUNCTION("IF(
  AND(D412=""Saída"", J412=""Sangria""),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197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94" t="str">
        <f>IFERROR(__xludf.DUMMYFUNCTION("ifna(VALUE(REGEXEXTRACT(E412,""[0-9.]+[,]+[0-9]+"")))"),"")</f>
        <v/>
      </c>
      <c r="O412" s="194"/>
      <c r="P412" s="194"/>
      <c r="Q412" s="194"/>
      <c r="R412" s="194"/>
      <c r="S412" s="194"/>
      <c r="T412" s="194"/>
      <c r="U412" s="194"/>
      <c r="V412" s="194"/>
      <c r="W412" s="194"/>
    </row>
    <row r="413" ht="14.25" customHeight="1">
      <c r="A413" s="31"/>
      <c r="B413" s="287"/>
      <c r="C413" s="286"/>
      <c r="D413" s="204"/>
      <c r="E413" s="288"/>
      <c r="F413" s="204"/>
      <c r="G413" s="289"/>
      <c r="H413" s="204"/>
      <c r="I413" s="204"/>
      <c r="J413" s="202"/>
      <c r="K413" s="202"/>
      <c r="L413" s="192" t="str">
        <f>IFERROR(__xludf.DUMMYFUNCTION("IF(
  AND(D413=""Saída"", J413=""Sangria""),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198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94" t="str">
        <f>IFERROR(__xludf.DUMMYFUNCTION("ifna(VALUE(REGEXEXTRACT(E413,""[0-9.]+[,]+[0-9]+"")))"),"")</f>
        <v/>
      </c>
      <c r="O413" s="194"/>
      <c r="P413" s="194"/>
      <c r="Q413" s="194"/>
      <c r="R413" s="194"/>
      <c r="S413" s="194"/>
      <c r="T413" s="194"/>
      <c r="U413" s="194"/>
      <c r="V413" s="194"/>
      <c r="W413" s="194"/>
    </row>
    <row r="414" ht="14.25" customHeight="1">
      <c r="A414" s="31"/>
      <c r="B414" s="287"/>
      <c r="C414" s="286"/>
      <c r="D414" s="204"/>
      <c r="E414" s="288"/>
      <c r="F414" s="204"/>
      <c r="G414" s="289"/>
      <c r="H414" s="204"/>
      <c r="I414" s="204"/>
      <c r="J414" s="202"/>
      <c r="K414" s="202"/>
      <c r="L414" s="192" t="str">
        <f>IFERROR(__xludf.DUMMYFUNCTION("IF(
  AND(D414=""Saída"", J414=""Sangria""),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197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94" t="str">
        <f>IFERROR(__xludf.DUMMYFUNCTION("ifna(VALUE(REGEXEXTRACT(E414,""[0-9.]+[,]+[0-9]+"")))"),"")</f>
        <v/>
      </c>
      <c r="O414" s="194"/>
      <c r="P414" s="194"/>
      <c r="Q414" s="194"/>
      <c r="R414" s="194"/>
      <c r="S414" s="194"/>
      <c r="T414" s="194"/>
      <c r="U414" s="194"/>
      <c r="V414" s="194"/>
      <c r="W414" s="194"/>
    </row>
    <row r="415" ht="14.25" customHeight="1">
      <c r="A415" s="31"/>
      <c r="B415" s="287"/>
      <c r="C415" s="286"/>
      <c r="D415" s="204"/>
      <c r="E415" s="288"/>
      <c r="F415" s="204"/>
      <c r="G415" s="289"/>
      <c r="H415" s="204"/>
      <c r="I415" s="204"/>
      <c r="J415" s="202"/>
      <c r="K415" s="202"/>
      <c r="L415" s="192" t="str">
        <f>IFERROR(__xludf.DUMMYFUNCTION("IF(
  AND(D415=""Saída"", J415=""Sangria""),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198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94" t="str">
        <f>IFERROR(__xludf.DUMMYFUNCTION("ifna(VALUE(REGEXEXTRACT(E415,""[0-9.]+[,]+[0-9]+"")))"),"")</f>
        <v/>
      </c>
      <c r="O415" s="194"/>
      <c r="P415" s="194"/>
      <c r="Q415" s="194"/>
      <c r="R415" s="194"/>
      <c r="S415" s="194"/>
      <c r="T415" s="194"/>
      <c r="U415" s="194"/>
      <c r="V415" s="194"/>
      <c r="W415" s="194"/>
    </row>
    <row r="416" ht="14.25" customHeight="1">
      <c r="A416" s="31"/>
      <c r="B416" s="287"/>
      <c r="C416" s="286"/>
      <c r="D416" s="204"/>
      <c r="E416" s="288"/>
      <c r="F416" s="204"/>
      <c r="G416" s="289"/>
      <c r="H416" s="204"/>
      <c r="I416" s="204"/>
      <c r="J416" s="202"/>
      <c r="K416" s="202"/>
      <c r="L416" s="192" t="str">
        <f>IFERROR(__xludf.DUMMYFUNCTION("IF(
  AND(D416=""Saída"", J416=""Sangria""),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197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94" t="str">
        <f>IFERROR(__xludf.DUMMYFUNCTION("ifna(VALUE(REGEXEXTRACT(E416,""[0-9.]+[,]+[0-9]+"")))"),"")</f>
        <v/>
      </c>
      <c r="O416" s="194"/>
      <c r="P416" s="194"/>
      <c r="Q416" s="194"/>
      <c r="R416" s="194"/>
      <c r="S416" s="194"/>
      <c r="T416" s="194"/>
      <c r="U416" s="194"/>
      <c r="V416" s="194"/>
      <c r="W416" s="194"/>
    </row>
    <row r="417" ht="14.25" customHeight="1">
      <c r="A417" s="31"/>
      <c r="B417" s="287"/>
      <c r="C417" s="286"/>
      <c r="D417" s="204"/>
      <c r="E417" s="288"/>
      <c r="F417" s="204"/>
      <c r="G417" s="289"/>
      <c r="H417" s="204"/>
      <c r="I417" s="204"/>
      <c r="J417" s="202"/>
      <c r="K417" s="202"/>
      <c r="L417" s="192" t="str">
        <f>IFERROR(__xludf.DUMMYFUNCTION("IF(
  AND(D417=""Saída"", J417=""Sangria""),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198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94" t="str">
        <f>IFERROR(__xludf.DUMMYFUNCTION("ifna(VALUE(REGEXEXTRACT(E417,""[0-9.]+[,]+[0-9]+"")))"),"")</f>
        <v/>
      </c>
      <c r="O417" s="194"/>
      <c r="P417" s="194"/>
      <c r="Q417" s="194"/>
      <c r="R417" s="194"/>
      <c r="S417" s="194"/>
      <c r="T417" s="194"/>
      <c r="U417" s="194"/>
      <c r="V417" s="194"/>
      <c r="W417" s="194"/>
    </row>
    <row r="418" ht="14.25" customHeight="1">
      <c r="A418" s="31"/>
      <c r="B418" s="287"/>
      <c r="C418" s="286"/>
      <c r="D418" s="204"/>
      <c r="E418" s="288"/>
      <c r="F418" s="204"/>
      <c r="G418" s="289"/>
      <c r="H418" s="204"/>
      <c r="I418" s="204"/>
      <c r="J418" s="202"/>
      <c r="K418" s="202"/>
      <c r="L418" s="192" t="str">
        <f>IFERROR(__xludf.DUMMYFUNCTION("IF(
  AND(D418=""Saída"", J418=""Sangria""),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197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94" t="str">
        <f>IFERROR(__xludf.DUMMYFUNCTION("ifna(VALUE(REGEXEXTRACT(E418,""[0-9.]+[,]+[0-9]+"")))"),"")</f>
        <v/>
      </c>
      <c r="O418" s="194"/>
      <c r="P418" s="194"/>
      <c r="Q418" s="194"/>
      <c r="R418" s="194"/>
      <c r="S418" s="194"/>
      <c r="T418" s="194"/>
      <c r="U418" s="194"/>
      <c r="V418" s="194"/>
      <c r="W418" s="194"/>
    </row>
    <row r="419" ht="14.25" customHeight="1">
      <c r="A419" s="31"/>
      <c r="B419" s="287"/>
      <c r="C419" s="286"/>
      <c r="D419" s="204"/>
      <c r="E419" s="288"/>
      <c r="F419" s="204"/>
      <c r="G419" s="289"/>
      <c r="H419" s="204"/>
      <c r="I419" s="204"/>
      <c r="J419" s="202"/>
      <c r="K419" s="202"/>
      <c r="L419" s="192" t="str">
        <f>IFERROR(__xludf.DUMMYFUNCTION("IF(
  AND(D419=""Saída"", J419=""Sangria""),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198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94" t="str">
        <f>IFERROR(__xludf.DUMMYFUNCTION("ifna(VALUE(REGEXEXTRACT(E419,""[0-9.]+[,]+[0-9]+"")))"),"")</f>
        <v/>
      </c>
      <c r="O419" s="194"/>
      <c r="P419" s="194"/>
      <c r="Q419" s="194"/>
      <c r="R419" s="194"/>
      <c r="S419" s="194"/>
      <c r="T419" s="194"/>
      <c r="U419" s="194"/>
      <c r="V419" s="194"/>
      <c r="W419" s="194"/>
    </row>
    <row r="420" ht="14.25" customHeight="1">
      <c r="A420" s="31"/>
      <c r="B420" s="287"/>
      <c r="C420" s="286"/>
      <c r="D420" s="204"/>
      <c r="E420" s="288"/>
      <c r="F420" s="204"/>
      <c r="G420" s="289"/>
      <c r="H420" s="204"/>
      <c r="I420" s="204"/>
      <c r="J420" s="202"/>
      <c r="K420" s="202"/>
      <c r="L420" s="192" t="str">
        <f>IFERROR(__xludf.DUMMYFUNCTION("IF(
  AND(D420=""Saída"", J420=""Sangria""),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197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94" t="str">
        <f>IFERROR(__xludf.DUMMYFUNCTION("ifna(VALUE(REGEXEXTRACT(E420,""[0-9.]+[,]+[0-9]+"")))"),"")</f>
        <v/>
      </c>
      <c r="O420" s="194"/>
      <c r="P420" s="194"/>
      <c r="Q420" s="194"/>
      <c r="R420" s="194"/>
      <c r="S420" s="194"/>
      <c r="T420" s="194"/>
      <c r="U420" s="194"/>
      <c r="V420" s="194"/>
      <c r="W420" s="194"/>
    </row>
    <row r="421" ht="14.25" customHeight="1">
      <c r="A421" s="31"/>
      <c r="B421" s="287"/>
      <c r="C421" s="286"/>
      <c r="D421" s="204"/>
      <c r="E421" s="288"/>
      <c r="F421" s="204"/>
      <c r="G421" s="289"/>
      <c r="H421" s="204"/>
      <c r="I421" s="204"/>
      <c r="J421" s="202"/>
      <c r="K421" s="202"/>
      <c r="L421" s="192" t="str">
        <f>IFERROR(__xludf.DUMMYFUNCTION("IF(
  AND(D421=""Saída"", J421=""Sangria""),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198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94" t="str">
        <f>IFERROR(__xludf.DUMMYFUNCTION("ifna(VALUE(REGEXEXTRACT(E421,""[0-9.]+[,]+[0-9]+"")))"),"")</f>
        <v/>
      </c>
      <c r="O421" s="194"/>
      <c r="P421" s="194"/>
      <c r="Q421" s="194"/>
      <c r="R421" s="194"/>
      <c r="S421" s="194"/>
      <c r="T421" s="194"/>
      <c r="U421" s="194"/>
      <c r="V421" s="194"/>
      <c r="W421" s="194"/>
    </row>
    <row r="422" ht="14.25" customHeight="1">
      <c r="A422" s="31"/>
      <c r="B422" s="287"/>
      <c r="C422" s="286"/>
      <c r="D422" s="204"/>
      <c r="E422" s="288"/>
      <c r="F422" s="204"/>
      <c r="G422" s="289"/>
      <c r="H422" s="204"/>
      <c r="I422" s="204"/>
      <c r="J422" s="202"/>
      <c r="K422" s="202"/>
      <c r="L422" s="192" t="str">
        <f>IFERROR(__xludf.DUMMYFUNCTION("IF(
  AND(D422=""Saída"", J422=""Sangria""),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197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94" t="str">
        <f>IFERROR(__xludf.DUMMYFUNCTION("ifna(VALUE(REGEXEXTRACT(E422,""[0-9.]+[,]+[0-9]+"")))"),"")</f>
        <v/>
      </c>
      <c r="O422" s="194"/>
      <c r="P422" s="194"/>
      <c r="Q422" s="194"/>
      <c r="R422" s="194"/>
      <c r="S422" s="194"/>
      <c r="T422" s="194"/>
      <c r="U422" s="194"/>
      <c r="V422" s="194"/>
      <c r="W422" s="194"/>
    </row>
    <row r="423" ht="14.25" customHeight="1">
      <c r="A423" s="31"/>
      <c r="B423" s="287"/>
      <c r="C423" s="286"/>
      <c r="D423" s="204"/>
      <c r="E423" s="288"/>
      <c r="F423" s="204"/>
      <c r="G423" s="289"/>
      <c r="H423" s="204"/>
      <c r="I423" s="204"/>
      <c r="J423" s="202"/>
      <c r="K423" s="202"/>
      <c r="L423" s="192" t="str">
        <f>IFERROR(__xludf.DUMMYFUNCTION("IF(
  AND(D423=""Saída"", J423=""Sangria""),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198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94" t="str">
        <f>IFERROR(__xludf.DUMMYFUNCTION("ifna(VALUE(REGEXEXTRACT(E423,""[0-9.]+[,]+[0-9]+"")))"),"")</f>
        <v/>
      </c>
      <c r="O423" s="194"/>
      <c r="P423" s="194"/>
      <c r="Q423" s="194"/>
      <c r="R423" s="194"/>
      <c r="S423" s="194"/>
      <c r="T423" s="194"/>
      <c r="U423" s="194"/>
      <c r="V423" s="194"/>
      <c r="W423" s="194"/>
    </row>
    <row r="424" ht="14.25" customHeight="1">
      <c r="A424" s="31"/>
      <c r="B424" s="287"/>
      <c r="C424" s="286"/>
      <c r="D424" s="204"/>
      <c r="E424" s="288"/>
      <c r="F424" s="204"/>
      <c r="G424" s="289"/>
      <c r="H424" s="204"/>
      <c r="I424" s="204"/>
      <c r="J424" s="202"/>
      <c r="K424" s="202"/>
      <c r="L424" s="192" t="str">
        <f>IFERROR(__xludf.DUMMYFUNCTION("IF(
  AND(D424=""Saída"", J424=""Sangria""),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197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94" t="str">
        <f>IFERROR(__xludf.DUMMYFUNCTION("ifna(VALUE(REGEXEXTRACT(E424,""[0-9.]+[,]+[0-9]+"")))"),"")</f>
        <v/>
      </c>
      <c r="O424" s="194"/>
      <c r="P424" s="194"/>
      <c r="Q424" s="194"/>
      <c r="R424" s="194"/>
      <c r="S424" s="194"/>
      <c r="T424" s="194"/>
      <c r="U424" s="194"/>
      <c r="V424" s="194"/>
      <c r="W424" s="194"/>
    </row>
    <row r="425" ht="14.25" customHeight="1">
      <c r="A425" s="31"/>
      <c r="B425" s="287"/>
      <c r="C425" s="286"/>
      <c r="D425" s="204"/>
      <c r="E425" s="288"/>
      <c r="F425" s="204"/>
      <c r="G425" s="289"/>
      <c r="H425" s="204"/>
      <c r="I425" s="204"/>
      <c r="J425" s="202"/>
      <c r="K425" s="202"/>
      <c r="L425" s="192" t="str">
        <f>IFERROR(__xludf.DUMMYFUNCTION("IF(
  AND(D425=""Saída"", J425=""Sangria""),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198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94" t="str">
        <f>IFERROR(__xludf.DUMMYFUNCTION("ifna(VALUE(REGEXEXTRACT(E425,""[0-9.]+[,]+[0-9]+"")))"),"")</f>
        <v/>
      </c>
      <c r="O425" s="194"/>
      <c r="P425" s="194"/>
      <c r="Q425" s="194"/>
      <c r="R425" s="194"/>
      <c r="S425" s="194"/>
      <c r="T425" s="194"/>
      <c r="U425" s="194"/>
      <c r="V425" s="194"/>
      <c r="W425" s="194"/>
    </row>
    <row r="426" ht="14.25" customHeight="1">
      <c r="A426" s="31"/>
      <c r="B426" s="287"/>
      <c r="C426" s="286"/>
      <c r="D426" s="204"/>
      <c r="E426" s="288"/>
      <c r="F426" s="204"/>
      <c r="G426" s="289"/>
      <c r="H426" s="204"/>
      <c r="I426" s="204"/>
      <c r="J426" s="202"/>
      <c r="K426" s="202"/>
      <c r="L426" s="192" t="str">
        <f>IFERROR(__xludf.DUMMYFUNCTION("IF(
  AND(D426=""Saída"", J426=""Sangria""),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197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94" t="str">
        <f>IFERROR(__xludf.DUMMYFUNCTION("ifna(VALUE(REGEXEXTRACT(E426,""[0-9.]+[,]+[0-9]+"")))"),"")</f>
        <v/>
      </c>
      <c r="O426" s="194"/>
      <c r="P426" s="194"/>
      <c r="Q426" s="194"/>
      <c r="R426" s="194"/>
      <c r="S426" s="194"/>
      <c r="T426" s="194"/>
      <c r="U426" s="194"/>
      <c r="V426" s="194"/>
      <c r="W426" s="194"/>
    </row>
    <row r="427" ht="14.25" customHeight="1">
      <c r="A427" s="31"/>
      <c r="B427" s="287"/>
      <c r="C427" s="286"/>
      <c r="D427" s="204"/>
      <c r="E427" s="288"/>
      <c r="F427" s="204"/>
      <c r="G427" s="289"/>
      <c r="H427" s="204"/>
      <c r="I427" s="204"/>
      <c r="J427" s="202"/>
      <c r="K427" s="202"/>
      <c r="L427" s="192" t="str">
        <f>IFERROR(__xludf.DUMMYFUNCTION("IF(
  AND(D427=""Saída"", J427=""Sangria""),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198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94" t="str">
        <f>IFERROR(__xludf.DUMMYFUNCTION("ifna(VALUE(REGEXEXTRACT(E427,""[0-9.]+[,]+[0-9]+"")))"),"")</f>
        <v/>
      </c>
      <c r="O427" s="194"/>
      <c r="P427" s="194"/>
      <c r="Q427" s="194"/>
      <c r="R427" s="194"/>
      <c r="S427" s="194"/>
      <c r="T427" s="194"/>
      <c r="U427" s="194"/>
      <c r="V427" s="194"/>
      <c r="W427" s="194"/>
    </row>
    <row r="428" ht="14.25" customHeight="1">
      <c r="A428" s="31"/>
      <c r="B428" s="287"/>
      <c r="C428" s="286"/>
      <c r="D428" s="204"/>
      <c r="E428" s="288"/>
      <c r="F428" s="204"/>
      <c r="G428" s="289"/>
      <c r="H428" s="204"/>
      <c r="I428" s="204"/>
      <c r="J428" s="202"/>
      <c r="K428" s="202"/>
      <c r="L428" s="192" t="str">
        <f>IFERROR(__xludf.DUMMYFUNCTION("IF(
  AND(D428=""Saída"", J428=""Sangria""),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197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94" t="str">
        <f>IFERROR(__xludf.DUMMYFUNCTION("ifna(VALUE(REGEXEXTRACT(E428,""[0-9.]+[,]+[0-9]+"")))"),"")</f>
        <v/>
      </c>
      <c r="O428" s="194"/>
      <c r="P428" s="194"/>
      <c r="Q428" s="194"/>
      <c r="R428" s="194"/>
      <c r="S428" s="194"/>
      <c r="T428" s="194"/>
      <c r="U428" s="194"/>
      <c r="V428" s="194"/>
      <c r="W428" s="194"/>
    </row>
    <row r="429" ht="14.25" customHeight="1">
      <c r="A429" s="31"/>
      <c r="B429" s="287"/>
      <c r="C429" s="286"/>
      <c r="D429" s="204"/>
      <c r="E429" s="288"/>
      <c r="F429" s="204"/>
      <c r="G429" s="289"/>
      <c r="H429" s="204"/>
      <c r="I429" s="204"/>
      <c r="J429" s="202"/>
      <c r="K429" s="202"/>
      <c r="L429" s="192" t="str">
        <f>IFERROR(__xludf.DUMMYFUNCTION("IF(
  AND(D429=""Saída"", J429=""Sangria""),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198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94" t="str">
        <f>IFERROR(__xludf.DUMMYFUNCTION("ifna(VALUE(REGEXEXTRACT(E429,""[0-9.]+[,]+[0-9]+"")))"),"")</f>
        <v/>
      </c>
      <c r="O429" s="194"/>
      <c r="P429" s="194"/>
      <c r="Q429" s="194"/>
      <c r="R429" s="194"/>
      <c r="S429" s="194"/>
      <c r="T429" s="194"/>
      <c r="U429" s="194"/>
      <c r="V429" s="194"/>
      <c r="W429" s="194"/>
    </row>
    <row r="430" ht="14.25" customHeight="1">
      <c r="A430" s="31"/>
      <c r="B430" s="287"/>
      <c r="C430" s="286"/>
      <c r="D430" s="204"/>
      <c r="E430" s="288"/>
      <c r="F430" s="204"/>
      <c r="G430" s="289"/>
      <c r="H430" s="204"/>
      <c r="I430" s="204"/>
      <c r="J430" s="202"/>
      <c r="K430" s="202"/>
      <c r="L430" s="192" t="str">
        <f>IFERROR(__xludf.DUMMYFUNCTION("IF(
  AND(D430=""Saída"", J430=""Sangria""),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197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94" t="str">
        <f>IFERROR(__xludf.DUMMYFUNCTION("ifna(VALUE(REGEXEXTRACT(E430,""[0-9.]+[,]+[0-9]+"")))"),"")</f>
        <v/>
      </c>
      <c r="O430" s="194"/>
      <c r="P430" s="194"/>
      <c r="Q430" s="194"/>
      <c r="R430" s="194"/>
      <c r="S430" s="194"/>
      <c r="T430" s="194"/>
      <c r="U430" s="194"/>
      <c r="V430" s="194"/>
      <c r="W430" s="194"/>
    </row>
    <row r="431" ht="14.25" customHeight="1">
      <c r="A431" s="31"/>
      <c r="B431" s="287"/>
      <c r="C431" s="286"/>
      <c r="D431" s="204"/>
      <c r="E431" s="288"/>
      <c r="F431" s="204"/>
      <c r="G431" s="289"/>
      <c r="H431" s="204"/>
      <c r="I431" s="204"/>
      <c r="J431" s="202"/>
      <c r="K431" s="202"/>
      <c r="L431" s="192" t="str">
        <f>IFERROR(__xludf.DUMMYFUNCTION("IF(
  AND(D431=""Saída"", J431=""Sangria""),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198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94" t="str">
        <f>IFERROR(__xludf.DUMMYFUNCTION("ifna(VALUE(REGEXEXTRACT(E431,""[0-9.]+[,]+[0-9]+"")))"),"")</f>
        <v/>
      </c>
      <c r="O431" s="194"/>
      <c r="P431" s="194"/>
      <c r="Q431" s="194"/>
      <c r="R431" s="194"/>
      <c r="S431" s="194"/>
      <c r="T431" s="194"/>
      <c r="U431" s="194"/>
      <c r="V431" s="194"/>
      <c r="W431" s="194"/>
    </row>
    <row r="432" ht="14.25" customHeight="1">
      <c r="A432" s="31"/>
      <c r="B432" s="287"/>
      <c r="C432" s="286"/>
      <c r="D432" s="204"/>
      <c r="E432" s="288"/>
      <c r="F432" s="204"/>
      <c r="G432" s="289"/>
      <c r="H432" s="204"/>
      <c r="I432" s="204"/>
      <c r="J432" s="202"/>
      <c r="K432" s="202"/>
      <c r="L432" s="192" t="str">
        <f>IFERROR(__xludf.DUMMYFUNCTION("IF(
  AND(D432=""Saída"", J432=""Sangria""),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197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94" t="str">
        <f>IFERROR(__xludf.DUMMYFUNCTION("ifna(VALUE(REGEXEXTRACT(E432,""[0-9.]+[,]+[0-9]+"")))"),"")</f>
        <v/>
      </c>
      <c r="O432" s="194"/>
      <c r="P432" s="194"/>
      <c r="Q432" s="194"/>
      <c r="R432" s="194"/>
      <c r="S432" s="194"/>
      <c r="T432" s="194"/>
      <c r="U432" s="194"/>
      <c r="V432" s="194"/>
      <c r="W432" s="194"/>
    </row>
    <row r="433" ht="14.25" customHeight="1">
      <c r="A433" s="31"/>
      <c r="B433" s="287"/>
      <c r="C433" s="286"/>
      <c r="D433" s="204"/>
      <c r="E433" s="288"/>
      <c r="F433" s="204"/>
      <c r="G433" s="289"/>
      <c r="H433" s="204"/>
      <c r="I433" s="204"/>
      <c r="J433" s="202"/>
      <c r="K433" s="202"/>
      <c r="L433" s="192" t="str">
        <f>IFERROR(__xludf.DUMMYFUNCTION("IF(
  AND(D433=""Saída"", J433=""Sangria""),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198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94" t="str">
        <f>IFERROR(__xludf.DUMMYFUNCTION("ifna(VALUE(REGEXEXTRACT(E433,""[0-9.]+[,]+[0-9]+"")))"),"")</f>
        <v/>
      </c>
      <c r="O433" s="194"/>
      <c r="P433" s="194"/>
      <c r="Q433" s="194"/>
      <c r="R433" s="194"/>
      <c r="S433" s="194"/>
      <c r="T433" s="194"/>
      <c r="U433" s="194"/>
      <c r="V433" s="194"/>
      <c r="W433" s="194"/>
    </row>
    <row r="434" ht="14.25" customHeight="1">
      <c r="A434" s="31"/>
      <c r="B434" s="287"/>
      <c r="C434" s="286"/>
      <c r="D434" s="204"/>
      <c r="E434" s="288"/>
      <c r="F434" s="204"/>
      <c r="G434" s="289"/>
      <c r="H434" s="204"/>
      <c r="I434" s="204"/>
      <c r="J434" s="202"/>
      <c r="K434" s="202"/>
      <c r="L434" s="192" t="str">
        <f>IFERROR(__xludf.DUMMYFUNCTION("IF(
  AND(D434=""Saída"", J434=""Sangria""),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197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94" t="str">
        <f>IFERROR(__xludf.DUMMYFUNCTION("ifna(VALUE(REGEXEXTRACT(E434,""[0-9.]+[,]+[0-9]+"")))"),"")</f>
        <v/>
      </c>
      <c r="O434" s="194"/>
      <c r="P434" s="194"/>
      <c r="Q434" s="194"/>
      <c r="R434" s="194"/>
      <c r="S434" s="194"/>
      <c r="T434" s="194"/>
      <c r="U434" s="194"/>
      <c r="V434" s="194"/>
      <c r="W434" s="194"/>
    </row>
    <row r="435" ht="14.25" customHeight="1">
      <c r="A435" s="31"/>
      <c r="B435" s="287"/>
      <c r="C435" s="286"/>
      <c r="D435" s="204"/>
      <c r="E435" s="288"/>
      <c r="F435" s="204"/>
      <c r="G435" s="289"/>
      <c r="H435" s="204"/>
      <c r="I435" s="204"/>
      <c r="J435" s="202"/>
      <c r="K435" s="202"/>
      <c r="L435" s="192" t="str">
        <f>IFERROR(__xludf.DUMMYFUNCTION("IF(
  AND(D435=""Saída"", J435=""Sangria""),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198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94" t="str">
        <f>IFERROR(__xludf.DUMMYFUNCTION("ifna(VALUE(REGEXEXTRACT(E435,""[0-9.]+[,]+[0-9]+"")))"),"")</f>
        <v/>
      </c>
      <c r="O435" s="194"/>
      <c r="P435" s="194"/>
      <c r="Q435" s="194"/>
      <c r="R435" s="194"/>
      <c r="S435" s="194"/>
      <c r="T435" s="194"/>
      <c r="U435" s="194"/>
      <c r="V435" s="194"/>
      <c r="W435" s="194"/>
    </row>
    <row r="436" ht="14.25" customHeight="1">
      <c r="A436" s="31"/>
      <c r="B436" s="287"/>
      <c r="C436" s="286"/>
      <c r="D436" s="204"/>
      <c r="E436" s="288"/>
      <c r="F436" s="204"/>
      <c r="G436" s="289"/>
      <c r="H436" s="204"/>
      <c r="I436" s="204"/>
      <c r="J436" s="202"/>
      <c r="K436" s="202"/>
      <c r="L436" s="192" t="str">
        <f>IFERROR(__xludf.DUMMYFUNCTION("IF(
  AND(D436=""Saída"", J436=""Sangria""),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197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94" t="str">
        <f>IFERROR(__xludf.DUMMYFUNCTION("ifna(VALUE(REGEXEXTRACT(E436,""[0-9.]+[,]+[0-9]+"")))"),"")</f>
        <v/>
      </c>
      <c r="O436" s="194"/>
      <c r="P436" s="194"/>
      <c r="Q436" s="194"/>
      <c r="R436" s="194"/>
      <c r="S436" s="194"/>
      <c r="T436" s="194"/>
      <c r="U436" s="194"/>
      <c r="V436" s="194"/>
      <c r="W436" s="194"/>
    </row>
    <row r="437" ht="14.25" customHeight="1">
      <c r="A437" s="31"/>
      <c r="B437" s="287"/>
      <c r="C437" s="286"/>
      <c r="D437" s="204"/>
      <c r="E437" s="288"/>
      <c r="F437" s="204"/>
      <c r="G437" s="289"/>
      <c r="H437" s="204"/>
      <c r="I437" s="204"/>
      <c r="J437" s="202"/>
      <c r="K437" s="202"/>
      <c r="L437" s="192" t="str">
        <f>IFERROR(__xludf.DUMMYFUNCTION("IF(
  AND(D437=""Saída"", J437=""Sangria""),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198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94" t="str">
        <f>IFERROR(__xludf.DUMMYFUNCTION("ifna(VALUE(REGEXEXTRACT(E437,""[0-9.]+[,]+[0-9]+"")))"),"")</f>
        <v/>
      </c>
      <c r="O437" s="194"/>
      <c r="P437" s="194"/>
      <c r="Q437" s="194"/>
      <c r="R437" s="194"/>
      <c r="S437" s="194"/>
      <c r="T437" s="194"/>
      <c r="U437" s="194"/>
      <c r="V437" s="194"/>
      <c r="W437" s="194"/>
    </row>
    <row r="438" ht="14.25" customHeight="1">
      <c r="A438" s="31"/>
      <c r="B438" s="287"/>
      <c r="C438" s="286"/>
      <c r="D438" s="204"/>
      <c r="E438" s="288"/>
      <c r="F438" s="204"/>
      <c r="G438" s="289"/>
      <c r="H438" s="204"/>
      <c r="I438" s="204"/>
      <c r="J438" s="202"/>
      <c r="K438" s="202"/>
      <c r="L438" s="192" t="str">
        <f>IFERROR(__xludf.DUMMYFUNCTION("IF(
  AND(D438=""Saída"", J438=""Sangria""),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197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94" t="str">
        <f>IFERROR(__xludf.DUMMYFUNCTION("ifna(VALUE(REGEXEXTRACT(E438,""[0-9.]+[,]+[0-9]+"")))"),"")</f>
        <v/>
      </c>
      <c r="O438" s="194"/>
      <c r="P438" s="194"/>
      <c r="Q438" s="194"/>
      <c r="R438" s="194"/>
      <c r="S438" s="194"/>
      <c r="T438" s="194"/>
      <c r="U438" s="194"/>
      <c r="V438" s="194"/>
      <c r="W438" s="194"/>
    </row>
    <row r="439" ht="14.25" customHeight="1">
      <c r="A439" s="31"/>
      <c r="B439" s="287"/>
      <c r="C439" s="286"/>
      <c r="D439" s="204"/>
      <c r="E439" s="288"/>
      <c r="F439" s="204"/>
      <c r="G439" s="289"/>
      <c r="H439" s="204"/>
      <c r="I439" s="204"/>
      <c r="J439" s="202"/>
      <c r="K439" s="202"/>
      <c r="L439" s="192" t="str">
        <f>IFERROR(__xludf.DUMMYFUNCTION("IF(
  AND(D439=""Saída"", J439=""Sangria""),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198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94" t="str">
        <f>IFERROR(__xludf.DUMMYFUNCTION("ifna(VALUE(REGEXEXTRACT(E439,""[0-9.]+[,]+[0-9]+"")))"),"")</f>
        <v/>
      </c>
      <c r="O439" s="194"/>
      <c r="P439" s="194"/>
      <c r="Q439" s="194"/>
      <c r="R439" s="194"/>
      <c r="S439" s="194"/>
      <c r="T439" s="194"/>
      <c r="U439" s="194"/>
      <c r="V439" s="194"/>
      <c r="W439" s="194"/>
    </row>
    <row r="440" ht="14.25" customHeight="1">
      <c r="A440" s="31"/>
      <c r="B440" s="287"/>
      <c r="C440" s="286"/>
      <c r="D440" s="204"/>
      <c r="E440" s="288"/>
      <c r="F440" s="204"/>
      <c r="G440" s="289"/>
      <c r="H440" s="204"/>
      <c r="I440" s="204"/>
      <c r="J440" s="202"/>
      <c r="K440" s="202"/>
      <c r="L440" s="192" t="str">
        <f>IFERROR(__xludf.DUMMYFUNCTION("IF(
  AND(D440=""Saída"", J440=""Sangria""),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197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94" t="str">
        <f>IFERROR(__xludf.DUMMYFUNCTION("ifna(VALUE(REGEXEXTRACT(E440,""[0-9.]+[,]+[0-9]+"")))"),"")</f>
        <v/>
      </c>
      <c r="O440" s="194"/>
      <c r="P440" s="194"/>
      <c r="Q440" s="194"/>
      <c r="R440" s="194"/>
      <c r="S440" s="194"/>
      <c r="T440" s="194"/>
      <c r="U440" s="194"/>
      <c r="V440" s="194"/>
      <c r="W440" s="194"/>
    </row>
    <row r="441" ht="14.25" customHeight="1">
      <c r="A441" s="31"/>
      <c r="B441" s="287"/>
      <c r="C441" s="286"/>
      <c r="D441" s="204"/>
      <c r="E441" s="288"/>
      <c r="F441" s="204"/>
      <c r="G441" s="289"/>
      <c r="H441" s="204"/>
      <c r="I441" s="204"/>
      <c r="J441" s="202"/>
      <c r="K441" s="202"/>
      <c r="L441" s="192" t="str">
        <f>IFERROR(__xludf.DUMMYFUNCTION("IF(
  AND(D441=""Saída"", J441=""Sangria""),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198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94" t="str">
        <f>IFERROR(__xludf.DUMMYFUNCTION("ifna(VALUE(REGEXEXTRACT(E441,""[0-9.]+[,]+[0-9]+"")))"),"")</f>
        <v/>
      </c>
      <c r="O441" s="194"/>
      <c r="P441" s="194"/>
      <c r="Q441" s="194"/>
      <c r="R441" s="194"/>
      <c r="S441" s="194"/>
      <c r="T441" s="194"/>
      <c r="U441" s="194"/>
      <c r="V441" s="194"/>
      <c r="W441" s="194"/>
    </row>
    <row r="442" ht="14.25" customHeight="1">
      <c r="A442" s="31"/>
      <c r="B442" s="287"/>
      <c r="C442" s="286"/>
      <c r="D442" s="204"/>
      <c r="E442" s="288"/>
      <c r="F442" s="204"/>
      <c r="G442" s="289"/>
      <c r="H442" s="204"/>
      <c r="I442" s="204"/>
      <c r="J442" s="202"/>
      <c r="K442" s="202"/>
      <c r="L442" s="192" t="str">
        <f>IFERROR(__xludf.DUMMYFUNCTION("IF(
  AND(D442=""Saída"", J442=""Sangria""),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197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94" t="str">
        <f>IFERROR(__xludf.DUMMYFUNCTION("ifna(VALUE(REGEXEXTRACT(E442,""[0-9.]+[,]+[0-9]+"")))"),"")</f>
        <v/>
      </c>
      <c r="O442" s="194"/>
      <c r="P442" s="194"/>
      <c r="Q442" s="194"/>
      <c r="R442" s="194"/>
      <c r="S442" s="194"/>
      <c r="T442" s="194"/>
      <c r="U442" s="194"/>
      <c r="V442" s="194"/>
      <c r="W442" s="194"/>
    </row>
    <row r="443" ht="14.25" customHeight="1">
      <c r="A443" s="31"/>
      <c r="B443" s="287"/>
      <c r="C443" s="286"/>
      <c r="D443" s="204"/>
      <c r="E443" s="288"/>
      <c r="F443" s="204"/>
      <c r="G443" s="289"/>
      <c r="H443" s="204"/>
      <c r="I443" s="204"/>
      <c r="J443" s="202"/>
      <c r="K443" s="202"/>
      <c r="L443" s="192" t="str">
        <f>IFERROR(__xludf.DUMMYFUNCTION("IF(
  AND(D443=""Saída"", J443=""Sangria""),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198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94" t="str">
        <f>IFERROR(__xludf.DUMMYFUNCTION("ifna(VALUE(REGEXEXTRACT(E443,""[0-9.]+[,]+[0-9]+"")))"),"")</f>
        <v/>
      </c>
      <c r="O443" s="194"/>
      <c r="P443" s="194"/>
      <c r="Q443" s="194"/>
      <c r="R443" s="194"/>
      <c r="S443" s="194"/>
      <c r="T443" s="194"/>
      <c r="U443" s="194"/>
      <c r="V443" s="194"/>
      <c r="W443" s="194"/>
    </row>
    <row r="444" ht="14.25" customHeight="1">
      <c r="A444" s="31"/>
      <c r="B444" s="287"/>
      <c r="C444" s="286"/>
      <c r="D444" s="204"/>
      <c r="E444" s="288"/>
      <c r="F444" s="204"/>
      <c r="G444" s="289"/>
      <c r="H444" s="204"/>
      <c r="I444" s="204"/>
      <c r="J444" s="202"/>
      <c r="K444" s="202"/>
      <c r="L444" s="192" t="str">
        <f>IFERROR(__xludf.DUMMYFUNCTION("IF(
  AND(D444=""Saída"", J444=""Sangria""),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197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94" t="str">
        <f>IFERROR(__xludf.DUMMYFUNCTION("ifna(VALUE(REGEXEXTRACT(E444,""[0-9.]+[,]+[0-9]+"")))"),"")</f>
        <v/>
      </c>
      <c r="O444" s="194"/>
      <c r="P444" s="194"/>
      <c r="Q444" s="194"/>
      <c r="R444" s="194"/>
      <c r="S444" s="194"/>
      <c r="T444" s="194"/>
      <c r="U444" s="194"/>
      <c r="V444" s="194"/>
      <c r="W444" s="194"/>
    </row>
    <row r="445" ht="14.25" customHeight="1">
      <c r="A445" s="31"/>
      <c r="B445" s="287"/>
      <c r="C445" s="286"/>
      <c r="D445" s="204"/>
      <c r="E445" s="288"/>
      <c r="F445" s="204"/>
      <c r="G445" s="289"/>
      <c r="H445" s="204"/>
      <c r="I445" s="204"/>
      <c r="J445" s="202"/>
      <c r="K445" s="202"/>
      <c r="L445" s="192" t="str">
        <f>IFERROR(__xludf.DUMMYFUNCTION("IF(
  AND(D445=""Saída"", J445=""Sangria""),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198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94" t="str">
        <f>IFERROR(__xludf.DUMMYFUNCTION("ifna(VALUE(REGEXEXTRACT(E445,""[0-9.]+[,]+[0-9]+"")))"),"")</f>
        <v/>
      </c>
      <c r="O445" s="194"/>
      <c r="P445" s="194"/>
      <c r="Q445" s="194"/>
      <c r="R445" s="194"/>
      <c r="S445" s="194"/>
      <c r="T445" s="194"/>
      <c r="U445" s="194"/>
      <c r="V445" s="194"/>
      <c r="W445" s="194"/>
    </row>
    <row r="446" ht="14.25" customHeight="1">
      <c r="A446" s="31"/>
      <c r="B446" s="287"/>
      <c r="C446" s="286"/>
      <c r="D446" s="204"/>
      <c r="E446" s="288"/>
      <c r="F446" s="204"/>
      <c r="G446" s="289"/>
      <c r="H446" s="204"/>
      <c r="I446" s="204"/>
      <c r="J446" s="202"/>
      <c r="K446" s="202"/>
      <c r="L446" s="192" t="str">
        <f>IFERROR(__xludf.DUMMYFUNCTION("IF(
  AND(D446=""Saída"", J446=""Sangria""),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197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94" t="str">
        <f>IFERROR(__xludf.DUMMYFUNCTION("ifna(VALUE(REGEXEXTRACT(E446,""[0-9.]+[,]+[0-9]+"")))"),"")</f>
        <v/>
      </c>
      <c r="O446" s="194"/>
      <c r="P446" s="194"/>
      <c r="Q446" s="194"/>
      <c r="R446" s="194"/>
      <c r="S446" s="194"/>
      <c r="T446" s="194"/>
      <c r="U446" s="194"/>
      <c r="V446" s="194"/>
      <c r="W446" s="194"/>
    </row>
    <row r="447" ht="14.25" customHeight="1">
      <c r="A447" s="31"/>
      <c r="B447" s="287"/>
      <c r="C447" s="286"/>
      <c r="D447" s="204"/>
      <c r="E447" s="288"/>
      <c r="F447" s="204"/>
      <c r="G447" s="289"/>
      <c r="H447" s="204"/>
      <c r="I447" s="204"/>
      <c r="J447" s="202"/>
      <c r="K447" s="202"/>
      <c r="L447" s="192" t="str">
        <f>IFERROR(__xludf.DUMMYFUNCTION("IF(
  AND(D447=""Saída"", J447=""Sangria""),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198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94" t="str">
        <f>IFERROR(__xludf.DUMMYFUNCTION("ifna(VALUE(REGEXEXTRACT(E447,""[0-9.]+[,]+[0-9]+"")))"),"")</f>
        <v/>
      </c>
      <c r="O447" s="194"/>
      <c r="P447" s="194"/>
      <c r="Q447" s="194"/>
      <c r="R447" s="194"/>
      <c r="S447" s="194"/>
      <c r="T447" s="194"/>
      <c r="U447" s="194"/>
      <c r="V447" s="194"/>
      <c r="W447" s="194"/>
    </row>
    <row r="448" ht="14.25" customHeight="1">
      <c r="A448" s="31"/>
      <c r="B448" s="287"/>
      <c r="C448" s="286"/>
      <c r="D448" s="204"/>
      <c r="E448" s="288"/>
      <c r="F448" s="204"/>
      <c r="G448" s="289"/>
      <c r="H448" s="204"/>
      <c r="I448" s="204"/>
      <c r="J448" s="202"/>
      <c r="K448" s="202"/>
      <c r="L448" s="192" t="str">
        <f>IFERROR(__xludf.DUMMYFUNCTION("IF(
  AND(D448=""Saída"", J448=""Sangria""),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197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94" t="str">
        <f>IFERROR(__xludf.DUMMYFUNCTION("ifna(VALUE(REGEXEXTRACT(E448,""[0-9.]+[,]+[0-9]+"")))"),"")</f>
        <v/>
      </c>
      <c r="O448" s="194"/>
      <c r="P448" s="194"/>
      <c r="Q448" s="194"/>
      <c r="R448" s="194"/>
      <c r="S448" s="194"/>
      <c r="T448" s="194"/>
      <c r="U448" s="194"/>
      <c r="V448" s="194"/>
      <c r="W448" s="194"/>
    </row>
    <row r="449" ht="14.25" customHeight="1">
      <c r="A449" s="31"/>
      <c r="B449" s="287"/>
      <c r="C449" s="286"/>
      <c r="D449" s="204"/>
      <c r="E449" s="288"/>
      <c r="F449" s="204"/>
      <c r="G449" s="289"/>
      <c r="H449" s="204"/>
      <c r="I449" s="204"/>
      <c r="J449" s="202"/>
      <c r="K449" s="202"/>
      <c r="L449" s="192" t="str">
        <f>IFERROR(__xludf.DUMMYFUNCTION("IF(
  AND(D449=""Saída"", J449=""Sangria""),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198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94" t="str">
        <f>IFERROR(__xludf.DUMMYFUNCTION("ifna(VALUE(REGEXEXTRACT(E449,""[0-9.]+[,]+[0-9]+"")))"),"")</f>
        <v/>
      </c>
      <c r="O449" s="194"/>
      <c r="P449" s="194"/>
      <c r="Q449" s="194"/>
      <c r="R449" s="194"/>
      <c r="S449" s="194"/>
      <c r="T449" s="194"/>
      <c r="U449" s="194"/>
      <c r="V449" s="194"/>
      <c r="W449" s="194"/>
    </row>
    <row r="450" ht="14.25" customHeight="1">
      <c r="A450" s="31"/>
      <c r="B450" s="287"/>
      <c r="C450" s="286"/>
      <c r="D450" s="204"/>
      <c r="E450" s="288"/>
      <c r="F450" s="204"/>
      <c r="G450" s="289"/>
      <c r="H450" s="204"/>
      <c r="I450" s="204"/>
      <c r="J450" s="202"/>
      <c r="K450" s="202"/>
      <c r="L450" s="192" t="str">
        <f>IFERROR(__xludf.DUMMYFUNCTION("IF(
  AND(D450=""Saída"", J450=""Sangria""),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197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94" t="str">
        <f>IFERROR(__xludf.DUMMYFUNCTION("ifna(VALUE(REGEXEXTRACT(E450,""[0-9.]+[,]+[0-9]+"")))"),"")</f>
        <v/>
      </c>
      <c r="O450" s="194"/>
      <c r="P450" s="194"/>
      <c r="Q450" s="194"/>
      <c r="R450" s="194"/>
      <c r="S450" s="194"/>
      <c r="T450" s="194"/>
      <c r="U450" s="194"/>
      <c r="V450" s="194"/>
      <c r="W450" s="194"/>
    </row>
    <row r="451" ht="14.25" customHeight="1">
      <c r="A451" s="31"/>
      <c r="B451" s="287"/>
      <c r="C451" s="286"/>
      <c r="D451" s="204"/>
      <c r="E451" s="288"/>
      <c r="F451" s="204"/>
      <c r="G451" s="289"/>
      <c r="H451" s="204"/>
      <c r="I451" s="204"/>
      <c r="J451" s="202"/>
      <c r="K451" s="202"/>
      <c r="L451" s="192" t="str">
        <f>IFERROR(__xludf.DUMMYFUNCTION("IF(
  AND(D451=""Saída"", J451=""Sangria""),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198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94" t="str">
        <f>IFERROR(__xludf.DUMMYFUNCTION("ifna(VALUE(REGEXEXTRACT(E451,""[0-9.]+[,]+[0-9]+"")))"),"")</f>
        <v/>
      </c>
      <c r="O451" s="194"/>
      <c r="P451" s="194"/>
      <c r="Q451" s="194"/>
      <c r="R451" s="194"/>
      <c r="S451" s="194"/>
      <c r="T451" s="194"/>
      <c r="U451" s="194"/>
      <c r="V451" s="194"/>
      <c r="W451" s="194"/>
    </row>
    <row r="452" ht="14.25" customHeight="1">
      <c r="A452" s="31"/>
      <c r="B452" s="287"/>
      <c r="C452" s="286"/>
      <c r="D452" s="204"/>
      <c r="E452" s="288"/>
      <c r="F452" s="204"/>
      <c r="G452" s="289"/>
      <c r="H452" s="204"/>
      <c r="I452" s="204"/>
      <c r="J452" s="202"/>
      <c r="K452" s="202"/>
      <c r="L452" s="192" t="str">
        <f>IFERROR(__xludf.DUMMYFUNCTION("IF(
  AND(D452=""Saída"", J452=""Sangria""),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197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94" t="str">
        <f>IFERROR(__xludf.DUMMYFUNCTION("ifna(VALUE(REGEXEXTRACT(E452,""[0-9.]+[,]+[0-9]+"")))"),"")</f>
        <v/>
      </c>
      <c r="O452" s="194"/>
      <c r="P452" s="194"/>
      <c r="Q452" s="194"/>
      <c r="R452" s="194"/>
      <c r="S452" s="194"/>
      <c r="T452" s="194"/>
      <c r="U452" s="194"/>
      <c r="V452" s="194"/>
      <c r="W452" s="194"/>
    </row>
    <row r="453" ht="14.25" customHeight="1">
      <c r="A453" s="31"/>
      <c r="B453" s="287"/>
      <c r="C453" s="286"/>
      <c r="D453" s="204"/>
      <c r="E453" s="288"/>
      <c r="F453" s="204"/>
      <c r="G453" s="289"/>
      <c r="H453" s="204"/>
      <c r="I453" s="204"/>
      <c r="J453" s="202"/>
      <c r="K453" s="202"/>
      <c r="L453" s="192" t="str">
        <f>IFERROR(__xludf.DUMMYFUNCTION("IF(
  AND(D453=""Saída"", J453=""Sangria""),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198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94" t="str">
        <f>IFERROR(__xludf.DUMMYFUNCTION("ifna(VALUE(REGEXEXTRACT(E453,""[0-9.]+[,]+[0-9]+"")))"),"")</f>
        <v/>
      </c>
      <c r="O453" s="194"/>
      <c r="P453" s="194"/>
      <c r="Q453" s="194"/>
      <c r="R453" s="194"/>
      <c r="S453" s="194"/>
      <c r="T453" s="194"/>
      <c r="U453" s="194"/>
      <c r="V453" s="194"/>
      <c r="W453" s="194"/>
    </row>
    <row r="454" ht="14.25" customHeight="1">
      <c r="A454" s="31"/>
      <c r="B454" s="287"/>
      <c r="C454" s="286"/>
      <c r="D454" s="204"/>
      <c r="E454" s="288"/>
      <c r="F454" s="204"/>
      <c r="G454" s="289"/>
      <c r="H454" s="204"/>
      <c r="I454" s="204"/>
      <c r="J454" s="202"/>
      <c r="K454" s="202"/>
      <c r="L454" s="192" t="str">
        <f>IFERROR(__xludf.DUMMYFUNCTION("IF(
  AND(D454=""Saída"", J454=""Sangria""),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197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94" t="str">
        <f>IFERROR(__xludf.DUMMYFUNCTION("ifna(VALUE(REGEXEXTRACT(E454,""[0-9.]+[,]+[0-9]+"")))"),"")</f>
        <v/>
      </c>
      <c r="O454" s="194"/>
      <c r="P454" s="194"/>
      <c r="Q454" s="194"/>
      <c r="R454" s="194"/>
      <c r="S454" s="194"/>
      <c r="T454" s="194"/>
      <c r="U454" s="194"/>
      <c r="V454" s="194"/>
      <c r="W454" s="194"/>
    </row>
    <row r="455" ht="14.25" customHeight="1">
      <c r="A455" s="31"/>
      <c r="B455" s="287"/>
      <c r="C455" s="286"/>
      <c r="D455" s="204"/>
      <c r="E455" s="288"/>
      <c r="F455" s="204"/>
      <c r="G455" s="289"/>
      <c r="H455" s="204"/>
      <c r="I455" s="204"/>
      <c r="J455" s="202"/>
      <c r="K455" s="202"/>
      <c r="L455" s="192" t="str">
        <f>IFERROR(__xludf.DUMMYFUNCTION("IF(
  AND(D455=""Saída"", J455=""Sangria""),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198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94" t="str">
        <f>IFERROR(__xludf.DUMMYFUNCTION("ifna(VALUE(REGEXEXTRACT(E455,""[0-9.]+[,]+[0-9]+"")))"),"")</f>
        <v/>
      </c>
      <c r="O455" s="194"/>
      <c r="P455" s="194"/>
      <c r="Q455" s="194"/>
      <c r="R455" s="194"/>
      <c r="S455" s="194"/>
      <c r="T455" s="194"/>
      <c r="U455" s="194"/>
      <c r="V455" s="194"/>
      <c r="W455" s="194"/>
    </row>
    <row r="456" ht="14.25" customHeight="1">
      <c r="A456" s="31"/>
      <c r="B456" s="287"/>
      <c r="C456" s="286"/>
      <c r="D456" s="204"/>
      <c r="E456" s="288"/>
      <c r="F456" s="204"/>
      <c r="G456" s="289"/>
      <c r="H456" s="204"/>
      <c r="I456" s="204"/>
      <c r="J456" s="202"/>
      <c r="K456" s="202"/>
      <c r="L456" s="192" t="str">
        <f>IFERROR(__xludf.DUMMYFUNCTION("IF(
  AND(D456=""Saída"", J456=""Sangria""),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197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94" t="str">
        <f>IFERROR(__xludf.DUMMYFUNCTION("ifna(VALUE(REGEXEXTRACT(E456,""[0-9.]+[,]+[0-9]+"")))"),"")</f>
        <v/>
      </c>
      <c r="O456" s="194"/>
      <c r="P456" s="194"/>
      <c r="Q456" s="194"/>
      <c r="R456" s="194"/>
      <c r="S456" s="194"/>
      <c r="T456" s="194"/>
      <c r="U456" s="194"/>
      <c r="V456" s="194"/>
      <c r="W456" s="194"/>
    </row>
    <row r="457" ht="14.25" customHeight="1">
      <c r="A457" s="31"/>
      <c r="B457" s="287"/>
      <c r="C457" s="286"/>
      <c r="D457" s="204"/>
      <c r="E457" s="288"/>
      <c r="F457" s="204"/>
      <c r="G457" s="289"/>
      <c r="H457" s="204"/>
      <c r="I457" s="204"/>
      <c r="J457" s="202"/>
      <c r="K457" s="202"/>
      <c r="L457" s="192" t="str">
        <f>IFERROR(__xludf.DUMMYFUNCTION("IF(
  AND(D457=""Saída"", J457=""Sangria""),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198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94" t="str">
        <f>IFERROR(__xludf.DUMMYFUNCTION("ifna(VALUE(REGEXEXTRACT(E457,""[0-9.]+[,]+[0-9]+"")))"),"")</f>
        <v/>
      </c>
      <c r="O457" s="194"/>
      <c r="P457" s="194"/>
      <c r="Q457" s="194"/>
      <c r="R457" s="194"/>
      <c r="S457" s="194"/>
      <c r="T457" s="194"/>
      <c r="U457" s="194"/>
      <c r="V457" s="194"/>
      <c r="W457" s="194"/>
    </row>
    <row r="458" ht="14.25" customHeight="1">
      <c r="A458" s="31"/>
      <c r="B458" s="287"/>
      <c r="C458" s="286"/>
      <c r="D458" s="204"/>
      <c r="E458" s="288"/>
      <c r="F458" s="204"/>
      <c r="G458" s="289"/>
      <c r="H458" s="204"/>
      <c r="I458" s="204"/>
      <c r="J458" s="202"/>
      <c r="K458" s="202"/>
      <c r="L458" s="192" t="str">
        <f>IFERROR(__xludf.DUMMYFUNCTION("IF(
  AND(D458=""Saída"", J458=""Sangria""),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197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94" t="str">
        <f>IFERROR(__xludf.DUMMYFUNCTION("ifna(VALUE(REGEXEXTRACT(E458,""[0-9.]+[,]+[0-9]+"")))"),"")</f>
        <v/>
      </c>
      <c r="O458" s="194"/>
      <c r="P458" s="194"/>
      <c r="Q458" s="194"/>
      <c r="R458" s="194"/>
      <c r="S458" s="194"/>
      <c r="T458" s="194"/>
      <c r="U458" s="194"/>
      <c r="V458" s="194"/>
      <c r="W458" s="194"/>
    </row>
    <row r="459" ht="14.25" customHeight="1">
      <c r="A459" s="31"/>
      <c r="B459" s="287"/>
      <c r="C459" s="286"/>
      <c r="D459" s="204"/>
      <c r="E459" s="288"/>
      <c r="F459" s="204"/>
      <c r="G459" s="289"/>
      <c r="H459" s="204"/>
      <c r="I459" s="204"/>
      <c r="J459" s="202"/>
      <c r="K459" s="202"/>
      <c r="L459" s="192" t="str">
        <f>IFERROR(__xludf.DUMMYFUNCTION("IF(
  AND(D459=""Saída"", J459=""Sangria""),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198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94" t="str">
        <f>IFERROR(__xludf.DUMMYFUNCTION("ifna(VALUE(REGEXEXTRACT(E459,""[0-9.]+[,]+[0-9]+"")))"),"")</f>
        <v/>
      </c>
      <c r="O459" s="194"/>
      <c r="P459" s="194"/>
      <c r="Q459" s="194"/>
      <c r="R459" s="194"/>
      <c r="S459" s="194"/>
      <c r="T459" s="194"/>
      <c r="U459" s="194"/>
      <c r="V459" s="194"/>
      <c r="W459" s="194"/>
    </row>
    <row r="460" ht="14.25" customHeight="1">
      <c r="A460" s="31"/>
      <c r="B460" s="287"/>
      <c r="C460" s="286"/>
      <c r="D460" s="204"/>
      <c r="E460" s="288"/>
      <c r="F460" s="204"/>
      <c r="G460" s="289"/>
      <c r="H460" s="204"/>
      <c r="I460" s="204"/>
      <c r="J460" s="202"/>
      <c r="K460" s="202"/>
      <c r="L460" s="192" t="str">
        <f>IFERROR(__xludf.DUMMYFUNCTION("IF(
  AND(D460=""Saída"", J460=""Sangria""),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197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94" t="str">
        <f>IFERROR(__xludf.DUMMYFUNCTION("ifna(VALUE(REGEXEXTRACT(E460,""[0-9.]+[,]+[0-9]+"")))"),"")</f>
        <v/>
      </c>
      <c r="O460" s="194"/>
      <c r="P460" s="194"/>
      <c r="Q460" s="194"/>
      <c r="R460" s="194"/>
      <c r="S460" s="194"/>
      <c r="T460" s="194"/>
      <c r="U460" s="194"/>
      <c r="V460" s="194"/>
      <c r="W460" s="194"/>
    </row>
    <row r="461" ht="14.25" customHeight="1">
      <c r="A461" s="31"/>
      <c r="B461" s="287"/>
      <c r="C461" s="286"/>
      <c r="D461" s="204"/>
      <c r="E461" s="288"/>
      <c r="F461" s="204"/>
      <c r="G461" s="289"/>
      <c r="H461" s="204"/>
      <c r="I461" s="204"/>
      <c r="J461" s="202"/>
      <c r="K461" s="202"/>
      <c r="L461" s="192" t="str">
        <f>IFERROR(__xludf.DUMMYFUNCTION("IF(
  AND(D461=""Saída"", J461=""Sangria""),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198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94" t="str">
        <f>IFERROR(__xludf.DUMMYFUNCTION("ifna(VALUE(REGEXEXTRACT(E461,""[0-9.]+[,]+[0-9]+"")))"),"")</f>
        <v/>
      </c>
      <c r="O461" s="194"/>
      <c r="P461" s="194"/>
      <c r="Q461" s="194"/>
      <c r="R461" s="194"/>
      <c r="S461" s="194"/>
      <c r="T461" s="194"/>
      <c r="U461" s="194"/>
      <c r="V461" s="194"/>
      <c r="W461" s="194"/>
    </row>
    <row r="462" ht="14.25" customHeight="1">
      <c r="A462" s="31"/>
      <c r="B462" s="287"/>
      <c r="C462" s="286"/>
      <c r="D462" s="204"/>
      <c r="E462" s="288"/>
      <c r="F462" s="204"/>
      <c r="G462" s="289"/>
      <c r="H462" s="204"/>
      <c r="I462" s="204"/>
      <c r="J462" s="202"/>
      <c r="K462" s="202"/>
      <c r="L462" s="192" t="str">
        <f>IFERROR(__xludf.DUMMYFUNCTION("IF(
  AND(D462=""Saída"", J462=""Sangria""),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197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94" t="str">
        <f>IFERROR(__xludf.DUMMYFUNCTION("ifna(VALUE(REGEXEXTRACT(E462,""[0-9.]+[,]+[0-9]+"")))"),"")</f>
        <v/>
      </c>
      <c r="O462" s="194"/>
      <c r="P462" s="194"/>
      <c r="Q462" s="194"/>
      <c r="R462" s="194"/>
      <c r="S462" s="194"/>
      <c r="T462" s="194"/>
      <c r="U462" s="194"/>
      <c r="V462" s="194"/>
      <c r="W462" s="194"/>
    </row>
    <row r="463" ht="14.25" customHeight="1">
      <c r="A463" s="31"/>
      <c r="B463" s="287"/>
      <c r="C463" s="286"/>
      <c r="D463" s="204"/>
      <c r="E463" s="288"/>
      <c r="F463" s="204"/>
      <c r="G463" s="289"/>
      <c r="H463" s="204"/>
      <c r="I463" s="204"/>
      <c r="J463" s="202"/>
      <c r="K463" s="202"/>
      <c r="L463" s="192" t="str">
        <f>IFERROR(__xludf.DUMMYFUNCTION("IF(
  AND(D463=""Saída"", J463=""Sangria""),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198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94" t="str">
        <f>IFERROR(__xludf.DUMMYFUNCTION("ifna(VALUE(REGEXEXTRACT(E463,""[0-9.]+[,]+[0-9]+"")))"),"")</f>
        <v/>
      </c>
      <c r="O463" s="194"/>
      <c r="P463" s="194"/>
      <c r="Q463" s="194"/>
      <c r="R463" s="194"/>
      <c r="S463" s="194"/>
      <c r="T463" s="194"/>
      <c r="U463" s="194"/>
      <c r="V463" s="194"/>
      <c r="W463" s="194"/>
    </row>
    <row r="464" ht="14.25" customHeight="1">
      <c r="A464" s="31"/>
      <c r="B464" s="287"/>
      <c r="C464" s="286"/>
      <c r="D464" s="204"/>
      <c r="E464" s="288"/>
      <c r="F464" s="204"/>
      <c r="G464" s="289"/>
      <c r="H464" s="204"/>
      <c r="I464" s="204"/>
      <c r="J464" s="202"/>
      <c r="K464" s="202"/>
      <c r="L464" s="192" t="str">
        <f>IFERROR(__xludf.DUMMYFUNCTION("IF(
  AND(D464=""Saída"", J464=""Sangria""),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197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94" t="str">
        <f>IFERROR(__xludf.DUMMYFUNCTION("ifna(VALUE(REGEXEXTRACT(E464,""[0-9.]+[,]+[0-9]+"")))"),"")</f>
        <v/>
      </c>
      <c r="O464" s="194"/>
      <c r="P464" s="194"/>
      <c r="Q464" s="194"/>
      <c r="R464" s="194"/>
      <c r="S464" s="194"/>
      <c r="T464" s="194"/>
      <c r="U464" s="194"/>
      <c r="V464" s="194"/>
      <c r="W464" s="194"/>
    </row>
    <row r="465" ht="14.25" customHeight="1">
      <c r="A465" s="31"/>
      <c r="B465" s="287"/>
      <c r="C465" s="286"/>
      <c r="D465" s="204"/>
      <c r="E465" s="288"/>
      <c r="F465" s="204"/>
      <c r="G465" s="289"/>
      <c r="H465" s="204"/>
      <c r="I465" s="204"/>
      <c r="J465" s="202"/>
      <c r="K465" s="202"/>
      <c r="L465" s="192" t="str">
        <f>IFERROR(__xludf.DUMMYFUNCTION("IF(
  AND(D465=""Saída"", J465=""Sangria""),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198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94" t="str">
        <f>IFERROR(__xludf.DUMMYFUNCTION("ifna(VALUE(REGEXEXTRACT(E465,""[0-9.]+[,]+[0-9]+"")))"),"")</f>
        <v/>
      </c>
      <c r="O465" s="194"/>
      <c r="P465" s="194"/>
      <c r="Q465" s="194"/>
      <c r="R465" s="194"/>
      <c r="S465" s="194"/>
      <c r="T465" s="194"/>
      <c r="U465" s="194"/>
      <c r="V465" s="194"/>
      <c r="W465" s="194"/>
    </row>
    <row r="466" ht="14.25" customHeight="1">
      <c r="A466" s="31"/>
      <c r="B466" s="287"/>
      <c r="C466" s="286"/>
      <c r="D466" s="204"/>
      <c r="E466" s="288"/>
      <c r="F466" s="204"/>
      <c r="G466" s="289"/>
      <c r="H466" s="204"/>
      <c r="I466" s="204"/>
      <c r="J466" s="202"/>
      <c r="K466" s="202"/>
      <c r="L466" s="192" t="str">
        <f>IFERROR(__xludf.DUMMYFUNCTION("IF(
  AND(D466=""Saída"", J466=""Sangria""),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197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94" t="str">
        <f>IFERROR(__xludf.DUMMYFUNCTION("ifna(VALUE(REGEXEXTRACT(E466,""[0-9.]+[,]+[0-9]+"")))"),"")</f>
        <v/>
      </c>
      <c r="O466" s="194"/>
      <c r="P466" s="194"/>
      <c r="Q466" s="194"/>
      <c r="R466" s="194"/>
      <c r="S466" s="194"/>
      <c r="T466" s="194"/>
      <c r="U466" s="194"/>
      <c r="V466" s="194"/>
      <c r="W466" s="194"/>
    </row>
    <row r="467" ht="14.25" customHeight="1">
      <c r="A467" s="31"/>
      <c r="B467" s="287"/>
      <c r="C467" s="286"/>
      <c r="D467" s="204"/>
      <c r="E467" s="288"/>
      <c r="F467" s="204"/>
      <c r="G467" s="289"/>
      <c r="H467" s="204"/>
      <c r="I467" s="204"/>
      <c r="J467" s="202"/>
      <c r="K467" s="202"/>
      <c r="L467" s="192" t="str">
        <f>IFERROR(__xludf.DUMMYFUNCTION("IF(
  AND(D467=""Saída"", J467=""Sangria""),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198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94" t="str">
        <f>IFERROR(__xludf.DUMMYFUNCTION("ifna(VALUE(REGEXEXTRACT(E467,""[0-9.]+[,]+[0-9]+"")))"),"")</f>
        <v/>
      </c>
      <c r="O467" s="194"/>
      <c r="P467" s="194"/>
      <c r="Q467" s="194"/>
      <c r="R467" s="194"/>
      <c r="S467" s="194"/>
      <c r="T467" s="194"/>
      <c r="U467" s="194"/>
      <c r="V467" s="194"/>
      <c r="W467" s="194"/>
    </row>
    <row r="468" ht="14.25" customHeight="1">
      <c r="A468" s="31"/>
      <c r="B468" s="287"/>
      <c r="C468" s="286"/>
      <c r="D468" s="204"/>
      <c r="E468" s="288"/>
      <c r="F468" s="204"/>
      <c r="G468" s="289"/>
      <c r="H468" s="204"/>
      <c r="I468" s="204"/>
      <c r="J468" s="202"/>
      <c r="K468" s="202"/>
      <c r="L468" s="192" t="str">
        <f>IFERROR(__xludf.DUMMYFUNCTION("IF(
  AND(D468=""Saída"", J468=""Sangria""),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197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94" t="str">
        <f>IFERROR(__xludf.DUMMYFUNCTION("ifna(VALUE(REGEXEXTRACT(E468,""[0-9.]+[,]+[0-9]+"")))"),"")</f>
        <v/>
      </c>
      <c r="O468" s="194"/>
      <c r="P468" s="194"/>
      <c r="Q468" s="194"/>
      <c r="R468" s="194"/>
      <c r="S468" s="194"/>
      <c r="T468" s="194"/>
      <c r="U468" s="194"/>
      <c r="V468" s="194"/>
      <c r="W468" s="194"/>
    </row>
    <row r="469" ht="14.25" customHeight="1">
      <c r="A469" s="31"/>
      <c r="B469" s="287"/>
      <c r="C469" s="286"/>
      <c r="D469" s="204"/>
      <c r="E469" s="288"/>
      <c r="F469" s="204"/>
      <c r="G469" s="289"/>
      <c r="H469" s="204"/>
      <c r="I469" s="204"/>
      <c r="J469" s="202"/>
      <c r="K469" s="202"/>
      <c r="L469" s="192" t="str">
        <f>IFERROR(__xludf.DUMMYFUNCTION("IF(
  AND(D469=""Saída"", J469=""Sangria""),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198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94" t="str">
        <f>IFERROR(__xludf.DUMMYFUNCTION("ifna(VALUE(REGEXEXTRACT(E469,""[0-9.]+[,]+[0-9]+"")))"),"")</f>
        <v/>
      </c>
      <c r="O469" s="194"/>
      <c r="P469" s="194"/>
      <c r="Q469" s="194"/>
      <c r="R469" s="194"/>
      <c r="S469" s="194"/>
      <c r="T469" s="194"/>
      <c r="U469" s="194"/>
      <c r="V469" s="194"/>
      <c r="W469" s="194"/>
    </row>
    <row r="470" ht="14.25" customHeight="1">
      <c r="A470" s="31"/>
      <c r="B470" s="287"/>
      <c r="C470" s="286"/>
      <c r="D470" s="204"/>
      <c r="E470" s="288"/>
      <c r="F470" s="204"/>
      <c r="G470" s="289"/>
      <c r="H470" s="204"/>
      <c r="I470" s="204"/>
      <c r="J470" s="202"/>
      <c r="K470" s="202"/>
      <c r="L470" s="192" t="str">
        <f>IFERROR(__xludf.DUMMYFUNCTION("IF(
  AND(D470=""Saída"", J470=""Sangria""),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197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94" t="str">
        <f>IFERROR(__xludf.DUMMYFUNCTION("ifna(VALUE(REGEXEXTRACT(E470,""[0-9.]+[,]+[0-9]+"")))"),"")</f>
        <v/>
      </c>
      <c r="O470" s="194"/>
      <c r="P470" s="194"/>
      <c r="Q470" s="194"/>
      <c r="R470" s="194"/>
      <c r="S470" s="194"/>
      <c r="T470" s="194"/>
      <c r="U470" s="194"/>
      <c r="V470" s="194"/>
      <c r="W470" s="194"/>
    </row>
    <row r="471" ht="14.25" customHeight="1">
      <c r="A471" s="31"/>
      <c r="B471" s="287"/>
      <c r="C471" s="286"/>
      <c r="D471" s="204"/>
      <c r="E471" s="288"/>
      <c r="F471" s="204"/>
      <c r="G471" s="289"/>
      <c r="H471" s="204"/>
      <c r="I471" s="204"/>
      <c r="J471" s="202"/>
      <c r="K471" s="202"/>
      <c r="L471" s="192" t="str">
        <f>IFERROR(__xludf.DUMMYFUNCTION("IF(
  AND(D471=""Saída"", J471=""Sangria""),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198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94" t="str">
        <f>IFERROR(__xludf.DUMMYFUNCTION("ifna(VALUE(REGEXEXTRACT(E471,""[0-9.]+[,]+[0-9]+"")))"),"")</f>
        <v/>
      </c>
      <c r="O471" s="194"/>
      <c r="P471" s="194"/>
      <c r="Q471" s="194"/>
      <c r="R471" s="194"/>
      <c r="S471" s="194"/>
      <c r="T471" s="194"/>
      <c r="U471" s="194"/>
      <c r="V471" s="194"/>
      <c r="W471" s="194"/>
    </row>
    <row r="472" ht="14.25" customHeight="1">
      <c r="A472" s="31"/>
      <c r="B472" s="287"/>
      <c r="C472" s="286"/>
      <c r="D472" s="204"/>
      <c r="E472" s="288"/>
      <c r="F472" s="204"/>
      <c r="G472" s="289"/>
      <c r="H472" s="204"/>
      <c r="I472" s="204"/>
      <c r="J472" s="202"/>
      <c r="K472" s="202"/>
      <c r="L472" s="192" t="str">
        <f>IFERROR(__xludf.DUMMYFUNCTION("IF(
  AND(D472=""Saída"", J472=""Sangria""),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197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94" t="str">
        <f>IFERROR(__xludf.DUMMYFUNCTION("ifna(VALUE(REGEXEXTRACT(E472,""[0-9.]+[,]+[0-9]+"")))"),"")</f>
        <v/>
      </c>
      <c r="O472" s="194"/>
      <c r="P472" s="194"/>
      <c r="Q472" s="194"/>
      <c r="R472" s="194"/>
      <c r="S472" s="194"/>
      <c r="T472" s="194"/>
      <c r="U472" s="194"/>
      <c r="V472" s="194"/>
      <c r="W472" s="194"/>
    </row>
    <row r="473" ht="14.25" customHeight="1">
      <c r="A473" s="31"/>
      <c r="B473" s="287"/>
      <c r="C473" s="286"/>
      <c r="D473" s="204"/>
      <c r="E473" s="288"/>
      <c r="F473" s="204"/>
      <c r="G473" s="289"/>
      <c r="H473" s="204"/>
      <c r="I473" s="204"/>
      <c r="J473" s="202"/>
      <c r="K473" s="202"/>
      <c r="L473" s="192" t="str">
        <f>IFERROR(__xludf.DUMMYFUNCTION("IF(
  AND(D473=""Saída"", J473=""Sangria""),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198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94" t="str">
        <f>IFERROR(__xludf.DUMMYFUNCTION("ifna(VALUE(REGEXEXTRACT(E473,""[0-9.]+[,]+[0-9]+"")))"),"")</f>
        <v/>
      </c>
      <c r="O473" s="194"/>
      <c r="P473" s="194"/>
      <c r="Q473" s="194"/>
      <c r="R473" s="194"/>
      <c r="S473" s="194"/>
      <c r="T473" s="194"/>
      <c r="U473" s="194"/>
      <c r="V473" s="194"/>
      <c r="W473" s="194"/>
    </row>
    <row r="474" ht="14.25" customHeight="1">
      <c r="A474" s="31"/>
      <c r="B474" s="287"/>
      <c r="C474" s="286"/>
      <c r="D474" s="204"/>
      <c r="E474" s="288"/>
      <c r="F474" s="204"/>
      <c r="G474" s="289"/>
      <c r="H474" s="204"/>
      <c r="I474" s="204"/>
      <c r="J474" s="202"/>
      <c r="K474" s="202"/>
      <c r="L474" s="192" t="str">
        <f>IFERROR(__xludf.DUMMYFUNCTION("IF(
  AND(D474=""Saída"", J474=""Sangria""),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197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94" t="str">
        <f>IFERROR(__xludf.DUMMYFUNCTION("ifna(VALUE(REGEXEXTRACT(E474,""[0-9.]+[,]+[0-9]+"")))"),"")</f>
        <v/>
      </c>
      <c r="O474" s="194"/>
      <c r="P474" s="194"/>
      <c r="Q474" s="194"/>
      <c r="R474" s="194"/>
      <c r="S474" s="194"/>
      <c r="T474" s="194"/>
      <c r="U474" s="194"/>
      <c r="V474" s="194"/>
      <c r="W474" s="194"/>
    </row>
    <row r="475" ht="14.25" customHeight="1">
      <c r="A475" s="31"/>
      <c r="B475" s="287"/>
      <c r="C475" s="286"/>
      <c r="D475" s="204"/>
      <c r="E475" s="288"/>
      <c r="F475" s="204"/>
      <c r="G475" s="289"/>
      <c r="H475" s="204"/>
      <c r="I475" s="204"/>
      <c r="J475" s="202"/>
      <c r="K475" s="202"/>
      <c r="L475" s="192" t="str">
        <f>IFERROR(__xludf.DUMMYFUNCTION("IF(
  AND(D475=""Saída"", J475=""Sangria""),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198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94" t="str">
        <f>IFERROR(__xludf.DUMMYFUNCTION("ifna(VALUE(REGEXEXTRACT(E475,""[0-9.]+[,]+[0-9]+"")))"),"")</f>
        <v/>
      </c>
      <c r="O475" s="194"/>
      <c r="P475" s="194"/>
      <c r="Q475" s="194"/>
      <c r="R475" s="194"/>
      <c r="S475" s="194"/>
      <c r="T475" s="194"/>
      <c r="U475" s="194"/>
      <c r="V475" s="194"/>
      <c r="W475" s="194"/>
    </row>
    <row r="476" ht="14.25" customHeight="1">
      <c r="A476" s="31"/>
      <c r="B476" s="287"/>
      <c r="C476" s="286"/>
      <c r="D476" s="204"/>
      <c r="E476" s="288"/>
      <c r="F476" s="204"/>
      <c r="G476" s="289"/>
      <c r="H476" s="204"/>
      <c r="I476" s="204"/>
      <c r="J476" s="202"/>
      <c r="K476" s="202"/>
      <c r="L476" s="192" t="str">
        <f>IFERROR(__xludf.DUMMYFUNCTION("IF(
  AND(D476=""Saída"", J476=""Sangria""),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197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94" t="str">
        <f>IFERROR(__xludf.DUMMYFUNCTION("ifna(VALUE(REGEXEXTRACT(E476,""[0-9.]+[,]+[0-9]+"")))"),"")</f>
        <v/>
      </c>
      <c r="O476" s="194"/>
      <c r="P476" s="194"/>
      <c r="Q476" s="194"/>
      <c r="R476" s="194"/>
      <c r="S476" s="194"/>
      <c r="T476" s="194"/>
      <c r="U476" s="194"/>
      <c r="V476" s="194"/>
      <c r="W476" s="194"/>
    </row>
    <row r="477" ht="14.25" customHeight="1">
      <c r="A477" s="31"/>
      <c r="B477" s="287"/>
      <c r="C477" s="286"/>
      <c r="D477" s="204"/>
      <c r="E477" s="288"/>
      <c r="F477" s="204"/>
      <c r="G477" s="289"/>
      <c r="H477" s="204"/>
      <c r="I477" s="204"/>
      <c r="J477" s="202"/>
      <c r="K477" s="202"/>
      <c r="L477" s="192" t="str">
        <f>IFERROR(__xludf.DUMMYFUNCTION("IF(
  AND(D477=""Saída"", J477=""Sangria""),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198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94" t="str">
        <f>IFERROR(__xludf.DUMMYFUNCTION("ifna(VALUE(REGEXEXTRACT(E477,""[0-9.]+[,]+[0-9]+"")))"),"")</f>
        <v/>
      </c>
      <c r="O477" s="194"/>
      <c r="P477" s="194"/>
      <c r="Q477" s="194"/>
      <c r="R477" s="194"/>
      <c r="S477" s="194"/>
      <c r="T477" s="194"/>
      <c r="U477" s="194"/>
      <c r="V477" s="194"/>
      <c r="W477" s="194"/>
    </row>
    <row r="478" ht="14.25" customHeight="1">
      <c r="A478" s="31"/>
      <c r="B478" s="287"/>
      <c r="C478" s="286"/>
      <c r="D478" s="204"/>
      <c r="E478" s="288"/>
      <c r="F478" s="204"/>
      <c r="G478" s="289"/>
      <c r="H478" s="204"/>
      <c r="I478" s="204"/>
      <c r="J478" s="202"/>
      <c r="K478" s="202"/>
      <c r="L478" s="192" t="str">
        <f>IFERROR(__xludf.DUMMYFUNCTION("IF(
  AND(D478=""Saída"", J478=""Sangria""),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197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94" t="str">
        <f>IFERROR(__xludf.DUMMYFUNCTION("ifna(VALUE(REGEXEXTRACT(E478,""[0-9.]+[,]+[0-9]+"")))"),"")</f>
        <v/>
      </c>
      <c r="O478" s="194"/>
      <c r="P478" s="194"/>
      <c r="Q478" s="194"/>
      <c r="R478" s="194"/>
      <c r="S478" s="194"/>
      <c r="T478" s="194"/>
      <c r="U478" s="194"/>
      <c r="V478" s="194"/>
      <c r="W478" s="194"/>
    </row>
    <row r="479" ht="14.25" customHeight="1">
      <c r="A479" s="31"/>
      <c r="B479" s="287"/>
      <c r="C479" s="286"/>
      <c r="D479" s="204"/>
      <c r="E479" s="288"/>
      <c r="F479" s="204"/>
      <c r="G479" s="289"/>
      <c r="H479" s="204"/>
      <c r="I479" s="204"/>
      <c r="J479" s="202"/>
      <c r="K479" s="202"/>
      <c r="L479" s="192" t="str">
        <f>IFERROR(__xludf.DUMMYFUNCTION("IF(
  AND(D479=""Saída"", J479=""Sangria""),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198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94" t="str">
        <f>IFERROR(__xludf.DUMMYFUNCTION("ifna(VALUE(REGEXEXTRACT(E479,""[0-9.]+[,]+[0-9]+"")))"),"")</f>
        <v/>
      </c>
      <c r="O479" s="194"/>
      <c r="P479" s="194"/>
      <c r="Q479" s="194"/>
      <c r="R479" s="194"/>
      <c r="S479" s="194"/>
      <c r="T479" s="194"/>
      <c r="U479" s="194"/>
      <c r="V479" s="194"/>
      <c r="W479" s="194"/>
    </row>
    <row r="480" ht="14.25" customHeight="1">
      <c r="A480" s="31"/>
      <c r="B480" s="287"/>
      <c r="C480" s="286"/>
      <c r="D480" s="204"/>
      <c r="E480" s="288"/>
      <c r="F480" s="204"/>
      <c r="G480" s="289"/>
      <c r="H480" s="204"/>
      <c r="I480" s="204"/>
      <c r="J480" s="202"/>
      <c r="K480" s="202"/>
      <c r="L480" s="192" t="str">
        <f>IFERROR(__xludf.DUMMYFUNCTION("IF(
  AND(D480=""Saída"", J480=""Sangria""),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197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94" t="str">
        <f>IFERROR(__xludf.DUMMYFUNCTION("ifna(VALUE(REGEXEXTRACT(E480,""[0-9.]+[,]+[0-9]+"")))"),"")</f>
        <v/>
      </c>
      <c r="O480" s="194"/>
      <c r="P480" s="194"/>
      <c r="Q480" s="194"/>
      <c r="R480" s="194"/>
      <c r="S480" s="194"/>
      <c r="T480" s="194"/>
      <c r="U480" s="194"/>
      <c r="V480" s="194"/>
      <c r="W480" s="194"/>
    </row>
    <row r="481" ht="14.25" customHeight="1">
      <c r="A481" s="31"/>
      <c r="B481" s="287"/>
      <c r="C481" s="286"/>
      <c r="D481" s="204"/>
      <c r="E481" s="288"/>
      <c r="F481" s="204"/>
      <c r="G481" s="289"/>
      <c r="H481" s="204"/>
      <c r="I481" s="204"/>
      <c r="J481" s="202"/>
      <c r="K481" s="202"/>
      <c r="L481" s="192" t="str">
        <f>IFERROR(__xludf.DUMMYFUNCTION("IF(
  AND(D481=""Saída"", J481=""Sangria""),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198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94" t="str">
        <f>IFERROR(__xludf.DUMMYFUNCTION("ifna(VALUE(REGEXEXTRACT(E481,""[0-9.]+[,]+[0-9]+"")))"),"")</f>
        <v/>
      </c>
      <c r="O481" s="194"/>
      <c r="P481" s="194"/>
      <c r="Q481" s="194"/>
      <c r="R481" s="194"/>
      <c r="S481" s="194"/>
      <c r="T481" s="194"/>
      <c r="U481" s="194"/>
      <c r="V481" s="194"/>
      <c r="W481" s="194"/>
    </row>
    <row r="482" ht="14.25" customHeight="1">
      <c r="A482" s="31"/>
      <c r="B482" s="287"/>
      <c r="C482" s="286"/>
      <c r="D482" s="204"/>
      <c r="E482" s="288"/>
      <c r="F482" s="204"/>
      <c r="G482" s="289"/>
      <c r="H482" s="204"/>
      <c r="I482" s="204"/>
      <c r="J482" s="202"/>
      <c r="K482" s="202"/>
      <c r="L482" s="192" t="str">
        <f>IFERROR(__xludf.DUMMYFUNCTION("IF(
  AND(D482=""Saída"", J482=""Sangria""),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197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94" t="str">
        <f>IFERROR(__xludf.DUMMYFUNCTION("ifna(VALUE(REGEXEXTRACT(E482,""[0-9.]+[,]+[0-9]+"")))"),"")</f>
        <v/>
      </c>
      <c r="O482" s="194"/>
      <c r="P482" s="194"/>
      <c r="Q482" s="194"/>
      <c r="R482" s="194"/>
      <c r="S482" s="194"/>
      <c r="T482" s="194"/>
      <c r="U482" s="194"/>
      <c r="V482" s="194"/>
      <c r="W482" s="194"/>
    </row>
    <row r="483" ht="14.25" customHeight="1">
      <c r="A483" s="31"/>
      <c r="B483" s="287"/>
      <c r="C483" s="286"/>
      <c r="D483" s="204"/>
      <c r="E483" s="288"/>
      <c r="F483" s="204"/>
      <c r="G483" s="289"/>
      <c r="H483" s="204"/>
      <c r="I483" s="204"/>
      <c r="J483" s="202"/>
      <c r="K483" s="202"/>
      <c r="L483" s="192" t="str">
        <f>IFERROR(__xludf.DUMMYFUNCTION("IF(
  AND(D483=""Saída"", J483=""Sangria""),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198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94" t="str">
        <f>IFERROR(__xludf.DUMMYFUNCTION("ifna(VALUE(REGEXEXTRACT(E483,""[0-9.]+[,]+[0-9]+"")))"),"")</f>
        <v/>
      </c>
      <c r="O483" s="194"/>
      <c r="P483" s="194"/>
      <c r="Q483" s="194"/>
      <c r="R483" s="194"/>
      <c r="S483" s="194"/>
      <c r="T483" s="194"/>
      <c r="U483" s="194"/>
      <c r="V483" s="194"/>
      <c r="W483" s="194"/>
    </row>
    <row r="484" ht="14.25" customHeight="1">
      <c r="A484" s="31"/>
      <c r="B484" s="287"/>
      <c r="C484" s="286"/>
      <c r="D484" s="204"/>
      <c r="E484" s="288"/>
      <c r="F484" s="204"/>
      <c r="G484" s="289"/>
      <c r="H484" s="204"/>
      <c r="I484" s="204"/>
      <c r="J484" s="202"/>
      <c r="K484" s="202"/>
      <c r="L484" s="192" t="str">
        <f>IFERROR(__xludf.DUMMYFUNCTION("IF(
  AND(D484=""Saída"", J484=""Sangria""),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197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94" t="str">
        <f>IFERROR(__xludf.DUMMYFUNCTION("ifna(VALUE(REGEXEXTRACT(E484,""[0-9.]+[,]+[0-9]+"")))"),"")</f>
        <v/>
      </c>
      <c r="O484" s="194"/>
      <c r="P484" s="194"/>
      <c r="Q484" s="194"/>
      <c r="R484" s="194"/>
      <c r="S484" s="194"/>
      <c r="T484" s="194"/>
      <c r="U484" s="194"/>
      <c r="V484" s="194"/>
      <c r="W484" s="194"/>
    </row>
    <row r="485" ht="14.25" customHeight="1">
      <c r="A485" s="31"/>
      <c r="B485" s="287"/>
      <c r="C485" s="286"/>
      <c r="D485" s="204"/>
      <c r="E485" s="288"/>
      <c r="F485" s="204"/>
      <c r="G485" s="289"/>
      <c r="H485" s="204"/>
      <c r="I485" s="204"/>
      <c r="J485" s="202"/>
      <c r="K485" s="202"/>
      <c r="L485" s="192" t="str">
        <f>IFERROR(__xludf.DUMMYFUNCTION("IF(
  AND(D485=""Saída"", J485=""Sangria""),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198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94" t="str">
        <f>IFERROR(__xludf.DUMMYFUNCTION("ifna(VALUE(REGEXEXTRACT(E485,""[0-9.]+[,]+[0-9]+"")))"),"")</f>
        <v/>
      </c>
      <c r="O485" s="194"/>
      <c r="P485" s="194"/>
      <c r="Q485" s="194"/>
      <c r="R485" s="194"/>
      <c r="S485" s="194"/>
      <c r="T485" s="194"/>
      <c r="U485" s="194"/>
      <c r="V485" s="194"/>
      <c r="W485" s="194"/>
    </row>
    <row r="486" ht="14.25" customHeight="1">
      <c r="A486" s="31"/>
      <c r="B486" s="287"/>
      <c r="C486" s="286"/>
      <c r="D486" s="204"/>
      <c r="E486" s="288"/>
      <c r="F486" s="204"/>
      <c r="G486" s="289"/>
      <c r="H486" s="204"/>
      <c r="I486" s="204"/>
      <c r="J486" s="202"/>
      <c r="K486" s="202"/>
      <c r="L486" s="192" t="str">
        <f>IFERROR(__xludf.DUMMYFUNCTION("IF(
  AND(D486=""Saída"", J486=""Sangria""),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197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94" t="str">
        <f>IFERROR(__xludf.DUMMYFUNCTION("ifna(VALUE(REGEXEXTRACT(E486,""[0-9.]+[,]+[0-9]+"")))"),"")</f>
        <v/>
      </c>
      <c r="O486" s="194"/>
      <c r="P486" s="194"/>
      <c r="Q486" s="194"/>
      <c r="R486" s="194"/>
      <c r="S486" s="194"/>
      <c r="T486" s="194"/>
      <c r="U486" s="194"/>
      <c r="V486" s="194"/>
      <c r="W486" s="194"/>
    </row>
    <row r="487" ht="14.25" customHeight="1">
      <c r="A487" s="31"/>
      <c r="B487" s="287"/>
      <c r="C487" s="286"/>
      <c r="D487" s="204"/>
      <c r="E487" s="288"/>
      <c r="F487" s="204"/>
      <c r="G487" s="289"/>
      <c r="H487" s="204"/>
      <c r="I487" s="204"/>
      <c r="J487" s="202"/>
      <c r="K487" s="202"/>
      <c r="L487" s="192" t="str">
        <f>IFERROR(__xludf.DUMMYFUNCTION("IF(
  AND(D487=""Saída"", J487=""Sangria""),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198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94" t="str">
        <f>IFERROR(__xludf.DUMMYFUNCTION("ifna(VALUE(REGEXEXTRACT(E487,""[0-9.]+[,]+[0-9]+"")))"),"")</f>
        <v/>
      </c>
      <c r="O487" s="194"/>
      <c r="P487" s="194"/>
      <c r="Q487" s="194"/>
      <c r="R487" s="194"/>
      <c r="S487" s="194"/>
      <c r="T487" s="194"/>
      <c r="U487" s="194"/>
      <c r="V487" s="194"/>
      <c r="W487" s="194"/>
    </row>
    <row r="488" ht="14.25" customHeight="1">
      <c r="A488" s="31"/>
      <c r="B488" s="287"/>
      <c r="C488" s="286"/>
      <c r="D488" s="204"/>
      <c r="E488" s="288"/>
      <c r="F488" s="204"/>
      <c r="G488" s="289"/>
      <c r="H488" s="204"/>
      <c r="I488" s="204"/>
      <c r="J488" s="202"/>
      <c r="K488" s="202"/>
      <c r="L488" s="192" t="str">
        <f>IFERROR(__xludf.DUMMYFUNCTION("IF(
  AND(D488=""Saída"", J488=""Sangria""),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197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94" t="str">
        <f>IFERROR(__xludf.DUMMYFUNCTION("ifna(VALUE(REGEXEXTRACT(E488,""[0-9.]+[,]+[0-9]+"")))"),"")</f>
        <v/>
      </c>
      <c r="O488" s="194"/>
      <c r="P488" s="194"/>
      <c r="Q488" s="194"/>
      <c r="R488" s="194"/>
      <c r="S488" s="194"/>
      <c r="T488" s="194"/>
      <c r="U488" s="194"/>
      <c r="V488" s="194"/>
      <c r="W488" s="194"/>
    </row>
    <row r="489" ht="14.25" customHeight="1">
      <c r="A489" s="31"/>
      <c r="B489" s="287"/>
      <c r="C489" s="286"/>
      <c r="D489" s="204"/>
      <c r="E489" s="288"/>
      <c r="F489" s="204"/>
      <c r="G489" s="289"/>
      <c r="H489" s="204"/>
      <c r="I489" s="204"/>
      <c r="J489" s="202"/>
      <c r="K489" s="202"/>
      <c r="L489" s="192" t="str">
        <f>IFERROR(__xludf.DUMMYFUNCTION("IF(
  AND(D489=""Saída"", J489=""Sangria""),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198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94" t="str">
        <f>IFERROR(__xludf.DUMMYFUNCTION("ifna(VALUE(REGEXEXTRACT(E489,""[0-9.]+[,]+[0-9]+"")))"),"")</f>
        <v/>
      </c>
      <c r="O489" s="194"/>
      <c r="P489" s="194"/>
      <c r="Q489" s="194"/>
      <c r="R489" s="194"/>
      <c r="S489" s="194"/>
      <c r="T489" s="194"/>
      <c r="U489" s="194"/>
      <c r="V489" s="194"/>
      <c r="W489" s="194"/>
    </row>
    <row r="490" ht="14.25" customHeight="1">
      <c r="A490" s="31"/>
      <c r="B490" s="287"/>
      <c r="C490" s="286"/>
      <c r="D490" s="204"/>
      <c r="E490" s="288"/>
      <c r="F490" s="204"/>
      <c r="G490" s="289"/>
      <c r="H490" s="204"/>
      <c r="I490" s="204"/>
      <c r="J490" s="202"/>
      <c r="K490" s="202"/>
      <c r="L490" s="192" t="str">
        <f>IFERROR(__xludf.DUMMYFUNCTION("IF(
  AND(D490=""Saída"", J490=""Sangria""),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197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94" t="str">
        <f>IFERROR(__xludf.DUMMYFUNCTION("ifna(VALUE(REGEXEXTRACT(E490,""[0-9.]+[,]+[0-9]+"")))"),"")</f>
        <v/>
      </c>
      <c r="O490" s="194"/>
      <c r="P490" s="194"/>
      <c r="Q490" s="194"/>
      <c r="R490" s="194"/>
      <c r="S490" s="194"/>
      <c r="T490" s="194"/>
      <c r="U490" s="194"/>
      <c r="V490" s="194"/>
      <c r="W490" s="194"/>
    </row>
    <row r="491" ht="14.25" customHeight="1">
      <c r="A491" s="31"/>
      <c r="B491" s="287"/>
      <c r="C491" s="286"/>
      <c r="D491" s="204"/>
      <c r="E491" s="288"/>
      <c r="F491" s="204"/>
      <c r="G491" s="289"/>
      <c r="H491" s="204"/>
      <c r="I491" s="204"/>
      <c r="J491" s="202"/>
      <c r="K491" s="202"/>
      <c r="L491" s="192" t="str">
        <f>IFERROR(__xludf.DUMMYFUNCTION("IF(
  AND(D491=""Saída"", J491=""Sangria""),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198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94" t="str">
        <f>IFERROR(__xludf.DUMMYFUNCTION("ifna(VALUE(REGEXEXTRACT(E491,""[0-9.]+[,]+[0-9]+"")))"),"")</f>
        <v/>
      </c>
      <c r="O491" s="194"/>
      <c r="P491" s="194"/>
      <c r="Q491" s="194"/>
      <c r="R491" s="194"/>
      <c r="S491" s="194"/>
      <c r="T491" s="194"/>
      <c r="U491" s="194"/>
      <c r="V491" s="194"/>
      <c r="W491" s="194"/>
    </row>
    <row r="492" ht="14.25" customHeight="1">
      <c r="A492" s="31"/>
      <c r="B492" s="287"/>
      <c r="C492" s="286"/>
      <c r="D492" s="204"/>
      <c r="E492" s="288"/>
      <c r="F492" s="204"/>
      <c r="G492" s="289"/>
      <c r="H492" s="204"/>
      <c r="I492" s="204"/>
      <c r="J492" s="202"/>
      <c r="K492" s="202"/>
      <c r="L492" s="192" t="str">
        <f>IFERROR(__xludf.DUMMYFUNCTION("IF(
  AND(D492=""Saída"", J492=""Sangria""),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197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94" t="str">
        <f>IFERROR(__xludf.DUMMYFUNCTION("ifna(VALUE(REGEXEXTRACT(E492,""[0-9.]+[,]+[0-9]+"")))"),"")</f>
        <v/>
      </c>
      <c r="O492" s="194"/>
      <c r="P492" s="194"/>
      <c r="Q492" s="194"/>
      <c r="R492" s="194"/>
      <c r="S492" s="194"/>
      <c r="T492" s="194"/>
      <c r="U492" s="194"/>
      <c r="V492" s="194"/>
      <c r="W492" s="194"/>
    </row>
    <row r="493" ht="14.25" customHeight="1">
      <c r="A493" s="31"/>
      <c r="B493" s="287"/>
      <c r="C493" s="286"/>
      <c r="D493" s="204"/>
      <c r="E493" s="288"/>
      <c r="F493" s="204"/>
      <c r="G493" s="289"/>
      <c r="H493" s="204"/>
      <c r="I493" s="204"/>
      <c r="J493" s="202"/>
      <c r="K493" s="202"/>
      <c r="L493" s="192" t="str">
        <f>IFERROR(__xludf.DUMMYFUNCTION("IF(
  AND(D493=""Saída"", J493=""Sangria""),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198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94" t="str">
        <f>IFERROR(__xludf.DUMMYFUNCTION("ifna(VALUE(REGEXEXTRACT(E493,""[0-9.]+[,]+[0-9]+"")))"),"")</f>
        <v/>
      </c>
      <c r="O493" s="194"/>
      <c r="P493" s="194"/>
      <c r="Q493" s="194"/>
      <c r="R493" s="194"/>
      <c r="S493" s="194"/>
      <c r="T493" s="194"/>
      <c r="U493" s="194"/>
      <c r="V493" s="194"/>
      <c r="W493" s="194"/>
    </row>
    <row r="494" ht="14.25" customHeight="1">
      <c r="A494" s="31"/>
      <c r="B494" s="287"/>
      <c r="C494" s="286"/>
      <c r="D494" s="204"/>
      <c r="E494" s="288"/>
      <c r="F494" s="204"/>
      <c r="G494" s="289"/>
      <c r="H494" s="204"/>
      <c r="I494" s="204"/>
      <c r="J494" s="202"/>
      <c r="K494" s="202"/>
      <c r="L494" s="192" t="str">
        <f>IFERROR(__xludf.DUMMYFUNCTION("IF(
  AND(D494=""Saída"", J494=""Sangria""),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197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94" t="str">
        <f>IFERROR(__xludf.DUMMYFUNCTION("ifna(VALUE(REGEXEXTRACT(E494,""[0-9.]+[,]+[0-9]+"")))"),"")</f>
        <v/>
      </c>
      <c r="O494" s="194"/>
      <c r="P494" s="194"/>
      <c r="Q494" s="194"/>
      <c r="R494" s="194"/>
      <c r="S494" s="194"/>
      <c r="T494" s="194"/>
      <c r="U494" s="194"/>
      <c r="V494" s="194"/>
      <c r="W494" s="194"/>
    </row>
    <row r="495" ht="14.25" customHeight="1">
      <c r="A495" s="31"/>
      <c r="B495" s="287"/>
      <c r="C495" s="286"/>
      <c r="D495" s="204"/>
      <c r="E495" s="288"/>
      <c r="F495" s="204"/>
      <c r="G495" s="289"/>
      <c r="H495" s="204"/>
      <c r="I495" s="204"/>
      <c r="J495" s="202"/>
      <c r="K495" s="202"/>
      <c r="L495" s="192" t="str">
        <f>IFERROR(__xludf.DUMMYFUNCTION("IF(
  AND(D495=""Saída"", J495=""Sangria""),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198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94" t="str">
        <f>IFERROR(__xludf.DUMMYFUNCTION("ifna(VALUE(REGEXEXTRACT(E495,""[0-9.]+[,]+[0-9]+"")))"),"")</f>
        <v/>
      </c>
      <c r="O495" s="194"/>
      <c r="P495" s="194"/>
      <c r="Q495" s="194"/>
      <c r="R495" s="194"/>
      <c r="S495" s="194"/>
      <c r="T495" s="194"/>
      <c r="U495" s="194"/>
      <c r="V495" s="194"/>
      <c r="W495" s="194"/>
    </row>
    <row r="496" ht="14.25" customHeight="1">
      <c r="A496" s="31"/>
      <c r="B496" s="287"/>
      <c r="C496" s="286"/>
      <c r="D496" s="204"/>
      <c r="E496" s="288"/>
      <c r="F496" s="204"/>
      <c r="G496" s="289"/>
      <c r="H496" s="204"/>
      <c r="I496" s="204"/>
      <c r="J496" s="202"/>
      <c r="K496" s="202"/>
      <c r="L496" s="192" t="str">
        <f>IFERROR(__xludf.DUMMYFUNCTION("IF(
  AND(D496=""Saída"", J496=""Sangria""),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197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94" t="str">
        <f>IFERROR(__xludf.DUMMYFUNCTION("ifna(VALUE(REGEXEXTRACT(E496,""[0-9.]+[,]+[0-9]+"")))"),"")</f>
        <v/>
      </c>
      <c r="O496" s="194"/>
      <c r="P496" s="194"/>
      <c r="Q496" s="194"/>
      <c r="R496" s="194"/>
      <c r="S496" s="194"/>
      <c r="T496" s="194"/>
      <c r="U496" s="194"/>
      <c r="V496" s="194"/>
      <c r="W496" s="194"/>
    </row>
    <row r="497" ht="14.25" customHeight="1">
      <c r="A497" s="31"/>
      <c r="B497" s="287"/>
      <c r="C497" s="286"/>
      <c r="D497" s="204"/>
      <c r="E497" s="288"/>
      <c r="F497" s="204"/>
      <c r="G497" s="289"/>
      <c r="H497" s="204"/>
      <c r="I497" s="204"/>
      <c r="J497" s="202"/>
      <c r="K497" s="202"/>
      <c r="L497" s="192" t="str">
        <f>IFERROR(__xludf.DUMMYFUNCTION("IF(
  AND(D497=""Saída"", J497=""Sangria""),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198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94" t="str">
        <f>IFERROR(__xludf.DUMMYFUNCTION("ifna(VALUE(REGEXEXTRACT(E497,""[0-9.]+[,]+[0-9]+"")))"),"")</f>
        <v/>
      </c>
      <c r="O497" s="194"/>
      <c r="P497" s="194"/>
      <c r="Q497" s="194"/>
      <c r="R497" s="194"/>
      <c r="S497" s="194"/>
      <c r="T497" s="194"/>
      <c r="U497" s="194"/>
      <c r="V497" s="194"/>
      <c r="W497" s="194"/>
    </row>
    <row r="498" ht="14.25" customHeight="1">
      <c r="A498" s="31"/>
      <c r="B498" s="287"/>
      <c r="C498" s="286"/>
      <c r="D498" s="204"/>
      <c r="E498" s="288"/>
      <c r="F498" s="204"/>
      <c r="G498" s="289"/>
      <c r="H498" s="204"/>
      <c r="I498" s="204"/>
      <c r="J498" s="202"/>
      <c r="K498" s="202"/>
      <c r="L498" s="192" t="str">
        <f>IFERROR(__xludf.DUMMYFUNCTION("IF(
  AND(D498=""Saída"", J498=""Sangria""),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197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94" t="str">
        <f>IFERROR(__xludf.DUMMYFUNCTION("ifna(VALUE(REGEXEXTRACT(E498,""[0-9.]+[,]+[0-9]+"")))"),"")</f>
        <v/>
      </c>
      <c r="O498" s="194"/>
      <c r="P498" s="194"/>
      <c r="Q498" s="194"/>
      <c r="R498" s="194"/>
      <c r="S498" s="194"/>
      <c r="T498" s="194"/>
      <c r="U498" s="194"/>
      <c r="V498" s="194"/>
      <c r="W498" s="194"/>
    </row>
    <row r="499" ht="14.25" customHeight="1">
      <c r="A499" s="31"/>
      <c r="B499" s="287"/>
      <c r="C499" s="286"/>
      <c r="D499" s="204"/>
      <c r="E499" s="288"/>
      <c r="F499" s="204"/>
      <c r="G499" s="289"/>
      <c r="H499" s="204"/>
      <c r="I499" s="204"/>
      <c r="J499" s="202"/>
      <c r="K499" s="202"/>
      <c r="L499" s="192" t="str">
        <f>IFERROR(__xludf.DUMMYFUNCTION("IF(
  AND(D499=""Saída"", J499=""Sangria""),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198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94" t="str">
        <f>IFERROR(__xludf.DUMMYFUNCTION("ifna(VALUE(REGEXEXTRACT(E499,""[0-9.]+[,]+[0-9]+"")))"),"")</f>
        <v/>
      </c>
      <c r="O499" s="194"/>
      <c r="P499" s="194"/>
      <c r="Q499" s="194"/>
      <c r="R499" s="194"/>
      <c r="S499" s="194"/>
      <c r="T499" s="194"/>
      <c r="U499" s="194"/>
      <c r="V499" s="194"/>
      <c r="W499" s="194"/>
    </row>
    <row r="500" ht="14.25" customHeight="1">
      <c r="A500" s="31"/>
      <c r="B500" s="287"/>
      <c r="C500" s="286"/>
      <c r="D500" s="204"/>
      <c r="E500" s="288"/>
      <c r="F500" s="204"/>
      <c r="G500" s="289"/>
      <c r="H500" s="204"/>
      <c r="I500" s="204"/>
      <c r="J500" s="202"/>
      <c r="K500" s="202"/>
      <c r="L500" s="192" t="str">
        <f>IFERROR(__xludf.DUMMYFUNCTION("IF(
  AND(D500=""Saída"", J500=""Sangria""),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197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94" t="str">
        <f>IFERROR(__xludf.DUMMYFUNCTION("ifna(VALUE(REGEXEXTRACT(E500,""[0-9.]+[,]+[0-9]+"")))"),"")</f>
        <v/>
      </c>
      <c r="O500" s="194"/>
      <c r="P500" s="194"/>
      <c r="Q500" s="194"/>
      <c r="R500" s="194"/>
      <c r="S500" s="194"/>
      <c r="T500" s="194"/>
      <c r="U500" s="194"/>
      <c r="V500" s="194"/>
      <c r="W500" s="194"/>
    </row>
    <row r="501" ht="14.25" customHeight="1">
      <c r="A501" s="31"/>
      <c r="B501" s="287"/>
      <c r="C501" s="286"/>
      <c r="D501" s="204"/>
      <c r="E501" s="288"/>
      <c r="F501" s="204"/>
      <c r="G501" s="289"/>
      <c r="H501" s="204"/>
      <c r="I501" s="204"/>
      <c r="J501" s="202"/>
      <c r="K501" s="202"/>
      <c r="L501" s="192" t="str">
        <f>IFERROR(__xludf.DUMMYFUNCTION("IF(
  AND(D501=""Saída"", J501=""Sangria""),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198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94" t="str">
        <f>IFERROR(__xludf.DUMMYFUNCTION("ifna(VALUE(REGEXEXTRACT(E501,""[0-9.]+[,]+[0-9]+"")))"),"")</f>
        <v/>
      </c>
      <c r="O501" s="194"/>
      <c r="P501" s="194"/>
      <c r="Q501" s="194"/>
      <c r="R501" s="194"/>
      <c r="S501" s="194"/>
      <c r="T501" s="194"/>
      <c r="U501" s="194"/>
      <c r="V501" s="194"/>
      <c r="W501" s="194"/>
    </row>
    <row r="502" ht="14.25" customHeight="1">
      <c r="A502" s="31"/>
      <c r="B502" s="287"/>
      <c r="C502" s="286"/>
      <c r="D502" s="204"/>
      <c r="E502" s="288"/>
      <c r="F502" s="204"/>
      <c r="G502" s="289"/>
      <c r="H502" s="204"/>
      <c r="I502" s="204"/>
      <c r="J502" s="202"/>
      <c r="K502" s="202"/>
      <c r="L502" s="192" t="str">
        <f>IFERROR(__xludf.DUMMYFUNCTION("IF(
  AND(D502=""Saída"", J502=""Sangria""),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197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94" t="str">
        <f>IFERROR(__xludf.DUMMYFUNCTION("ifna(VALUE(REGEXEXTRACT(E502,""[0-9.]+[,]+[0-9]+"")))"),"")</f>
        <v/>
      </c>
      <c r="O502" s="194"/>
      <c r="P502" s="194"/>
      <c r="Q502" s="194"/>
      <c r="R502" s="194"/>
      <c r="S502" s="194"/>
      <c r="T502" s="194"/>
      <c r="U502" s="194"/>
      <c r="V502" s="194"/>
      <c r="W502" s="194"/>
    </row>
    <row r="503" ht="14.25" customHeight="1">
      <c r="A503" s="31"/>
      <c r="B503" s="287"/>
      <c r="C503" s="286"/>
      <c r="D503" s="204"/>
      <c r="E503" s="288"/>
      <c r="F503" s="204"/>
      <c r="G503" s="289"/>
      <c r="H503" s="204"/>
      <c r="I503" s="204"/>
      <c r="J503" s="202"/>
      <c r="K503" s="202"/>
      <c r="L503" s="192" t="str">
        <f>IFERROR(__xludf.DUMMYFUNCTION("IF(
  AND(D503=""Saída"", J503=""Sangria""),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198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94" t="str">
        <f>IFERROR(__xludf.DUMMYFUNCTION("ifna(VALUE(REGEXEXTRACT(E503,""[0-9.]+[,]+[0-9]+"")))"),"")</f>
        <v/>
      </c>
      <c r="O503" s="194"/>
      <c r="P503" s="194"/>
      <c r="Q503" s="194"/>
      <c r="R503" s="194"/>
      <c r="S503" s="194"/>
      <c r="T503" s="194"/>
      <c r="U503" s="194"/>
      <c r="V503" s="194"/>
      <c r="W503" s="194"/>
    </row>
    <row r="504" ht="14.25" customHeight="1">
      <c r="A504" s="31"/>
      <c r="B504" s="293"/>
      <c r="C504" s="294"/>
      <c r="D504" s="295"/>
      <c r="E504" s="296"/>
      <c r="F504" s="295"/>
      <c r="G504" s="297"/>
      <c r="H504" s="295"/>
      <c r="I504" s="295"/>
      <c r="J504" s="298"/>
      <c r="K504" s="298"/>
      <c r="L504" s="192" t="str">
        <f>IFERROR(__xludf.DUMMYFUNCTION("IF(
  AND(D504=""Saída"", J504=""Sangria""),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197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94" t="str">
        <f>IFERROR(__xludf.DUMMYFUNCTION("ifna(VALUE(REGEXEXTRACT(E504,""[0-9.]+[,]+[0-9]+"")))"),"")</f>
        <v/>
      </c>
      <c r="O504" s="194"/>
      <c r="P504" s="194"/>
      <c r="Q504" s="194"/>
      <c r="R504" s="194"/>
      <c r="S504" s="194"/>
      <c r="T504" s="194"/>
      <c r="U504" s="194"/>
      <c r="V504" s="194"/>
      <c r="W504" s="194"/>
    </row>
    <row r="505" ht="14.25" customHeight="1">
      <c r="A505" s="31"/>
      <c r="B505" s="299"/>
      <c r="C505" s="286"/>
      <c r="D505" s="204"/>
      <c r="E505" s="288"/>
      <c r="F505" s="204"/>
      <c r="G505" s="289"/>
      <c r="H505" s="204"/>
      <c r="I505" s="204"/>
      <c r="J505" s="202"/>
      <c r="K505" s="202"/>
      <c r="L505" s="192" t="str">
        <f>IFERROR(__xludf.DUMMYFUNCTION("IF(
  AND(D505=""Saída"", J505=""Sangria""),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198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</row>
    <row r="506" ht="14.25" customHeight="1">
      <c r="A506" s="31"/>
      <c r="B506" s="299"/>
      <c r="C506" s="286"/>
      <c r="D506" s="204"/>
      <c r="E506" s="288"/>
      <c r="F506" s="204"/>
      <c r="G506" s="289"/>
      <c r="H506" s="204"/>
      <c r="I506" s="204"/>
      <c r="J506" s="202"/>
      <c r="K506" s="202"/>
      <c r="L506" s="192" t="str">
        <f>IFERROR(__xludf.DUMMYFUNCTION("IF(
  AND(D506=""Saída"", J506=""Sangria""),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197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</row>
    <row r="507" ht="14.25" customHeight="1">
      <c r="A507" s="31"/>
      <c r="B507" s="299"/>
      <c r="C507" s="286"/>
      <c r="D507" s="204"/>
      <c r="E507" s="288"/>
      <c r="F507" s="204"/>
      <c r="G507" s="289"/>
      <c r="H507" s="204"/>
      <c r="I507" s="204"/>
      <c r="J507" s="202"/>
      <c r="K507" s="202"/>
      <c r="L507" s="192" t="str">
        <f>IFERROR(__xludf.DUMMYFUNCTION("IF(
  AND(D507=""Saída"", J507=""Sangria""),
  IFNA(
    IF(
      SUM(
        QUERY(
          IMPORTRANGE(""https://docs.google.com/spreadsheets/d/1E4szPcLzsqlw4uyBAoJ61L1ChCgpz4wVP8tHfHW1g_c"",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IMPORTRANGE(""https://docs.google.com/spreadsheets/d/1E4szPcLzsqlw4uyBAoJ61L1ChCgpz4wVP8tHfHW1g_c"",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IMPORTRANGE(""https://docs.google.com/spreadsheets/d/1E4szPcLzsqlw4uyBAoJ61L1ChCgpz4wVP8tHfHW1g_c"",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198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</row>
  </sheetData>
  <mergeCells count="100">
    <mergeCell ref="O93:T94"/>
    <mergeCell ref="S95:T95"/>
    <mergeCell ref="O140:V140"/>
    <mergeCell ref="S141:U141"/>
    <mergeCell ref="S142:U142"/>
    <mergeCell ref="S143:U143"/>
    <mergeCell ref="S144:U144"/>
    <mergeCell ref="S145:U145"/>
    <mergeCell ref="S146:U146"/>
    <mergeCell ref="S147:U147"/>
    <mergeCell ref="S148:U148"/>
    <mergeCell ref="S149:U149"/>
    <mergeCell ref="S150:U150"/>
    <mergeCell ref="S151:U151"/>
    <mergeCell ref="S152:U152"/>
    <mergeCell ref="S153:U153"/>
    <mergeCell ref="S154:U154"/>
    <mergeCell ref="S155:U155"/>
    <mergeCell ref="S156:U156"/>
    <mergeCell ref="S157:U157"/>
    <mergeCell ref="S158:U158"/>
    <mergeCell ref="S159:U159"/>
    <mergeCell ref="S160:U160"/>
    <mergeCell ref="S161:U161"/>
    <mergeCell ref="S162:U162"/>
    <mergeCell ref="S163:U163"/>
    <mergeCell ref="S164:U164"/>
    <mergeCell ref="S165:U165"/>
    <mergeCell ref="S166:U166"/>
    <mergeCell ref="S167:U167"/>
    <mergeCell ref="S168:U168"/>
    <mergeCell ref="S169:U169"/>
    <mergeCell ref="S170:U170"/>
    <mergeCell ref="S171:U171"/>
    <mergeCell ref="S172:U172"/>
    <mergeCell ref="S173:U173"/>
    <mergeCell ref="S174:U174"/>
    <mergeCell ref="S175:U175"/>
    <mergeCell ref="S176:U176"/>
    <mergeCell ref="S177:U177"/>
    <mergeCell ref="S178:U178"/>
    <mergeCell ref="S179:U179"/>
    <mergeCell ref="S187:U187"/>
    <mergeCell ref="S188:U188"/>
    <mergeCell ref="S189:U189"/>
    <mergeCell ref="S190:U190"/>
    <mergeCell ref="S191:U191"/>
    <mergeCell ref="S192:U192"/>
    <mergeCell ref="S180:U180"/>
    <mergeCell ref="S181:U181"/>
    <mergeCell ref="S182:U182"/>
    <mergeCell ref="S183:U183"/>
    <mergeCell ref="S184:U184"/>
    <mergeCell ref="S185:U185"/>
    <mergeCell ref="S186:U186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C19:D19"/>
    <mergeCell ref="C23:D23"/>
    <mergeCell ref="E23:F23"/>
    <mergeCell ref="G23:H23"/>
    <mergeCell ref="I23:J23"/>
    <mergeCell ref="I24:J24"/>
    <mergeCell ref="I25:J25"/>
    <mergeCell ref="B27:M27"/>
    <mergeCell ref="G14:H14"/>
    <mergeCell ref="I14:J14"/>
    <mergeCell ref="C18:D18"/>
    <mergeCell ref="E18:H18"/>
    <mergeCell ref="I18:J18"/>
    <mergeCell ref="E19:F19"/>
    <mergeCell ref="I22:J22"/>
    <mergeCell ref="K18:L18"/>
    <mergeCell ref="K19:L19"/>
    <mergeCell ref="T19:W19"/>
    <mergeCell ref="O48:R48"/>
    <mergeCell ref="T48:W48"/>
    <mergeCell ref="O68:R68"/>
    <mergeCell ref="T68:W68"/>
  </mergeCells>
  <conditionalFormatting sqref="M29:M507">
    <cfRule type="cellIs" dxfId="5" priority="1" operator="equal">
      <formula>"Não Encontrada"</formula>
    </cfRule>
  </conditionalFormatting>
  <conditionalFormatting sqref="E29:E198">
    <cfRule type="expression" dxfId="6" priority="2">
      <formula>and($J$22:$J$497="Sangria",$D$22:$D$497="Saída")</formula>
    </cfRule>
  </conditionalFormatting>
  <conditionalFormatting sqref="D4 D11">
    <cfRule type="cellIs" dxfId="7" priority="3" operator="greaterThanOrEqual">
      <formula>500</formula>
    </cfRule>
  </conditionalFormatting>
  <conditionalFormatting sqref="D4 D11">
    <cfRule type="cellIs" dxfId="8" priority="4" operator="between">
      <formula>400</formula>
      <formula>500</formula>
    </cfRule>
  </conditionalFormatting>
  <conditionalFormatting sqref="F4 F11">
    <cfRule type="cellIs" dxfId="7" priority="5" operator="greaterThanOrEqual">
      <formula>500</formula>
    </cfRule>
  </conditionalFormatting>
  <conditionalFormatting sqref="F4 F11">
    <cfRule type="cellIs" dxfId="5" priority="6" operator="between">
      <formula>400</formula>
      <formula>500</formula>
    </cfRule>
  </conditionalFormatting>
  <conditionalFormatting sqref="H4 H11">
    <cfRule type="cellIs" dxfId="7" priority="7" operator="greaterThanOrEqual">
      <formula>500</formula>
    </cfRule>
  </conditionalFormatting>
  <conditionalFormatting sqref="H4 H11">
    <cfRule type="cellIs" dxfId="5" priority="8" operator="between">
      <formula>400</formula>
      <formula>500</formula>
    </cfRule>
  </conditionalFormatting>
  <conditionalFormatting sqref="J4 J11">
    <cfRule type="cellIs" dxfId="7" priority="9" operator="greaterThanOrEqual">
      <formula>500</formula>
    </cfRule>
  </conditionalFormatting>
  <conditionalFormatting sqref="J4 J11">
    <cfRule type="cellIs" dxfId="8" priority="10" operator="between">
      <formula>400</formula>
      <formula>500</formula>
    </cfRule>
  </conditionalFormatting>
  <conditionalFormatting sqref="L4:W4 L11 D20 S20:W20 O49:W49 O69:W69">
    <cfRule type="cellIs" dxfId="7" priority="11" operator="greaterThanOrEqual">
      <formula>500</formula>
    </cfRule>
  </conditionalFormatting>
  <conditionalFormatting sqref="L4:W4 L11 D20 S20:W20 O49:W49 O69:W69">
    <cfRule type="cellIs" dxfId="8" priority="12" operator="between">
      <formula>400</formula>
      <formula>500</formula>
    </cfRule>
  </conditionalFormatting>
  <conditionalFormatting sqref="E29:E507">
    <cfRule type="containsText" dxfId="9" priority="13" operator="containsText" text="R$">
      <formula>NOT(ISERROR(SEARCH(("R$"),(E29))))</formula>
    </cfRule>
  </conditionalFormatting>
  <conditionalFormatting sqref="B29:K507">
    <cfRule type="expression" dxfId="6" priority="14">
      <formula>and($J$29:$J$504="Sangria",$D$29:$D$504="Saída")</formula>
    </cfRule>
  </conditionalFormatting>
  <conditionalFormatting sqref="K29:K507">
    <cfRule type="expression" dxfId="10" priority="15">
      <formula>or($J$29:$J$218="Compra Moedas",$J$29:$J$218="Cortesias",$J$29:$J$218="Troco")</formula>
    </cfRule>
  </conditionalFormatting>
  <conditionalFormatting sqref="K29:K507">
    <cfRule type="expression" dxfId="11" priority="16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7">
    <cfRule type="expression" dxfId="5" priority="17">
      <formula>and(SEARCH("Vale",G29),or(J29="Consumo",J29="Sangria",J29="Compra Moedas",J29="Cortesia",J29="Troco",J29="Estorno Cliente",J29="Outros Pagamentos",J29="Inadimplência"))</formula>
    </cfRule>
  </conditionalFormatting>
  <conditionalFormatting sqref="I29:I507">
    <cfRule type="expression" dxfId="5" priority="18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9">
      <formula>LEN(TRIM(I43))&gt;0</formula>
    </cfRule>
  </conditionalFormatting>
  <conditionalFormatting sqref="I29:I507">
    <cfRule type="expression" dxfId="5" priority="20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7">
    <cfRule type="expression" dxfId="5" priority="21">
      <formula>and(SEARCH("Cortesia",G29),or(J29="Consumo",J29="Sangria",J29="Adiantamento",J29="Troco",J29="Estorno Cliente",J29="Outros Pagamentos",J29="Inadimplência"))</formula>
    </cfRule>
  </conditionalFormatting>
  <conditionalFormatting sqref="C29:C507">
    <cfRule type="expression" dxfId="11" priority="22">
      <formula>and($C$29:$C$218="",or($D$29:$D$218="Entrada",$D$29:$D$218="Saída"))</formula>
    </cfRule>
  </conditionalFormatting>
  <conditionalFormatting sqref="I29:I507">
    <cfRule type="expression" dxfId="5" priority="23">
      <formula>and(K29 = "",or(J29="Consumo",J29="Adiantamento"))</formula>
    </cfRule>
  </conditionalFormatting>
  <conditionalFormatting sqref="L29:L507">
    <cfRule type="cellIs" dxfId="5" priority="24" operator="equal">
      <formula>"Caixa Sangria"</formula>
    </cfRule>
  </conditionalFormatting>
  <dataValidations>
    <dataValidation type="list" allowBlank="1" showErrorMessage="1" sqref="K29:K507">
      <formula1>'JUNHO 2026'!$B$4:$B$16</formula1>
    </dataValidation>
    <dataValidation type="list" allowBlank="1" showErrorMessage="1" sqref="J29:J176 J178:J179 J181:J190 J192:J195 J197:J208 J210:J267 J269:J286 J288:J303 J306:J308 J310:J376 J378:J388 J390:J507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